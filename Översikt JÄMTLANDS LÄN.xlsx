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45363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67089-2021</t>
        </is>
      </c>
      <c r="B3" s="1" t="n">
        <v>44522</v>
      </c>
      <c r="C3" s="1" t="n">
        <v>45363</v>
      </c>
      <c r="D3" t="inlineStr">
        <is>
          <t>JÄMTLANDS LÄN</t>
        </is>
      </c>
      <c r="E3" t="inlineStr">
        <is>
          <t>KROKOM</t>
        </is>
      </c>
      <c r="G3" t="n">
        <v>15.4</v>
      </c>
      <c r="H3" t="n">
        <v>7</v>
      </c>
      <c r="I3" t="n">
        <v>13</v>
      </c>
      <c r="J3" t="n">
        <v>25</v>
      </c>
      <c r="K3" t="n">
        <v>6</v>
      </c>
      <c r="L3" t="n">
        <v>1</v>
      </c>
      <c r="M3" t="n">
        <v>0</v>
      </c>
      <c r="N3" t="n">
        <v>0</v>
      </c>
      <c r="O3" t="n">
        <v>32</v>
      </c>
      <c r="P3" t="n">
        <v>7</v>
      </c>
      <c r="Q3" t="n">
        <v>46</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3">
        <f>HYPERLINK("https://klasma.github.io/Logging_2309/artfynd/A 67089-2021 artfynd.xlsx", "A 67089-2021")</f>
        <v/>
      </c>
      <c r="T3">
        <f>HYPERLINK("https://klasma.github.io/Logging_2309/kartor/A 67089-2021 karta.png",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29992-2023</t>
        </is>
      </c>
      <c r="B4" s="1" t="n">
        <v>45109</v>
      </c>
      <c r="C4" s="1" t="n">
        <v>45363</v>
      </c>
      <c r="D4" t="inlineStr">
        <is>
          <t>JÄMTLANDS LÄN</t>
        </is>
      </c>
      <c r="E4" t="inlineStr">
        <is>
          <t>ÖSTERSUND</t>
        </is>
      </c>
      <c r="G4" t="n">
        <v>93.3</v>
      </c>
      <c r="H4" t="n">
        <v>10</v>
      </c>
      <c r="I4" t="n">
        <v>18</v>
      </c>
      <c r="J4" t="n">
        <v>18</v>
      </c>
      <c r="K4" t="n">
        <v>6</v>
      </c>
      <c r="L4" t="n">
        <v>1</v>
      </c>
      <c r="M4" t="n">
        <v>0</v>
      </c>
      <c r="N4" t="n">
        <v>0</v>
      </c>
      <c r="O4" t="n">
        <v>25</v>
      </c>
      <c r="P4" t="n">
        <v>7</v>
      </c>
      <c r="Q4" t="n">
        <v>46</v>
      </c>
      <c r="R4"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4">
        <f>HYPERLINK("https://klasma.github.io/Logging_2380/artfynd/A 29992-2023 artfynd.xlsx", "A 29992-2023")</f>
        <v/>
      </c>
      <c r="T4">
        <f>HYPERLINK("https://klasma.github.io/Logging_2380/kartor/A 29992-2023 karta.png", "A 29992-2023")</f>
        <v/>
      </c>
      <c r="U4">
        <f>HYPERLINK("https://klasma.github.io/Logging_2380/knärot/A 29992-2023 karta knärot.png", "A 29992-2023")</f>
        <v/>
      </c>
      <c r="V4">
        <f>HYPERLINK("https://klasma.github.io/Logging_2380/klagomål/A 29992-2023 FSC-klagomål.docx", "A 29992-2023")</f>
        <v/>
      </c>
      <c r="W4">
        <f>HYPERLINK("https://klasma.github.io/Logging_2380/klagomålsmail/A 29992-2023 FSC-klagomål mail.docx", "A 29992-2023")</f>
        <v/>
      </c>
      <c r="X4">
        <f>HYPERLINK("https://klasma.github.io/Logging_2380/tillsyn/A 29992-2023 tillsynsbegäran.docx", "A 29992-2023")</f>
        <v/>
      </c>
      <c r="Y4">
        <f>HYPERLINK("https://klasma.github.io/Logging_2380/tillsynsmail/A 29992-2023 tillsynsbegäran mail.docx", "A 29992-2023")</f>
        <v/>
      </c>
      <c r="Z4">
        <f>HYPERLINK("https://klasma.github.io/Logging_2380/fåglar/A 29992-2023 prioriterade fågelarter.docx", "A 29992-2023")</f>
        <v/>
      </c>
    </row>
    <row r="5" ht="15" customHeight="1">
      <c r="A5" t="inlineStr">
        <is>
          <t>A 68504-2020</t>
        </is>
      </c>
      <c r="B5" s="1" t="n">
        <v>44186</v>
      </c>
      <c r="C5" s="1" t="n">
        <v>45363</v>
      </c>
      <c r="D5" t="inlineStr">
        <is>
          <t>JÄMTLANDS LÄN</t>
        </is>
      </c>
      <c r="E5" t="inlineStr">
        <is>
          <t>STRÖMSUND</t>
        </is>
      </c>
      <c r="F5" t="inlineStr">
        <is>
          <t>Holmen skog AB</t>
        </is>
      </c>
      <c r="G5" t="n">
        <v>167.7</v>
      </c>
      <c r="H5" t="n">
        <v>7</v>
      </c>
      <c r="I5" t="n">
        <v>20</v>
      </c>
      <c r="J5" t="n">
        <v>17</v>
      </c>
      <c r="K5" t="n">
        <v>3</v>
      </c>
      <c r="L5" t="n">
        <v>2</v>
      </c>
      <c r="M5" t="n">
        <v>0</v>
      </c>
      <c r="N5" t="n">
        <v>0</v>
      </c>
      <c r="O5" t="n">
        <v>22</v>
      </c>
      <c r="P5" t="n">
        <v>5</v>
      </c>
      <c r="Q5" t="n">
        <v>45</v>
      </c>
      <c r="R5"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5">
        <f>HYPERLINK("https://klasma.github.io/Logging_2313/artfynd/A 68504-2020 artfynd.xlsx", "A 68504-2020")</f>
        <v/>
      </c>
      <c r="T5">
        <f>HYPERLINK("https://klasma.github.io/Logging_2313/kartor/A 68504-2020 karta.png", "A 68504-2020")</f>
        <v/>
      </c>
      <c r="V5">
        <f>HYPERLINK("https://klasma.github.io/Logging_2313/klagomål/A 68504-2020 FSC-klagomål.docx", "A 68504-2020")</f>
        <v/>
      </c>
      <c r="W5">
        <f>HYPERLINK("https://klasma.github.io/Logging_2313/klagomålsmail/A 68504-2020 FSC-klagomål mail.docx", "A 68504-2020")</f>
        <v/>
      </c>
      <c r="X5">
        <f>HYPERLINK("https://klasma.github.io/Logging_2313/tillsyn/A 68504-2020 tillsynsbegäran.docx", "A 68504-2020")</f>
        <v/>
      </c>
      <c r="Y5">
        <f>HYPERLINK("https://klasma.github.io/Logging_2313/tillsynsmail/A 68504-2020 tillsynsbegäran mail.docx", "A 68504-2020")</f>
        <v/>
      </c>
      <c r="Z5">
        <f>HYPERLINK("https://klasma.github.io/Logging_2313/fåglar/A 68504-2020 prioriterade fågelarter.docx", "A 68504-2020")</f>
        <v/>
      </c>
    </row>
    <row r="6" ht="15" customHeight="1">
      <c r="A6" t="inlineStr">
        <is>
          <t>A 32323-2023</t>
        </is>
      </c>
      <c r="B6" s="1" t="n">
        <v>45110</v>
      </c>
      <c r="C6" s="1" t="n">
        <v>45363</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45363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45363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45363</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45363</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45363</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45363</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45363</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45363</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45363</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45363</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45363</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45363</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45363</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45363</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45363</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45363</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45363</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45363</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45363</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45363</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45363</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45363</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45363</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45363</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45363</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45363</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45363</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45363</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45363</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45363</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45363</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45363</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45363</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45363</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45363</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45363</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45363</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45363</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45363</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45363</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45363</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45363</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45363</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45363</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45363</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45363</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45363</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45363</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45363</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45363</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45363</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45363</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c r="Z58">
        <f>HYPERLINK("https://klasma.github.io/Logging_2313/fåglar/A 41447-2020 prioriterade fågelarter.docx", "A 41447-2020")</f>
        <v/>
      </c>
    </row>
    <row r="59" ht="15" customHeight="1">
      <c r="A59" t="inlineStr">
        <is>
          <t>A 62085-2020</t>
        </is>
      </c>
      <c r="B59" s="1" t="n">
        <v>44158</v>
      </c>
      <c r="C59" s="1" t="n">
        <v>45363</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45363</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45363</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45363</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45363</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45363</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45363</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45363</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45363</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45363</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45363</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45363</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45363</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45363</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45363</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45363</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45363</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45363</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45363</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45363</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45363</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45363</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45363</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45363</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45363</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45363</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45363</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45363</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45363</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45363</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45363</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45363</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45363</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45363</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45363</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45363</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45363</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45363</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45363</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45363</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45363</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45363</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45363</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45363</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45363</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45363</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45363</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45363</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45363</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45363</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45363</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45363</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45363</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45363</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45363</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45363</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45363</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45363</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45363</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45363</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45363</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45363</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45363</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45363</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45363</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45363</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45363</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45363</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45363</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45363</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45363</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45363</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45363</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45363</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45363</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45363</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45363</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45363</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45363</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45363</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45363</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45363</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45363</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45363</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45363</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45363</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45363</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45363</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45363</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45363</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45363</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45363</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45363</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45363</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45363</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45363</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45363</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45363</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45363</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45363</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45363</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45363</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45363</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45363</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45363</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45363</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45363</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45363</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45363</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c r="Z167">
        <f>HYPERLINK("https://klasma.github.io/Logging_2305/fåglar/A 51806-2023 prioriterade fågelarter.docx", "A 51806-2023")</f>
        <v/>
      </c>
    </row>
    <row r="168" ht="15" customHeight="1">
      <c r="A168" t="inlineStr">
        <is>
          <t>A 43567-2018</t>
        </is>
      </c>
      <c r="B168" s="1" t="n">
        <v>43357</v>
      </c>
      <c r="C168" s="1" t="n">
        <v>45363</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45363</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45363</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45363</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45363</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45363</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45363</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45363</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45363</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45363</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45363</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45363</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45363</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45363</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45363</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45363</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45363</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45363</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45363</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45363</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45363</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45363</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45363</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45363</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45363</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45363</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45363</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45363</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45363</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45363</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45363</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45363</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45363</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45363</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45363</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45363</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45363</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45363</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45363</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45363</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45363</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45363</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45363</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45363</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45363</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45363</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45363</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45363</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45363</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45363</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45363</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45363</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45363</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45363</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45363</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45363</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45363</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45363</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45363</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45363</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45363</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45363</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45363</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45363</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45363</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45363</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45363</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45363</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45363</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45363</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45363</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45363</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c r="Z239">
        <f>HYPERLINK("https://klasma.github.io/Logging_2361/fåglar/A 174-2021 prioriterade fågelarter.docx", "A 174-2021")</f>
        <v/>
      </c>
    </row>
    <row r="240" ht="15" customHeight="1">
      <c r="A240" t="inlineStr">
        <is>
          <t>A 718-2021</t>
        </is>
      </c>
      <c r="B240" s="1" t="n">
        <v>44204</v>
      </c>
      <c r="C240" s="1" t="n">
        <v>45363</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45363</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45363</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45363</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45363</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45363</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45363</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45363</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45363</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45363</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45363</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45363</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45363</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45363</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45363</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45363</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45363</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45363</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45363</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45363</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45363</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45363</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45363</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45363</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45363</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45363</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45363</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45363</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45363</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45363</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45363</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45363</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45363</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45363</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45363</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45363</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45363</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45363</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45363</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45363</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45363</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45363</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45363</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45363</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45363</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45363</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45363</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45363</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45363</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45363</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45363</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45363</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45363</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45363</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45363</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45363</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45363</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45363</v>
      </c>
      <c r="D297" t="inlineStr">
        <is>
          <t>JÄMTLANDS LÄN</t>
        </is>
      </c>
      <c r="E297" t="inlineStr">
        <is>
          <t>HÄRJEDALEN</t>
        </is>
      </c>
      <c r="F297" t="inlineStr">
        <is>
          <t>Holmen skog AB</t>
        </is>
      </c>
      <c r="G297" t="n">
        <v>2556.8</v>
      </c>
      <c r="H297" t="n">
        <v>5</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45363</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45363</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45363</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45363</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45363</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45363</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45363</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45363</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45363</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45363</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45363</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45363</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45363</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45363</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45363</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45363</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45363</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45363</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45363</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45363</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45363</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45363</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45363</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45363</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45363</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45363</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45363</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45363</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45363</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45363</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45363</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45363</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45363</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45363</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45363</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45363</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45363</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45363</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45363</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45363</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45363</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45363</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45363</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c r="Z340">
        <f>HYPERLINK("https://klasma.github.io/Logging_2361/fåglar/A 14058-2023 prioriterade fågelarter.docx", "A 14058-2023")</f>
        <v/>
      </c>
    </row>
    <row r="341" ht="15" customHeight="1">
      <c r="A341" t="inlineStr">
        <is>
          <t>A 16369-2023</t>
        </is>
      </c>
      <c r="B341" s="1" t="n">
        <v>45028</v>
      </c>
      <c r="C341" s="1" t="n">
        <v>45363</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45363</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45363</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45363</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45363</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45363</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45363</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45363</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45363</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45363</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45363</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45363</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45363</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45363</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45363</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45363</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48437-2023</t>
        </is>
      </c>
      <c r="B357" s="1" t="n">
        <v>45205</v>
      </c>
      <c r="C357" s="1" t="n">
        <v>45363</v>
      </c>
      <c r="D357" t="inlineStr">
        <is>
          <t>JÄMTLANDS LÄN</t>
        </is>
      </c>
      <c r="E357" t="inlineStr">
        <is>
          <t>BERG</t>
        </is>
      </c>
      <c r="F357" t="inlineStr">
        <is>
          <t>SCA</t>
        </is>
      </c>
      <c r="G357" t="n">
        <v>25.8</v>
      </c>
      <c r="H357" t="n">
        <v>1</v>
      </c>
      <c r="I357" t="n">
        <v>0</v>
      </c>
      <c r="J357" t="n">
        <v>7</v>
      </c>
      <c r="K357" t="n">
        <v>0</v>
      </c>
      <c r="L357" t="n">
        <v>0</v>
      </c>
      <c r="M357" t="n">
        <v>0</v>
      </c>
      <c r="N357" t="n">
        <v>0</v>
      </c>
      <c r="O357" t="n">
        <v>7</v>
      </c>
      <c r="P357" t="n">
        <v>0</v>
      </c>
      <c r="Q357" t="n">
        <v>7</v>
      </c>
      <c r="R357" s="2" t="inlineStr">
        <is>
          <t>Blanksvart spiklav
Garnlav
Kortskaftad ärgspik
Reliktbock
Tretåig hackspett
Vedflamlav
Vedskivlav</t>
        </is>
      </c>
      <c r="S357">
        <f>HYPERLINK("https://klasma.github.io/Logging_2326/artfynd/A 48437-2023 artfynd.xlsx", "A 48437-2023")</f>
        <v/>
      </c>
      <c r="T357">
        <f>HYPERLINK("https://klasma.github.io/Logging_2326/kartor/A 48437-2023 karta.png", "A 48437-2023")</f>
        <v/>
      </c>
      <c r="V357">
        <f>HYPERLINK("https://klasma.github.io/Logging_2326/klagomål/A 48437-2023 FSC-klagomål.docx", "A 48437-2023")</f>
        <v/>
      </c>
      <c r="W357">
        <f>HYPERLINK("https://klasma.github.io/Logging_2326/klagomålsmail/A 48437-2023 FSC-klagomål mail.docx", "A 48437-2023")</f>
        <v/>
      </c>
      <c r="X357">
        <f>HYPERLINK("https://klasma.github.io/Logging_2326/tillsyn/A 48437-2023 tillsynsbegäran.docx", "A 48437-2023")</f>
        <v/>
      </c>
      <c r="Y357">
        <f>HYPERLINK("https://klasma.github.io/Logging_2326/tillsynsmail/A 48437-2023 tillsynsbegäran mail.docx", "A 48437-2023")</f>
        <v/>
      </c>
      <c r="Z357">
        <f>HYPERLINK("https://klasma.github.io/Logging_2326/fåglar/A 48437-2023 prioriterade fågelarter.docx", "A 48437-2023")</f>
        <v/>
      </c>
    </row>
    <row r="358" ht="15" customHeight="1">
      <c r="A358" t="inlineStr">
        <is>
          <t>A 48484-2023</t>
        </is>
      </c>
      <c r="B358" s="1" t="n">
        <v>45206</v>
      </c>
      <c r="C358" s="1" t="n">
        <v>45363</v>
      </c>
      <c r="D358" t="inlineStr">
        <is>
          <t>JÄMTLANDS LÄN</t>
        </is>
      </c>
      <c r="E358" t="inlineStr">
        <is>
          <t>BERG</t>
        </is>
      </c>
      <c r="F358" t="inlineStr">
        <is>
          <t>SCA</t>
        </is>
      </c>
      <c r="G358" t="n">
        <v>25.8</v>
      </c>
      <c r="H358" t="n">
        <v>1</v>
      </c>
      <c r="I358" t="n">
        <v>0</v>
      </c>
      <c r="J358" t="n">
        <v>7</v>
      </c>
      <c r="K358" t="n">
        <v>0</v>
      </c>
      <c r="L358" t="n">
        <v>0</v>
      </c>
      <c r="M358" t="n">
        <v>0</v>
      </c>
      <c r="N358" t="n">
        <v>0</v>
      </c>
      <c r="O358" t="n">
        <v>7</v>
      </c>
      <c r="P358" t="n">
        <v>0</v>
      </c>
      <c r="Q358" t="n">
        <v>7</v>
      </c>
      <c r="R358" s="2" t="inlineStr">
        <is>
          <t>Blanksvart spiklav
Garnlav
Kortskaftad ärgspik
Reliktbock
Tretåig hackspett
Vedflamlav
Vedskivlav</t>
        </is>
      </c>
      <c r="S358">
        <f>HYPERLINK("https://klasma.github.io/Logging_2326/artfynd/A 48484-2023 artfynd.xlsx", "A 48484-2023")</f>
        <v/>
      </c>
      <c r="T358">
        <f>HYPERLINK("https://klasma.github.io/Logging_2326/kartor/A 48484-2023 karta.png", "A 48484-2023")</f>
        <v/>
      </c>
      <c r="V358">
        <f>HYPERLINK("https://klasma.github.io/Logging_2326/klagomål/A 48484-2023 FSC-klagomål.docx", "A 48484-2023")</f>
        <v/>
      </c>
      <c r="W358">
        <f>HYPERLINK("https://klasma.github.io/Logging_2326/klagomålsmail/A 48484-2023 FSC-klagomål mail.docx", "A 48484-2023")</f>
        <v/>
      </c>
      <c r="X358">
        <f>HYPERLINK("https://klasma.github.io/Logging_2326/tillsyn/A 48484-2023 tillsynsbegäran.docx", "A 48484-2023")</f>
        <v/>
      </c>
      <c r="Y358">
        <f>HYPERLINK("https://klasma.github.io/Logging_2326/tillsynsmail/A 48484-2023 tillsynsbegäran mail.docx", "A 48484-2023")</f>
        <v/>
      </c>
      <c r="Z358">
        <f>HYPERLINK("https://klasma.github.io/Logging_2326/fåglar/A 48484-2023 prioriterade fågelarter.docx", "A 48484-2023")</f>
        <v/>
      </c>
    </row>
    <row r="359" ht="15" customHeight="1">
      <c r="A359" t="inlineStr">
        <is>
          <t>A 54050-2023</t>
        </is>
      </c>
      <c r="B359" s="1" t="n">
        <v>45231</v>
      </c>
      <c r="C359" s="1" t="n">
        <v>45363</v>
      </c>
      <c r="D359" t="inlineStr">
        <is>
          <t>JÄMTLANDS LÄN</t>
        </is>
      </c>
      <c r="E359" t="inlineStr">
        <is>
          <t>BRÄCKE</t>
        </is>
      </c>
      <c r="F359" t="inlineStr">
        <is>
          <t>SCA</t>
        </is>
      </c>
      <c r="G359" t="n">
        <v>11.3</v>
      </c>
      <c r="H359" t="n">
        <v>0</v>
      </c>
      <c r="I359" t="n">
        <v>3</v>
      </c>
      <c r="J359" t="n">
        <v>4</v>
      </c>
      <c r="K359" t="n">
        <v>0</v>
      </c>
      <c r="L359" t="n">
        <v>0</v>
      </c>
      <c r="M359" t="n">
        <v>0</v>
      </c>
      <c r="N359" t="n">
        <v>0</v>
      </c>
      <c r="O359" t="n">
        <v>4</v>
      </c>
      <c r="P359" t="n">
        <v>0</v>
      </c>
      <c r="Q359" t="n">
        <v>7</v>
      </c>
      <c r="R359" s="2" t="inlineStr">
        <is>
          <t>Dvärgbägarlav
Nordtagging
Skrovlig taggsvamp
Tallriska
Dropptaggsvamp
Skarp dropptaggsvamp
Vedticka</t>
        </is>
      </c>
      <c r="S359">
        <f>HYPERLINK("https://klasma.github.io/Logging_2305/artfynd/A 54050-2023 artfynd.xlsx", "A 54050-2023")</f>
        <v/>
      </c>
      <c r="T359">
        <f>HYPERLINK("https://klasma.github.io/Logging_2305/kartor/A 54050-2023 karta.png", "A 54050-2023")</f>
        <v/>
      </c>
      <c r="V359">
        <f>HYPERLINK("https://klasma.github.io/Logging_2305/klagomål/A 54050-2023 FSC-klagomål.docx", "A 54050-2023")</f>
        <v/>
      </c>
      <c r="W359">
        <f>HYPERLINK("https://klasma.github.io/Logging_2305/klagomålsmail/A 54050-2023 FSC-klagomål mail.docx", "A 54050-2023")</f>
        <v/>
      </c>
      <c r="X359">
        <f>HYPERLINK("https://klasma.github.io/Logging_2305/tillsyn/A 54050-2023 tillsynsbegäran.docx", "A 54050-2023")</f>
        <v/>
      </c>
      <c r="Y359">
        <f>HYPERLINK("https://klasma.github.io/Logging_2305/tillsynsmail/A 54050-2023 tillsynsbegäran mail.docx", "A 54050-2023")</f>
        <v/>
      </c>
    </row>
    <row r="360" ht="15" customHeight="1">
      <c r="A360" t="inlineStr">
        <is>
          <t>A 60852-2023</t>
        </is>
      </c>
      <c r="B360" s="1" t="n">
        <v>45260</v>
      </c>
      <c r="C360" s="1" t="n">
        <v>45363</v>
      </c>
      <c r="D360" t="inlineStr">
        <is>
          <t>JÄMTLANDS LÄN</t>
        </is>
      </c>
      <c r="E360" t="inlineStr">
        <is>
          <t>ÖSTERSUND</t>
        </is>
      </c>
      <c r="G360" t="n">
        <v>19.1</v>
      </c>
      <c r="H360" t="n">
        <v>3</v>
      </c>
      <c r="I360" t="n">
        <v>3</v>
      </c>
      <c r="J360" t="n">
        <v>2</v>
      </c>
      <c r="K360" t="n">
        <v>0</v>
      </c>
      <c r="L360" t="n">
        <v>0</v>
      </c>
      <c r="M360" t="n">
        <v>0</v>
      </c>
      <c r="N360" t="n">
        <v>0</v>
      </c>
      <c r="O360" t="n">
        <v>2</v>
      </c>
      <c r="P360" t="n">
        <v>0</v>
      </c>
      <c r="Q360" t="n">
        <v>7</v>
      </c>
      <c r="R360" s="2" t="inlineStr">
        <is>
          <t>Granticka
Ullticka
Guckusko
Kransrams
Ögonpyrola
Blåsippa
Lopplummer</t>
        </is>
      </c>
      <c r="S360">
        <f>HYPERLINK("https://klasma.github.io/Logging_2380/artfynd/A 60852-2023 artfynd.xlsx", "A 60852-2023")</f>
        <v/>
      </c>
      <c r="T360">
        <f>HYPERLINK("https://klasma.github.io/Logging_2380/kartor/A 60852-2023 karta.png", "A 60852-2023")</f>
        <v/>
      </c>
      <c r="V360">
        <f>HYPERLINK("https://klasma.github.io/Logging_2380/klagomål/A 60852-2023 FSC-klagomål.docx", "A 60852-2023")</f>
        <v/>
      </c>
      <c r="W360">
        <f>HYPERLINK("https://klasma.github.io/Logging_2380/klagomålsmail/A 60852-2023 FSC-klagomål mail.docx", "A 60852-2023")</f>
        <v/>
      </c>
      <c r="X360">
        <f>HYPERLINK("https://klasma.github.io/Logging_2380/tillsyn/A 60852-2023 tillsynsbegäran.docx", "A 60852-2023")</f>
        <v/>
      </c>
      <c r="Y360">
        <f>HYPERLINK("https://klasma.github.io/Logging_2380/tillsynsmail/A 60852-2023 tillsynsbegäran mail.docx", "A 60852-2023")</f>
        <v/>
      </c>
    </row>
    <row r="361" ht="15" customHeight="1">
      <c r="A361" t="inlineStr">
        <is>
          <t>A 62118-2023</t>
        </is>
      </c>
      <c r="B361" s="1" t="n">
        <v>45267</v>
      </c>
      <c r="C361" s="1" t="n">
        <v>45363</v>
      </c>
      <c r="D361" t="inlineStr">
        <is>
          <t>JÄMTLANDS LÄN</t>
        </is>
      </c>
      <c r="E361" t="inlineStr">
        <is>
          <t>KROKOM</t>
        </is>
      </c>
      <c r="G361" t="n">
        <v>5.3</v>
      </c>
      <c r="H361" t="n">
        <v>4</v>
      </c>
      <c r="I361" t="n">
        <v>1</v>
      </c>
      <c r="J361" t="n">
        <v>4</v>
      </c>
      <c r="K361" t="n">
        <v>2</v>
      </c>
      <c r="L361" t="n">
        <v>0</v>
      </c>
      <c r="M361" t="n">
        <v>0</v>
      </c>
      <c r="N361" t="n">
        <v>0</v>
      </c>
      <c r="O361" t="n">
        <v>6</v>
      </c>
      <c r="P361" t="n">
        <v>2</v>
      </c>
      <c r="Q361" t="n">
        <v>7</v>
      </c>
      <c r="R361" s="2" t="inlineStr">
        <is>
          <t>Doftticka
Knärot
Garnlav
Lunglav
Spillkråka
Talltita
Skinnlav</t>
        </is>
      </c>
      <c r="S361">
        <f>HYPERLINK("https://klasma.github.io/Logging_2309/artfynd/A 62118-2023 artfynd.xlsx", "A 62118-2023")</f>
        <v/>
      </c>
      <c r="T361">
        <f>HYPERLINK("https://klasma.github.io/Logging_2309/kartor/A 62118-2023 karta.png", "A 62118-2023")</f>
        <v/>
      </c>
      <c r="U361">
        <f>HYPERLINK("https://klasma.github.io/Logging_2309/knärot/A 62118-2023 karta knärot.png", "A 62118-2023")</f>
        <v/>
      </c>
      <c r="V361">
        <f>HYPERLINK("https://klasma.github.io/Logging_2309/klagomål/A 62118-2023 FSC-klagomål.docx", "A 62118-2023")</f>
        <v/>
      </c>
      <c r="W361">
        <f>HYPERLINK("https://klasma.github.io/Logging_2309/klagomålsmail/A 62118-2023 FSC-klagomål mail.docx", "A 62118-2023")</f>
        <v/>
      </c>
      <c r="X361">
        <f>HYPERLINK("https://klasma.github.io/Logging_2309/tillsyn/A 62118-2023 tillsynsbegäran.docx", "A 62118-2023")</f>
        <v/>
      </c>
      <c r="Y361">
        <f>HYPERLINK("https://klasma.github.io/Logging_2309/tillsynsmail/A 62118-2023 tillsynsbegäran mail.docx", "A 62118-2023")</f>
        <v/>
      </c>
      <c r="Z361">
        <f>HYPERLINK("https://klasma.github.io/Logging_2309/fåglar/A 62118-2023 prioriterade fågelarter.docx", "A 62118-2023")</f>
        <v/>
      </c>
    </row>
    <row r="362" ht="15" customHeight="1">
      <c r="A362" t="inlineStr">
        <is>
          <t>A 3134-2024</t>
        </is>
      </c>
      <c r="B362" s="1" t="n">
        <v>45316</v>
      </c>
      <c r="C362" s="1" t="n">
        <v>45363</v>
      </c>
      <c r="D362" t="inlineStr">
        <is>
          <t>JÄMTLANDS LÄN</t>
        </is>
      </c>
      <c r="E362" t="inlineStr">
        <is>
          <t>KROKOM</t>
        </is>
      </c>
      <c r="G362" t="n">
        <v>11.2</v>
      </c>
      <c r="H362" t="n">
        <v>2</v>
      </c>
      <c r="I362" t="n">
        <v>1</v>
      </c>
      <c r="J362" t="n">
        <v>5</v>
      </c>
      <c r="K362" t="n">
        <v>1</v>
      </c>
      <c r="L362" t="n">
        <v>0</v>
      </c>
      <c r="M362" t="n">
        <v>0</v>
      </c>
      <c r="N362" t="n">
        <v>0</v>
      </c>
      <c r="O362" t="n">
        <v>6</v>
      </c>
      <c r="P362" t="n">
        <v>1</v>
      </c>
      <c r="Q362" t="n">
        <v>7</v>
      </c>
      <c r="R362" s="2" t="inlineStr">
        <is>
          <t>Sprickporing
Garnlav
Granticka
Månlåsbräken
Spillkråka
Tretåig hackspett
Vedticka</t>
        </is>
      </c>
      <c r="S362">
        <f>HYPERLINK("https://klasma.github.io/Logging_2309/artfynd/A 3134-2024 artfynd.xlsx", "A 3134-2024")</f>
        <v/>
      </c>
      <c r="T362">
        <f>HYPERLINK("https://klasma.github.io/Logging_2309/kartor/A 3134-2024 karta.png", "A 3134-2024")</f>
        <v/>
      </c>
      <c r="V362">
        <f>HYPERLINK("https://klasma.github.io/Logging_2309/klagomål/A 3134-2024 FSC-klagomål.docx", "A 3134-2024")</f>
        <v/>
      </c>
      <c r="W362">
        <f>HYPERLINK("https://klasma.github.io/Logging_2309/klagomålsmail/A 3134-2024 FSC-klagomål mail.docx", "A 3134-2024")</f>
        <v/>
      </c>
      <c r="X362">
        <f>HYPERLINK("https://klasma.github.io/Logging_2309/tillsyn/A 3134-2024 tillsynsbegäran.docx", "A 3134-2024")</f>
        <v/>
      </c>
      <c r="Y362">
        <f>HYPERLINK("https://klasma.github.io/Logging_2309/tillsynsmail/A 3134-2024 tillsynsbegäran mail.docx", "A 3134-2024")</f>
        <v/>
      </c>
      <c r="Z362">
        <f>HYPERLINK("https://klasma.github.io/Logging_2309/fåglar/A 3134-2024 prioriterade fågelarter.docx", "A 3134-2024")</f>
        <v/>
      </c>
    </row>
    <row r="363" ht="15" customHeight="1">
      <c r="A363" t="inlineStr">
        <is>
          <t>A 42372-2018</t>
        </is>
      </c>
      <c r="B363" s="1" t="n">
        <v>43353</v>
      </c>
      <c r="C363" s="1" t="n">
        <v>45363</v>
      </c>
      <c r="D363" t="inlineStr">
        <is>
          <t>JÄMTLANDS LÄN</t>
        </is>
      </c>
      <c r="E363" t="inlineStr">
        <is>
          <t>STRÖMSUND</t>
        </is>
      </c>
      <c r="F363" t="inlineStr">
        <is>
          <t>Holmen skog AB</t>
        </is>
      </c>
      <c r="G363" t="n">
        <v>13.2</v>
      </c>
      <c r="H363" t="n">
        <v>0</v>
      </c>
      <c r="I363" t="n">
        <v>0</v>
      </c>
      <c r="J363" t="n">
        <v>5</v>
      </c>
      <c r="K363" t="n">
        <v>1</v>
      </c>
      <c r="L363" t="n">
        <v>0</v>
      </c>
      <c r="M363" t="n">
        <v>0</v>
      </c>
      <c r="N363" t="n">
        <v>0</v>
      </c>
      <c r="O363" t="n">
        <v>6</v>
      </c>
      <c r="P363" t="n">
        <v>1</v>
      </c>
      <c r="Q363" t="n">
        <v>6</v>
      </c>
      <c r="R363" s="2" t="inlineStr">
        <is>
          <t>Norsk näverlav
Brunpudrad nållav
Gammelgransskål
Garnlav
Granticka
Rödbrun blekspik</t>
        </is>
      </c>
      <c r="S363">
        <f>HYPERLINK("https://klasma.github.io/Logging_2313/artfynd/A 42372-2018 artfynd.xlsx", "A 42372-2018")</f>
        <v/>
      </c>
      <c r="T363">
        <f>HYPERLINK("https://klasma.github.io/Logging_2313/kartor/A 42372-2018 karta.png", "A 42372-2018")</f>
        <v/>
      </c>
      <c r="V363">
        <f>HYPERLINK("https://klasma.github.io/Logging_2313/klagomål/A 42372-2018 FSC-klagomål.docx", "A 42372-2018")</f>
        <v/>
      </c>
      <c r="W363">
        <f>HYPERLINK("https://klasma.github.io/Logging_2313/klagomålsmail/A 42372-2018 FSC-klagomål mail.docx", "A 42372-2018")</f>
        <v/>
      </c>
      <c r="X363">
        <f>HYPERLINK("https://klasma.github.io/Logging_2313/tillsyn/A 42372-2018 tillsynsbegäran.docx", "A 42372-2018")</f>
        <v/>
      </c>
      <c r="Y363">
        <f>HYPERLINK("https://klasma.github.io/Logging_2313/tillsynsmail/A 42372-2018 tillsynsbegäran mail.docx", "A 42372-2018")</f>
        <v/>
      </c>
    </row>
    <row r="364" ht="15" customHeight="1">
      <c r="A364" t="inlineStr">
        <is>
          <t>A 38530-2019</t>
        </is>
      </c>
      <c r="B364" s="1" t="n">
        <v>43685</v>
      </c>
      <c r="C364" s="1" t="n">
        <v>45363</v>
      </c>
      <c r="D364" t="inlineStr">
        <is>
          <t>JÄMTLANDS LÄN</t>
        </is>
      </c>
      <c r="E364" t="inlineStr">
        <is>
          <t>HÄRJEDALEN</t>
        </is>
      </c>
      <c r="F364" t="inlineStr">
        <is>
          <t>Sveaskog</t>
        </is>
      </c>
      <c r="G364" t="n">
        <v>67.8</v>
      </c>
      <c r="H364" t="n">
        <v>0</v>
      </c>
      <c r="I364" t="n">
        <v>1</v>
      </c>
      <c r="J364" t="n">
        <v>5</v>
      </c>
      <c r="K364" t="n">
        <v>0</v>
      </c>
      <c r="L364" t="n">
        <v>0</v>
      </c>
      <c r="M364" t="n">
        <v>0</v>
      </c>
      <c r="N364" t="n">
        <v>0</v>
      </c>
      <c r="O364" t="n">
        <v>5</v>
      </c>
      <c r="P364" t="n">
        <v>0</v>
      </c>
      <c r="Q364" t="n">
        <v>6</v>
      </c>
      <c r="R364" s="2" t="inlineStr">
        <is>
          <t>Garnlav
Kolflarnlav
Mörk kolflarnlav
Skrovellav
Violettgrå tagellav
Skuggblåslav</t>
        </is>
      </c>
      <c r="S364">
        <f>HYPERLINK("https://klasma.github.io/Logging_2361/artfynd/A 38530-2019 artfynd.xlsx", "A 38530-2019")</f>
        <v/>
      </c>
      <c r="T364">
        <f>HYPERLINK("https://klasma.github.io/Logging_2361/kartor/A 38530-2019 karta.png", "A 38530-2019")</f>
        <v/>
      </c>
      <c r="V364">
        <f>HYPERLINK("https://klasma.github.io/Logging_2361/klagomål/A 38530-2019 FSC-klagomål.docx", "A 38530-2019")</f>
        <v/>
      </c>
      <c r="W364">
        <f>HYPERLINK("https://klasma.github.io/Logging_2361/klagomålsmail/A 38530-2019 FSC-klagomål mail.docx", "A 38530-2019")</f>
        <v/>
      </c>
      <c r="X364">
        <f>HYPERLINK("https://klasma.github.io/Logging_2361/tillsyn/A 38530-2019 tillsynsbegäran.docx", "A 38530-2019")</f>
        <v/>
      </c>
      <c r="Y364">
        <f>HYPERLINK("https://klasma.github.io/Logging_2361/tillsynsmail/A 38530-2019 tillsynsbegäran mail.docx", "A 38530-2019")</f>
        <v/>
      </c>
    </row>
    <row r="365" ht="15" customHeight="1">
      <c r="A365" t="inlineStr">
        <is>
          <t>A 68314-2019</t>
        </is>
      </c>
      <c r="B365" s="1" t="n">
        <v>43817</v>
      </c>
      <c r="C365" s="1" t="n">
        <v>45363</v>
      </c>
      <c r="D365" t="inlineStr">
        <is>
          <t>JÄMTLANDS LÄN</t>
        </is>
      </c>
      <c r="E365" t="inlineStr">
        <is>
          <t>KROKOM</t>
        </is>
      </c>
      <c r="F365" t="inlineStr">
        <is>
          <t>SCA</t>
        </is>
      </c>
      <c r="G365" t="n">
        <v>12.6</v>
      </c>
      <c r="H365" t="n">
        <v>0</v>
      </c>
      <c r="I365" t="n">
        <v>1</v>
      </c>
      <c r="J365" t="n">
        <v>3</v>
      </c>
      <c r="K365" t="n">
        <v>2</v>
      </c>
      <c r="L365" t="n">
        <v>0</v>
      </c>
      <c r="M365" t="n">
        <v>0</v>
      </c>
      <c r="N365" t="n">
        <v>0</v>
      </c>
      <c r="O365" t="n">
        <v>5</v>
      </c>
      <c r="P365" t="n">
        <v>2</v>
      </c>
      <c r="Q365" t="n">
        <v>6</v>
      </c>
      <c r="R365" s="2" t="inlineStr">
        <is>
          <t>Gräddporing
Rynkskinn
Doftskinn
Tallticka
Vedtrappmossa
Korallblylav</t>
        </is>
      </c>
      <c r="S365">
        <f>HYPERLINK("https://klasma.github.io/Logging_2309/artfynd/A 68314-2019 artfynd.xlsx", "A 68314-2019")</f>
        <v/>
      </c>
      <c r="T365">
        <f>HYPERLINK("https://klasma.github.io/Logging_2309/kartor/A 68314-2019 karta.png", "A 68314-2019")</f>
        <v/>
      </c>
      <c r="V365">
        <f>HYPERLINK("https://klasma.github.io/Logging_2309/klagomål/A 68314-2019 FSC-klagomål.docx", "A 68314-2019")</f>
        <v/>
      </c>
      <c r="W365">
        <f>HYPERLINK("https://klasma.github.io/Logging_2309/klagomålsmail/A 68314-2019 FSC-klagomål mail.docx", "A 68314-2019")</f>
        <v/>
      </c>
      <c r="X365">
        <f>HYPERLINK("https://klasma.github.io/Logging_2309/tillsyn/A 68314-2019 tillsynsbegäran.docx", "A 68314-2019")</f>
        <v/>
      </c>
      <c r="Y365">
        <f>HYPERLINK("https://klasma.github.io/Logging_2309/tillsynsmail/A 68314-2019 tillsynsbegäran mail.docx", "A 68314-2019")</f>
        <v/>
      </c>
    </row>
    <row r="366" ht="15" customHeight="1">
      <c r="A366" t="inlineStr">
        <is>
          <t>A 24644-2020</t>
        </is>
      </c>
      <c r="B366" s="1" t="n">
        <v>43977</v>
      </c>
      <c r="C366" s="1" t="n">
        <v>45363</v>
      </c>
      <c r="D366" t="inlineStr">
        <is>
          <t>JÄMTLANDS LÄN</t>
        </is>
      </c>
      <c r="E366" t="inlineStr">
        <is>
          <t>RAGUNDA</t>
        </is>
      </c>
      <c r="F366" t="inlineStr">
        <is>
          <t>SCA</t>
        </is>
      </c>
      <c r="G366" t="n">
        <v>21.6</v>
      </c>
      <c r="H366" t="n">
        <v>0</v>
      </c>
      <c r="I366" t="n">
        <v>2</v>
      </c>
      <c r="J366" t="n">
        <v>4</v>
      </c>
      <c r="K366" t="n">
        <v>0</v>
      </c>
      <c r="L366" t="n">
        <v>0</v>
      </c>
      <c r="M366" t="n">
        <v>0</v>
      </c>
      <c r="N366" t="n">
        <v>0</v>
      </c>
      <c r="O366" t="n">
        <v>4</v>
      </c>
      <c r="P366" t="n">
        <v>0</v>
      </c>
      <c r="Q366" t="n">
        <v>6</v>
      </c>
      <c r="R366" s="2" t="inlineStr">
        <is>
          <t>Luddfingersvamp
Lunglav
Mörk kolflarnlav
Orange taggsvamp
Korallblylav
Stuplav</t>
        </is>
      </c>
      <c r="S366">
        <f>HYPERLINK("https://klasma.github.io/Logging_2303/artfynd/A 24644-2020 artfynd.xlsx", "A 24644-2020")</f>
        <v/>
      </c>
      <c r="T366">
        <f>HYPERLINK("https://klasma.github.io/Logging_2303/kartor/A 24644-2020 karta.png", "A 24644-2020")</f>
        <v/>
      </c>
      <c r="V366">
        <f>HYPERLINK("https://klasma.github.io/Logging_2303/klagomål/A 24644-2020 FSC-klagomål.docx", "A 24644-2020")</f>
        <v/>
      </c>
      <c r="W366">
        <f>HYPERLINK("https://klasma.github.io/Logging_2303/klagomålsmail/A 24644-2020 FSC-klagomål mail.docx", "A 24644-2020")</f>
        <v/>
      </c>
      <c r="X366">
        <f>HYPERLINK("https://klasma.github.io/Logging_2303/tillsyn/A 24644-2020 tillsynsbegäran.docx", "A 24644-2020")</f>
        <v/>
      </c>
      <c r="Y366">
        <f>HYPERLINK("https://klasma.github.io/Logging_2303/tillsynsmail/A 24644-2020 tillsynsbegäran mail.docx", "A 24644-2020")</f>
        <v/>
      </c>
    </row>
    <row r="367" ht="15" customHeight="1">
      <c r="A367" t="inlineStr">
        <is>
          <t>A 31537-2020</t>
        </is>
      </c>
      <c r="B367" s="1" t="n">
        <v>44013</v>
      </c>
      <c r="C367" s="1" t="n">
        <v>45363</v>
      </c>
      <c r="D367" t="inlineStr">
        <is>
          <t>JÄMTLANDS LÄN</t>
        </is>
      </c>
      <c r="E367" t="inlineStr">
        <is>
          <t>KROKOM</t>
        </is>
      </c>
      <c r="G367" t="n">
        <v>5</v>
      </c>
      <c r="H367" t="n">
        <v>2</v>
      </c>
      <c r="I367" t="n">
        <v>1</v>
      </c>
      <c r="J367" t="n">
        <v>4</v>
      </c>
      <c r="K367" t="n">
        <v>1</v>
      </c>
      <c r="L367" t="n">
        <v>0</v>
      </c>
      <c r="M367" t="n">
        <v>0</v>
      </c>
      <c r="N367" t="n">
        <v>0</v>
      </c>
      <c r="O367" t="n">
        <v>5</v>
      </c>
      <c r="P367" t="n">
        <v>1</v>
      </c>
      <c r="Q367" t="n">
        <v>6</v>
      </c>
      <c r="R367" s="2" t="inlineStr">
        <is>
          <t>Knärot
Garnlav
Gränsticka
Tretåig hackspett
Ullticka
Korallblylav</t>
        </is>
      </c>
      <c r="S367">
        <f>HYPERLINK("https://klasma.github.io/Logging_2309/artfynd/A 31537-2020 artfynd.xlsx", "A 31537-2020")</f>
        <v/>
      </c>
      <c r="T367">
        <f>HYPERLINK("https://klasma.github.io/Logging_2309/kartor/A 31537-2020 karta.png", "A 31537-2020")</f>
        <v/>
      </c>
      <c r="U367">
        <f>HYPERLINK("https://klasma.github.io/Logging_2309/knärot/A 31537-2020 karta knärot.png", "A 31537-2020")</f>
        <v/>
      </c>
      <c r="V367">
        <f>HYPERLINK("https://klasma.github.io/Logging_2309/klagomål/A 31537-2020 FSC-klagomål.docx", "A 31537-2020")</f>
        <v/>
      </c>
      <c r="W367">
        <f>HYPERLINK("https://klasma.github.io/Logging_2309/klagomålsmail/A 31537-2020 FSC-klagomål mail.docx", "A 31537-2020")</f>
        <v/>
      </c>
      <c r="X367">
        <f>HYPERLINK("https://klasma.github.io/Logging_2309/tillsyn/A 31537-2020 tillsynsbegäran.docx", "A 31537-2020")</f>
        <v/>
      </c>
      <c r="Y367">
        <f>HYPERLINK("https://klasma.github.io/Logging_2309/tillsynsmail/A 31537-2020 tillsynsbegäran mail.docx", "A 31537-2020")</f>
        <v/>
      </c>
      <c r="Z367">
        <f>HYPERLINK("https://klasma.github.io/Logging_2309/fåglar/A 31537-2020 prioriterade fågelarter.docx", "A 31537-2020")</f>
        <v/>
      </c>
    </row>
    <row r="368" ht="15" customHeight="1">
      <c r="A368" t="inlineStr">
        <is>
          <t>A 34633-2020</t>
        </is>
      </c>
      <c r="B368" s="1" t="n">
        <v>44034</v>
      </c>
      <c r="C368" s="1" t="n">
        <v>45363</v>
      </c>
      <c r="D368" t="inlineStr">
        <is>
          <t>JÄMTLANDS LÄN</t>
        </is>
      </c>
      <c r="E368" t="inlineStr">
        <is>
          <t>ÅRE</t>
        </is>
      </c>
      <c r="G368" t="n">
        <v>39.6</v>
      </c>
      <c r="H368" t="n">
        <v>1</v>
      </c>
      <c r="I368" t="n">
        <v>1</v>
      </c>
      <c r="J368" t="n">
        <v>5</v>
      </c>
      <c r="K368" t="n">
        <v>0</v>
      </c>
      <c r="L368" t="n">
        <v>0</v>
      </c>
      <c r="M368" t="n">
        <v>0</v>
      </c>
      <c r="N368" t="n">
        <v>0</v>
      </c>
      <c r="O368" t="n">
        <v>5</v>
      </c>
      <c r="P368" t="n">
        <v>0</v>
      </c>
      <c r="Q368" t="n">
        <v>6</v>
      </c>
      <c r="R368" s="2" t="inlineStr">
        <is>
          <t>Garnlav
Granticka
Gränsticka
Skrovellav
Tretåig hackspett
Sotlav</t>
        </is>
      </c>
      <c r="S368">
        <f>HYPERLINK("https://klasma.github.io/Logging_2321/artfynd/A 34633-2020 artfynd.xlsx", "A 34633-2020")</f>
        <v/>
      </c>
      <c r="T368">
        <f>HYPERLINK("https://klasma.github.io/Logging_2321/kartor/A 34633-2020 karta.png", "A 34633-2020")</f>
        <v/>
      </c>
      <c r="V368">
        <f>HYPERLINK("https://klasma.github.io/Logging_2321/klagomål/A 34633-2020 FSC-klagomål.docx", "A 34633-2020")</f>
        <v/>
      </c>
      <c r="W368">
        <f>HYPERLINK("https://klasma.github.io/Logging_2321/klagomålsmail/A 34633-2020 FSC-klagomål mail.docx", "A 34633-2020")</f>
        <v/>
      </c>
      <c r="X368">
        <f>HYPERLINK("https://klasma.github.io/Logging_2321/tillsyn/A 34633-2020 tillsynsbegäran.docx", "A 34633-2020")</f>
        <v/>
      </c>
      <c r="Y368">
        <f>HYPERLINK("https://klasma.github.io/Logging_2321/tillsynsmail/A 34633-2020 tillsynsbegäran mail.docx", "A 34633-2020")</f>
        <v/>
      </c>
      <c r="Z368">
        <f>HYPERLINK("https://klasma.github.io/Logging_2321/fåglar/A 34633-2020 prioriterade fågelarter.docx", "A 34633-2020")</f>
        <v/>
      </c>
    </row>
    <row r="369" ht="15" customHeight="1">
      <c r="A369" t="inlineStr">
        <is>
          <t>A 61315-2020</t>
        </is>
      </c>
      <c r="B369" s="1" t="n">
        <v>44155</v>
      </c>
      <c r="C369" s="1" t="n">
        <v>45363</v>
      </c>
      <c r="D369" t="inlineStr">
        <is>
          <t>JÄMTLANDS LÄN</t>
        </is>
      </c>
      <c r="E369" t="inlineStr">
        <is>
          <t>KROKOM</t>
        </is>
      </c>
      <c r="F369" t="inlineStr">
        <is>
          <t>Övriga Aktiebolag</t>
        </is>
      </c>
      <c r="G369" t="n">
        <v>56.4</v>
      </c>
      <c r="H369" t="n">
        <v>0</v>
      </c>
      <c r="I369" t="n">
        <v>3</v>
      </c>
      <c r="J369" t="n">
        <v>3</v>
      </c>
      <c r="K369" t="n">
        <v>0</v>
      </c>
      <c r="L369" t="n">
        <v>0</v>
      </c>
      <c r="M369" t="n">
        <v>0</v>
      </c>
      <c r="N369" t="n">
        <v>0</v>
      </c>
      <c r="O369" t="n">
        <v>3</v>
      </c>
      <c r="P369" t="n">
        <v>0</v>
      </c>
      <c r="Q369" t="n">
        <v>6</v>
      </c>
      <c r="R369" s="2" t="inlineStr">
        <is>
          <t>Gammelgransskål
Granticka
Vitgrynig nållav
Barkkornlav
Skinnlav
Vedticka</t>
        </is>
      </c>
      <c r="S369">
        <f>HYPERLINK("https://klasma.github.io/Logging_2309/artfynd/A 61315-2020 artfynd.xlsx", "A 61315-2020")</f>
        <v/>
      </c>
      <c r="T369">
        <f>HYPERLINK("https://klasma.github.io/Logging_2309/kartor/A 61315-2020 karta.png", "A 61315-2020")</f>
        <v/>
      </c>
      <c r="V369">
        <f>HYPERLINK("https://klasma.github.io/Logging_2309/klagomål/A 61315-2020 FSC-klagomål.docx", "A 61315-2020")</f>
        <v/>
      </c>
      <c r="W369">
        <f>HYPERLINK("https://klasma.github.io/Logging_2309/klagomålsmail/A 61315-2020 FSC-klagomål mail.docx", "A 61315-2020")</f>
        <v/>
      </c>
      <c r="X369">
        <f>HYPERLINK("https://klasma.github.io/Logging_2309/tillsyn/A 61315-2020 tillsynsbegäran.docx", "A 61315-2020")</f>
        <v/>
      </c>
      <c r="Y369">
        <f>HYPERLINK("https://klasma.github.io/Logging_2309/tillsynsmail/A 61315-2020 tillsynsbegäran mail.docx", "A 61315-2020")</f>
        <v/>
      </c>
    </row>
    <row r="370" ht="15" customHeight="1">
      <c r="A370" t="inlineStr">
        <is>
          <t>A 64062-2020</t>
        </is>
      </c>
      <c r="B370" s="1" t="n">
        <v>44167</v>
      </c>
      <c r="C370" s="1" t="n">
        <v>45363</v>
      </c>
      <c r="D370" t="inlineStr">
        <is>
          <t>JÄMTLANDS LÄN</t>
        </is>
      </c>
      <c r="E370" t="inlineStr">
        <is>
          <t>BRÄCKE</t>
        </is>
      </c>
      <c r="F370" t="inlineStr">
        <is>
          <t>Övriga Aktiebolag</t>
        </is>
      </c>
      <c r="G370" t="n">
        <v>14</v>
      </c>
      <c r="H370" t="n">
        <v>3</v>
      </c>
      <c r="I370" t="n">
        <v>4</v>
      </c>
      <c r="J370" t="n">
        <v>1</v>
      </c>
      <c r="K370" t="n">
        <v>0</v>
      </c>
      <c r="L370" t="n">
        <v>0</v>
      </c>
      <c r="M370" t="n">
        <v>0</v>
      </c>
      <c r="N370" t="n">
        <v>0</v>
      </c>
      <c r="O370" t="n">
        <v>1</v>
      </c>
      <c r="P370" t="n">
        <v>0</v>
      </c>
      <c r="Q370" t="n">
        <v>6</v>
      </c>
      <c r="R370" s="2" t="inlineStr">
        <is>
          <t>Garnlav
Gräsull
Guckusko
Tvåblad
Vågbandad barkbock
Fläcknycklar</t>
        </is>
      </c>
      <c r="S370">
        <f>HYPERLINK("https://klasma.github.io/Logging_2305/artfynd/A 64062-2020 artfynd.xlsx", "A 64062-2020")</f>
        <v/>
      </c>
      <c r="T370">
        <f>HYPERLINK("https://klasma.github.io/Logging_2305/kartor/A 64062-2020 karta.png", "A 64062-2020")</f>
        <v/>
      </c>
      <c r="U370">
        <f>HYPERLINK("https://klasma.github.io/Logging_2305/knärot/A 64062-2020 karta knärot.png", "A 64062-2020")</f>
        <v/>
      </c>
      <c r="V370">
        <f>HYPERLINK("https://klasma.github.io/Logging_2305/klagomål/A 64062-2020 FSC-klagomål.docx", "A 64062-2020")</f>
        <v/>
      </c>
      <c r="W370">
        <f>HYPERLINK("https://klasma.github.io/Logging_2305/klagomålsmail/A 64062-2020 FSC-klagomål mail.docx", "A 64062-2020")</f>
        <v/>
      </c>
      <c r="X370">
        <f>HYPERLINK("https://klasma.github.io/Logging_2305/tillsyn/A 64062-2020 tillsynsbegäran.docx", "A 64062-2020")</f>
        <v/>
      </c>
      <c r="Y370">
        <f>HYPERLINK("https://klasma.github.io/Logging_2305/tillsynsmail/A 64062-2020 tillsynsbegäran mail.docx", "A 64062-2020")</f>
        <v/>
      </c>
    </row>
    <row r="371" ht="15" customHeight="1">
      <c r="A371" t="inlineStr">
        <is>
          <t>A 65832-2020</t>
        </is>
      </c>
      <c r="B371" s="1" t="n">
        <v>44174</v>
      </c>
      <c r="C371" s="1" t="n">
        <v>45363</v>
      </c>
      <c r="D371" t="inlineStr">
        <is>
          <t>JÄMTLANDS LÄN</t>
        </is>
      </c>
      <c r="E371" t="inlineStr">
        <is>
          <t>STRÖMSUND</t>
        </is>
      </c>
      <c r="F371" t="inlineStr">
        <is>
          <t>Holmen skog AB</t>
        </is>
      </c>
      <c r="G371" t="n">
        <v>42.2</v>
      </c>
      <c r="H371" t="n">
        <v>1</v>
      </c>
      <c r="I371" t="n">
        <v>1</v>
      </c>
      <c r="J371" t="n">
        <v>5</v>
      </c>
      <c r="K371" t="n">
        <v>0</v>
      </c>
      <c r="L371" t="n">
        <v>0</v>
      </c>
      <c r="M371" t="n">
        <v>0</v>
      </c>
      <c r="N371" t="n">
        <v>0</v>
      </c>
      <c r="O371" t="n">
        <v>5</v>
      </c>
      <c r="P371" t="n">
        <v>0</v>
      </c>
      <c r="Q371" t="n">
        <v>6</v>
      </c>
      <c r="R371" s="2" t="inlineStr">
        <is>
          <t>Gränsticka
Harticka
Skrovellav
Tretåig hackspett
Vitgrynig nållav
Gulnål</t>
        </is>
      </c>
      <c r="S371">
        <f>HYPERLINK("https://klasma.github.io/Logging_2313/artfynd/A 65832-2020 artfynd.xlsx", "A 65832-2020")</f>
        <v/>
      </c>
      <c r="T371">
        <f>HYPERLINK("https://klasma.github.io/Logging_2313/kartor/A 65832-2020 karta.png", "A 65832-2020")</f>
        <v/>
      </c>
      <c r="V371">
        <f>HYPERLINK("https://klasma.github.io/Logging_2313/klagomål/A 65832-2020 FSC-klagomål.docx", "A 65832-2020")</f>
        <v/>
      </c>
      <c r="W371">
        <f>HYPERLINK("https://klasma.github.io/Logging_2313/klagomålsmail/A 65832-2020 FSC-klagomål mail.docx", "A 65832-2020")</f>
        <v/>
      </c>
      <c r="X371">
        <f>HYPERLINK("https://klasma.github.io/Logging_2313/tillsyn/A 65832-2020 tillsynsbegäran.docx", "A 65832-2020")</f>
        <v/>
      </c>
      <c r="Y371">
        <f>HYPERLINK("https://klasma.github.io/Logging_2313/tillsynsmail/A 65832-2020 tillsynsbegäran mail.docx", "A 65832-2020")</f>
        <v/>
      </c>
      <c r="Z371">
        <f>HYPERLINK("https://klasma.github.io/Logging_2313/fåglar/A 65832-2020 prioriterade fågelarter.docx", "A 65832-2020")</f>
        <v/>
      </c>
    </row>
    <row r="372" ht="15" customHeight="1">
      <c r="A372" t="inlineStr">
        <is>
          <t>A 1762-2021</t>
        </is>
      </c>
      <c r="B372" s="1" t="n">
        <v>44209</v>
      </c>
      <c r="C372" s="1" t="n">
        <v>45363</v>
      </c>
      <c r="D372" t="inlineStr">
        <is>
          <t>JÄMTLANDS LÄN</t>
        </is>
      </c>
      <c r="E372" t="inlineStr">
        <is>
          <t>RAGUNDA</t>
        </is>
      </c>
      <c r="G372" t="n">
        <v>1</v>
      </c>
      <c r="H372" t="n">
        <v>2</v>
      </c>
      <c r="I372" t="n">
        <v>4</v>
      </c>
      <c r="J372" t="n">
        <v>0</v>
      </c>
      <c r="K372" t="n">
        <v>0</v>
      </c>
      <c r="L372" t="n">
        <v>0</v>
      </c>
      <c r="M372" t="n">
        <v>0</v>
      </c>
      <c r="N372" t="n">
        <v>0</v>
      </c>
      <c r="O372" t="n">
        <v>0</v>
      </c>
      <c r="P372" t="n">
        <v>0</v>
      </c>
      <c r="Q372" t="n">
        <v>6</v>
      </c>
      <c r="R372" s="2" t="inlineStr">
        <is>
          <t>Aspvedgnagare
Strutbräken
Svart trolldruva
Tibast
Blåsippa
Revlummer</t>
        </is>
      </c>
      <c r="S372">
        <f>HYPERLINK("https://klasma.github.io/Logging_2303/artfynd/A 1762-2021 artfynd.xlsx", "A 1762-2021")</f>
        <v/>
      </c>
      <c r="T372">
        <f>HYPERLINK("https://klasma.github.io/Logging_2303/kartor/A 1762-2021 karta.png", "A 1762-2021")</f>
        <v/>
      </c>
      <c r="V372">
        <f>HYPERLINK("https://klasma.github.io/Logging_2303/klagomål/A 1762-2021 FSC-klagomål.docx", "A 1762-2021")</f>
        <v/>
      </c>
      <c r="W372">
        <f>HYPERLINK("https://klasma.github.io/Logging_2303/klagomålsmail/A 1762-2021 FSC-klagomål mail.docx", "A 1762-2021")</f>
        <v/>
      </c>
      <c r="X372">
        <f>HYPERLINK("https://klasma.github.io/Logging_2303/tillsyn/A 1762-2021 tillsynsbegäran.docx", "A 1762-2021")</f>
        <v/>
      </c>
      <c r="Y372">
        <f>HYPERLINK("https://klasma.github.io/Logging_2303/tillsynsmail/A 1762-2021 tillsynsbegäran mail.docx", "A 1762-2021")</f>
        <v/>
      </c>
    </row>
    <row r="373" ht="15" customHeight="1">
      <c r="A373" t="inlineStr">
        <is>
          <t>A 7732-2021</t>
        </is>
      </c>
      <c r="B373" s="1" t="n">
        <v>44242</v>
      </c>
      <c r="C373" s="1" t="n">
        <v>45363</v>
      </c>
      <c r="D373" t="inlineStr">
        <is>
          <t>JÄMTLANDS LÄN</t>
        </is>
      </c>
      <c r="E373" t="inlineStr">
        <is>
          <t>HÄRJEDALEN</t>
        </is>
      </c>
      <c r="G373" t="n">
        <v>30.5</v>
      </c>
      <c r="H373" t="n">
        <v>0</v>
      </c>
      <c r="I373" t="n">
        <v>2</v>
      </c>
      <c r="J373" t="n">
        <v>4</v>
      </c>
      <c r="K373" t="n">
        <v>0</v>
      </c>
      <c r="L373" t="n">
        <v>0</v>
      </c>
      <c r="M373" t="n">
        <v>0</v>
      </c>
      <c r="N373" t="n">
        <v>0</v>
      </c>
      <c r="O373" t="n">
        <v>4</v>
      </c>
      <c r="P373" t="n">
        <v>0</v>
      </c>
      <c r="Q373" t="n">
        <v>6</v>
      </c>
      <c r="R373" s="2" t="inlineStr">
        <is>
          <t>Garnlav
Granticka
Knottrig blåslav
Vitgrynig nållav
Stuplav
Vedticka</t>
        </is>
      </c>
      <c r="S373">
        <f>HYPERLINK("https://klasma.github.io/Logging_2361/artfynd/A 7732-2021 artfynd.xlsx", "A 7732-2021")</f>
        <v/>
      </c>
      <c r="T373">
        <f>HYPERLINK("https://klasma.github.io/Logging_2361/kartor/A 7732-2021 karta.png", "A 7732-2021")</f>
        <v/>
      </c>
      <c r="V373">
        <f>HYPERLINK("https://klasma.github.io/Logging_2361/klagomål/A 7732-2021 FSC-klagomål.docx", "A 7732-2021")</f>
        <v/>
      </c>
      <c r="W373">
        <f>HYPERLINK("https://klasma.github.io/Logging_2361/klagomålsmail/A 7732-2021 FSC-klagomål mail.docx", "A 7732-2021")</f>
        <v/>
      </c>
      <c r="X373">
        <f>HYPERLINK("https://klasma.github.io/Logging_2361/tillsyn/A 7732-2021 tillsynsbegäran.docx", "A 7732-2021")</f>
        <v/>
      </c>
      <c r="Y373">
        <f>HYPERLINK("https://klasma.github.io/Logging_2361/tillsynsmail/A 7732-2021 tillsynsbegäran mail.docx", "A 7732-2021")</f>
        <v/>
      </c>
    </row>
    <row r="374" ht="15" customHeight="1">
      <c r="A374" t="inlineStr">
        <is>
          <t>A 11786-2021</t>
        </is>
      </c>
      <c r="B374" s="1" t="n">
        <v>44265</v>
      </c>
      <c r="C374" s="1" t="n">
        <v>45363</v>
      </c>
      <c r="D374" t="inlineStr">
        <is>
          <t>JÄMTLANDS LÄN</t>
        </is>
      </c>
      <c r="E374" t="inlineStr">
        <is>
          <t>KROKOM</t>
        </is>
      </c>
      <c r="G374" t="n">
        <v>6.1</v>
      </c>
      <c r="H374" t="n">
        <v>2</v>
      </c>
      <c r="I374" t="n">
        <v>1</v>
      </c>
      <c r="J374" t="n">
        <v>4</v>
      </c>
      <c r="K374" t="n">
        <v>1</v>
      </c>
      <c r="L374" t="n">
        <v>0</v>
      </c>
      <c r="M374" t="n">
        <v>0</v>
      </c>
      <c r="N374" t="n">
        <v>0</v>
      </c>
      <c r="O374" t="n">
        <v>5</v>
      </c>
      <c r="P374" t="n">
        <v>1</v>
      </c>
      <c r="Q374" t="n">
        <v>6</v>
      </c>
      <c r="R374" s="2" t="inlineStr">
        <is>
          <t>Sprickporing
Garnlav
Granticka
Spillkråka
Tretåig hackspett
Vedticka</t>
        </is>
      </c>
      <c r="S374">
        <f>HYPERLINK("https://klasma.github.io/Logging_2309/artfynd/A 11786-2021 artfynd.xlsx", "A 11786-2021")</f>
        <v/>
      </c>
      <c r="T374">
        <f>HYPERLINK("https://klasma.github.io/Logging_2309/kartor/A 11786-2021 karta.png", "A 11786-2021")</f>
        <v/>
      </c>
      <c r="V374">
        <f>HYPERLINK("https://klasma.github.io/Logging_2309/klagomål/A 11786-2021 FSC-klagomål.docx", "A 11786-2021")</f>
        <v/>
      </c>
      <c r="W374">
        <f>HYPERLINK("https://klasma.github.io/Logging_2309/klagomålsmail/A 11786-2021 FSC-klagomål mail.docx", "A 11786-2021")</f>
        <v/>
      </c>
      <c r="X374">
        <f>HYPERLINK("https://klasma.github.io/Logging_2309/tillsyn/A 11786-2021 tillsynsbegäran.docx", "A 11786-2021")</f>
        <v/>
      </c>
      <c r="Y374">
        <f>HYPERLINK("https://klasma.github.io/Logging_2309/tillsynsmail/A 11786-2021 tillsynsbegäran mail.docx", "A 11786-2021")</f>
        <v/>
      </c>
      <c r="Z374">
        <f>HYPERLINK("https://klasma.github.io/Logging_2309/fåglar/A 11786-2021 prioriterade fågelarter.docx", "A 11786-2021")</f>
        <v/>
      </c>
    </row>
    <row r="375" ht="15" customHeight="1">
      <c r="A375" t="inlineStr">
        <is>
          <t>A 12712-2021</t>
        </is>
      </c>
      <c r="B375" s="1" t="n">
        <v>44270</v>
      </c>
      <c r="C375" s="1" t="n">
        <v>45363</v>
      </c>
      <c r="D375" t="inlineStr">
        <is>
          <t>JÄMTLANDS LÄN</t>
        </is>
      </c>
      <c r="E375" t="inlineStr">
        <is>
          <t>ÖSTERSUND</t>
        </is>
      </c>
      <c r="G375" t="n">
        <v>8</v>
      </c>
      <c r="H375" t="n">
        <v>2</v>
      </c>
      <c r="I375" t="n">
        <v>3</v>
      </c>
      <c r="J375" t="n">
        <v>1</v>
      </c>
      <c r="K375" t="n">
        <v>0</v>
      </c>
      <c r="L375" t="n">
        <v>1</v>
      </c>
      <c r="M375" t="n">
        <v>0</v>
      </c>
      <c r="N375" t="n">
        <v>0</v>
      </c>
      <c r="O375" t="n">
        <v>2</v>
      </c>
      <c r="P375" t="n">
        <v>1</v>
      </c>
      <c r="Q375" t="n">
        <v>6</v>
      </c>
      <c r="R375" s="2" t="inlineStr">
        <is>
          <t>Trolldruvemätare
Talltita
Kransrams
Tibast
Underviol
Blåsippa</t>
        </is>
      </c>
      <c r="S375">
        <f>HYPERLINK("https://klasma.github.io/Logging_2380/artfynd/A 12712-2021 artfynd.xlsx", "A 12712-2021")</f>
        <v/>
      </c>
      <c r="T375">
        <f>HYPERLINK("https://klasma.github.io/Logging_2380/kartor/A 12712-2021 karta.png", "A 12712-2021")</f>
        <v/>
      </c>
      <c r="V375">
        <f>HYPERLINK("https://klasma.github.io/Logging_2380/klagomål/A 12712-2021 FSC-klagomål.docx", "A 12712-2021")</f>
        <v/>
      </c>
      <c r="W375">
        <f>HYPERLINK("https://klasma.github.io/Logging_2380/klagomålsmail/A 12712-2021 FSC-klagomål mail.docx", "A 12712-2021")</f>
        <v/>
      </c>
      <c r="X375">
        <f>HYPERLINK("https://klasma.github.io/Logging_2380/tillsyn/A 12712-2021 tillsynsbegäran.docx", "A 12712-2021")</f>
        <v/>
      </c>
      <c r="Y375">
        <f>HYPERLINK("https://klasma.github.io/Logging_2380/tillsynsmail/A 12712-2021 tillsynsbegäran mail.docx", "A 12712-2021")</f>
        <v/>
      </c>
      <c r="Z375">
        <f>HYPERLINK("https://klasma.github.io/Logging_2380/fåglar/A 12712-2021 prioriterade fågelarter.docx", "A 12712-2021")</f>
        <v/>
      </c>
    </row>
    <row r="376" ht="15" customHeight="1">
      <c r="A376" t="inlineStr">
        <is>
          <t>A 12925-2021</t>
        </is>
      </c>
      <c r="B376" s="1" t="n">
        <v>44271</v>
      </c>
      <c r="C376" s="1" t="n">
        <v>45363</v>
      </c>
      <c r="D376" t="inlineStr">
        <is>
          <t>JÄMTLANDS LÄN</t>
        </is>
      </c>
      <c r="E376" t="inlineStr">
        <is>
          <t>KROKOM</t>
        </is>
      </c>
      <c r="G376" t="n">
        <v>12</v>
      </c>
      <c r="H376" t="n">
        <v>0</v>
      </c>
      <c r="I376" t="n">
        <v>5</v>
      </c>
      <c r="J376" t="n">
        <v>1</v>
      </c>
      <c r="K376" t="n">
        <v>0</v>
      </c>
      <c r="L376" t="n">
        <v>0</v>
      </c>
      <c r="M376" t="n">
        <v>0</v>
      </c>
      <c r="N376" t="n">
        <v>0</v>
      </c>
      <c r="O376" t="n">
        <v>1</v>
      </c>
      <c r="P376" t="n">
        <v>0</v>
      </c>
      <c r="Q376" t="n">
        <v>6</v>
      </c>
      <c r="R376" s="2" t="inlineStr">
        <is>
          <t>Flattoppad klubbsvamp
Barrfagerspindling
Diskvaxskivling
Kryddspindling
Strimspindling
Svavelriska</t>
        </is>
      </c>
      <c r="S376">
        <f>HYPERLINK("https://klasma.github.io/Logging_2309/artfynd/A 12925-2021 artfynd.xlsx", "A 12925-2021")</f>
        <v/>
      </c>
      <c r="T376">
        <f>HYPERLINK("https://klasma.github.io/Logging_2309/kartor/A 12925-2021 karta.png", "A 12925-2021")</f>
        <v/>
      </c>
      <c r="V376">
        <f>HYPERLINK("https://klasma.github.io/Logging_2309/klagomål/A 12925-2021 FSC-klagomål.docx", "A 12925-2021")</f>
        <v/>
      </c>
      <c r="W376">
        <f>HYPERLINK("https://klasma.github.io/Logging_2309/klagomålsmail/A 12925-2021 FSC-klagomål mail.docx", "A 12925-2021")</f>
        <v/>
      </c>
      <c r="X376">
        <f>HYPERLINK("https://klasma.github.io/Logging_2309/tillsyn/A 12925-2021 tillsynsbegäran.docx", "A 12925-2021")</f>
        <v/>
      </c>
      <c r="Y376">
        <f>HYPERLINK("https://klasma.github.io/Logging_2309/tillsynsmail/A 12925-2021 tillsynsbegäran mail.docx", "A 12925-2021")</f>
        <v/>
      </c>
    </row>
    <row r="377" ht="15" customHeight="1">
      <c r="A377" t="inlineStr">
        <is>
          <t>A 14205-2021</t>
        </is>
      </c>
      <c r="B377" s="1" t="n">
        <v>44278</v>
      </c>
      <c r="C377" s="1" t="n">
        <v>45363</v>
      </c>
      <c r="D377" t="inlineStr">
        <is>
          <t>JÄMTLANDS LÄN</t>
        </is>
      </c>
      <c r="E377" t="inlineStr">
        <is>
          <t>ÅRE</t>
        </is>
      </c>
      <c r="G377" t="n">
        <v>16.7</v>
      </c>
      <c r="H377" t="n">
        <v>1</v>
      </c>
      <c r="I377" t="n">
        <v>2</v>
      </c>
      <c r="J377" t="n">
        <v>4</v>
      </c>
      <c r="K377" t="n">
        <v>0</v>
      </c>
      <c r="L377" t="n">
        <v>0</v>
      </c>
      <c r="M377" t="n">
        <v>0</v>
      </c>
      <c r="N377" t="n">
        <v>0</v>
      </c>
      <c r="O377" t="n">
        <v>4</v>
      </c>
      <c r="P377" t="n">
        <v>0</v>
      </c>
      <c r="Q377" t="n">
        <v>6</v>
      </c>
      <c r="R377" s="2" t="inlineStr">
        <is>
          <t>Granticka
Leptoporus mollis
Skrovellav
Tretåig hackspett
Blåmossa
Stuplav</t>
        </is>
      </c>
      <c r="S377">
        <f>HYPERLINK("https://klasma.github.io/Logging_2321/artfynd/A 14205-2021 artfynd.xlsx", "A 14205-2021")</f>
        <v/>
      </c>
      <c r="T377">
        <f>HYPERLINK("https://klasma.github.io/Logging_2321/kartor/A 14205-2021 karta.png", "A 14205-2021")</f>
        <v/>
      </c>
      <c r="V377">
        <f>HYPERLINK("https://klasma.github.io/Logging_2321/klagomål/A 14205-2021 FSC-klagomål.docx", "A 14205-2021")</f>
        <v/>
      </c>
      <c r="W377">
        <f>HYPERLINK("https://klasma.github.io/Logging_2321/klagomålsmail/A 14205-2021 FSC-klagomål mail.docx", "A 14205-2021")</f>
        <v/>
      </c>
      <c r="X377">
        <f>HYPERLINK("https://klasma.github.io/Logging_2321/tillsyn/A 14205-2021 tillsynsbegäran.docx", "A 14205-2021")</f>
        <v/>
      </c>
      <c r="Y377">
        <f>HYPERLINK("https://klasma.github.io/Logging_2321/tillsynsmail/A 14205-2021 tillsynsbegäran mail.docx", "A 14205-2021")</f>
        <v/>
      </c>
      <c r="Z377">
        <f>HYPERLINK("https://klasma.github.io/Logging_2321/fåglar/A 14205-2021 prioriterade fågelarter.docx", "A 14205-2021")</f>
        <v/>
      </c>
    </row>
    <row r="378" ht="15" customHeight="1">
      <c r="A378" t="inlineStr">
        <is>
          <t>A 16508-2021</t>
        </is>
      </c>
      <c r="B378" s="1" t="n">
        <v>44293</v>
      </c>
      <c r="C378" s="1" t="n">
        <v>45363</v>
      </c>
      <c r="D378" t="inlineStr">
        <is>
          <t>JÄMTLANDS LÄN</t>
        </is>
      </c>
      <c r="E378" t="inlineStr">
        <is>
          <t>BERG</t>
        </is>
      </c>
      <c r="G378" t="n">
        <v>18.9</v>
      </c>
      <c r="H378" t="n">
        <v>0</v>
      </c>
      <c r="I378" t="n">
        <v>1</v>
      </c>
      <c r="J378" t="n">
        <v>5</v>
      </c>
      <c r="K378" t="n">
        <v>0</v>
      </c>
      <c r="L378" t="n">
        <v>0</v>
      </c>
      <c r="M378" t="n">
        <v>0</v>
      </c>
      <c r="N378" t="n">
        <v>0</v>
      </c>
      <c r="O378" t="n">
        <v>5</v>
      </c>
      <c r="P378" t="n">
        <v>0</v>
      </c>
      <c r="Q378" t="n">
        <v>6</v>
      </c>
      <c r="R378" s="2" t="inlineStr">
        <is>
          <t>Gammelgransskål
Garnlav
Granticka
Knottrig blåslav
Rödbrun blekspik
Vedticka</t>
        </is>
      </c>
      <c r="S378">
        <f>HYPERLINK("https://klasma.github.io/Logging_2326/artfynd/A 16508-2021 artfynd.xlsx", "A 16508-2021")</f>
        <v/>
      </c>
      <c r="T378">
        <f>HYPERLINK("https://klasma.github.io/Logging_2326/kartor/A 16508-2021 karta.png", "A 16508-2021")</f>
        <v/>
      </c>
      <c r="V378">
        <f>HYPERLINK("https://klasma.github.io/Logging_2326/klagomål/A 16508-2021 FSC-klagomål.docx", "A 16508-2021")</f>
        <v/>
      </c>
      <c r="W378">
        <f>HYPERLINK("https://klasma.github.io/Logging_2326/klagomålsmail/A 16508-2021 FSC-klagomål mail.docx", "A 16508-2021")</f>
        <v/>
      </c>
      <c r="X378">
        <f>HYPERLINK("https://klasma.github.io/Logging_2326/tillsyn/A 16508-2021 tillsynsbegäran.docx", "A 16508-2021")</f>
        <v/>
      </c>
      <c r="Y378">
        <f>HYPERLINK("https://klasma.github.io/Logging_2326/tillsynsmail/A 16508-2021 tillsynsbegäran mail.docx", "A 16508-2021")</f>
        <v/>
      </c>
    </row>
    <row r="379" ht="15" customHeight="1">
      <c r="A379" t="inlineStr">
        <is>
          <t>A 24523-2021</t>
        </is>
      </c>
      <c r="B379" s="1" t="n">
        <v>44337</v>
      </c>
      <c r="C379" s="1" t="n">
        <v>45363</v>
      </c>
      <c r="D379" t="inlineStr">
        <is>
          <t>JÄMTLANDS LÄN</t>
        </is>
      </c>
      <c r="E379" t="inlineStr">
        <is>
          <t>ÖSTERSUND</t>
        </is>
      </c>
      <c r="G379" t="n">
        <v>9.300000000000001</v>
      </c>
      <c r="H379" t="n">
        <v>2</v>
      </c>
      <c r="I379" t="n">
        <v>3</v>
      </c>
      <c r="J379" t="n">
        <v>2</v>
      </c>
      <c r="K379" t="n">
        <v>0</v>
      </c>
      <c r="L379" t="n">
        <v>0</v>
      </c>
      <c r="M379" t="n">
        <v>0</v>
      </c>
      <c r="N379" t="n">
        <v>0</v>
      </c>
      <c r="O379" t="n">
        <v>2</v>
      </c>
      <c r="P379" t="n">
        <v>0</v>
      </c>
      <c r="Q379" t="n">
        <v>6</v>
      </c>
      <c r="R379" s="2" t="inlineStr">
        <is>
          <t>Garnlav
Spillkråka
Svart trolldruva
Tibast
Underviol
Blåsippa</t>
        </is>
      </c>
      <c r="S379">
        <f>HYPERLINK("https://klasma.github.io/Logging_2380/artfynd/A 24523-2021 artfynd.xlsx", "A 24523-2021")</f>
        <v/>
      </c>
      <c r="T379">
        <f>HYPERLINK("https://klasma.github.io/Logging_2380/kartor/A 24523-2021 karta.png", "A 24523-2021")</f>
        <v/>
      </c>
      <c r="V379">
        <f>HYPERLINK("https://klasma.github.io/Logging_2380/klagomål/A 24523-2021 FSC-klagomål.docx", "A 24523-2021")</f>
        <v/>
      </c>
      <c r="W379">
        <f>HYPERLINK("https://klasma.github.io/Logging_2380/klagomålsmail/A 24523-2021 FSC-klagomål mail.docx", "A 24523-2021")</f>
        <v/>
      </c>
      <c r="X379">
        <f>HYPERLINK("https://klasma.github.io/Logging_2380/tillsyn/A 24523-2021 tillsynsbegäran.docx", "A 24523-2021")</f>
        <v/>
      </c>
      <c r="Y379">
        <f>HYPERLINK("https://klasma.github.io/Logging_2380/tillsynsmail/A 24523-2021 tillsynsbegäran mail.docx", "A 24523-2021")</f>
        <v/>
      </c>
      <c r="Z379">
        <f>HYPERLINK("https://klasma.github.io/Logging_2380/fåglar/A 24523-2021 prioriterade fågelarter.docx", "A 24523-2021")</f>
        <v/>
      </c>
    </row>
    <row r="380" ht="15" customHeight="1">
      <c r="A380" t="inlineStr">
        <is>
          <t>A 28512-2021</t>
        </is>
      </c>
      <c r="B380" s="1" t="n">
        <v>44356</v>
      </c>
      <c r="C380" s="1" t="n">
        <v>45363</v>
      </c>
      <c r="D380" t="inlineStr">
        <is>
          <t>JÄMTLANDS LÄN</t>
        </is>
      </c>
      <c r="E380" t="inlineStr">
        <is>
          <t>ÖSTERSUND</t>
        </is>
      </c>
      <c r="G380" t="n">
        <v>1.5</v>
      </c>
      <c r="H380" t="n">
        <v>2</v>
      </c>
      <c r="I380" t="n">
        <v>1</v>
      </c>
      <c r="J380" t="n">
        <v>5</v>
      </c>
      <c r="K380" t="n">
        <v>0</v>
      </c>
      <c r="L380" t="n">
        <v>0</v>
      </c>
      <c r="M380" t="n">
        <v>0</v>
      </c>
      <c r="N380" t="n">
        <v>0</v>
      </c>
      <c r="O380" t="n">
        <v>5</v>
      </c>
      <c r="P380" t="n">
        <v>0</v>
      </c>
      <c r="Q380" t="n">
        <v>6</v>
      </c>
      <c r="R380" s="2" t="inlineStr">
        <is>
          <t>Garnlav
Lunglav
Skrovellav
Talltita
Tretåig hackspett
Luddlav</t>
        </is>
      </c>
      <c r="S380">
        <f>HYPERLINK("https://klasma.github.io/Logging_2380/artfynd/A 28512-2021 artfynd.xlsx", "A 28512-2021")</f>
        <v/>
      </c>
      <c r="T380">
        <f>HYPERLINK("https://klasma.github.io/Logging_2380/kartor/A 28512-2021 karta.png", "A 28512-2021")</f>
        <v/>
      </c>
      <c r="U380">
        <f>HYPERLINK("https://klasma.github.io/Logging_2380/knärot/A 28512-2021 karta knärot.png", "A 28512-2021")</f>
        <v/>
      </c>
      <c r="V380">
        <f>HYPERLINK("https://klasma.github.io/Logging_2380/klagomål/A 28512-2021 FSC-klagomål.docx", "A 28512-2021")</f>
        <v/>
      </c>
      <c r="W380">
        <f>HYPERLINK("https://klasma.github.io/Logging_2380/klagomålsmail/A 28512-2021 FSC-klagomål mail.docx", "A 28512-2021")</f>
        <v/>
      </c>
      <c r="X380">
        <f>HYPERLINK("https://klasma.github.io/Logging_2380/tillsyn/A 28512-2021 tillsynsbegäran.docx", "A 28512-2021")</f>
        <v/>
      </c>
      <c r="Y380">
        <f>HYPERLINK("https://klasma.github.io/Logging_2380/tillsynsmail/A 28512-2021 tillsynsbegäran mail.docx", "A 28512-2021")</f>
        <v/>
      </c>
      <c r="Z380">
        <f>HYPERLINK("https://klasma.github.io/Logging_2380/fåglar/A 28512-2021 prioriterade fågelarter.docx", "A 28512-2021")</f>
        <v/>
      </c>
    </row>
    <row r="381" ht="15" customHeight="1">
      <c r="A381" t="inlineStr">
        <is>
          <t>A 28599-2021</t>
        </is>
      </c>
      <c r="B381" s="1" t="n">
        <v>44356</v>
      </c>
      <c r="C381" s="1" t="n">
        <v>45363</v>
      </c>
      <c r="D381" t="inlineStr">
        <is>
          <t>JÄMTLANDS LÄN</t>
        </is>
      </c>
      <c r="E381" t="inlineStr">
        <is>
          <t>BRÄCKE</t>
        </is>
      </c>
      <c r="F381" t="inlineStr">
        <is>
          <t>SCA</t>
        </is>
      </c>
      <c r="G381" t="n">
        <v>14.6</v>
      </c>
      <c r="H381" t="n">
        <v>1</v>
      </c>
      <c r="I381" t="n">
        <v>2</v>
      </c>
      <c r="J381" t="n">
        <v>3</v>
      </c>
      <c r="K381" t="n">
        <v>1</v>
      </c>
      <c r="L381" t="n">
        <v>0</v>
      </c>
      <c r="M381" t="n">
        <v>0</v>
      </c>
      <c r="N381" t="n">
        <v>0</v>
      </c>
      <c r="O381" t="n">
        <v>4</v>
      </c>
      <c r="P381" t="n">
        <v>1</v>
      </c>
      <c r="Q381" t="n">
        <v>6</v>
      </c>
      <c r="R381" s="2" t="inlineStr">
        <is>
          <t>Doftticka
Garnlav
Lunglav
Äggvaxskivling
Fjällig taggsvamp s.str.
Skarp dropptaggsvamp</t>
        </is>
      </c>
      <c r="S381">
        <f>HYPERLINK("https://klasma.github.io/Logging_2305/artfynd/A 28599-2021 artfynd.xlsx", "A 28599-2021")</f>
        <v/>
      </c>
      <c r="T381">
        <f>HYPERLINK("https://klasma.github.io/Logging_2305/kartor/A 28599-2021 karta.png", "A 28599-2021")</f>
        <v/>
      </c>
      <c r="V381">
        <f>HYPERLINK("https://klasma.github.io/Logging_2305/klagomål/A 28599-2021 FSC-klagomål.docx", "A 28599-2021")</f>
        <v/>
      </c>
      <c r="W381">
        <f>HYPERLINK("https://klasma.github.io/Logging_2305/klagomålsmail/A 28599-2021 FSC-klagomål mail.docx", "A 28599-2021")</f>
        <v/>
      </c>
      <c r="X381">
        <f>HYPERLINK("https://klasma.github.io/Logging_2305/tillsyn/A 28599-2021 tillsynsbegäran.docx", "A 28599-2021")</f>
        <v/>
      </c>
      <c r="Y381">
        <f>HYPERLINK("https://klasma.github.io/Logging_2305/tillsynsmail/A 28599-2021 tillsynsbegäran mail.docx", "A 28599-2021")</f>
        <v/>
      </c>
    </row>
    <row r="382" ht="15" customHeight="1">
      <c r="A382" t="inlineStr">
        <is>
          <t>A 32355-2021</t>
        </is>
      </c>
      <c r="B382" s="1" t="n">
        <v>44371</v>
      </c>
      <c r="C382" s="1" t="n">
        <v>45363</v>
      </c>
      <c r="D382" t="inlineStr">
        <is>
          <t>JÄMTLANDS LÄN</t>
        </is>
      </c>
      <c r="E382" t="inlineStr">
        <is>
          <t>STRÖMSUND</t>
        </is>
      </c>
      <c r="F382" t="inlineStr">
        <is>
          <t>SCA</t>
        </is>
      </c>
      <c r="G382" t="n">
        <v>14.3</v>
      </c>
      <c r="H382" t="n">
        <v>0</v>
      </c>
      <c r="I382" t="n">
        <v>0</v>
      </c>
      <c r="J382" t="n">
        <v>4</v>
      </c>
      <c r="K382" t="n">
        <v>2</v>
      </c>
      <c r="L382" t="n">
        <v>0</v>
      </c>
      <c r="M382" t="n">
        <v>0</v>
      </c>
      <c r="N382" t="n">
        <v>0</v>
      </c>
      <c r="O382" t="n">
        <v>6</v>
      </c>
      <c r="P382" t="n">
        <v>2</v>
      </c>
      <c r="Q382" t="n">
        <v>6</v>
      </c>
      <c r="R382" s="2" t="inlineStr">
        <is>
          <t>Liten sotlav
Norsk näverlav
Gammelgransskål
Granticka
Harticka
Ullticka</t>
        </is>
      </c>
      <c r="S382">
        <f>HYPERLINK("https://klasma.github.io/Logging_2313/artfynd/A 32355-2021 artfynd.xlsx", "A 32355-2021")</f>
        <v/>
      </c>
      <c r="T382">
        <f>HYPERLINK("https://klasma.github.io/Logging_2313/kartor/A 32355-2021 karta.png", "A 32355-2021")</f>
        <v/>
      </c>
      <c r="V382">
        <f>HYPERLINK("https://klasma.github.io/Logging_2313/klagomål/A 32355-2021 FSC-klagomål.docx", "A 32355-2021")</f>
        <v/>
      </c>
      <c r="W382">
        <f>HYPERLINK("https://klasma.github.io/Logging_2313/klagomålsmail/A 32355-2021 FSC-klagomål mail.docx", "A 32355-2021")</f>
        <v/>
      </c>
      <c r="X382">
        <f>HYPERLINK("https://klasma.github.io/Logging_2313/tillsyn/A 32355-2021 tillsynsbegäran.docx", "A 32355-2021")</f>
        <v/>
      </c>
      <c r="Y382">
        <f>HYPERLINK("https://klasma.github.io/Logging_2313/tillsynsmail/A 32355-2021 tillsynsbegäran mail.docx", "A 32355-2021")</f>
        <v/>
      </c>
    </row>
    <row r="383" ht="15" customHeight="1">
      <c r="A383" t="inlineStr">
        <is>
          <t>A 42550-2021</t>
        </is>
      </c>
      <c r="B383" s="1" t="n">
        <v>44427</v>
      </c>
      <c r="C383" s="1" t="n">
        <v>45363</v>
      </c>
      <c r="D383" t="inlineStr">
        <is>
          <t>JÄMTLANDS LÄN</t>
        </is>
      </c>
      <c r="E383" t="inlineStr">
        <is>
          <t>STRÖMSUND</t>
        </is>
      </c>
      <c r="F383" t="inlineStr">
        <is>
          <t>SCA</t>
        </is>
      </c>
      <c r="G383" t="n">
        <v>4.8</v>
      </c>
      <c r="H383" t="n">
        <v>0</v>
      </c>
      <c r="I383" t="n">
        <v>2</v>
      </c>
      <c r="J383" t="n">
        <v>4</v>
      </c>
      <c r="K383" t="n">
        <v>0</v>
      </c>
      <c r="L383" t="n">
        <v>0</v>
      </c>
      <c r="M383" t="n">
        <v>0</v>
      </c>
      <c r="N383" t="n">
        <v>0</v>
      </c>
      <c r="O383" t="n">
        <v>4</v>
      </c>
      <c r="P383" t="n">
        <v>0</v>
      </c>
      <c r="Q383" t="n">
        <v>6</v>
      </c>
      <c r="R383" s="2" t="inlineStr">
        <is>
          <t>Garnlav
Kolflarnlav
Lunglav
Skrovellav
Källmossa
Ögonpyrola</t>
        </is>
      </c>
      <c r="S383">
        <f>HYPERLINK("https://klasma.github.io/Logging_2313/artfynd/A 42550-2021 artfynd.xlsx", "A 42550-2021")</f>
        <v/>
      </c>
      <c r="T383">
        <f>HYPERLINK("https://klasma.github.io/Logging_2313/kartor/A 42550-2021 karta.png", "A 42550-2021")</f>
        <v/>
      </c>
      <c r="V383">
        <f>HYPERLINK("https://klasma.github.io/Logging_2313/klagomål/A 42550-2021 FSC-klagomål.docx", "A 42550-2021")</f>
        <v/>
      </c>
      <c r="W383">
        <f>HYPERLINK("https://klasma.github.io/Logging_2313/klagomålsmail/A 42550-2021 FSC-klagomål mail.docx", "A 42550-2021")</f>
        <v/>
      </c>
      <c r="X383">
        <f>HYPERLINK("https://klasma.github.io/Logging_2313/tillsyn/A 42550-2021 tillsynsbegäran.docx", "A 42550-2021")</f>
        <v/>
      </c>
      <c r="Y383">
        <f>HYPERLINK("https://klasma.github.io/Logging_2313/tillsynsmail/A 42550-2021 tillsynsbegäran mail.docx", "A 42550-2021")</f>
        <v/>
      </c>
    </row>
    <row r="384" ht="15" customHeight="1">
      <c r="A384" t="inlineStr">
        <is>
          <t>A 54194-2021</t>
        </is>
      </c>
      <c r="B384" s="1" t="n">
        <v>44470</v>
      </c>
      <c r="C384" s="1" t="n">
        <v>45363</v>
      </c>
      <c r="D384" t="inlineStr">
        <is>
          <t>JÄMTLANDS LÄN</t>
        </is>
      </c>
      <c r="E384" t="inlineStr">
        <is>
          <t>STRÖMSUND</t>
        </is>
      </c>
      <c r="G384" t="n">
        <v>15.8</v>
      </c>
      <c r="H384" t="n">
        <v>2</v>
      </c>
      <c r="I384" t="n">
        <v>3</v>
      </c>
      <c r="J384" t="n">
        <v>2</v>
      </c>
      <c r="K384" t="n">
        <v>0</v>
      </c>
      <c r="L384" t="n">
        <v>0</v>
      </c>
      <c r="M384" t="n">
        <v>0</v>
      </c>
      <c r="N384" t="n">
        <v>0</v>
      </c>
      <c r="O384" t="n">
        <v>2</v>
      </c>
      <c r="P384" t="n">
        <v>0</v>
      </c>
      <c r="Q384" t="n">
        <v>6</v>
      </c>
      <c r="R384" s="2" t="inlineStr">
        <is>
          <t>Granticka
Lunglav
Grönkulla
Kransrams
Stuplav
Blåsippa</t>
        </is>
      </c>
      <c r="S384">
        <f>HYPERLINK("https://klasma.github.io/Logging_2313/artfynd/A 54194-2021 artfynd.xlsx", "A 54194-2021")</f>
        <v/>
      </c>
      <c r="T384">
        <f>HYPERLINK("https://klasma.github.io/Logging_2313/kartor/A 54194-2021 karta.png", "A 54194-2021")</f>
        <v/>
      </c>
      <c r="V384">
        <f>HYPERLINK("https://klasma.github.io/Logging_2313/klagomål/A 54194-2021 FSC-klagomål.docx", "A 54194-2021")</f>
        <v/>
      </c>
      <c r="W384">
        <f>HYPERLINK("https://klasma.github.io/Logging_2313/klagomålsmail/A 54194-2021 FSC-klagomål mail.docx", "A 54194-2021")</f>
        <v/>
      </c>
      <c r="X384">
        <f>HYPERLINK("https://klasma.github.io/Logging_2313/tillsyn/A 54194-2021 tillsynsbegäran.docx", "A 54194-2021")</f>
        <v/>
      </c>
      <c r="Y384">
        <f>HYPERLINK("https://klasma.github.io/Logging_2313/tillsynsmail/A 54194-2021 tillsynsbegäran mail.docx", "A 54194-2021")</f>
        <v/>
      </c>
    </row>
    <row r="385" ht="15" customHeight="1">
      <c r="A385" t="inlineStr">
        <is>
          <t>A 56201-2021</t>
        </is>
      </c>
      <c r="B385" s="1" t="n">
        <v>44477</v>
      </c>
      <c r="C385" s="1" t="n">
        <v>45363</v>
      </c>
      <c r="D385" t="inlineStr">
        <is>
          <t>JÄMTLANDS LÄN</t>
        </is>
      </c>
      <c r="E385" t="inlineStr">
        <is>
          <t>BERG</t>
        </is>
      </c>
      <c r="F385" t="inlineStr">
        <is>
          <t>SCA</t>
        </is>
      </c>
      <c r="G385" t="n">
        <v>10.9</v>
      </c>
      <c r="H385" t="n">
        <v>3</v>
      </c>
      <c r="I385" t="n">
        <v>1</v>
      </c>
      <c r="J385" t="n">
        <v>4</v>
      </c>
      <c r="K385" t="n">
        <v>1</v>
      </c>
      <c r="L385" t="n">
        <v>0</v>
      </c>
      <c r="M385" t="n">
        <v>0</v>
      </c>
      <c r="N385" t="n">
        <v>0</v>
      </c>
      <c r="O385" t="n">
        <v>5</v>
      </c>
      <c r="P385" t="n">
        <v>1</v>
      </c>
      <c r="Q385" t="n">
        <v>6</v>
      </c>
      <c r="R385" s="2" t="inlineStr">
        <is>
          <t>Doftticka
Garnlav
Lunglav
Tretåig hackspett
Ullticka
Spindelblomster</t>
        </is>
      </c>
      <c r="S385">
        <f>HYPERLINK("https://klasma.github.io/Logging_2326/artfynd/A 56201-2021 artfynd.xlsx", "A 56201-2021")</f>
        <v/>
      </c>
      <c r="T385">
        <f>HYPERLINK("https://klasma.github.io/Logging_2326/kartor/A 56201-2021 karta.png", "A 56201-2021")</f>
        <v/>
      </c>
      <c r="V385">
        <f>HYPERLINK("https://klasma.github.io/Logging_2326/klagomål/A 56201-2021 FSC-klagomål.docx", "A 56201-2021")</f>
        <v/>
      </c>
      <c r="W385">
        <f>HYPERLINK("https://klasma.github.io/Logging_2326/klagomålsmail/A 56201-2021 FSC-klagomål mail.docx", "A 56201-2021")</f>
        <v/>
      </c>
      <c r="X385">
        <f>HYPERLINK("https://klasma.github.io/Logging_2326/tillsyn/A 56201-2021 tillsynsbegäran.docx", "A 56201-2021")</f>
        <v/>
      </c>
      <c r="Y385">
        <f>HYPERLINK("https://klasma.github.io/Logging_2326/tillsynsmail/A 56201-2021 tillsynsbegäran mail.docx", "A 56201-2021")</f>
        <v/>
      </c>
      <c r="Z385">
        <f>HYPERLINK("https://klasma.github.io/Logging_2326/fåglar/A 56201-2021 prioriterade fågelarter.docx", "A 56201-2021")</f>
        <v/>
      </c>
    </row>
    <row r="386" ht="15" customHeight="1">
      <c r="A386" t="inlineStr">
        <is>
          <t>A 56194-2021</t>
        </is>
      </c>
      <c r="B386" s="1" t="n">
        <v>44477</v>
      </c>
      <c r="C386" s="1" t="n">
        <v>45363</v>
      </c>
      <c r="D386" t="inlineStr">
        <is>
          <t>JÄMTLANDS LÄN</t>
        </is>
      </c>
      <c r="E386" t="inlineStr">
        <is>
          <t>KROKOM</t>
        </is>
      </c>
      <c r="F386" t="inlineStr">
        <is>
          <t>Övriga Aktiebolag</t>
        </is>
      </c>
      <c r="G386" t="n">
        <v>25.1</v>
      </c>
      <c r="H386" t="n">
        <v>0</v>
      </c>
      <c r="I386" t="n">
        <v>5</v>
      </c>
      <c r="J386" t="n">
        <v>1</v>
      </c>
      <c r="K386" t="n">
        <v>0</v>
      </c>
      <c r="L386" t="n">
        <v>0</v>
      </c>
      <c r="M386" t="n">
        <v>0</v>
      </c>
      <c r="N386" t="n">
        <v>0</v>
      </c>
      <c r="O386" t="n">
        <v>1</v>
      </c>
      <c r="P386" t="n">
        <v>0</v>
      </c>
      <c r="Q386" t="n">
        <v>6</v>
      </c>
      <c r="R386" s="2" t="inlineStr">
        <is>
          <t>Lunglav
Granriska
Kambräken
Korallblylav
Luddlav
Västlig hakmossa</t>
        </is>
      </c>
      <c r="S386">
        <f>HYPERLINK("https://klasma.github.io/Logging_2309/artfynd/A 56194-2021 artfynd.xlsx", "A 56194-2021")</f>
        <v/>
      </c>
      <c r="T386">
        <f>HYPERLINK("https://klasma.github.io/Logging_2309/kartor/A 56194-2021 karta.png", "A 56194-2021")</f>
        <v/>
      </c>
      <c r="V386">
        <f>HYPERLINK("https://klasma.github.io/Logging_2309/klagomål/A 56194-2021 FSC-klagomål.docx", "A 56194-2021")</f>
        <v/>
      </c>
      <c r="W386">
        <f>HYPERLINK("https://klasma.github.io/Logging_2309/klagomålsmail/A 56194-2021 FSC-klagomål mail.docx", "A 56194-2021")</f>
        <v/>
      </c>
      <c r="X386">
        <f>HYPERLINK("https://klasma.github.io/Logging_2309/tillsyn/A 56194-2021 tillsynsbegäran.docx", "A 56194-2021")</f>
        <v/>
      </c>
      <c r="Y386">
        <f>HYPERLINK("https://klasma.github.io/Logging_2309/tillsynsmail/A 56194-2021 tillsynsbegäran mail.docx", "A 56194-2021")</f>
        <v/>
      </c>
    </row>
    <row r="387" ht="15" customHeight="1">
      <c r="A387" t="inlineStr">
        <is>
          <t>A 60004-2021</t>
        </is>
      </c>
      <c r="B387" s="1" t="n">
        <v>44494</v>
      </c>
      <c r="C387" s="1" t="n">
        <v>45363</v>
      </c>
      <c r="D387" t="inlineStr">
        <is>
          <t>JÄMTLANDS LÄN</t>
        </is>
      </c>
      <c r="E387" t="inlineStr">
        <is>
          <t>KROKOM</t>
        </is>
      </c>
      <c r="F387" t="inlineStr">
        <is>
          <t>SCA</t>
        </is>
      </c>
      <c r="G387" t="n">
        <v>5.8</v>
      </c>
      <c r="H387" t="n">
        <v>3</v>
      </c>
      <c r="I387" t="n">
        <v>3</v>
      </c>
      <c r="J387" t="n">
        <v>1</v>
      </c>
      <c r="K387" t="n">
        <v>1</v>
      </c>
      <c r="L387" t="n">
        <v>0</v>
      </c>
      <c r="M387" t="n">
        <v>0</v>
      </c>
      <c r="N387" t="n">
        <v>0</v>
      </c>
      <c r="O387" t="n">
        <v>2</v>
      </c>
      <c r="P387" t="n">
        <v>1</v>
      </c>
      <c r="Q387" t="n">
        <v>6</v>
      </c>
      <c r="R387" s="2" t="inlineStr">
        <is>
          <t>Knärot
Ullticka
Diskvaxskivling
Guckusko
Svavelriska
Blåsippa</t>
        </is>
      </c>
      <c r="S387">
        <f>HYPERLINK("https://klasma.github.io/Logging_2309/artfynd/A 60004-2021 artfynd.xlsx", "A 60004-2021")</f>
        <v/>
      </c>
      <c r="T387">
        <f>HYPERLINK("https://klasma.github.io/Logging_2309/kartor/A 60004-2021 karta.png", "A 60004-2021")</f>
        <v/>
      </c>
      <c r="U387">
        <f>HYPERLINK("https://klasma.github.io/Logging_2309/knärot/A 60004-2021 karta knärot.png", "A 60004-2021")</f>
        <v/>
      </c>
      <c r="V387">
        <f>HYPERLINK("https://klasma.github.io/Logging_2309/klagomål/A 60004-2021 FSC-klagomål.docx", "A 60004-2021")</f>
        <v/>
      </c>
      <c r="W387">
        <f>HYPERLINK("https://klasma.github.io/Logging_2309/klagomålsmail/A 60004-2021 FSC-klagomål mail.docx", "A 60004-2021")</f>
        <v/>
      </c>
      <c r="X387">
        <f>HYPERLINK("https://klasma.github.io/Logging_2309/tillsyn/A 60004-2021 tillsynsbegäran.docx", "A 60004-2021")</f>
        <v/>
      </c>
      <c r="Y387">
        <f>HYPERLINK("https://klasma.github.io/Logging_2309/tillsynsmail/A 60004-2021 tillsynsbegäran mail.docx", "A 60004-2021")</f>
        <v/>
      </c>
    </row>
    <row r="388" ht="15" customHeight="1">
      <c r="A388" t="inlineStr">
        <is>
          <t>A 70205-2021</t>
        </is>
      </c>
      <c r="B388" s="1" t="n">
        <v>44534</v>
      </c>
      <c r="C388" s="1" t="n">
        <v>45363</v>
      </c>
      <c r="D388" t="inlineStr">
        <is>
          <t>JÄMTLANDS LÄN</t>
        </is>
      </c>
      <c r="E388" t="inlineStr">
        <is>
          <t>KROKOM</t>
        </is>
      </c>
      <c r="F388" t="inlineStr">
        <is>
          <t>SCA</t>
        </is>
      </c>
      <c r="G388" t="n">
        <v>5.4</v>
      </c>
      <c r="H388" t="n">
        <v>0</v>
      </c>
      <c r="I388" t="n">
        <v>1</v>
      </c>
      <c r="J388" t="n">
        <v>5</v>
      </c>
      <c r="K388" t="n">
        <v>0</v>
      </c>
      <c r="L388" t="n">
        <v>0</v>
      </c>
      <c r="M388" t="n">
        <v>0</v>
      </c>
      <c r="N388" t="n">
        <v>0</v>
      </c>
      <c r="O388" t="n">
        <v>5</v>
      </c>
      <c r="P388" t="n">
        <v>0</v>
      </c>
      <c r="Q388" t="n">
        <v>6</v>
      </c>
      <c r="R388" s="2" t="inlineStr">
        <is>
          <t>Garnlav
Granticka
Harticka
Skrovellav
Ullticka
Trådticka</t>
        </is>
      </c>
      <c r="S388">
        <f>HYPERLINK("https://klasma.github.io/Logging_2309/artfynd/A 70205-2021 artfynd.xlsx", "A 70205-2021")</f>
        <v/>
      </c>
      <c r="T388">
        <f>HYPERLINK("https://klasma.github.io/Logging_2309/kartor/A 70205-2021 karta.png", "A 70205-2021")</f>
        <v/>
      </c>
      <c r="V388">
        <f>HYPERLINK("https://klasma.github.io/Logging_2309/klagomål/A 70205-2021 FSC-klagomål.docx", "A 70205-2021")</f>
        <v/>
      </c>
      <c r="W388">
        <f>HYPERLINK("https://klasma.github.io/Logging_2309/klagomålsmail/A 70205-2021 FSC-klagomål mail.docx", "A 70205-2021")</f>
        <v/>
      </c>
      <c r="X388">
        <f>HYPERLINK("https://klasma.github.io/Logging_2309/tillsyn/A 70205-2021 tillsynsbegäran.docx", "A 70205-2021")</f>
        <v/>
      </c>
      <c r="Y388">
        <f>HYPERLINK("https://klasma.github.io/Logging_2309/tillsynsmail/A 70205-2021 tillsynsbegäran mail.docx", "A 70205-2021")</f>
        <v/>
      </c>
    </row>
    <row r="389" ht="15" customHeight="1">
      <c r="A389" t="inlineStr">
        <is>
          <t>A 22335-2022</t>
        </is>
      </c>
      <c r="B389" s="1" t="n">
        <v>44712</v>
      </c>
      <c r="C389" s="1" t="n">
        <v>45363</v>
      </c>
      <c r="D389" t="inlineStr">
        <is>
          <t>JÄMTLANDS LÄN</t>
        </is>
      </c>
      <c r="E389" t="inlineStr">
        <is>
          <t>STRÖMSUND</t>
        </is>
      </c>
      <c r="F389" t="inlineStr">
        <is>
          <t>SCA</t>
        </is>
      </c>
      <c r="G389" t="n">
        <v>2.6</v>
      </c>
      <c r="H389" t="n">
        <v>1</v>
      </c>
      <c r="I389" t="n">
        <v>0</v>
      </c>
      <c r="J389" t="n">
        <v>5</v>
      </c>
      <c r="K389" t="n">
        <v>1</v>
      </c>
      <c r="L389" t="n">
        <v>0</v>
      </c>
      <c r="M389" t="n">
        <v>0</v>
      </c>
      <c r="N389" t="n">
        <v>0</v>
      </c>
      <c r="O389" t="n">
        <v>6</v>
      </c>
      <c r="P389" t="n">
        <v>1</v>
      </c>
      <c r="Q389" t="n">
        <v>6</v>
      </c>
      <c r="R389" s="2" t="inlineStr">
        <is>
          <t>Doftticka
Dvärgbägarlav
Kolflarnlav
Lunglav
Vedflamlav
Vedskivlav</t>
        </is>
      </c>
      <c r="S389">
        <f>HYPERLINK("https://klasma.github.io/Logging_2313/artfynd/A 22335-2022 artfynd.xlsx", "A 22335-2022")</f>
        <v/>
      </c>
      <c r="T389">
        <f>HYPERLINK("https://klasma.github.io/Logging_2313/kartor/A 22335-2022 karta.png", "A 22335-2022")</f>
        <v/>
      </c>
      <c r="V389">
        <f>HYPERLINK("https://klasma.github.io/Logging_2313/klagomål/A 22335-2022 FSC-klagomål.docx", "A 22335-2022")</f>
        <v/>
      </c>
      <c r="W389">
        <f>HYPERLINK("https://klasma.github.io/Logging_2313/klagomålsmail/A 22335-2022 FSC-klagomål mail.docx", "A 22335-2022")</f>
        <v/>
      </c>
      <c r="X389">
        <f>HYPERLINK("https://klasma.github.io/Logging_2313/tillsyn/A 22335-2022 tillsynsbegäran.docx", "A 22335-2022")</f>
        <v/>
      </c>
      <c r="Y389">
        <f>HYPERLINK("https://klasma.github.io/Logging_2313/tillsynsmail/A 22335-2022 tillsynsbegäran mail.docx", "A 22335-2022")</f>
        <v/>
      </c>
    </row>
    <row r="390" ht="15" customHeight="1">
      <c r="A390" t="inlineStr">
        <is>
          <t>A 31719-2022</t>
        </is>
      </c>
      <c r="B390" s="1" t="n">
        <v>44776</v>
      </c>
      <c r="C390" s="1" t="n">
        <v>45363</v>
      </c>
      <c r="D390" t="inlineStr">
        <is>
          <t>JÄMTLANDS LÄN</t>
        </is>
      </c>
      <c r="E390" t="inlineStr">
        <is>
          <t>BERG</t>
        </is>
      </c>
      <c r="G390" t="n">
        <v>4.2</v>
      </c>
      <c r="H390" t="n">
        <v>1</v>
      </c>
      <c r="I390" t="n">
        <v>0</v>
      </c>
      <c r="J390" t="n">
        <v>5</v>
      </c>
      <c r="K390" t="n">
        <v>1</v>
      </c>
      <c r="L390" t="n">
        <v>0</v>
      </c>
      <c r="M390" t="n">
        <v>0</v>
      </c>
      <c r="N390" t="n">
        <v>0</v>
      </c>
      <c r="O390" t="n">
        <v>6</v>
      </c>
      <c r="P390" t="n">
        <v>1</v>
      </c>
      <c r="Q390" t="n">
        <v>6</v>
      </c>
      <c r="R390" s="2" t="inlineStr">
        <is>
          <t>Knärot
Garnlav
Lunglav
Rosenticka
Ullticka
Vedtrappmossa</t>
        </is>
      </c>
      <c r="S390">
        <f>HYPERLINK("https://klasma.github.io/Logging_2326/artfynd/A 31719-2022 artfynd.xlsx", "A 31719-2022")</f>
        <v/>
      </c>
      <c r="T390">
        <f>HYPERLINK("https://klasma.github.io/Logging_2326/kartor/A 31719-2022 karta.png", "A 31719-2022")</f>
        <v/>
      </c>
      <c r="U390">
        <f>HYPERLINK("https://klasma.github.io/Logging_2326/knärot/A 31719-2022 karta knärot.png", "A 31719-2022")</f>
        <v/>
      </c>
      <c r="V390">
        <f>HYPERLINK("https://klasma.github.io/Logging_2326/klagomål/A 31719-2022 FSC-klagomål.docx", "A 31719-2022")</f>
        <v/>
      </c>
      <c r="W390">
        <f>HYPERLINK("https://klasma.github.io/Logging_2326/klagomålsmail/A 31719-2022 FSC-klagomål mail.docx", "A 31719-2022")</f>
        <v/>
      </c>
      <c r="X390">
        <f>HYPERLINK("https://klasma.github.io/Logging_2326/tillsyn/A 31719-2022 tillsynsbegäran.docx", "A 31719-2022")</f>
        <v/>
      </c>
      <c r="Y390">
        <f>HYPERLINK("https://klasma.github.io/Logging_2326/tillsynsmail/A 31719-2022 tillsynsbegäran mail.docx", "A 31719-2022")</f>
        <v/>
      </c>
    </row>
    <row r="391" ht="15" customHeight="1">
      <c r="A391" t="inlineStr">
        <is>
          <t>A 31840-2022</t>
        </is>
      </c>
      <c r="B391" s="1" t="n">
        <v>44777</v>
      </c>
      <c r="C391" s="1" t="n">
        <v>45363</v>
      </c>
      <c r="D391" t="inlineStr">
        <is>
          <t>JÄMTLANDS LÄN</t>
        </is>
      </c>
      <c r="E391" t="inlineStr">
        <is>
          <t>RAGUNDA</t>
        </is>
      </c>
      <c r="F391" t="inlineStr">
        <is>
          <t>SCA</t>
        </is>
      </c>
      <c r="G391" t="n">
        <v>3.9</v>
      </c>
      <c r="H391" t="n">
        <v>1</v>
      </c>
      <c r="I391" t="n">
        <v>2</v>
      </c>
      <c r="J391" t="n">
        <v>4</v>
      </c>
      <c r="K391" t="n">
        <v>0</v>
      </c>
      <c r="L391" t="n">
        <v>0</v>
      </c>
      <c r="M391" t="n">
        <v>0</v>
      </c>
      <c r="N391" t="n">
        <v>0</v>
      </c>
      <c r="O391" t="n">
        <v>4</v>
      </c>
      <c r="P391" t="n">
        <v>0</v>
      </c>
      <c r="Q391" t="n">
        <v>6</v>
      </c>
      <c r="R391" s="2" t="inlineStr">
        <is>
          <t>Barrviolspindling
Tretåig hackspett
Vitgrynig nållav
Äggvaxskivling
Fjällig taggsvamp s.str.
Svavelriska</t>
        </is>
      </c>
      <c r="S391">
        <f>HYPERLINK("https://klasma.github.io/Logging_2303/artfynd/A 31840-2022 artfynd.xlsx", "A 31840-2022")</f>
        <v/>
      </c>
      <c r="T391">
        <f>HYPERLINK("https://klasma.github.io/Logging_2303/kartor/A 31840-2022 karta.png", "A 31840-2022")</f>
        <v/>
      </c>
      <c r="V391">
        <f>HYPERLINK("https://klasma.github.io/Logging_2303/klagomål/A 31840-2022 FSC-klagomål.docx", "A 31840-2022")</f>
        <v/>
      </c>
      <c r="W391">
        <f>HYPERLINK("https://klasma.github.io/Logging_2303/klagomålsmail/A 31840-2022 FSC-klagomål mail.docx", "A 31840-2022")</f>
        <v/>
      </c>
      <c r="X391">
        <f>HYPERLINK("https://klasma.github.io/Logging_2303/tillsyn/A 31840-2022 tillsynsbegäran.docx", "A 31840-2022")</f>
        <v/>
      </c>
      <c r="Y391">
        <f>HYPERLINK("https://klasma.github.io/Logging_2303/tillsynsmail/A 31840-2022 tillsynsbegäran mail.docx", "A 31840-2022")</f>
        <v/>
      </c>
      <c r="Z391">
        <f>HYPERLINK("https://klasma.github.io/Logging_2303/fåglar/A 31840-2022 prioriterade fågelarter.docx", "A 31840-2022")</f>
        <v/>
      </c>
    </row>
    <row r="392" ht="15" customHeight="1">
      <c r="A392" t="inlineStr">
        <is>
          <t>A 33901-2022</t>
        </is>
      </c>
      <c r="B392" s="1" t="n">
        <v>44790</v>
      </c>
      <c r="C392" s="1" t="n">
        <v>45363</v>
      </c>
      <c r="D392" t="inlineStr">
        <is>
          <t>JÄMTLANDS LÄN</t>
        </is>
      </c>
      <c r="E392" t="inlineStr">
        <is>
          <t>STRÖMSUND</t>
        </is>
      </c>
      <c r="F392" t="inlineStr">
        <is>
          <t>Holmen skog AB</t>
        </is>
      </c>
      <c r="G392" t="n">
        <v>4.7</v>
      </c>
      <c r="H392" t="n">
        <v>0</v>
      </c>
      <c r="I392" t="n">
        <v>1</v>
      </c>
      <c r="J392" t="n">
        <v>5</v>
      </c>
      <c r="K392" t="n">
        <v>0</v>
      </c>
      <c r="L392" t="n">
        <v>0</v>
      </c>
      <c r="M392" t="n">
        <v>0</v>
      </c>
      <c r="N392" t="n">
        <v>0</v>
      </c>
      <c r="O392" t="n">
        <v>5</v>
      </c>
      <c r="P392" t="n">
        <v>0</v>
      </c>
      <c r="Q392" t="n">
        <v>6</v>
      </c>
      <c r="R392" s="2" t="inlineStr">
        <is>
          <t>Gammelgransskål
Granticka
Lunglav
Rosenticka
Ullticka
Vedticka</t>
        </is>
      </c>
      <c r="S392">
        <f>HYPERLINK("https://klasma.github.io/Logging_2313/artfynd/A 33901-2022 artfynd.xlsx", "A 33901-2022")</f>
        <v/>
      </c>
      <c r="T392">
        <f>HYPERLINK("https://klasma.github.io/Logging_2313/kartor/A 33901-2022 karta.png", "A 33901-2022")</f>
        <v/>
      </c>
      <c r="V392">
        <f>HYPERLINK("https://klasma.github.io/Logging_2313/klagomål/A 33901-2022 FSC-klagomål.docx", "A 33901-2022")</f>
        <v/>
      </c>
      <c r="W392">
        <f>HYPERLINK("https://klasma.github.io/Logging_2313/klagomålsmail/A 33901-2022 FSC-klagomål mail.docx", "A 33901-2022")</f>
        <v/>
      </c>
      <c r="X392">
        <f>HYPERLINK("https://klasma.github.io/Logging_2313/tillsyn/A 33901-2022 tillsynsbegäran.docx", "A 33901-2022")</f>
        <v/>
      </c>
      <c r="Y392">
        <f>HYPERLINK("https://klasma.github.io/Logging_2313/tillsynsmail/A 33901-2022 tillsynsbegäran mail.docx", "A 33901-2022")</f>
        <v/>
      </c>
    </row>
    <row r="393" ht="15" customHeight="1">
      <c r="A393" t="inlineStr">
        <is>
          <t>A 35158-2022</t>
        </is>
      </c>
      <c r="B393" s="1" t="n">
        <v>44797</v>
      </c>
      <c r="C393" s="1" t="n">
        <v>45363</v>
      </c>
      <c r="D393" t="inlineStr">
        <is>
          <t>JÄMTLANDS LÄN</t>
        </is>
      </c>
      <c r="E393" t="inlineStr">
        <is>
          <t>KROKOM</t>
        </is>
      </c>
      <c r="G393" t="n">
        <v>17.5</v>
      </c>
      <c r="H393" t="n">
        <v>1</v>
      </c>
      <c r="I393" t="n">
        <v>2</v>
      </c>
      <c r="J393" t="n">
        <v>4</v>
      </c>
      <c r="K393" t="n">
        <v>0</v>
      </c>
      <c r="L393" t="n">
        <v>0</v>
      </c>
      <c r="M393" t="n">
        <v>0</v>
      </c>
      <c r="N393" t="n">
        <v>0</v>
      </c>
      <c r="O393" t="n">
        <v>4</v>
      </c>
      <c r="P393" t="n">
        <v>0</v>
      </c>
      <c r="Q393" t="n">
        <v>6</v>
      </c>
      <c r="R393" s="2" t="inlineStr">
        <is>
          <t>Lunglav
Skrovellav
Ullticka
Vitgrynig nållav
Grönkulla
Vedticka</t>
        </is>
      </c>
      <c r="S393">
        <f>HYPERLINK("https://klasma.github.io/Logging_2309/artfynd/A 35158-2022 artfynd.xlsx", "A 35158-2022")</f>
        <v/>
      </c>
      <c r="T393">
        <f>HYPERLINK("https://klasma.github.io/Logging_2309/kartor/A 35158-2022 karta.png", "A 35158-2022")</f>
        <v/>
      </c>
      <c r="V393">
        <f>HYPERLINK("https://klasma.github.io/Logging_2309/klagomål/A 35158-2022 FSC-klagomål.docx", "A 35158-2022")</f>
        <v/>
      </c>
      <c r="W393">
        <f>HYPERLINK("https://klasma.github.io/Logging_2309/klagomålsmail/A 35158-2022 FSC-klagomål mail.docx", "A 35158-2022")</f>
        <v/>
      </c>
      <c r="X393">
        <f>HYPERLINK("https://klasma.github.io/Logging_2309/tillsyn/A 35158-2022 tillsynsbegäran.docx", "A 35158-2022")</f>
        <v/>
      </c>
      <c r="Y393">
        <f>HYPERLINK("https://klasma.github.io/Logging_2309/tillsynsmail/A 35158-2022 tillsynsbegäran mail.docx", "A 35158-2022")</f>
        <v/>
      </c>
    </row>
    <row r="394" ht="15" customHeight="1">
      <c r="A394" t="inlineStr">
        <is>
          <t>A 36221-2022</t>
        </is>
      </c>
      <c r="B394" s="1" t="n">
        <v>44803</v>
      </c>
      <c r="C394" s="1" t="n">
        <v>45363</v>
      </c>
      <c r="D394" t="inlineStr">
        <is>
          <t>JÄMTLANDS LÄN</t>
        </is>
      </c>
      <c r="E394" t="inlineStr">
        <is>
          <t>STRÖMSUND</t>
        </is>
      </c>
      <c r="G394" t="n">
        <v>8.6</v>
      </c>
      <c r="H394" t="n">
        <v>2</v>
      </c>
      <c r="I394" t="n">
        <v>2</v>
      </c>
      <c r="J394" t="n">
        <v>2</v>
      </c>
      <c r="K394" t="n">
        <v>2</v>
      </c>
      <c r="L394" t="n">
        <v>0</v>
      </c>
      <c r="M394" t="n">
        <v>0</v>
      </c>
      <c r="N394" t="n">
        <v>0</v>
      </c>
      <c r="O394" t="n">
        <v>4</v>
      </c>
      <c r="P394" t="n">
        <v>2</v>
      </c>
      <c r="Q394" t="n">
        <v>6</v>
      </c>
      <c r="R394" s="2" t="inlineStr">
        <is>
          <t>Knärot
Liten hornflikmossa
Lunglav
Vedtrappmossa
Guckusko
Rödgul trumpetsvamp</t>
        </is>
      </c>
      <c r="S394">
        <f>HYPERLINK("https://klasma.github.io/Logging_2313/artfynd/A 36221-2022 artfynd.xlsx", "A 36221-2022")</f>
        <v/>
      </c>
      <c r="T394">
        <f>HYPERLINK("https://klasma.github.io/Logging_2313/kartor/A 36221-2022 karta.png", "A 36221-2022")</f>
        <v/>
      </c>
      <c r="U394">
        <f>HYPERLINK("https://klasma.github.io/Logging_2313/knärot/A 36221-2022 karta knärot.png", "A 36221-2022")</f>
        <v/>
      </c>
      <c r="V394">
        <f>HYPERLINK("https://klasma.github.io/Logging_2313/klagomål/A 36221-2022 FSC-klagomål.docx", "A 36221-2022")</f>
        <v/>
      </c>
      <c r="W394">
        <f>HYPERLINK("https://klasma.github.io/Logging_2313/klagomålsmail/A 36221-2022 FSC-klagomål mail.docx", "A 36221-2022")</f>
        <v/>
      </c>
      <c r="X394">
        <f>HYPERLINK("https://klasma.github.io/Logging_2313/tillsyn/A 36221-2022 tillsynsbegäran.docx", "A 36221-2022")</f>
        <v/>
      </c>
      <c r="Y394">
        <f>HYPERLINK("https://klasma.github.io/Logging_2313/tillsynsmail/A 36221-2022 tillsynsbegäran mail.docx", "A 36221-2022")</f>
        <v/>
      </c>
    </row>
    <row r="395" ht="15" customHeight="1">
      <c r="A395" t="inlineStr">
        <is>
          <t>A 36365-2022</t>
        </is>
      </c>
      <c r="B395" s="1" t="n">
        <v>44803</v>
      </c>
      <c r="C395" s="1" t="n">
        <v>45363</v>
      </c>
      <c r="D395" t="inlineStr">
        <is>
          <t>JÄMTLANDS LÄN</t>
        </is>
      </c>
      <c r="E395" t="inlineStr">
        <is>
          <t>STRÖMSUND</t>
        </is>
      </c>
      <c r="F395" t="inlineStr">
        <is>
          <t>SCA</t>
        </is>
      </c>
      <c r="G395" t="n">
        <v>16.8</v>
      </c>
      <c r="H395" t="n">
        <v>1</v>
      </c>
      <c r="I395" t="n">
        <v>2</v>
      </c>
      <c r="J395" t="n">
        <v>4</v>
      </c>
      <c r="K395" t="n">
        <v>0</v>
      </c>
      <c r="L395" t="n">
        <v>0</v>
      </c>
      <c r="M395" t="n">
        <v>0</v>
      </c>
      <c r="N395" t="n">
        <v>0</v>
      </c>
      <c r="O395" t="n">
        <v>4</v>
      </c>
      <c r="P395" t="n">
        <v>0</v>
      </c>
      <c r="Q395" t="n">
        <v>6</v>
      </c>
      <c r="R395" s="2" t="inlineStr">
        <is>
          <t>Garnlav
Lunglav
Skogsfru
Skrovellav
Bårdlav
Stuplav</t>
        </is>
      </c>
      <c r="S395">
        <f>HYPERLINK("https://klasma.github.io/Logging_2313/artfynd/A 36365-2022 artfynd.xlsx", "A 36365-2022")</f>
        <v/>
      </c>
      <c r="T395">
        <f>HYPERLINK("https://klasma.github.io/Logging_2313/kartor/A 36365-2022 karta.png", "A 36365-2022")</f>
        <v/>
      </c>
      <c r="V395">
        <f>HYPERLINK("https://klasma.github.io/Logging_2313/klagomål/A 36365-2022 FSC-klagomål.docx", "A 36365-2022")</f>
        <v/>
      </c>
      <c r="W395">
        <f>HYPERLINK("https://klasma.github.io/Logging_2313/klagomålsmail/A 36365-2022 FSC-klagomål mail.docx", "A 36365-2022")</f>
        <v/>
      </c>
      <c r="X395">
        <f>HYPERLINK("https://klasma.github.io/Logging_2313/tillsyn/A 36365-2022 tillsynsbegäran.docx", "A 36365-2022")</f>
        <v/>
      </c>
      <c r="Y395">
        <f>HYPERLINK("https://klasma.github.io/Logging_2313/tillsynsmail/A 36365-2022 tillsynsbegäran mail.docx", "A 36365-2022")</f>
        <v/>
      </c>
    </row>
    <row r="396" ht="15" customHeight="1">
      <c r="A396" t="inlineStr">
        <is>
          <t>A 37398-2022</t>
        </is>
      </c>
      <c r="B396" s="1" t="n">
        <v>44806</v>
      </c>
      <c r="C396" s="1" t="n">
        <v>45363</v>
      </c>
      <c r="D396" t="inlineStr">
        <is>
          <t>JÄMTLANDS LÄN</t>
        </is>
      </c>
      <c r="E396" t="inlineStr">
        <is>
          <t>BERG</t>
        </is>
      </c>
      <c r="G396" t="n">
        <v>29.6</v>
      </c>
      <c r="H396" t="n">
        <v>3</v>
      </c>
      <c r="I396" t="n">
        <v>1</v>
      </c>
      <c r="J396" t="n">
        <v>5</v>
      </c>
      <c r="K396" t="n">
        <v>0</v>
      </c>
      <c r="L396" t="n">
        <v>0</v>
      </c>
      <c r="M396" t="n">
        <v>0</v>
      </c>
      <c r="N396" t="n">
        <v>0</v>
      </c>
      <c r="O396" t="n">
        <v>5</v>
      </c>
      <c r="P396" t="n">
        <v>0</v>
      </c>
      <c r="Q396" t="n">
        <v>6</v>
      </c>
      <c r="R396" s="2" t="inlineStr">
        <is>
          <t>Gränsticka
Harticka
Spillkråka
Stjärntagging
Tretåig hackspett
Spindelblomster</t>
        </is>
      </c>
      <c r="S396">
        <f>HYPERLINK("https://klasma.github.io/Logging_2326/artfynd/A 37398-2022 artfynd.xlsx", "A 37398-2022")</f>
        <v/>
      </c>
      <c r="T396">
        <f>HYPERLINK("https://klasma.github.io/Logging_2326/kartor/A 37398-2022 karta.png", "A 37398-2022")</f>
        <v/>
      </c>
      <c r="V396">
        <f>HYPERLINK("https://klasma.github.io/Logging_2326/klagomål/A 37398-2022 FSC-klagomål.docx", "A 37398-2022")</f>
        <v/>
      </c>
      <c r="W396">
        <f>HYPERLINK("https://klasma.github.io/Logging_2326/klagomålsmail/A 37398-2022 FSC-klagomål mail.docx", "A 37398-2022")</f>
        <v/>
      </c>
      <c r="X396">
        <f>HYPERLINK("https://klasma.github.io/Logging_2326/tillsyn/A 37398-2022 tillsynsbegäran.docx", "A 37398-2022")</f>
        <v/>
      </c>
      <c r="Y396">
        <f>HYPERLINK("https://klasma.github.io/Logging_2326/tillsynsmail/A 37398-2022 tillsynsbegäran mail.docx", "A 37398-2022")</f>
        <v/>
      </c>
      <c r="Z396">
        <f>HYPERLINK("https://klasma.github.io/Logging_2326/fåglar/A 37398-2022 prioriterade fågelarter.docx", "A 37398-2022")</f>
        <v/>
      </c>
    </row>
    <row r="397" ht="15" customHeight="1">
      <c r="A397" t="inlineStr">
        <is>
          <t>A 37494-2022</t>
        </is>
      </c>
      <c r="B397" s="1" t="n">
        <v>44809</v>
      </c>
      <c r="C397" s="1" t="n">
        <v>45363</v>
      </c>
      <c r="D397" t="inlineStr">
        <is>
          <t>JÄMTLANDS LÄN</t>
        </is>
      </c>
      <c r="E397" t="inlineStr">
        <is>
          <t>ÅRE</t>
        </is>
      </c>
      <c r="G397" t="n">
        <v>9.9</v>
      </c>
      <c r="H397" t="n">
        <v>1</v>
      </c>
      <c r="I397" t="n">
        <v>2</v>
      </c>
      <c r="J397" t="n">
        <v>3</v>
      </c>
      <c r="K397" t="n">
        <v>0</v>
      </c>
      <c r="L397" t="n">
        <v>0</v>
      </c>
      <c r="M397" t="n">
        <v>0</v>
      </c>
      <c r="N397" t="n">
        <v>0</v>
      </c>
      <c r="O397" t="n">
        <v>3</v>
      </c>
      <c r="P397" t="n">
        <v>0</v>
      </c>
      <c r="Q397" t="n">
        <v>6</v>
      </c>
      <c r="R397" s="2" t="inlineStr">
        <is>
          <t>Garnlav
Granticka
Ullticka
Norrlandslav
Ögonpyrola
Revlummer</t>
        </is>
      </c>
      <c r="S397">
        <f>HYPERLINK("https://klasma.github.io/Logging_2321/artfynd/A 37494-2022 artfynd.xlsx", "A 37494-2022")</f>
        <v/>
      </c>
      <c r="T397">
        <f>HYPERLINK("https://klasma.github.io/Logging_2321/kartor/A 37494-2022 karta.png", "A 37494-2022")</f>
        <v/>
      </c>
      <c r="V397">
        <f>HYPERLINK("https://klasma.github.io/Logging_2321/klagomål/A 37494-2022 FSC-klagomål.docx", "A 37494-2022")</f>
        <v/>
      </c>
      <c r="W397">
        <f>HYPERLINK("https://klasma.github.io/Logging_2321/klagomålsmail/A 37494-2022 FSC-klagomål mail.docx", "A 37494-2022")</f>
        <v/>
      </c>
      <c r="X397">
        <f>HYPERLINK("https://klasma.github.io/Logging_2321/tillsyn/A 37494-2022 tillsynsbegäran.docx", "A 37494-2022")</f>
        <v/>
      </c>
      <c r="Y397">
        <f>HYPERLINK("https://klasma.github.io/Logging_2321/tillsynsmail/A 37494-2022 tillsynsbegäran mail.docx", "A 37494-2022")</f>
        <v/>
      </c>
    </row>
    <row r="398" ht="15" customHeight="1">
      <c r="A398" t="inlineStr">
        <is>
          <t>A 43190-2022</t>
        </is>
      </c>
      <c r="B398" s="1" t="n">
        <v>44834</v>
      </c>
      <c r="C398" s="1" t="n">
        <v>45363</v>
      </c>
      <c r="D398" t="inlineStr">
        <is>
          <t>JÄMTLANDS LÄN</t>
        </is>
      </c>
      <c r="E398" t="inlineStr">
        <is>
          <t>KROKOM</t>
        </is>
      </c>
      <c r="G398" t="n">
        <v>6.8</v>
      </c>
      <c r="H398" t="n">
        <v>2</v>
      </c>
      <c r="I398" t="n">
        <v>2</v>
      </c>
      <c r="J398" t="n">
        <v>3</v>
      </c>
      <c r="K398" t="n">
        <v>1</v>
      </c>
      <c r="L398" t="n">
        <v>0</v>
      </c>
      <c r="M398" t="n">
        <v>0</v>
      </c>
      <c r="N398" t="n">
        <v>0</v>
      </c>
      <c r="O398" t="n">
        <v>4</v>
      </c>
      <c r="P398" t="n">
        <v>1</v>
      </c>
      <c r="Q398" t="n">
        <v>6</v>
      </c>
      <c r="R398" s="2" t="inlineStr">
        <is>
          <t>Knärot
Lunglav
Talltita
Ullticka
Bårdlav
Skinnlav</t>
        </is>
      </c>
      <c r="S398">
        <f>HYPERLINK("https://klasma.github.io/Logging_2309/artfynd/A 43190-2022 artfynd.xlsx", "A 43190-2022")</f>
        <v/>
      </c>
      <c r="T398">
        <f>HYPERLINK("https://klasma.github.io/Logging_2309/kartor/A 43190-2022 karta.png", "A 43190-2022")</f>
        <v/>
      </c>
      <c r="U398">
        <f>HYPERLINK("https://klasma.github.io/Logging_2309/knärot/A 43190-2022 karta knärot.png", "A 43190-2022")</f>
        <v/>
      </c>
      <c r="V398">
        <f>HYPERLINK("https://klasma.github.io/Logging_2309/klagomål/A 43190-2022 FSC-klagomål.docx", "A 43190-2022")</f>
        <v/>
      </c>
      <c r="W398">
        <f>HYPERLINK("https://klasma.github.io/Logging_2309/klagomålsmail/A 43190-2022 FSC-klagomål mail.docx", "A 43190-2022")</f>
        <v/>
      </c>
      <c r="X398">
        <f>HYPERLINK("https://klasma.github.io/Logging_2309/tillsyn/A 43190-2022 tillsynsbegäran.docx", "A 43190-2022")</f>
        <v/>
      </c>
      <c r="Y398">
        <f>HYPERLINK("https://klasma.github.io/Logging_2309/tillsynsmail/A 43190-2022 tillsynsbegäran mail.docx", "A 43190-2022")</f>
        <v/>
      </c>
      <c r="Z398">
        <f>HYPERLINK("https://klasma.github.io/Logging_2309/fåglar/A 43190-2022 prioriterade fågelarter.docx", "A 43190-2022")</f>
        <v/>
      </c>
    </row>
    <row r="399" ht="15" customHeight="1">
      <c r="A399" t="inlineStr">
        <is>
          <t>A 45111-2022</t>
        </is>
      </c>
      <c r="B399" s="1" t="n">
        <v>44843</v>
      </c>
      <c r="C399" s="1" t="n">
        <v>45363</v>
      </c>
      <c r="D399" t="inlineStr">
        <is>
          <t>JÄMTLANDS LÄN</t>
        </is>
      </c>
      <c r="E399" t="inlineStr">
        <is>
          <t>ÅRE</t>
        </is>
      </c>
      <c r="G399" t="n">
        <v>1.6</v>
      </c>
      <c r="H399" t="n">
        <v>4</v>
      </c>
      <c r="I399" t="n">
        <v>2</v>
      </c>
      <c r="J399" t="n">
        <v>2</v>
      </c>
      <c r="K399" t="n">
        <v>0</v>
      </c>
      <c r="L399" t="n">
        <v>0</v>
      </c>
      <c r="M399" t="n">
        <v>0</v>
      </c>
      <c r="N399" t="n">
        <v>0</v>
      </c>
      <c r="O399" t="n">
        <v>2</v>
      </c>
      <c r="P399" t="n">
        <v>0</v>
      </c>
      <c r="Q399" t="n">
        <v>6</v>
      </c>
      <c r="R399" s="2" t="inlineStr">
        <is>
          <t>Lunglav
Skrovellav
Korallrot
Tvåblad
Fläcknycklar
Revlummer</t>
        </is>
      </c>
      <c r="S399">
        <f>HYPERLINK("https://klasma.github.io/Logging_2321/artfynd/A 45111-2022 artfynd.xlsx", "A 45111-2022")</f>
        <v/>
      </c>
      <c r="T399">
        <f>HYPERLINK("https://klasma.github.io/Logging_2321/kartor/A 45111-2022 karta.png", "A 45111-2022")</f>
        <v/>
      </c>
      <c r="V399">
        <f>HYPERLINK("https://klasma.github.io/Logging_2321/klagomål/A 45111-2022 FSC-klagomål.docx", "A 45111-2022")</f>
        <v/>
      </c>
      <c r="W399">
        <f>HYPERLINK("https://klasma.github.io/Logging_2321/klagomålsmail/A 45111-2022 FSC-klagomål mail.docx", "A 45111-2022")</f>
        <v/>
      </c>
      <c r="X399">
        <f>HYPERLINK("https://klasma.github.io/Logging_2321/tillsyn/A 45111-2022 tillsynsbegäran.docx", "A 45111-2022")</f>
        <v/>
      </c>
      <c r="Y399">
        <f>HYPERLINK("https://klasma.github.io/Logging_2321/tillsynsmail/A 45111-2022 tillsynsbegäran mail.docx", "A 45111-2022")</f>
        <v/>
      </c>
    </row>
    <row r="400" ht="15" customHeight="1">
      <c r="A400" t="inlineStr">
        <is>
          <t>A 49540-2022</t>
        </is>
      </c>
      <c r="B400" s="1" t="n">
        <v>44861</v>
      </c>
      <c r="C400" s="1" t="n">
        <v>45363</v>
      </c>
      <c r="D400" t="inlineStr">
        <is>
          <t>JÄMTLANDS LÄN</t>
        </is>
      </c>
      <c r="E400" t="inlineStr">
        <is>
          <t>BRÄCKE</t>
        </is>
      </c>
      <c r="F400" t="inlineStr">
        <is>
          <t>SCA</t>
        </is>
      </c>
      <c r="G400" t="n">
        <v>10.5</v>
      </c>
      <c r="H400" t="n">
        <v>2</v>
      </c>
      <c r="I400" t="n">
        <v>0</v>
      </c>
      <c r="J400" t="n">
        <v>4</v>
      </c>
      <c r="K400" t="n">
        <v>2</v>
      </c>
      <c r="L400" t="n">
        <v>0</v>
      </c>
      <c r="M400" t="n">
        <v>0</v>
      </c>
      <c r="N400" t="n">
        <v>0</v>
      </c>
      <c r="O400" t="n">
        <v>6</v>
      </c>
      <c r="P400" t="n">
        <v>2</v>
      </c>
      <c r="Q400" t="n">
        <v>6</v>
      </c>
      <c r="R400" s="2" t="inlineStr">
        <is>
          <t>Knärot
Rynkskinn
Rosenticka
Talltita
Ullticka
Äggvaxskivling</t>
        </is>
      </c>
      <c r="S400">
        <f>HYPERLINK("https://klasma.github.io/Logging_2305/artfynd/A 49540-2022 artfynd.xlsx", "A 49540-2022")</f>
        <v/>
      </c>
      <c r="T400">
        <f>HYPERLINK("https://klasma.github.io/Logging_2305/kartor/A 49540-2022 karta.png", "A 49540-2022")</f>
        <v/>
      </c>
      <c r="U400">
        <f>HYPERLINK("https://klasma.github.io/Logging_2305/knärot/A 49540-2022 karta knärot.png", "A 49540-2022")</f>
        <v/>
      </c>
      <c r="V400">
        <f>HYPERLINK("https://klasma.github.io/Logging_2305/klagomål/A 49540-2022 FSC-klagomål.docx", "A 49540-2022")</f>
        <v/>
      </c>
      <c r="W400">
        <f>HYPERLINK("https://klasma.github.io/Logging_2305/klagomålsmail/A 49540-2022 FSC-klagomål mail.docx", "A 49540-2022")</f>
        <v/>
      </c>
      <c r="X400">
        <f>HYPERLINK("https://klasma.github.io/Logging_2305/tillsyn/A 49540-2022 tillsynsbegäran.docx", "A 49540-2022")</f>
        <v/>
      </c>
      <c r="Y400">
        <f>HYPERLINK("https://klasma.github.io/Logging_2305/tillsynsmail/A 49540-2022 tillsynsbegäran mail.docx", "A 49540-2022")</f>
        <v/>
      </c>
      <c r="Z400">
        <f>HYPERLINK("https://klasma.github.io/Logging_2305/fåglar/A 49540-2022 prioriterade fågelarter.docx", "A 49540-2022")</f>
        <v/>
      </c>
    </row>
    <row r="401" ht="15" customHeight="1">
      <c r="A401" t="inlineStr">
        <is>
          <t>A 53021-2022</t>
        </is>
      </c>
      <c r="B401" s="1" t="n">
        <v>44875</v>
      </c>
      <c r="C401" s="1" t="n">
        <v>45363</v>
      </c>
      <c r="D401" t="inlineStr">
        <is>
          <t>JÄMTLANDS LÄN</t>
        </is>
      </c>
      <c r="E401" t="inlineStr">
        <is>
          <t>RAGUNDA</t>
        </is>
      </c>
      <c r="F401" t="inlineStr">
        <is>
          <t>SCA</t>
        </is>
      </c>
      <c r="G401" t="n">
        <v>6.1</v>
      </c>
      <c r="H401" t="n">
        <v>0</v>
      </c>
      <c r="I401" t="n">
        <v>2</v>
      </c>
      <c r="J401" t="n">
        <v>4</v>
      </c>
      <c r="K401" t="n">
        <v>0</v>
      </c>
      <c r="L401" t="n">
        <v>0</v>
      </c>
      <c r="M401" t="n">
        <v>0</v>
      </c>
      <c r="N401" t="n">
        <v>0</v>
      </c>
      <c r="O401" t="n">
        <v>4</v>
      </c>
      <c r="P401" t="n">
        <v>0</v>
      </c>
      <c r="Q401" t="n">
        <v>6</v>
      </c>
      <c r="R401" s="2" t="inlineStr">
        <is>
          <t>Gammelgransskål
Garnlav
Granticka
Vitgrynig nållav
Bollvitmossa
Ögonpyrola</t>
        </is>
      </c>
      <c r="S401">
        <f>HYPERLINK("https://klasma.github.io/Logging_2303/artfynd/A 53021-2022 artfynd.xlsx", "A 53021-2022")</f>
        <v/>
      </c>
      <c r="T401">
        <f>HYPERLINK("https://klasma.github.io/Logging_2303/kartor/A 53021-2022 karta.png", "A 53021-2022")</f>
        <v/>
      </c>
      <c r="V401">
        <f>HYPERLINK("https://klasma.github.io/Logging_2303/klagomål/A 53021-2022 FSC-klagomål.docx", "A 53021-2022")</f>
        <v/>
      </c>
      <c r="W401">
        <f>HYPERLINK("https://klasma.github.io/Logging_2303/klagomålsmail/A 53021-2022 FSC-klagomål mail.docx", "A 53021-2022")</f>
        <v/>
      </c>
      <c r="X401">
        <f>HYPERLINK("https://klasma.github.io/Logging_2303/tillsyn/A 53021-2022 tillsynsbegäran.docx", "A 53021-2022")</f>
        <v/>
      </c>
      <c r="Y401">
        <f>HYPERLINK("https://klasma.github.io/Logging_2303/tillsynsmail/A 53021-2022 tillsynsbegäran mail.docx", "A 53021-2022")</f>
        <v/>
      </c>
    </row>
    <row r="402" ht="15" customHeight="1">
      <c r="A402" t="inlineStr">
        <is>
          <t>A 53277-2022</t>
        </is>
      </c>
      <c r="B402" s="1" t="n">
        <v>44876</v>
      </c>
      <c r="C402" s="1" t="n">
        <v>45363</v>
      </c>
      <c r="D402" t="inlineStr">
        <is>
          <t>JÄMTLANDS LÄN</t>
        </is>
      </c>
      <c r="E402" t="inlineStr">
        <is>
          <t>RAGUNDA</t>
        </is>
      </c>
      <c r="F402" t="inlineStr">
        <is>
          <t>SCA</t>
        </is>
      </c>
      <c r="G402" t="n">
        <v>2.5</v>
      </c>
      <c r="H402" t="n">
        <v>1</v>
      </c>
      <c r="I402" t="n">
        <v>3</v>
      </c>
      <c r="J402" t="n">
        <v>3</v>
      </c>
      <c r="K402" t="n">
        <v>0</v>
      </c>
      <c r="L402" t="n">
        <v>0</v>
      </c>
      <c r="M402" t="n">
        <v>0</v>
      </c>
      <c r="N402" t="n">
        <v>0</v>
      </c>
      <c r="O402" t="n">
        <v>3</v>
      </c>
      <c r="P402" t="n">
        <v>0</v>
      </c>
      <c r="Q402" t="n">
        <v>6</v>
      </c>
      <c r="R402" s="2" t="inlineStr">
        <is>
          <t>Garnlav
Kolflarnlav
Ullticka
Dropptaggsvamp
Plattlummer
Vedticka</t>
        </is>
      </c>
      <c r="S402">
        <f>HYPERLINK("https://klasma.github.io/Logging_2303/artfynd/A 53277-2022 artfynd.xlsx", "A 53277-2022")</f>
        <v/>
      </c>
      <c r="T402">
        <f>HYPERLINK("https://klasma.github.io/Logging_2303/kartor/A 53277-2022 karta.png", "A 53277-2022")</f>
        <v/>
      </c>
      <c r="V402">
        <f>HYPERLINK("https://klasma.github.io/Logging_2303/klagomål/A 53277-2022 FSC-klagomål.docx", "A 53277-2022")</f>
        <v/>
      </c>
      <c r="W402">
        <f>HYPERLINK("https://klasma.github.io/Logging_2303/klagomålsmail/A 53277-2022 FSC-klagomål mail.docx", "A 53277-2022")</f>
        <v/>
      </c>
      <c r="X402">
        <f>HYPERLINK("https://klasma.github.io/Logging_2303/tillsyn/A 53277-2022 tillsynsbegäran.docx", "A 53277-2022")</f>
        <v/>
      </c>
      <c r="Y402">
        <f>HYPERLINK("https://klasma.github.io/Logging_2303/tillsynsmail/A 53277-2022 tillsynsbegäran mail.docx", "A 53277-2022")</f>
        <v/>
      </c>
    </row>
    <row r="403" ht="15" customHeight="1">
      <c r="A403" t="inlineStr">
        <is>
          <t>A 56247-2022</t>
        </is>
      </c>
      <c r="B403" s="1" t="n">
        <v>44890</v>
      </c>
      <c r="C403" s="1" t="n">
        <v>45363</v>
      </c>
      <c r="D403" t="inlineStr">
        <is>
          <t>JÄMTLANDS LÄN</t>
        </is>
      </c>
      <c r="E403" t="inlineStr">
        <is>
          <t>KROKOM</t>
        </is>
      </c>
      <c r="F403" t="inlineStr">
        <is>
          <t>Övriga Aktiebolag</t>
        </is>
      </c>
      <c r="G403" t="n">
        <v>40.3</v>
      </c>
      <c r="H403" t="n">
        <v>3</v>
      </c>
      <c r="I403" t="n">
        <v>2</v>
      </c>
      <c r="J403" t="n">
        <v>4</v>
      </c>
      <c r="K403" t="n">
        <v>0</v>
      </c>
      <c r="L403" t="n">
        <v>0</v>
      </c>
      <c r="M403" t="n">
        <v>0</v>
      </c>
      <c r="N403" t="n">
        <v>0</v>
      </c>
      <c r="O403" t="n">
        <v>4</v>
      </c>
      <c r="P403" t="n">
        <v>0</v>
      </c>
      <c r="Q403" t="n">
        <v>6</v>
      </c>
      <c r="R403" s="2" t="inlineStr">
        <is>
          <t>Gammelgransskål
Granticka
Spillkråka
Tretåig hackspett
Spindelblomster
Trådticka</t>
        </is>
      </c>
      <c r="S403">
        <f>HYPERLINK("https://klasma.github.io/Logging_2309/artfynd/A 56247-2022 artfynd.xlsx", "A 56247-2022")</f>
        <v/>
      </c>
      <c r="T403">
        <f>HYPERLINK("https://klasma.github.io/Logging_2309/kartor/A 56247-2022 karta.png", "A 56247-2022")</f>
        <v/>
      </c>
      <c r="V403">
        <f>HYPERLINK("https://klasma.github.io/Logging_2309/klagomål/A 56247-2022 FSC-klagomål.docx", "A 56247-2022")</f>
        <v/>
      </c>
      <c r="W403">
        <f>HYPERLINK("https://klasma.github.io/Logging_2309/klagomålsmail/A 56247-2022 FSC-klagomål mail.docx", "A 56247-2022")</f>
        <v/>
      </c>
      <c r="X403">
        <f>HYPERLINK("https://klasma.github.io/Logging_2309/tillsyn/A 56247-2022 tillsynsbegäran.docx", "A 56247-2022")</f>
        <v/>
      </c>
      <c r="Y403">
        <f>HYPERLINK("https://klasma.github.io/Logging_2309/tillsynsmail/A 56247-2022 tillsynsbegäran mail.docx", "A 56247-2022")</f>
        <v/>
      </c>
      <c r="Z403">
        <f>HYPERLINK("https://klasma.github.io/Logging_2309/fåglar/A 56247-2022 prioriterade fågelarter.docx", "A 56247-2022")</f>
        <v/>
      </c>
    </row>
    <row r="404" ht="15" customHeight="1">
      <c r="A404" t="inlineStr">
        <is>
          <t>A 56888-2022</t>
        </is>
      </c>
      <c r="B404" s="1" t="n">
        <v>44894</v>
      </c>
      <c r="C404" s="1" t="n">
        <v>45363</v>
      </c>
      <c r="D404" t="inlineStr">
        <is>
          <t>JÄMTLANDS LÄN</t>
        </is>
      </c>
      <c r="E404" t="inlineStr">
        <is>
          <t>ÅRE</t>
        </is>
      </c>
      <c r="F404" t="inlineStr">
        <is>
          <t>Övriga Aktiebolag</t>
        </is>
      </c>
      <c r="G404" t="n">
        <v>46.2</v>
      </c>
      <c r="H404" t="n">
        <v>2</v>
      </c>
      <c r="I404" t="n">
        <v>1</v>
      </c>
      <c r="J404" t="n">
        <v>4</v>
      </c>
      <c r="K404" t="n">
        <v>1</v>
      </c>
      <c r="L404" t="n">
        <v>0</v>
      </c>
      <c r="M404" t="n">
        <v>0</v>
      </c>
      <c r="N404" t="n">
        <v>0</v>
      </c>
      <c r="O404" t="n">
        <v>5</v>
      </c>
      <c r="P404" t="n">
        <v>1</v>
      </c>
      <c r="Q404" t="n">
        <v>6</v>
      </c>
      <c r="R404" s="2" t="inlineStr">
        <is>
          <t>Liten hornflikmossa
Garnlav
Granticka
Spillkråka
Tretåig hackspett
Korallblylav</t>
        </is>
      </c>
      <c r="S404">
        <f>HYPERLINK("https://klasma.github.io/Logging_2321/artfynd/A 56888-2022 artfynd.xlsx", "A 56888-2022")</f>
        <v/>
      </c>
      <c r="T404">
        <f>HYPERLINK("https://klasma.github.io/Logging_2321/kartor/A 56888-2022 karta.png", "A 56888-2022")</f>
        <v/>
      </c>
      <c r="V404">
        <f>HYPERLINK("https://klasma.github.io/Logging_2321/klagomål/A 56888-2022 FSC-klagomål.docx", "A 56888-2022")</f>
        <v/>
      </c>
      <c r="W404">
        <f>HYPERLINK("https://klasma.github.io/Logging_2321/klagomålsmail/A 56888-2022 FSC-klagomål mail.docx", "A 56888-2022")</f>
        <v/>
      </c>
      <c r="X404">
        <f>HYPERLINK("https://klasma.github.io/Logging_2321/tillsyn/A 56888-2022 tillsynsbegäran.docx", "A 56888-2022")</f>
        <v/>
      </c>
      <c r="Y404">
        <f>HYPERLINK("https://klasma.github.io/Logging_2321/tillsynsmail/A 56888-2022 tillsynsbegäran mail.docx", "A 56888-2022")</f>
        <v/>
      </c>
      <c r="Z404">
        <f>HYPERLINK("https://klasma.github.io/Logging_2321/fåglar/A 56888-2022 prioriterade fågelarter.docx", "A 56888-2022")</f>
        <v/>
      </c>
    </row>
    <row r="405" ht="15" customHeight="1">
      <c r="A405" t="inlineStr">
        <is>
          <t>A 60669-2022</t>
        </is>
      </c>
      <c r="B405" s="1" t="n">
        <v>44911</v>
      </c>
      <c r="C405" s="1" t="n">
        <v>45363</v>
      </c>
      <c r="D405" t="inlineStr">
        <is>
          <t>JÄMTLANDS LÄN</t>
        </is>
      </c>
      <c r="E405" t="inlineStr">
        <is>
          <t>RAGUNDA</t>
        </is>
      </c>
      <c r="F405" t="inlineStr">
        <is>
          <t>SCA</t>
        </is>
      </c>
      <c r="G405" t="n">
        <v>2.3</v>
      </c>
      <c r="H405" t="n">
        <v>0</v>
      </c>
      <c r="I405" t="n">
        <v>1</v>
      </c>
      <c r="J405" t="n">
        <v>5</v>
      </c>
      <c r="K405" t="n">
        <v>0</v>
      </c>
      <c r="L405" t="n">
        <v>0</v>
      </c>
      <c r="M405" t="n">
        <v>0</v>
      </c>
      <c r="N405" t="n">
        <v>0</v>
      </c>
      <c r="O405" t="n">
        <v>5</v>
      </c>
      <c r="P405" t="n">
        <v>0</v>
      </c>
      <c r="Q405" t="n">
        <v>6</v>
      </c>
      <c r="R405" s="2" t="inlineStr">
        <is>
          <t>Dvärgbägarlav
Garnlav
Kolflarnlav
Lunglav
Vedskivlav
Dropptaggsvamp</t>
        </is>
      </c>
      <c r="S405">
        <f>HYPERLINK("https://klasma.github.io/Logging_2303/artfynd/A 60669-2022 artfynd.xlsx", "A 60669-2022")</f>
        <v/>
      </c>
      <c r="T405">
        <f>HYPERLINK("https://klasma.github.io/Logging_2303/kartor/A 60669-2022 karta.png", "A 60669-2022")</f>
        <v/>
      </c>
      <c r="V405">
        <f>HYPERLINK("https://klasma.github.io/Logging_2303/klagomål/A 60669-2022 FSC-klagomål.docx", "A 60669-2022")</f>
        <v/>
      </c>
      <c r="W405">
        <f>HYPERLINK("https://klasma.github.io/Logging_2303/klagomålsmail/A 60669-2022 FSC-klagomål mail.docx", "A 60669-2022")</f>
        <v/>
      </c>
      <c r="X405">
        <f>HYPERLINK("https://klasma.github.io/Logging_2303/tillsyn/A 60669-2022 tillsynsbegäran.docx", "A 60669-2022")</f>
        <v/>
      </c>
      <c r="Y405">
        <f>HYPERLINK("https://klasma.github.io/Logging_2303/tillsynsmail/A 60669-2022 tillsynsbegäran mail.docx", "A 60669-2022")</f>
        <v/>
      </c>
    </row>
    <row r="406" ht="15" customHeight="1">
      <c r="A406" t="inlineStr">
        <is>
          <t>A 62683-2022</t>
        </is>
      </c>
      <c r="B406" s="1" t="n">
        <v>44925</v>
      </c>
      <c r="C406" s="1" t="n">
        <v>45363</v>
      </c>
      <c r="D406" t="inlineStr">
        <is>
          <t>JÄMTLANDS LÄN</t>
        </is>
      </c>
      <c r="E406" t="inlineStr">
        <is>
          <t>HÄRJEDALEN</t>
        </is>
      </c>
      <c r="F406" t="inlineStr">
        <is>
          <t>Holmen skog AB</t>
        </is>
      </c>
      <c r="G406" t="n">
        <v>3.7</v>
      </c>
      <c r="H406" t="n">
        <v>2</v>
      </c>
      <c r="I406" t="n">
        <v>1</v>
      </c>
      <c r="J406" t="n">
        <v>4</v>
      </c>
      <c r="K406" t="n">
        <v>1</v>
      </c>
      <c r="L406" t="n">
        <v>0</v>
      </c>
      <c r="M406" t="n">
        <v>0</v>
      </c>
      <c r="N406" t="n">
        <v>0</v>
      </c>
      <c r="O406" t="n">
        <v>5</v>
      </c>
      <c r="P406" t="n">
        <v>1</v>
      </c>
      <c r="Q406" t="n">
        <v>6</v>
      </c>
      <c r="R406" s="2" t="inlineStr">
        <is>
          <t>Knärot
Knottrig blåslav
Kolflarnlav
Lunglav
Skrovellav
Spindelblomster</t>
        </is>
      </c>
      <c r="S406">
        <f>HYPERLINK("https://klasma.github.io/Logging_2361/artfynd/A 62683-2022 artfynd.xlsx", "A 62683-2022")</f>
        <v/>
      </c>
      <c r="T406">
        <f>HYPERLINK("https://klasma.github.io/Logging_2361/kartor/A 62683-2022 karta.png", "A 62683-2022")</f>
        <v/>
      </c>
      <c r="U406">
        <f>HYPERLINK("https://klasma.github.io/Logging_2361/knärot/A 62683-2022 karta knärot.png", "A 62683-2022")</f>
        <v/>
      </c>
      <c r="V406">
        <f>HYPERLINK("https://klasma.github.io/Logging_2361/klagomål/A 62683-2022 FSC-klagomål.docx", "A 62683-2022")</f>
        <v/>
      </c>
      <c r="W406">
        <f>HYPERLINK("https://klasma.github.io/Logging_2361/klagomålsmail/A 62683-2022 FSC-klagomål mail.docx", "A 62683-2022")</f>
        <v/>
      </c>
      <c r="X406">
        <f>HYPERLINK("https://klasma.github.io/Logging_2361/tillsyn/A 62683-2022 tillsynsbegäran.docx", "A 62683-2022")</f>
        <v/>
      </c>
      <c r="Y406">
        <f>HYPERLINK("https://klasma.github.io/Logging_2361/tillsynsmail/A 62683-2022 tillsynsbegäran mail.docx", "A 62683-2022")</f>
        <v/>
      </c>
    </row>
    <row r="407" ht="15" customHeight="1">
      <c r="A407" t="inlineStr">
        <is>
          <t>A 376-2023</t>
        </is>
      </c>
      <c r="B407" s="1" t="n">
        <v>44929</v>
      </c>
      <c r="C407" s="1" t="n">
        <v>45363</v>
      </c>
      <c r="D407" t="inlineStr">
        <is>
          <t>JÄMTLANDS LÄN</t>
        </is>
      </c>
      <c r="E407" t="inlineStr">
        <is>
          <t>ÖSTERSUND</t>
        </is>
      </c>
      <c r="G407" t="n">
        <v>11.5</v>
      </c>
      <c r="H407" t="n">
        <v>2</v>
      </c>
      <c r="I407" t="n">
        <v>1</v>
      </c>
      <c r="J407" t="n">
        <v>5</v>
      </c>
      <c r="K407" t="n">
        <v>0</v>
      </c>
      <c r="L407" t="n">
        <v>0</v>
      </c>
      <c r="M407" t="n">
        <v>0</v>
      </c>
      <c r="N407" t="n">
        <v>0</v>
      </c>
      <c r="O407" t="n">
        <v>5</v>
      </c>
      <c r="P407" t="n">
        <v>0</v>
      </c>
      <c r="Q407" t="n">
        <v>6</v>
      </c>
      <c r="R407" s="2" t="inlineStr">
        <is>
          <t>Garnlav
Lunglav
Skrovellav
Spillkråka
Tretåig hackspett
Stuplav</t>
        </is>
      </c>
      <c r="S407">
        <f>HYPERLINK("https://klasma.github.io/Logging_2380/artfynd/A 376-2023 artfynd.xlsx", "A 376-2023")</f>
        <v/>
      </c>
      <c r="T407">
        <f>HYPERLINK("https://klasma.github.io/Logging_2380/kartor/A 376-2023 karta.png", "A 376-2023")</f>
        <v/>
      </c>
      <c r="V407">
        <f>HYPERLINK("https://klasma.github.io/Logging_2380/klagomål/A 376-2023 FSC-klagomål.docx", "A 376-2023")</f>
        <v/>
      </c>
      <c r="W407">
        <f>HYPERLINK("https://klasma.github.io/Logging_2380/klagomålsmail/A 376-2023 FSC-klagomål mail.docx", "A 376-2023")</f>
        <v/>
      </c>
      <c r="X407">
        <f>HYPERLINK("https://klasma.github.io/Logging_2380/tillsyn/A 376-2023 tillsynsbegäran.docx", "A 376-2023")</f>
        <v/>
      </c>
      <c r="Y407">
        <f>HYPERLINK("https://klasma.github.io/Logging_2380/tillsynsmail/A 376-2023 tillsynsbegäran mail.docx", "A 376-2023")</f>
        <v/>
      </c>
      <c r="Z407">
        <f>HYPERLINK("https://klasma.github.io/Logging_2380/fåglar/A 376-2023 prioriterade fågelarter.docx", "A 376-2023")</f>
        <v/>
      </c>
    </row>
    <row r="408" ht="15" customHeight="1">
      <c r="A408" t="inlineStr">
        <is>
          <t>A 538-2023</t>
        </is>
      </c>
      <c r="B408" s="1" t="n">
        <v>44930</v>
      </c>
      <c r="C408" s="1" t="n">
        <v>45363</v>
      </c>
      <c r="D408" t="inlineStr">
        <is>
          <t>JÄMTLANDS LÄN</t>
        </is>
      </c>
      <c r="E408" t="inlineStr">
        <is>
          <t>STRÖMSUND</t>
        </is>
      </c>
      <c r="G408" t="n">
        <v>108.6</v>
      </c>
      <c r="H408" t="n">
        <v>2</v>
      </c>
      <c r="I408" t="n">
        <v>1</v>
      </c>
      <c r="J408" t="n">
        <v>5</v>
      </c>
      <c r="K408" t="n">
        <v>0</v>
      </c>
      <c r="L408" t="n">
        <v>0</v>
      </c>
      <c r="M408" t="n">
        <v>0</v>
      </c>
      <c r="N408" t="n">
        <v>0</v>
      </c>
      <c r="O408" t="n">
        <v>5</v>
      </c>
      <c r="P408" t="n">
        <v>0</v>
      </c>
      <c r="Q408" t="n">
        <v>6</v>
      </c>
      <c r="R408" s="2" t="inlineStr">
        <is>
          <t>Garnlav
Granticka
Skrovellav
Talltita
Tretåig hackspett
Stuplav</t>
        </is>
      </c>
      <c r="S408">
        <f>HYPERLINK("https://klasma.github.io/Logging_2313/artfynd/A 538-2023 artfynd.xlsx", "A 538-2023")</f>
        <v/>
      </c>
      <c r="T408">
        <f>HYPERLINK("https://klasma.github.io/Logging_2313/kartor/A 538-2023 karta.png", "A 538-2023")</f>
        <v/>
      </c>
      <c r="V408">
        <f>HYPERLINK("https://klasma.github.io/Logging_2313/klagomål/A 538-2023 FSC-klagomål.docx", "A 538-2023")</f>
        <v/>
      </c>
      <c r="W408">
        <f>HYPERLINK("https://klasma.github.io/Logging_2313/klagomålsmail/A 538-2023 FSC-klagomål mail.docx", "A 538-2023")</f>
        <v/>
      </c>
      <c r="X408">
        <f>HYPERLINK("https://klasma.github.io/Logging_2313/tillsyn/A 538-2023 tillsynsbegäran.docx", "A 538-2023")</f>
        <v/>
      </c>
      <c r="Y408">
        <f>HYPERLINK("https://klasma.github.io/Logging_2313/tillsynsmail/A 538-2023 tillsynsbegäran mail.docx", "A 538-2023")</f>
        <v/>
      </c>
      <c r="Z408">
        <f>HYPERLINK("https://klasma.github.io/Logging_2313/fåglar/A 538-2023 prioriterade fågelarter.docx", "A 538-2023")</f>
        <v/>
      </c>
    </row>
    <row r="409" ht="15" customHeight="1">
      <c r="A409" t="inlineStr">
        <is>
          <t>A 933-2023</t>
        </is>
      </c>
      <c r="B409" s="1" t="n">
        <v>44932</v>
      </c>
      <c r="C409" s="1" t="n">
        <v>45363</v>
      </c>
      <c r="D409" t="inlineStr">
        <is>
          <t>JÄMTLANDS LÄN</t>
        </is>
      </c>
      <c r="E409" t="inlineStr">
        <is>
          <t>RAGUNDA</t>
        </is>
      </c>
      <c r="F409" t="inlineStr">
        <is>
          <t>SCA</t>
        </is>
      </c>
      <c r="G409" t="n">
        <v>2</v>
      </c>
      <c r="H409" t="n">
        <v>3</v>
      </c>
      <c r="I409" t="n">
        <v>3</v>
      </c>
      <c r="J409" t="n">
        <v>0</v>
      </c>
      <c r="K409" t="n">
        <v>0</v>
      </c>
      <c r="L409" t="n">
        <v>1</v>
      </c>
      <c r="M409" t="n">
        <v>0</v>
      </c>
      <c r="N409" t="n">
        <v>0</v>
      </c>
      <c r="O409" t="n">
        <v>1</v>
      </c>
      <c r="P409" t="n">
        <v>1</v>
      </c>
      <c r="Q409" t="n">
        <v>6</v>
      </c>
      <c r="R409" s="2" t="inlineStr">
        <is>
          <t>Trolldruvemätare
Stor aspticka
Svart trolldruva
Tvåblad
Nattviol
Gullviva</t>
        </is>
      </c>
      <c r="S409">
        <f>HYPERLINK("https://klasma.github.io/Logging_2303/artfynd/A 933-2023 artfynd.xlsx", "A 933-2023")</f>
        <v/>
      </c>
      <c r="T409">
        <f>HYPERLINK("https://klasma.github.io/Logging_2303/kartor/A 933-2023 karta.png", "A 933-2023")</f>
        <v/>
      </c>
      <c r="V409">
        <f>HYPERLINK("https://klasma.github.io/Logging_2303/klagomål/A 933-2023 FSC-klagomål.docx", "A 933-2023")</f>
        <v/>
      </c>
      <c r="W409">
        <f>HYPERLINK("https://klasma.github.io/Logging_2303/klagomålsmail/A 933-2023 FSC-klagomål mail.docx", "A 933-2023")</f>
        <v/>
      </c>
      <c r="X409">
        <f>HYPERLINK("https://klasma.github.io/Logging_2303/tillsyn/A 933-2023 tillsynsbegäran.docx", "A 933-2023")</f>
        <v/>
      </c>
      <c r="Y409">
        <f>HYPERLINK("https://klasma.github.io/Logging_2303/tillsynsmail/A 933-2023 tillsynsbegäran mail.docx", "A 933-2023")</f>
        <v/>
      </c>
    </row>
    <row r="410" ht="15" customHeight="1">
      <c r="A410" t="inlineStr">
        <is>
          <t>A 3206-2023</t>
        </is>
      </c>
      <c r="B410" s="1" t="n">
        <v>44946</v>
      </c>
      <c r="C410" s="1" t="n">
        <v>45363</v>
      </c>
      <c r="D410" t="inlineStr">
        <is>
          <t>JÄMTLANDS LÄN</t>
        </is>
      </c>
      <c r="E410" t="inlineStr">
        <is>
          <t>ÅRE</t>
        </is>
      </c>
      <c r="G410" t="n">
        <v>9.5</v>
      </c>
      <c r="H410" t="n">
        <v>1</v>
      </c>
      <c r="I410" t="n">
        <v>0</v>
      </c>
      <c r="J410" t="n">
        <v>6</v>
      </c>
      <c r="K410" t="n">
        <v>0</v>
      </c>
      <c r="L410" t="n">
        <v>0</v>
      </c>
      <c r="M410" t="n">
        <v>0</v>
      </c>
      <c r="N410" t="n">
        <v>0</v>
      </c>
      <c r="O410" t="n">
        <v>6</v>
      </c>
      <c r="P410" t="n">
        <v>0</v>
      </c>
      <c r="Q410" t="n">
        <v>6</v>
      </c>
      <c r="R410" s="2" t="inlineStr">
        <is>
          <t>Garnlav
Granticka
Liten svartspik
Skrovellav
Tretåig hackspett
Vitgrynig nållav</t>
        </is>
      </c>
      <c r="S410">
        <f>HYPERLINK("https://klasma.github.io/Logging_2321/artfynd/A 3206-2023 artfynd.xlsx", "A 3206-2023")</f>
        <v/>
      </c>
      <c r="T410">
        <f>HYPERLINK("https://klasma.github.io/Logging_2321/kartor/A 3206-2023 karta.png", "A 3206-2023")</f>
        <v/>
      </c>
      <c r="V410">
        <f>HYPERLINK("https://klasma.github.io/Logging_2321/klagomål/A 3206-2023 FSC-klagomål.docx", "A 3206-2023")</f>
        <v/>
      </c>
      <c r="W410">
        <f>HYPERLINK("https://klasma.github.io/Logging_2321/klagomålsmail/A 3206-2023 FSC-klagomål mail.docx", "A 3206-2023")</f>
        <v/>
      </c>
      <c r="X410">
        <f>HYPERLINK("https://klasma.github.io/Logging_2321/tillsyn/A 3206-2023 tillsynsbegäran.docx", "A 3206-2023")</f>
        <v/>
      </c>
      <c r="Y410">
        <f>HYPERLINK("https://klasma.github.io/Logging_2321/tillsynsmail/A 3206-2023 tillsynsbegäran mail.docx", "A 3206-2023")</f>
        <v/>
      </c>
      <c r="Z410">
        <f>HYPERLINK("https://klasma.github.io/Logging_2321/fåglar/A 3206-2023 prioriterade fågelarter.docx", "A 3206-2023")</f>
        <v/>
      </c>
    </row>
    <row r="411" ht="15" customHeight="1">
      <c r="A411" t="inlineStr">
        <is>
          <t>A 3704-2023</t>
        </is>
      </c>
      <c r="B411" s="1" t="n">
        <v>44950</v>
      </c>
      <c r="C411" s="1" t="n">
        <v>45363</v>
      </c>
      <c r="D411" t="inlineStr">
        <is>
          <t>JÄMTLANDS LÄN</t>
        </is>
      </c>
      <c r="E411" t="inlineStr">
        <is>
          <t>STRÖMSUND</t>
        </is>
      </c>
      <c r="F411" t="inlineStr">
        <is>
          <t>SCA</t>
        </is>
      </c>
      <c r="G411" t="n">
        <v>11.5</v>
      </c>
      <c r="H411" t="n">
        <v>0</v>
      </c>
      <c r="I411" t="n">
        <v>1</v>
      </c>
      <c r="J411" t="n">
        <v>5</v>
      </c>
      <c r="K411" t="n">
        <v>0</v>
      </c>
      <c r="L411" t="n">
        <v>0</v>
      </c>
      <c r="M411" t="n">
        <v>0</v>
      </c>
      <c r="N411" t="n">
        <v>0</v>
      </c>
      <c r="O411" t="n">
        <v>5</v>
      </c>
      <c r="P411" t="n">
        <v>0</v>
      </c>
      <c r="Q411" t="n">
        <v>6</v>
      </c>
      <c r="R411" s="2" t="inlineStr">
        <is>
          <t>Garnlav
Granticka
Harticka
Lunglav
Ullticka
Korallblylav</t>
        </is>
      </c>
      <c r="S411">
        <f>HYPERLINK("https://klasma.github.io/Logging_2313/artfynd/A 3704-2023 artfynd.xlsx", "A 3704-2023")</f>
        <v/>
      </c>
      <c r="T411">
        <f>HYPERLINK("https://klasma.github.io/Logging_2313/kartor/A 3704-2023 karta.png", "A 3704-2023")</f>
        <v/>
      </c>
      <c r="V411">
        <f>HYPERLINK("https://klasma.github.io/Logging_2313/klagomål/A 3704-2023 FSC-klagomål.docx", "A 3704-2023")</f>
        <v/>
      </c>
      <c r="W411">
        <f>HYPERLINK("https://klasma.github.io/Logging_2313/klagomålsmail/A 3704-2023 FSC-klagomål mail.docx", "A 3704-2023")</f>
        <v/>
      </c>
      <c r="X411">
        <f>HYPERLINK("https://klasma.github.io/Logging_2313/tillsyn/A 3704-2023 tillsynsbegäran.docx", "A 3704-2023")</f>
        <v/>
      </c>
      <c r="Y411">
        <f>HYPERLINK("https://klasma.github.io/Logging_2313/tillsynsmail/A 3704-2023 tillsynsbegäran mail.docx", "A 3704-2023")</f>
        <v/>
      </c>
    </row>
    <row r="412" ht="15" customHeight="1">
      <c r="A412" t="inlineStr">
        <is>
          <t>A 10023-2023</t>
        </is>
      </c>
      <c r="B412" s="1" t="n">
        <v>44979</v>
      </c>
      <c r="C412" s="1" t="n">
        <v>45363</v>
      </c>
      <c r="D412" t="inlineStr">
        <is>
          <t>JÄMTLANDS LÄN</t>
        </is>
      </c>
      <c r="E412" t="inlineStr">
        <is>
          <t>HÄRJEDALEN</t>
        </is>
      </c>
      <c r="G412" t="n">
        <v>12.6</v>
      </c>
      <c r="H412" t="n">
        <v>6</v>
      </c>
      <c r="I412" t="n">
        <v>1</v>
      </c>
      <c r="J412" t="n">
        <v>0</v>
      </c>
      <c r="K412" t="n">
        <v>0</v>
      </c>
      <c r="L412" t="n">
        <v>0</v>
      </c>
      <c r="M412" t="n">
        <v>0</v>
      </c>
      <c r="N412" t="n">
        <v>0</v>
      </c>
      <c r="O412" t="n">
        <v>0</v>
      </c>
      <c r="P412" t="n">
        <v>0</v>
      </c>
      <c r="Q412" t="n">
        <v>6</v>
      </c>
      <c r="R412" s="2" t="inlineStr">
        <is>
          <t>Spindelblomster
Vanlig groda
Fläcknycklar
Lopplummer
Mattlummer
Revlummer</t>
        </is>
      </c>
      <c r="S412">
        <f>HYPERLINK("https://klasma.github.io/Logging_2361/artfynd/A 10023-2023 artfynd.xlsx", "A 10023-2023")</f>
        <v/>
      </c>
      <c r="T412">
        <f>HYPERLINK("https://klasma.github.io/Logging_2361/kartor/A 10023-2023 karta.png", "A 10023-2023")</f>
        <v/>
      </c>
      <c r="V412">
        <f>HYPERLINK("https://klasma.github.io/Logging_2361/klagomål/A 10023-2023 FSC-klagomål.docx", "A 10023-2023")</f>
        <v/>
      </c>
      <c r="W412">
        <f>HYPERLINK("https://klasma.github.io/Logging_2361/klagomålsmail/A 10023-2023 FSC-klagomål mail.docx", "A 10023-2023")</f>
        <v/>
      </c>
      <c r="X412">
        <f>HYPERLINK("https://klasma.github.io/Logging_2361/tillsyn/A 10023-2023 tillsynsbegäran.docx", "A 10023-2023")</f>
        <v/>
      </c>
      <c r="Y412">
        <f>HYPERLINK("https://klasma.github.io/Logging_2361/tillsynsmail/A 10023-2023 tillsynsbegäran mail.docx", "A 10023-2023")</f>
        <v/>
      </c>
    </row>
    <row r="413" ht="15" customHeight="1">
      <c r="A413" t="inlineStr">
        <is>
          <t>A 11828-2023</t>
        </is>
      </c>
      <c r="B413" s="1" t="n">
        <v>44994</v>
      </c>
      <c r="C413" s="1" t="n">
        <v>45363</v>
      </c>
      <c r="D413" t="inlineStr">
        <is>
          <t>JÄMTLANDS LÄN</t>
        </is>
      </c>
      <c r="E413" t="inlineStr">
        <is>
          <t>RAGUNDA</t>
        </is>
      </c>
      <c r="F413" t="inlineStr">
        <is>
          <t>SCA</t>
        </is>
      </c>
      <c r="G413" t="n">
        <v>2.7</v>
      </c>
      <c r="H413" t="n">
        <v>0</v>
      </c>
      <c r="I413" t="n">
        <v>0</v>
      </c>
      <c r="J413" t="n">
        <v>6</v>
      </c>
      <c r="K413" t="n">
        <v>0</v>
      </c>
      <c r="L413" t="n">
        <v>0</v>
      </c>
      <c r="M413" t="n">
        <v>0</v>
      </c>
      <c r="N413" t="n">
        <v>0</v>
      </c>
      <c r="O413" t="n">
        <v>6</v>
      </c>
      <c r="P413" t="n">
        <v>0</v>
      </c>
      <c r="Q413" t="n">
        <v>6</v>
      </c>
      <c r="R413" s="2" t="inlineStr">
        <is>
          <t>Dvärgbägarlav
Garnlav
Kolflarnlav
Mörk kolflarnlav
Vedskivlav
Vedtrappmossa</t>
        </is>
      </c>
      <c r="S413">
        <f>HYPERLINK("https://klasma.github.io/Logging_2303/artfynd/A 11828-2023 artfynd.xlsx", "A 11828-2023")</f>
        <v/>
      </c>
      <c r="T413">
        <f>HYPERLINK("https://klasma.github.io/Logging_2303/kartor/A 11828-2023 karta.png", "A 11828-2023")</f>
        <v/>
      </c>
      <c r="V413">
        <f>HYPERLINK("https://klasma.github.io/Logging_2303/klagomål/A 11828-2023 FSC-klagomål.docx", "A 11828-2023")</f>
        <v/>
      </c>
      <c r="W413">
        <f>HYPERLINK("https://klasma.github.io/Logging_2303/klagomålsmail/A 11828-2023 FSC-klagomål mail.docx", "A 11828-2023")</f>
        <v/>
      </c>
      <c r="X413">
        <f>HYPERLINK("https://klasma.github.io/Logging_2303/tillsyn/A 11828-2023 tillsynsbegäran.docx", "A 11828-2023")</f>
        <v/>
      </c>
      <c r="Y413">
        <f>HYPERLINK("https://klasma.github.io/Logging_2303/tillsynsmail/A 11828-2023 tillsynsbegäran mail.docx", "A 11828-2023")</f>
        <v/>
      </c>
    </row>
    <row r="414" ht="15" customHeight="1">
      <c r="A414" t="inlineStr">
        <is>
          <t>A 15073-2023</t>
        </is>
      </c>
      <c r="B414" s="1" t="n">
        <v>45015</v>
      </c>
      <c r="C414" s="1" t="n">
        <v>45363</v>
      </c>
      <c r="D414" t="inlineStr">
        <is>
          <t>JÄMTLANDS LÄN</t>
        </is>
      </c>
      <c r="E414" t="inlineStr">
        <is>
          <t>RAGUNDA</t>
        </is>
      </c>
      <c r="G414" t="n">
        <v>18.8</v>
      </c>
      <c r="H414" t="n">
        <v>1</v>
      </c>
      <c r="I414" t="n">
        <v>1</v>
      </c>
      <c r="J414" t="n">
        <v>4</v>
      </c>
      <c r="K414" t="n">
        <v>1</v>
      </c>
      <c r="L414" t="n">
        <v>0</v>
      </c>
      <c r="M414" t="n">
        <v>0</v>
      </c>
      <c r="N414" t="n">
        <v>0</v>
      </c>
      <c r="O414" t="n">
        <v>5</v>
      </c>
      <c r="P414" t="n">
        <v>1</v>
      </c>
      <c r="Q414" t="n">
        <v>6</v>
      </c>
      <c r="R414" s="2" t="inlineStr">
        <is>
          <t>Knärot
Garnlav
Kolflarnlav
Lunglav
Vedtrappmossa
Bårdlav</t>
        </is>
      </c>
      <c r="S414">
        <f>HYPERLINK("https://klasma.github.io/Logging_2303/artfynd/A 15073-2023 artfynd.xlsx", "A 15073-2023")</f>
        <v/>
      </c>
      <c r="T414">
        <f>HYPERLINK("https://klasma.github.io/Logging_2303/kartor/A 15073-2023 karta.png", "A 15073-2023")</f>
        <v/>
      </c>
      <c r="U414">
        <f>HYPERLINK("https://klasma.github.io/Logging_2303/knärot/A 15073-2023 karta knärot.png", "A 15073-2023")</f>
        <v/>
      </c>
      <c r="V414">
        <f>HYPERLINK("https://klasma.github.io/Logging_2303/klagomål/A 15073-2023 FSC-klagomål.docx", "A 15073-2023")</f>
        <v/>
      </c>
      <c r="W414">
        <f>HYPERLINK("https://klasma.github.io/Logging_2303/klagomålsmail/A 15073-2023 FSC-klagomål mail.docx", "A 15073-2023")</f>
        <v/>
      </c>
      <c r="X414">
        <f>HYPERLINK("https://klasma.github.io/Logging_2303/tillsyn/A 15073-2023 tillsynsbegäran.docx", "A 15073-2023")</f>
        <v/>
      </c>
      <c r="Y414">
        <f>HYPERLINK("https://klasma.github.io/Logging_2303/tillsynsmail/A 15073-2023 tillsynsbegäran mail.docx", "A 15073-2023")</f>
        <v/>
      </c>
    </row>
    <row r="415" ht="15" customHeight="1">
      <c r="A415" t="inlineStr">
        <is>
          <t>A 16195-2023</t>
        </is>
      </c>
      <c r="B415" s="1" t="n">
        <v>45027</v>
      </c>
      <c r="C415" s="1" t="n">
        <v>45363</v>
      </c>
      <c r="D415" t="inlineStr">
        <is>
          <t>JÄMTLANDS LÄN</t>
        </is>
      </c>
      <c r="E415" t="inlineStr">
        <is>
          <t>RAGUNDA</t>
        </is>
      </c>
      <c r="F415" t="inlineStr">
        <is>
          <t>SCA</t>
        </is>
      </c>
      <c r="G415" t="n">
        <v>11.3</v>
      </c>
      <c r="H415" t="n">
        <v>2</v>
      </c>
      <c r="I415" t="n">
        <v>2</v>
      </c>
      <c r="J415" t="n">
        <v>3</v>
      </c>
      <c r="K415" t="n">
        <v>1</v>
      </c>
      <c r="L415" t="n">
        <v>0</v>
      </c>
      <c r="M415" t="n">
        <v>0</v>
      </c>
      <c r="N415" t="n">
        <v>0</v>
      </c>
      <c r="O415" t="n">
        <v>4</v>
      </c>
      <c r="P415" t="n">
        <v>1</v>
      </c>
      <c r="Q415" t="n">
        <v>6</v>
      </c>
      <c r="R415" s="2" t="inlineStr">
        <is>
          <t>Knärot
Blå taggsvamp
Blågrå svartspik
Skrovlig taggsvamp
Dropptaggsvamp
Plattlummer</t>
        </is>
      </c>
      <c r="S415">
        <f>HYPERLINK("https://klasma.github.io/Logging_2303/artfynd/A 16195-2023 artfynd.xlsx", "A 16195-2023")</f>
        <v/>
      </c>
      <c r="T415">
        <f>HYPERLINK("https://klasma.github.io/Logging_2303/kartor/A 16195-2023 karta.png", "A 16195-2023")</f>
        <v/>
      </c>
      <c r="U415">
        <f>HYPERLINK("https://klasma.github.io/Logging_2303/knärot/A 16195-2023 karta knärot.png", "A 16195-2023")</f>
        <v/>
      </c>
      <c r="V415">
        <f>HYPERLINK("https://klasma.github.io/Logging_2303/klagomål/A 16195-2023 FSC-klagomål.docx", "A 16195-2023")</f>
        <v/>
      </c>
      <c r="W415">
        <f>HYPERLINK("https://klasma.github.io/Logging_2303/klagomålsmail/A 16195-2023 FSC-klagomål mail.docx", "A 16195-2023")</f>
        <v/>
      </c>
      <c r="X415">
        <f>HYPERLINK("https://klasma.github.io/Logging_2303/tillsyn/A 16195-2023 tillsynsbegäran.docx", "A 16195-2023")</f>
        <v/>
      </c>
      <c r="Y415">
        <f>HYPERLINK("https://klasma.github.io/Logging_2303/tillsynsmail/A 16195-2023 tillsynsbegäran mail.docx", "A 16195-2023")</f>
        <v/>
      </c>
    </row>
    <row r="416" ht="15" customHeight="1">
      <c r="A416" t="inlineStr">
        <is>
          <t>A 22469-2023</t>
        </is>
      </c>
      <c r="B416" s="1" t="n">
        <v>45070</v>
      </c>
      <c r="C416" s="1" t="n">
        <v>45363</v>
      </c>
      <c r="D416" t="inlineStr">
        <is>
          <t>JÄMTLANDS LÄN</t>
        </is>
      </c>
      <c r="E416" t="inlineStr">
        <is>
          <t>RAGUNDA</t>
        </is>
      </c>
      <c r="F416" t="inlineStr">
        <is>
          <t>SCA</t>
        </is>
      </c>
      <c r="G416" t="n">
        <v>9.199999999999999</v>
      </c>
      <c r="H416" t="n">
        <v>0</v>
      </c>
      <c r="I416" t="n">
        <v>2</v>
      </c>
      <c r="J416" t="n">
        <v>4</v>
      </c>
      <c r="K416" t="n">
        <v>0</v>
      </c>
      <c r="L416" t="n">
        <v>0</v>
      </c>
      <c r="M416" t="n">
        <v>0</v>
      </c>
      <c r="N416" t="n">
        <v>0</v>
      </c>
      <c r="O416" t="n">
        <v>4</v>
      </c>
      <c r="P416" t="n">
        <v>0</v>
      </c>
      <c r="Q416" t="n">
        <v>6</v>
      </c>
      <c r="R416" s="2" t="inlineStr">
        <is>
          <t>Dvärgbägarlav
Garnlav
Kolflarnlav
Lunglav
Dropptaggsvamp
Källmossor</t>
        </is>
      </c>
      <c r="S416">
        <f>HYPERLINK("https://klasma.github.io/Logging_2303/artfynd/A 22469-2023 artfynd.xlsx", "A 22469-2023")</f>
        <v/>
      </c>
      <c r="T416">
        <f>HYPERLINK("https://klasma.github.io/Logging_2303/kartor/A 22469-2023 karta.png", "A 22469-2023")</f>
        <v/>
      </c>
      <c r="V416">
        <f>HYPERLINK("https://klasma.github.io/Logging_2303/klagomål/A 22469-2023 FSC-klagomål.docx", "A 22469-2023")</f>
        <v/>
      </c>
      <c r="W416">
        <f>HYPERLINK("https://klasma.github.io/Logging_2303/klagomålsmail/A 22469-2023 FSC-klagomål mail.docx", "A 22469-2023")</f>
        <v/>
      </c>
      <c r="X416">
        <f>HYPERLINK("https://klasma.github.io/Logging_2303/tillsyn/A 22469-2023 tillsynsbegäran.docx", "A 22469-2023")</f>
        <v/>
      </c>
      <c r="Y416">
        <f>HYPERLINK("https://klasma.github.io/Logging_2303/tillsynsmail/A 22469-2023 tillsynsbegäran mail.docx", "A 22469-2023")</f>
        <v/>
      </c>
    </row>
    <row r="417" ht="15" customHeight="1">
      <c r="A417" t="inlineStr">
        <is>
          <t>A 27364-2023</t>
        </is>
      </c>
      <c r="B417" s="1" t="n">
        <v>45096</v>
      </c>
      <c r="C417" s="1" t="n">
        <v>45363</v>
      </c>
      <c r="D417" t="inlineStr">
        <is>
          <t>JÄMTLANDS LÄN</t>
        </is>
      </c>
      <c r="E417" t="inlineStr">
        <is>
          <t>STRÖMSUND</t>
        </is>
      </c>
      <c r="F417" t="inlineStr">
        <is>
          <t>SCA</t>
        </is>
      </c>
      <c r="G417" t="n">
        <v>8.300000000000001</v>
      </c>
      <c r="H417" t="n">
        <v>0</v>
      </c>
      <c r="I417" t="n">
        <v>1</v>
      </c>
      <c r="J417" t="n">
        <v>4</v>
      </c>
      <c r="K417" t="n">
        <v>1</v>
      </c>
      <c r="L417" t="n">
        <v>0</v>
      </c>
      <c r="M417" t="n">
        <v>0</v>
      </c>
      <c r="N417" t="n">
        <v>0</v>
      </c>
      <c r="O417" t="n">
        <v>5</v>
      </c>
      <c r="P417" t="n">
        <v>1</v>
      </c>
      <c r="Q417" t="n">
        <v>6</v>
      </c>
      <c r="R417" s="2" t="inlineStr">
        <is>
          <t>Läderlappslav
Garnlav
Harticka
Lunglav
Vitgrynig nållav
Vedticka</t>
        </is>
      </c>
      <c r="S417">
        <f>HYPERLINK("https://klasma.github.io/Logging_2313/artfynd/A 27364-2023 artfynd.xlsx", "A 27364-2023")</f>
        <v/>
      </c>
      <c r="T417">
        <f>HYPERLINK("https://klasma.github.io/Logging_2313/kartor/A 27364-2023 karta.png", "A 27364-2023")</f>
        <v/>
      </c>
      <c r="V417">
        <f>HYPERLINK("https://klasma.github.io/Logging_2313/klagomål/A 27364-2023 FSC-klagomål.docx", "A 27364-2023")</f>
        <v/>
      </c>
      <c r="W417">
        <f>HYPERLINK("https://klasma.github.io/Logging_2313/klagomålsmail/A 27364-2023 FSC-klagomål mail.docx", "A 27364-2023")</f>
        <v/>
      </c>
      <c r="X417">
        <f>HYPERLINK("https://klasma.github.io/Logging_2313/tillsyn/A 27364-2023 tillsynsbegäran.docx", "A 27364-2023")</f>
        <v/>
      </c>
      <c r="Y417">
        <f>HYPERLINK("https://klasma.github.io/Logging_2313/tillsynsmail/A 27364-2023 tillsynsbegäran mail.docx", "A 27364-2023")</f>
        <v/>
      </c>
    </row>
    <row r="418" ht="15" customHeight="1">
      <c r="A418" t="inlineStr">
        <is>
          <t>A 32087-2023</t>
        </is>
      </c>
      <c r="B418" s="1" t="n">
        <v>45119</v>
      </c>
      <c r="C418" s="1" t="n">
        <v>45363</v>
      </c>
      <c r="D418" t="inlineStr">
        <is>
          <t>JÄMTLANDS LÄN</t>
        </is>
      </c>
      <c r="E418" t="inlineStr">
        <is>
          <t>HÄRJEDALEN</t>
        </is>
      </c>
      <c r="F418" t="inlineStr">
        <is>
          <t>Kommuner</t>
        </is>
      </c>
      <c r="G418" t="n">
        <v>24.1</v>
      </c>
      <c r="H418" t="n">
        <v>0</v>
      </c>
      <c r="I418" t="n">
        <v>2</v>
      </c>
      <c r="J418" t="n">
        <v>3</v>
      </c>
      <c r="K418" t="n">
        <v>1</v>
      </c>
      <c r="L418" t="n">
        <v>0</v>
      </c>
      <c r="M418" t="n">
        <v>0</v>
      </c>
      <c r="N418" t="n">
        <v>0</v>
      </c>
      <c r="O418" t="n">
        <v>4</v>
      </c>
      <c r="P418" t="n">
        <v>1</v>
      </c>
      <c r="Q418" t="n">
        <v>6</v>
      </c>
      <c r="R418" s="2" t="inlineStr">
        <is>
          <t>Smalfotad taggsvamp
Blå taggsvamp
Kolflarnlav
Motaggsvamp
Dropptaggsvamp
Skarp dropptaggsvamp</t>
        </is>
      </c>
      <c r="S418">
        <f>HYPERLINK("https://klasma.github.io/Logging_2361/artfynd/A 32087-2023 artfynd.xlsx", "A 32087-2023")</f>
        <v/>
      </c>
      <c r="T418">
        <f>HYPERLINK("https://klasma.github.io/Logging_2361/kartor/A 32087-2023 karta.png", "A 32087-2023")</f>
        <v/>
      </c>
      <c r="V418">
        <f>HYPERLINK("https://klasma.github.io/Logging_2361/klagomål/A 32087-2023 FSC-klagomål.docx", "A 32087-2023")</f>
        <v/>
      </c>
      <c r="W418">
        <f>HYPERLINK("https://klasma.github.io/Logging_2361/klagomålsmail/A 32087-2023 FSC-klagomål mail.docx", "A 32087-2023")</f>
        <v/>
      </c>
      <c r="X418">
        <f>HYPERLINK("https://klasma.github.io/Logging_2361/tillsyn/A 32087-2023 tillsynsbegäran.docx", "A 32087-2023")</f>
        <v/>
      </c>
      <c r="Y418">
        <f>HYPERLINK("https://klasma.github.io/Logging_2361/tillsynsmail/A 32087-2023 tillsynsbegäran mail.docx", "A 32087-2023")</f>
        <v/>
      </c>
    </row>
    <row r="419" ht="15" customHeight="1">
      <c r="A419" t="inlineStr">
        <is>
          <t>A 39807-2023</t>
        </is>
      </c>
      <c r="B419" s="1" t="n">
        <v>45168</v>
      </c>
      <c r="C419" s="1" t="n">
        <v>45363</v>
      </c>
      <c r="D419" t="inlineStr">
        <is>
          <t>JÄMTLANDS LÄN</t>
        </is>
      </c>
      <c r="E419" t="inlineStr">
        <is>
          <t>BRÄCKE</t>
        </is>
      </c>
      <c r="F419" t="inlineStr">
        <is>
          <t>SCA</t>
        </is>
      </c>
      <c r="G419" t="n">
        <v>8.1</v>
      </c>
      <c r="H419" t="n">
        <v>1</v>
      </c>
      <c r="I419" t="n">
        <v>2</v>
      </c>
      <c r="J419" t="n">
        <v>3</v>
      </c>
      <c r="K419" t="n">
        <v>1</v>
      </c>
      <c r="L419" t="n">
        <v>0</v>
      </c>
      <c r="M419" t="n">
        <v>0</v>
      </c>
      <c r="N419" t="n">
        <v>0</v>
      </c>
      <c r="O419" t="n">
        <v>4</v>
      </c>
      <c r="P419" t="n">
        <v>1</v>
      </c>
      <c r="Q419" t="n">
        <v>6</v>
      </c>
      <c r="R419" s="2" t="inlineStr">
        <is>
          <t>Knärot
Gammelgransskål
Lunglav
Skrovellav
Bårdlav
Stor aspticka</t>
        </is>
      </c>
      <c r="S419">
        <f>HYPERLINK("https://klasma.github.io/Logging_2305/artfynd/A 39807-2023 artfynd.xlsx", "A 39807-2023")</f>
        <v/>
      </c>
      <c r="T419">
        <f>HYPERLINK("https://klasma.github.io/Logging_2305/kartor/A 39807-2023 karta.png", "A 39807-2023")</f>
        <v/>
      </c>
      <c r="U419">
        <f>HYPERLINK("https://klasma.github.io/Logging_2305/knärot/A 39807-2023 karta knärot.png", "A 39807-2023")</f>
        <v/>
      </c>
      <c r="V419">
        <f>HYPERLINK("https://klasma.github.io/Logging_2305/klagomål/A 39807-2023 FSC-klagomål.docx", "A 39807-2023")</f>
        <v/>
      </c>
      <c r="W419">
        <f>HYPERLINK("https://klasma.github.io/Logging_2305/klagomålsmail/A 39807-2023 FSC-klagomål mail.docx", "A 39807-2023")</f>
        <v/>
      </c>
      <c r="X419">
        <f>HYPERLINK("https://klasma.github.io/Logging_2305/tillsyn/A 39807-2023 tillsynsbegäran.docx", "A 39807-2023")</f>
        <v/>
      </c>
      <c r="Y419">
        <f>HYPERLINK("https://klasma.github.io/Logging_2305/tillsynsmail/A 39807-2023 tillsynsbegäran mail.docx", "A 39807-2023")</f>
        <v/>
      </c>
    </row>
    <row r="420" ht="15" customHeight="1">
      <c r="A420" t="inlineStr">
        <is>
          <t>A 42385-2023</t>
        </is>
      </c>
      <c r="B420" s="1" t="n">
        <v>45180</v>
      </c>
      <c r="C420" s="1" t="n">
        <v>45363</v>
      </c>
      <c r="D420" t="inlineStr">
        <is>
          <t>JÄMTLANDS LÄN</t>
        </is>
      </c>
      <c r="E420" t="inlineStr">
        <is>
          <t>KROKOM</t>
        </is>
      </c>
      <c r="F420" t="inlineStr">
        <is>
          <t>Övriga Aktiebolag</t>
        </is>
      </c>
      <c r="G420" t="n">
        <v>7.7</v>
      </c>
      <c r="H420" t="n">
        <v>1</v>
      </c>
      <c r="I420" t="n">
        <v>0</v>
      </c>
      <c r="J420" t="n">
        <v>4</v>
      </c>
      <c r="K420" t="n">
        <v>2</v>
      </c>
      <c r="L420" t="n">
        <v>0</v>
      </c>
      <c r="M420" t="n">
        <v>0</v>
      </c>
      <c r="N420" t="n">
        <v>0</v>
      </c>
      <c r="O420" t="n">
        <v>6</v>
      </c>
      <c r="P420" t="n">
        <v>2</v>
      </c>
      <c r="Q420" t="n">
        <v>6</v>
      </c>
      <c r="R420" s="2" t="inlineStr">
        <is>
          <t>Fjällfotad musseron
Goliatmusseron
Grantaggsvamp
Skrovlig taggsvamp
Tallriska
Tretåig hackspett</t>
        </is>
      </c>
      <c r="S420">
        <f>HYPERLINK("https://klasma.github.io/Logging_2309/artfynd/A 42385-2023 artfynd.xlsx", "A 42385-2023")</f>
        <v/>
      </c>
      <c r="T420">
        <f>HYPERLINK("https://klasma.github.io/Logging_2309/kartor/A 42385-2023 karta.png", "A 42385-2023")</f>
        <v/>
      </c>
      <c r="V420">
        <f>HYPERLINK("https://klasma.github.io/Logging_2309/klagomål/A 42385-2023 FSC-klagomål.docx", "A 42385-2023")</f>
        <v/>
      </c>
      <c r="W420">
        <f>HYPERLINK("https://klasma.github.io/Logging_2309/klagomålsmail/A 42385-2023 FSC-klagomål mail.docx", "A 42385-2023")</f>
        <v/>
      </c>
      <c r="X420">
        <f>HYPERLINK("https://klasma.github.io/Logging_2309/tillsyn/A 42385-2023 tillsynsbegäran.docx", "A 42385-2023")</f>
        <v/>
      </c>
      <c r="Y420">
        <f>HYPERLINK("https://klasma.github.io/Logging_2309/tillsynsmail/A 42385-2023 tillsynsbegäran mail.docx", "A 42385-2023")</f>
        <v/>
      </c>
      <c r="Z420">
        <f>HYPERLINK("https://klasma.github.io/Logging_2309/fåglar/A 42385-2023 prioriterade fågelarter.docx", "A 42385-2023")</f>
        <v/>
      </c>
    </row>
    <row r="421" ht="15" customHeight="1">
      <c r="A421" t="inlineStr">
        <is>
          <t>A 43131-2023</t>
        </is>
      </c>
      <c r="B421" s="1" t="n">
        <v>45182</v>
      </c>
      <c r="C421" s="1" t="n">
        <v>45363</v>
      </c>
      <c r="D421" t="inlineStr">
        <is>
          <t>JÄMTLANDS LÄN</t>
        </is>
      </c>
      <c r="E421" t="inlineStr">
        <is>
          <t>BRÄCKE</t>
        </is>
      </c>
      <c r="F421" t="inlineStr">
        <is>
          <t>SCA</t>
        </is>
      </c>
      <c r="G421" t="n">
        <v>22.1</v>
      </c>
      <c r="H421" t="n">
        <v>1</v>
      </c>
      <c r="I421" t="n">
        <v>1</v>
      </c>
      <c r="J421" t="n">
        <v>4</v>
      </c>
      <c r="K421" t="n">
        <v>1</v>
      </c>
      <c r="L421" t="n">
        <v>0</v>
      </c>
      <c r="M421" t="n">
        <v>0</v>
      </c>
      <c r="N421" t="n">
        <v>0</v>
      </c>
      <c r="O421" t="n">
        <v>5</v>
      </c>
      <c r="P421" t="n">
        <v>1</v>
      </c>
      <c r="Q421" t="n">
        <v>6</v>
      </c>
      <c r="R421" s="2" t="inlineStr">
        <is>
          <t>Knärot
Granticka
Gränsticka
Lunglav
Skrovellav
Korallblylav</t>
        </is>
      </c>
      <c r="S421">
        <f>HYPERLINK("https://klasma.github.io/Logging_2305/artfynd/A 43131-2023 artfynd.xlsx", "A 43131-2023")</f>
        <v/>
      </c>
      <c r="T421">
        <f>HYPERLINK("https://klasma.github.io/Logging_2305/kartor/A 43131-2023 karta.png", "A 43131-2023")</f>
        <v/>
      </c>
      <c r="U421">
        <f>HYPERLINK("https://klasma.github.io/Logging_2305/knärot/A 43131-2023 karta knärot.png", "A 43131-2023")</f>
        <v/>
      </c>
      <c r="V421">
        <f>HYPERLINK("https://klasma.github.io/Logging_2305/klagomål/A 43131-2023 FSC-klagomål.docx", "A 43131-2023")</f>
        <v/>
      </c>
      <c r="W421">
        <f>HYPERLINK("https://klasma.github.io/Logging_2305/klagomålsmail/A 43131-2023 FSC-klagomål mail.docx", "A 43131-2023")</f>
        <v/>
      </c>
      <c r="X421">
        <f>HYPERLINK("https://klasma.github.io/Logging_2305/tillsyn/A 43131-2023 tillsynsbegäran.docx", "A 43131-2023")</f>
        <v/>
      </c>
      <c r="Y421">
        <f>HYPERLINK("https://klasma.github.io/Logging_2305/tillsynsmail/A 43131-2023 tillsynsbegäran mail.docx", "A 43131-2023")</f>
        <v/>
      </c>
    </row>
    <row r="422" ht="15" customHeight="1">
      <c r="A422" t="inlineStr">
        <is>
          <t>A 44238-2023</t>
        </is>
      </c>
      <c r="B422" s="1" t="n">
        <v>45188</v>
      </c>
      <c r="C422" s="1" t="n">
        <v>45363</v>
      </c>
      <c r="D422" t="inlineStr">
        <is>
          <t>JÄMTLANDS LÄN</t>
        </is>
      </c>
      <c r="E422" t="inlineStr">
        <is>
          <t>STRÖMSUND</t>
        </is>
      </c>
      <c r="F422" t="inlineStr">
        <is>
          <t>Holmen skog AB</t>
        </is>
      </c>
      <c r="G422" t="n">
        <v>5.4</v>
      </c>
      <c r="H422" t="n">
        <v>3</v>
      </c>
      <c r="I422" t="n">
        <v>0</v>
      </c>
      <c r="J422" t="n">
        <v>4</v>
      </c>
      <c r="K422" t="n">
        <v>1</v>
      </c>
      <c r="L422" t="n">
        <v>0</v>
      </c>
      <c r="M422" t="n">
        <v>0</v>
      </c>
      <c r="N422" t="n">
        <v>0</v>
      </c>
      <c r="O422" t="n">
        <v>5</v>
      </c>
      <c r="P422" t="n">
        <v>1</v>
      </c>
      <c r="Q422" t="n">
        <v>6</v>
      </c>
      <c r="R422" s="2" t="inlineStr">
        <is>
          <t>Doftticka
Granticka
Lunglav
Spillkråka
Ullticka
Lavskrika</t>
        </is>
      </c>
      <c r="S422">
        <f>HYPERLINK("https://klasma.github.io/Logging_2313/artfynd/A 44238-2023 artfynd.xlsx", "A 44238-2023")</f>
        <v/>
      </c>
      <c r="T422">
        <f>HYPERLINK("https://klasma.github.io/Logging_2313/kartor/A 44238-2023 karta.png", "A 44238-2023")</f>
        <v/>
      </c>
      <c r="V422">
        <f>HYPERLINK("https://klasma.github.io/Logging_2313/klagomål/A 44238-2023 FSC-klagomål.docx", "A 44238-2023")</f>
        <v/>
      </c>
      <c r="W422">
        <f>HYPERLINK("https://klasma.github.io/Logging_2313/klagomålsmail/A 44238-2023 FSC-klagomål mail.docx", "A 44238-2023")</f>
        <v/>
      </c>
      <c r="X422">
        <f>HYPERLINK("https://klasma.github.io/Logging_2313/tillsyn/A 44238-2023 tillsynsbegäran.docx", "A 44238-2023")</f>
        <v/>
      </c>
      <c r="Y422">
        <f>HYPERLINK("https://klasma.github.io/Logging_2313/tillsynsmail/A 44238-2023 tillsynsbegäran mail.docx", "A 44238-2023")</f>
        <v/>
      </c>
      <c r="Z422">
        <f>HYPERLINK("https://klasma.github.io/Logging_2313/fåglar/A 44238-2023 prioriterade fågelarter.docx", "A 44238-2023")</f>
        <v/>
      </c>
    </row>
    <row r="423" ht="15" customHeight="1">
      <c r="A423" t="inlineStr">
        <is>
          <t>A 47913-2023</t>
        </is>
      </c>
      <c r="B423" s="1" t="n">
        <v>45204</v>
      </c>
      <c r="C423" s="1" t="n">
        <v>45363</v>
      </c>
      <c r="D423" t="inlineStr">
        <is>
          <t>JÄMTLANDS LÄN</t>
        </is>
      </c>
      <c r="E423" t="inlineStr">
        <is>
          <t>ÅRE</t>
        </is>
      </c>
      <c r="G423" t="n">
        <v>19.4</v>
      </c>
      <c r="H423" t="n">
        <v>1</v>
      </c>
      <c r="I423" t="n">
        <v>0</v>
      </c>
      <c r="J423" t="n">
        <v>5</v>
      </c>
      <c r="K423" t="n">
        <v>1</v>
      </c>
      <c r="L423" t="n">
        <v>0</v>
      </c>
      <c r="M423" t="n">
        <v>0</v>
      </c>
      <c r="N423" t="n">
        <v>0</v>
      </c>
      <c r="O423" t="n">
        <v>6</v>
      </c>
      <c r="P423" t="n">
        <v>1</v>
      </c>
      <c r="Q423" t="n">
        <v>6</v>
      </c>
      <c r="R423" s="2" t="inlineStr">
        <is>
          <t>Rynkskinn
Granticka
Harticka
Skrovellav
Tretåig hackspett
Ullticka</t>
        </is>
      </c>
      <c r="S423">
        <f>HYPERLINK("https://klasma.github.io/Logging_2321/artfynd/A 47913-2023 artfynd.xlsx", "A 47913-2023")</f>
        <v/>
      </c>
      <c r="T423">
        <f>HYPERLINK("https://klasma.github.io/Logging_2321/kartor/A 47913-2023 karta.png", "A 47913-2023")</f>
        <v/>
      </c>
      <c r="V423">
        <f>HYPERLINK("https://klasma.github.io/Logging_2321/klagomål/A 47913-2023 FSC-klagomål.docx", "A 47913-2023")</f>
        <v/>
      </c>
      <c r="W423">
        <f>HYPERLINK("https://klasma.github.io/Logging_2321/klagomålsmail/A 47913-2023 FSC-klagomål mail.docx", "A 47913-2023")</f>
        <v/>
      </c>
      <c r="X423">
        <f>HYPERLINK("https://klasma.github.io/Logging_2321/tillsyn/A 47913-2023 tillsynsbegäran.docx", "A 47913-2023")</f>
        <v/>
      </c>
      <c r="Y423">
        <f>HYPERLINK("https://klasma.github.io/Logging_2321/tillsynsmail/A 47913-2023 tillsynsbegäran mail.docx", "A 47913-2023")</f>
        <v/>
      </c>
      <c r="Z423">
        <f>HYPERLINK("https://klasma.github.io/Logging_2321/fåglar/A 47913-2023 prioriterade fågelarter.docx", "A 47913-2023")</f>
        <v/>
      </c>
    </row>
    <row r="424" ht="15" customHeight="1">
      <c r="A424" t="inlineStr">
        <is>
          <t>A 50389-2023</t>
        </is>
      </c>
      <c r="B424" s="1" t="n">
        <v>45209</v>
      </c>
      <c r="C424" s="1" t="n">
        <v>45363</v>
      </c>
      <c r="D424" t="inlineStr">
        <is>
          <t>JÄMTLANDS LÄN</t>
        </is>
      </c>
      <c r="E424" t="inlineStr">
        <is>
          <t>KROKOM</t>
        </is>
      </c>
      <c r="G424" t="n">
        <v>14.7</v>
      </c>
      <c r="H424" t="n">
        <v>2</v>
      </c>
      <c r="I424" t="n">
        <v>1</v>
      </c>
      <c r="J424" t="n">
        <v>5</v>
      </c>
      <c r="K424" t="n">
        <v>0</v>
      </c>
      <c r="L424" t="n">
        <v>0</v>
      </c>
      <c r="M424" t="n">
        <v>0</v>
      </c>
      <c r="N424" t="n">
        <v>0</v>
      </c>
      <c r="O424" t="n">
        <v>5</v>
      </c>
      <c r="P424" t="n">
        <v>0</v>
      </c>
      <c r="Q424" t="n">
        <v>6</v>
      </c>
      <c r="R424" s="2" t="inlineStr">
        <is>
          <t>Doftskinn
Garnlav
Harticka
Spillkråka
Tretåig hackspett
Trådticka</t>
        </is>
      </c>
      <c r="S424">
        <f>HYPERLINK("https://klasma.github.io/Logging_2309/artfynd/A 50389-2023 artfynd.xlsx", "A 50389-2023")</f>
        <v/>
      </c>
      <c r="T424">
        <f>HYPERLINK("https://klasma.github.io/Logging_2309/kartor/A 50389-2023 karta.png", "A 50389-2023")</f>
        <v/>
      </c>
      <c r="V424">
        <f>HYPERLINK("https://klasma.github.io/Logging_2309/klagomål/A 50389-2023 FSC-klagomål.docx", "A 50389-2023")</f>
        <v/>
      </c>
      <c r="W424">
        <f>HYPERLINK("https://klasma.github.io/Logging_2309/klagomålsmail/A 50389-2023 FSC-klagomål mail.docx", "A 50389-2023")</f>
        <v/>
      </c>
      <c r="X424">
        <f>HYPERLINK("https://klasma.github.io/Logging_2309/tillsyn/A 50389-2023 tillsynsbegäran.docx", "A 50389-2023")</f>
        <v/>
      </c>
      <c r="Y424">
        <f>HYPERLINK("https://klasma.github.io/Logging_2309/tillsynsmail/A 50389-2023 tillsynsbegäran mail.docx", "A 50389-2023")</f>
        <v/>
      </c>
      <c r="Z424">
        <f>HYPERLINK("https://klasma.github.io/Logging_2309/fåglar/A 50389-2023 prioriterade fågelarter.docx", "A 50389-2023")</f>
        <v/>
      </c>
    </row>
    <row r="425" ht="15" customHeight="1">
      <c r="A425" t="inlineStr">
        <is>
          <t>A 55646-2023</t>
        </is>
      </c>
      <c r="B425" s="1" t="n">
        <v>45238</v>
      </c>
      <c r="C425" s="1" t="n">
        <v>45363</v>
      </c>
      <c r="D425" t="inlineStr">
        <is>
          <t>JÄMTLANDS LÄN</t>
        </is>
      </c>
      <c r="E425" t="inlineStr">
        <is>
          <t>RAGUNDA</t>
        </is>
      </c>
      <c r="F425" t="inlineStr">
        <is>
          <t>SCA</t>
        </is>
      </c>
      <c r="G425" t="n">
        <v>3.9</v>
      </c>
      <c r="H425" t="n">
        <v>0</v>
      </c>
      <c r="I425" t="n">
        <v>1</v>
      </c>
      <c r="J425" t="n">
        <v>5</v>
      </c>
      <c r="K425" t="n">
        <v>0</v>
      </c>
      <c r="L425" t="n">
        <v>0</v>
      </c>
      <c r="M425" t="n">
        <v>0</v>
      </c>
      <c r="N425" t="n">
        <v>0</v>
      </c>
      <c r="O425" t="n">
        <v>5</v>
      </c>
      <c r="P425" t="n">
        <v>0</v>
      </c>
      <c r="Q425" t="n">
        <v>6</v>
      </c>
      <c r="R425" s="2" t="inlineStr">
        <is>
          <t>Gammelgransskål
Garnlav
Lunglav
Skrovellav
Småflikig brosklav
Korallblylav</t>
        </is>
      </c>
      <c r="S425">
        <f>HYPERLINK("https://klasma.github.io/Logging_2303/artfynd/A 55646-2023 artfynd.xlsx", "A 55646-2023")</f>
        <v/>
      </c>
      <c r="T425">
        <f>HYPERLINK("https://klasma.github.io/Logging_2303/kartor/A 55646-2023 karta.png", "A 55646-2023")</f>
        <v/>
      </c>
      <c r="V425">
        <f>HYPERLINK("https://klasma.github.io/Logging_2303/klagomål/A 55646-2023 FSC-klagomål.docx", "A 55646-2023")</f>
        <v/>
      </c>
      <c r="W425">
        <f>HYPERLINK("https://klasma.github.io/Logging_2303/klagomålsmail/A 55646-2023 FSC-klagomål mail.docx", "A 55646-2023")</f>
        <v/>
      </c>
      <c r="X425">
        <f>HYPERLINK("https://klasma.github.io/Logging_2303/tillsyn/A 55646-2023 tillsynsbegäran.docx", "A 55646-2023")</f>
        <v/>
      </c>
      <c r="Y425">
        <f>HYPERLINK("https://klasma.github.io/Logging_2303/tillsynsmail/A 55646-2023 tillsynsbegäran mail.docx", "A 55646-2023")</f>
        <v/>
      </c>
    </row>
    <row r="426" ht="15" customHeight="1">
      <c r="A426" t="inlineStr">
        <is>
          <t>A 57076-2023</t>
        </is>
      </c>
      <c r="B426" s="1" t="n">
        <v>45245</v>
      </c>
      <c r="C426" s="1" t="n">
        <v>45363</v>
      </c>
      <c r="D426" t="inlineStr">
        <is>
          <t>JÄMTLANDS LÄN</t>
        </is>
      </c>
      <c r="E426" t="inlineStr">
        <is>
          <t>STRÖMSUND</t>
        </is>
      </c>
      <c r="F426" t="inlineStr">
        <is>
          <t>SCA</t>
        </is>
      </c>
      <c r="G426" t="n">
        <v>3.3</v>
      </c>
      <c r="H426" t="n">
        <v>0</v>
      </c>
      <c r="I426" t="n">
        <v>1</v>
      </c>
      <c r="J426" t="n">
        <v>5</v>
      </c>
      <c r="K426" t="n">
        <v>0</v>
      </c>
      <c r="L426" t="n">
        <v>0</v>
      </c>
      <c r="M426" t="n">
        <v>0</v>
      </c>
      <c r="N426" t="n">
        <v>0</v>
      </c>
      <c r="O426" t="n">
        <v>5</v>
      </c>
      <c r="P426" t="n">
        <v>0</v>
      </c>
      <c r="Q426" t="n">
        <v>6</v>
      </c>
      <c r="R426" s="2" t="inlineStr">
        <is>
          <t>Garnlav
Granticka
Lunglav
Skrovellav
Ullticka
Stuplav</t>
        </is>
      </c>
      <c r="S426">
        <f>HYPERLINK("https://klasma.github.io/Logging_2313/artfynd/A 57076-2023 artfynd.xlsx", "A 57076-2023")</f>
        <v/>
      </c>
      <c r="T426">
        <f>HYPERLINK("https://klasma.github.io/Logging_2313/kartor/A 57076-2023 karta.png", "A 57076-2023")</f>
        <v/>
      </c>
      <c r="V426">
        <f>HYPERLINK("https://klasma.github.io/Logging_2313/klagomål/A 57076-2023 FSC-klagomål.docx", "A 57076-2023")</f>
        <v/>
      </c>
      <c r="W426">
        <f>HYPERLINK("https://klasma.github.io/Logging_2313/klagomålsmail/A 57076-2023 FSC-klagomål mail.docx", "A 57076-2023")</f>
        <v/>
      </c>
      <c r="X426">
        <f>HYPERLINK("https://klasma.github.io/Logging_2313/tillsyn/A 57076-2023 tillsynsbegäran.docx", "A 57076-2023")</f>
        <v/>
      </c>
      <c r="Y426">
        <f>HYPERLINK("https://klasma.github.io/Logging_2313/tillsynsmail/A 57076-2023 tillsynsbegäran mail.docx", "A 57076-2023")</f>
        <v/>
      </c>
    </row>
    <row r="427" ht="15" customHeight="1">
      <c r="A427" t="inlineStr">
        <is>
          <t>A 59537-2023</t>
        </is>
      </c>
      <c r="B427" s="1" t="n">
        <v>45254</v>
      </c>
      <c r="C427" s="1" t="n">
        <v>45363</v>
      </c>
      <c r="D427" t="inlineStr">
        <is>
          <t>JÄMTLANDS LÄN</t>
        </is>
      </c>
      <c r="E427" t="inlineStr">
        <is>
          <t>ÖSTERSUND</t>
        </is>
      </c>
      <c r="G427" t="n">
        <v>4.1</v>
      </c>
      <c r="H427" t="n">
        <v>4</v>
      </c>
      <c r="I427" t="n">
        <v>0</v>
      </c>
      <c r="J427" t="n">
        <v>4</v>
      </c>
      <c r="K427" t="n">
        <v>0</v>
      </c>
      <c r="L427" t="n">
        <v>0</v>
      </c>
      <c r="M427" t="n">
        <v>0</v>
      </c>
      <c r="N427" t="n">
        <v>0</v>
      </c>
      <c r="O427" t="n">
        <v>4</v>
      </c>
      <c r="P427" t="n">
        <v>0</v>
      </c>
      <c r="Q427" t="n">
        <v>6</v>
      </c>
      <c r="R427" s="2" t="inlineStr">
        <is>
          <t>Granticka
Kråka
Talltita
Ullticka
Lopplummer
Revlummer</t>
        </is>
      </c>
      <c r="S427">
        <f>HYPERLINK("https://klasma.github.io/Logging_2380/artfynd/A 59537-2023 artfynd.xlsx", "A 59537-2023")</f>
        <v/>
      </c>
      <c r="T427">
        <f>HYPERLINK("https://klasma.github.io/Logging_2380/kartor/A 59537-2023 karta.png", "A 59537-2023")</f>
        <v/>
      </c>
      <c r="V427">
        <f>HYPERLINK("https://klasma.github.io/Logging_2380/klagomål/A 59537-2023 FSC-klagomål.docx", "A 59537-2023")</f>
        <v/>
      </c>
      <c r="W427">
        <f>HYPERLINK("https://klasma.github.io/Logging_2380/klagomålsmail/A 59537-2023 FSC-klagomål mail.docx", "A 59537-2023")</f>
        <v/>
      </c>
      <c r="X427">
        <f>HYPERLINK("https://klasma.github.io/Logging_2380/tillsyn/A 59537-2023 tillsynsbegäran.docx", "A 59537-2023")</f>
        <v/>
      </c>
      <c r="Y427">
        <f>HYPERLINK("https://klasma.github.io/Logging_2380/tillsynsmail/A 59537-2023 tillsynsbegäran mail.docx", "A 59537-2023")</f>
        <v/>
      </c>
      <c r="Z427">
        <f>HYPERLINK("https://klasma.github.io/Logging_2380/fåglar/A 59537-2023 prioriterade fågelarter.docx", "A 59537-2023")</f>
        <v/>
      </c>
    </row>
    <row r="428" ht="15" customHeight="1">
      <c r="A428" t="inlineStr">
        <is>
          <t>A 9330-2024</t>
        </is>
      </c>
      <c r="B428" s="1" t="n">
        <v>45359</v>
      </c>
      <c r="C428" s="1" t="n">
        <v>45363</v>
      </c>
      <c r="D428" t="inlineStr">
        <is>
          <t>JÄMTLANDS LÄN</t>
        </is>
      </c>
      <c r="E428" t="inlineStr">
        <is>
          <t>RAGUNDA</t>
        </is>
      </c>
      <c r="F428" t="inlineStr">
        <is>
          <t>SCA</t>
        </is>
      </c>
      <c r="G428" t="n">
        <v>13</v>
      </c>
      <c r="H428" t="n">
        <v>0</v>
      </c>
      <c r="I428" t="n">
        <v>0</v>
      </c>
      <c r="J428" t="n">
        <v>3</v>
      </c>
      <c r="K428" t="n">
        <v>3</v>
      </c>
      <c r="L428" t="n">
        <v>0</v>
      </c>
      <c r="M428" t="n">
        <v>0</v>
      </c>
      <c r="N428" t="n">
        <v>0</v>
      </c>
      <c r="O428" t="n">
        <v>6</v>
      </c>
      <c r="P428" t="n">
        <v>3</v>
      </c>
      <c r="Q428" t="n">
        <v>6</v>
      </c>
      <c r="R428" s="2" t="inlineStr">
        <is>
          <t>Goliatmusseron
Smalfotad taggsvamp
Tajgataggsvamp
Kolflarnlav
Reliktbock
Vedskivlav</t>
        </is>
      </c>
      <c r="S428">
        <f>HYPERLINK("https://klasma.github.io/Logging_2303/artfynd/A 9330-2024 artfynd.xlsx", "A 9330-2024")</f>
        <v/>
      </c>
      <c r="T428">
        <f>HYPERLINK("https://klasma.github.io/Logging_2303/kartor/A 9330-2024 karta.png", "A 9330-2024")</f>
        <v/>
      </c>
      <c r="V428">
        <f>HYPERLINK("https://klasma.github.io/Logging_2303/klagomål/A 9330-2024 FSC-klagomål.docx", "A 9330-2024")</f>
        <v/>
      </c>
      <c r="W428">
        <f>HYPERLINK("https://klasma.github.io/Logging_2303/klagomålsmail/A 9330-2024 FSC-klagomål mail.docx", "A 9330-2024")</f>
        <v/>
      </c>
      <c r="X428">
        <f>HYPERLINK("https://klasma.github.io/Logging_2303/tillsyn/A 9330-2024 tillsynsbegäran.docx", "A 9330-2024")</f>
        <v/>
      </c>
      <c r="Y428">
        <f>HYPERLINK("https://klasma.github.io/Logging_2303/tillsynsmail/A 9330-2024 tillsynsbegäran mail.docx", "A 9330-2024")</f>
        <v/>
      </c>
    </row>
    <row r="429" ht="15" customHeight="1">
      <c r="A429" t="inlineStr">
        <is>
          <t>A 3604-2019</t>
        </is>
      </c>
      <c r="B429" s="1" t="n">
        <v>43474</v>
      </c>
      <c r="C429" s="1" t="n">
        <v>45363</v>
      </c>
      <c r="D429" t="inlineStr">
        <is>
          <t>JÄMTLANDS LÄN</t>
        </is>
      </c>
      <c r="E429" t="inlineStr">
        <is>
          <t>KROKOM</t>
        </is>
      </c>
      <c r="G429" t="n">
        <v>5.8</v>
      </c>
      <c r="H429" t="n">
        <v>0</v>
      </c>
      <c r="I429" t="n">
        <v>0</v>
      </c>
      <c r="J429" t="n">
        <v>4</v>
      </c>
      <c r="K429" t="n">
        <v>1</v>
      </c>
      <c r="L429" t="n">
        <v>0</v>
      </c>
      <c r="M429" t="n">
        <v>0</v>
      </c>
      <c r="N429" t="n">
        <v>0</v>
      </c>
      <c r="O429" t="n">
        <v>5</v>
      </c>
      <c r="P429" t="n">
        <v>1</v>
      </c>
      <c r="Q429" t="n">
        <v>5</v>
      </c>
      <c r="R429" s="2" t="inlineStr">
        <is>
          <t>Norsk näverlav
Gränsticka
Ullticka
Vedtrappmossa
Vitskaftad svartspik</t>
        </is>
      </c>
      <c r="S429">
        <f>HYPERLINK("https://klasma.github.io/Logging_2309/artfynd/A 3604-2019 artfynd.xlsx", "A 3604-2019")</f>
        <v/>
      </c>
      <c r="T429">
        <f>HYPERLINK("https://klasma.github.io/Logging_2309/kartor/A 3604-2019 karta.png", "A 3604-2019")</f>
        <v/>
      </c>
      <c r="V429">
        <f>HYPERLINK("https://klasma.github.io/Logging_2309/klagomål/A 3604-2019 FSC-klagomål.docx", "A 3604-2019")</f>
        <v/>
      </c>
      <c r="W429">
        <f>HYPERLINK("https://klasma.github.io/Logging_2309/klagomålsmail/A 3604-2019 FSC-klagomål mail.docx", "A 3604-2019")</f>
        <v/>
      </c>
      <c r="X429">
        <f>HYPERLINK("https://klasma.github.io/Logging_2309/tillsyn/A 3604-2019 tillsynsbegäran.docx", "A 3604-2019")</f>
        <v/>
      </c>
      <c r="Y429">
        <f>HYPERLINK("https://klasma.github.io/Logging_2309/tillsynsmail/A 3604-2019 tillsynsbegäran mail.docx", "A 3604-2019")</f>
        <v/>
      </c>
    </row>
    <row r="430" ht="15" customHeight="1">
      <c r="A430" t="inlineStr">
        <is>
          <t>A 4628-2019</t>
        </is>
      </c>
      <c r="B430" s="1" t="n">
        <v>43486</v>
      </c>
      <c r="C430" s="1" t="n">
        <v>45363</v>
      </c>
      <c r="D430" t="inlineStr">
        <is>
          <t>JÄMTLANDS LÄN</t>
        </is>
      </c>
      <c r="E430" t="inlineStr">
        <is>
          <t>HÄRJEDALEN</t>
        </is>
      </c>
      <c r="G430" t="n">
        <v>34.1</v>
      </c>
      <c r="H430" t="n">
        <v>0</v>
      </c>
      <c r="I430" t="n">
        <v>0</v>
      </c>
      <c r="J430" t="n">
        <v>3</v>
      </c>
      <c r="K430" t="n">
        <v>2</v>
      </c>
      <c r="L430" t="n">
        <v>0</v>
      </c>
      <c r="M430" t="n">
        <v>0</v>
      </c>
      <c r="N430" t="n">
        <v>0</v>
      </c>
      <c r="O430" t="n">
        <v>5</v>
      </c>
      <c r="P430" t="n">
        <v>2</v>
      </c>
      <c r="Q430" t="n">
        <v>5</v>
      </c>
      <c r="R430" s="2" t="inlineStr">
        <is>
          <t>Gräddporing
Rynkskinn
Doftskinn
Gränsticka
Rosenticka</t>
        </is>
      </c>
      <c r="S430">
        <f>HYPERLINK("https://klasma.github.io/Logging_2361/artfynd/A 4628-2019 artfynd.xlsx", "A 4628-2019")</f>
        <v/>
      </c>
      <c r="T430">
        <f>HYPERLINK("https://klasma.github.io/Logging_2361/kartor/A 4628-2019 karta.png", "A 4628-2019")</f>
        <v/>
      </c>
      <c r="V430">
        <f>HYPERLINK("https://klasma.github.io/Logging_2361/klagomål/A 4628-2019 FSC-klagomål.docx", "A 4628-2019")</f>
        <v/>
      </c>
      <c r="W430">
        <f>HYPERLINK("https://klasma.github.io/Logging_2361/klagomålsmail/A 4628-2019 FSC-klagomål mail.docx", "A 4628-2019")</f>
        <v/>
      </c>
      <c r="X430">
        <f>HYPERLINK("https://klasma.github.io/Logging_2361/tillsyn/A 4628-2019 tillsynsbegäran.docx", "A 4628-2019")</f>
        <v/>
      </c>
      <c r="Y430">
        <f>HYPERLINK("https://klasma.github.io/Logging_2361/tillsynsmail/A 4628-2019 tillsynsbegäran mail.docx", "A 4628-2019")</f>
        <v/>
      </c>
    </row>
    <row r="431" ht="15" customHeight="1">
      <c r="A431" t="inlineStr">
        <is>
          <t>A 25066-2019</t>
        </is>
      </c>
      <c r="B431" s="1" t="n">
        <v>43605</v>
      </c>
      <c r="C431" s="1" t="n">
        <v>45363</v>
      </c>
      <c r="D431" t="inlineStr">
        <is>
          <t>JÄMTLANDS LÄN</t>
        </is>
      </c>
      <c r="E431" t="inlineStr">
        <is>
          <t>ÅRE</t>
        </is>
      </c>
      <c r="G431" t="n">
        <v>5.4</v>
      </c>
      <c r="H431" t="n">
        <v>2</v>
      </c>
      <c r="I431" t="n">
        <v>1</v>
      </c>
      <c r="J431" t="n">
        <v>4</v>
      </c>
      <c r="K431" t="n">
        <v>0</v>
      </c>
      <c r="L431" t="n">
        <v>0</v>
      </c>
      <c r="M431" t="n">
        <v>0</v>
      </c>
      <c r="N431" t="n">
        <v>0</v>
      </c>
      <c r="O431" t="n">
        <v>4</v>
      </c>
      <c r="P431" t="n">
        <v>0</v>
      </c>
      <c r="Q431" t="n">
        <v>5</v>
      </c>
      <c r="R431" s="2" t="inlineStr">
        <is>
          <t>Garnlav
Granticka
Tretåig hackspett
Ullticka
Spindelblomster</t>
        </is>
      </c>
      <c r="S431">
        <f>HYPERLINK("https://klasma.github.io/Logging_2321/artfynd/A 25066-2019 artfynd.xlsx", "A 25066-2019")</f>
        <v/>
      </c>
      <c r="T431">
        <f>HYPERLINK("https://klasma.github.io/Logging_2321/kartor/A 25066-2019 karta.png", "A 25066-2019")</f>
        <v/>
      </c>
      <c r="V431">
        <f>HYPERLINK("https://klasma.github.io/Logging_2321/klagomål/A 25066-2019 FSC-klagomål.docx", "A 25066-2019")</f>
        <v/>
      </c>
      <c r="W431">
        <f>HYPERLINK("https://klasma.github.io/Logging_2321/klagomålsmail/A 25066-2019 FSC-klagomål mail.docx", "A 25066-2019")</f>
        <v/>
      </c>
      <c r="X431">
        <f>HYPERLINK("https://klasma.github.io/Logging_2321/tillsyn/A 25066-2019 tillsynsbegäran.docx", "A 25066-2019")</f>
        <v/>
      </c>
      <c r="Y431">
        <f>HYPERLINK("https://klasma.github.io/Logging_2321/tillsynsmail/A 25066-2019 tillsynsbegäran mail.docx", "A 25066-2019")</f>
        <v/>
      </c>
      <c r="Z431">
        <f>HYPERLINK("https://klasma.github.io/Logging_2321/fåglar/A 25066-2019 prioriterade fågelarter.docx", "A 25066-2019")</f>
        <v/>
      </c>
    </row>
    <row r="432" ht="15" customHeight="1">
      <c r="A432" t="inlineStr">
        <is>
          <t>A 25472-2019</t>
        </is>
      </c>
      <c r="B432" s="1" t="n">
        <v>43606</v>
      </c>
      <c r="C432" s="1" t="n">
        <v>45363</v>
      </c>
      <c r="D432" t="inlineStr">
        <is>
          <t>JÄMTLANDS LÄN</t>
        </is>
      </c>
      <c r="E432" t="inlineStr">
        <is>
          <t>HÄRJEDALEN</t>
        </is>
      </c>
      <c r="G432" t="n">
        <v>18.7</v>
      </c>
      <c r="H432" t="n">
        <v>0</v>
      </c>
      <c r="I432" t="n">
        <v>0</v>
      </c>
      <c r="J432" t="n">
        <v>4</v>
      </c>
      <c r="K432" t="n">
        <v>1</v>
      </c>
      <c r="L432" t="n">
        <v>0</v>
      </c>
      <c r="M432" t="n">
        <v>0</v>
      </c>
      <c r="N432" t="n">
        <v>0</v>
      </c>
      <c r="O432" t="n">
        <v>5</v>
      </c>
      <c r="P432" t="n">
        <v>1</v>
      </c>
      <c r="Q432" t="n">
        <v>5</v>
      </c>
      <c r="R432" s="2" t="inlineStr">
        <is>
          <t>Gräddporing
Dvärgbägarlav
Gammelgransskål
Garnlav
Skrovellav</t>
        </is>
      </c>
      <c r="S432">
        <f>HYPERLINK("https://klasma.github.io/Logging_2361/artfynd/A 25472-2019 artfynd.xlsx", "A 25472-2019")</f>
        <v/>
      </c>
      <c r="T432">
        <f>HYPERLINK("https://klasma.github.io/Logging_2361/kartor/A 25472-2019 karta.png", "A 25472-2019")</f>
        <v/>
      </c>
      <c r="V432">
        <f>HYPERLINK("https://klasma.github.io/Logging_2361/klagomål/A 25472-2019 FSC-klagomål.docx", "A 25472-2019")</f>
        <v/>
      </c>
      <c r="W432">
        <f>HYPERLINK("https://klasma.github.io/Logging_2361/klagomålsmail/A 25472-2019 FSC-klagomål mail.docx", "A 25472-2019")</f>
        <v/>
      </c>
      <c r="X432">
        <f>HYPERLINK("https://klasma.github.io/Logging_2361/tillsyn/A 25472-2019 tillsynsbegäran.docx", "A 25472-2019")</f>
        <v/>
      </c>
      <c r="Y432">
        <f>HYPERLINK("https://klasma.github.io/Logging_2361/tillsynsmail/A 25472-2019 tillsynsbegäran mail.docx", "A 25472-2019")</f>
        <v/>
      </c>
    </row>
    <row r="433" ht="15" customHeight="1">
      <c r="A433" t="inlineStr">
        <is>
          <t>A 52018-2019</t>
        </is>
      </c>
      <c r="B433" s="1" t="n">
        <v>43734</v>
      </c>
      <c r="C433" s="1" t="n">
        <v>45363</v>
      </c>
      <c r="D433" t="inlineStr">
        <is>
          <t>JÄMTLANDS LÄN</t>
        </is>
      </c>
      <c r="E433" t="inlineStr">
        <is>
          <t>KROKOM</t>
        </is>
      </c>
      <c r="G433" t="n">
        <v>1.5</v>
      </c>
      <c r="H433" t="n">
        <v>0</v>
      </c>
      <c r="I433" t="n">
        <v>0</v>
      </c>
      <c r="J433" t="n">
        <v>5</v>
      </c>
      <c r="K433" t="n">
        <v>0</v>
      </c>
      <c r="L433" t="n">
        <v>0</v>
      </c>
      <c r="M433" t="n">
        <v>0</v>
      </c>
      <c r="N433" t="n">
        <v>0</v>
      </c>
      <c r="O433" t="n">
        <v>5</v>
      </c>
      <c r="P433" t="n">
        <v>0</v>
      </c>
      <c r="Q433" t="n">
        <v>5</v>
      </c>
      <c r="R433" s="2" t="inlineStr">
        <is>
          <t>Doftskinn
Garnlav
Kavernularia
Liten svartspik
Vitgrynig nållav</t>
        </is>
      </c>
      <c r="S433">
        <f>HYPERLINK("https://klasma.github.io/Logging_2309/artfynd/A 52018-2019 artfynd.xlsx", "A 52018-2019")</f>
        <v/>
      </c>
      <c r="T433">
        <f>HYPERLINK("https://klasma.github.io/Logging_2309/kartor/A 52018-2019 karta.png", "A 52018-2019")</f>
        <v/>
      </c>
      <c r="V433">
        <f>HYPERLINK("https://klasma.github.io/Logging_2309/klagomål/A 52018-2019 FSC-klagomål.docx", "A 52018-2019")</f>
        <v/>
      </c>
      <c r="W433">
        <f>HYPERLINK("https://klasma.github.io/Logging_2309/klagomålsmail/A 52018-2019 FSC-klagomål mail.docx", "A 52018-2019")</f>
        <v/>
      </c>
      <c r="X433">
        <f>HYPERLINK("https://klasma.github.io/Logging_2309/tillsyn/A 52018-2019 tillsynsbegäran.docx", "A 52018-2019")</f>
        <v/>
      </c>
      <c r="Y433">
        <f>HYPERLINK("https://klasma.github.io/Logging_2309/tillsynsmail/A 52018-2019 tillsynsbegäran mail.docx", "A 52018-2019")</f>
        <v/>
      </c>
    </row>
    <row r="434" ht="15" customHeight="1">
      <c r="A434" t="inlineStr">
        <is>
          <t>A 54397-2019</t>
        </is>
      </c>
      <c r="B434" s="1" t="n">
        <v>43754</v>
      </c>
      <c r="C434" s="1" t="n">
        <v>45363</v>
      </c>
      <c r="D434" t="inlineStr">
        <is>
          <t>JÄMTLANDS LÄN</t>
        </is>
      </c>
      <c r="E434" t="inlineStr">
        <is>
          <t>STRÖMSUND</t>
        </is>
      </c>
      <c r="F434" t="inlineStr">
        <is>
          <t>Holmen skog AB</t>
        </is>
      </c>
      <c r="G434" t="n">
        <v>7.3</v>
      </c>
      <c r="H434" t="n">
        <v>0</v>
      </c>
      <c r="I434" t="n">
        <v>2</v>
      </c>
      <c r="J434" t="n">
        <v>3</v>
      </c>
      <c r="K434" t="n">
        <v>0</v>
      </c>
      <c r="L434" t="n">
        <v>0</v>
      </c>
      <c r="M434" t="n">
        <v>0</v>
      </c>
      <c r="N434" t="n">
        <v>0</v>
      </c>
      <c r="O434" t="n">
        <v>3</v>
      </c>
      <c r="P434" t="n">
        <v>0</v>
      </c>
      <c r="Q434" t="n">
        <v>5</v>
      </c>
      <c r="R434" s="2" t="inlineStr">
        <is>
          <t>Garnlav
Lunglav
Skrovellav
Bårdlav
Stuplav</t>
        </is>
      </c>
      <c r="S434">
        <f>HYPERLINK("https://klasma.github.io/Logging_2313/artfynd/A 54397-2019 artfynd.xlsx", "A 54397-2019")</f>
        <v/>
      </c>
      <c r="T434">
        <f>HYPERLINK("https://klasma.github.io/Logging_2313/kartor/A 54397-2019 karta.png", "A 54397-2019")</f>
        <v/>
      </c>
      <c r="V434">
        <f>HYPERLINK("https://klasma.github.io/Logging_2313/klagomål/A 54397-2019 FSC-klagomål.docx", "A 54397-2019")</f>
        <v/>
      </c>
      <c r="W434">
        <f>HYPERLINK("https://klasma.github.io/Logging_2313/klagomålsmail/A 54397-2019 FSC-klagomål mail.docx", "A 54397-2019")</f>
        <v/>
      </c>
      <c r="X434">
        <f>HYPERLINK("https://klasma.github.io/Logging_2313/tillsyn/A 54397-2019 tillsynsbegäran.docx", "A 54397-2019")</f>
        <v/>
      </c>
      <c r="Y434">
        <f>HYPERLINK("https://klasma.github.io/Logging_2313/tillsynsmail/A 54397-2019 tillsynsbegäran mail.docx", "A 54397-2019")</f>
        <v/>
      </c>
    </row>
    <row r="435" ht="15" customHeight="1">
      <c r="A435" t="inlineStr">
        <is>
          <t>A 56104-2019</t>
        </is>
      </c>
      <c r="B435" s="1" t="n">
        <v>43759</v>
      </c>
      <c r="C435" s="1" t="n">
        <v>45363</v>
      </c>
      <c r="D435" t="inlineStr">
        <is>
          <t>JÄMTLANDS LÄN</t>
        </is>
      </c>
      <c r="E435" t="inlineStr">
        <is>
          <t>BRÄCKE</t>
        </is>
      </c>
      <c r="F435" t="inlineStr">
        <is>
          <t>Kyrkan</t>
        </is>
      </c>
      <c r="G435" t="n">
        <v>17.6</v>
      </c>
      <c r="H435" t="n">
        <v>2</v>
      </c>
      <c r="I435" t="n">
        <v>1</v>
      </c>
      <c r="J435" t="n">
        <v>3</v>
      </c>
      <c r="K435" t="n">
        <v>1</v>
      </c>
      <c r="L435" t="n">
        <v>0</v>
      </c>
      <c r="M435" t="n">
        <v>0</v>
      </c>
      <c r="N435" t="n">
        <v>0</v>
      </c>
      <c r="O435" t="n">
        <v>4</v>
      </c>
      <c r="P435" t="n">
        <v>1</v>
      </c>
      <c r="Q435" t="n">
        <v>5</v>
      </c>
      <c r="R435" s="2" t="inlineStr">
        <is>
          <t>Doftticka
Lunglav
Veckticka
Vedtrappmossa
Tvåblad</t>
        </is>
      </c>
      <c r="S435">
        <f>HYPERLINK("https://klasma.github.io/Logging_2305/artfynd/A 56104-2019 artfynd.xlsx", "A 56104-2019")</f>
        <v/>
      </c>
      <c r="T435">
        <f>HYPERLINK("https://klasma.github.io/Logging_2305/kartor/A 56104-2019 karta.png", "A 56104-2019")</f>
        <v/>
      </c>
      <c r="V435">
        <f>HYPERLINK("https://klasma.github.io/Logging_2305/klagomål/A 56104-2019 FSC-klagomål.docx", "A 56104-2019")</f>
        <v/>
      </c>
      <c r="W435">
        <f>HYPERLINK("https://klasma.github.io/Logging_2305/klagomålsmail/A 56104-2019 FSC-klagomål mail.docx", "A 56104-2019")</f>
        <v/>
      </c>
      <c r="X435">
        <f>HYPERLINK("https://klasma.github.io/Logging_2305/tillsyn/A 56104-2019 tillsynsbegäran.docx", "A 56104-2019")</f>
        <v/>
      </c>
      <c r="Y435">
        <f>HYPERLINK("https://klasma.github.io/Logging_2305/tillsynsmail/A 56104-2019 tillsynsbegäran mail.docx", "A 56104-2019")</f>
        <v/>
      </c>
    </row>
    <row r="436" ht="15" customHeight="1">
      <c r="A436" t="inlineStr">
        <is>
          <t>A 59102-2019</t>
        </is>
      </c>
      <c r="B436" s="1" t="n">
        <v>43774</v>
      </c>
      <c r="C436" s="1" t="n">
        <v>45363</v>
      </c>
      <c r="D436" t="inlineStr">
        <is>
          <t>JÄMTLANDS LÄN</t>
        </is>
      </c>
      <c r="E436" t="inlineStr">
        <is>
          <t>STRÖMSUND</t>
        </is>
      </c>
      <c r="F436" t="inlineStr">
        <is>
          <t>SCA</t>
        </is>
      </c>
      <c r="G436" t="n">
        <v>3</v>
      </c>
      <c r="H436" t="n">
        <v>3</v>
      </c>
      <c r="I436" t="n">
        <v>1</v>
      </c>
      <c r="J436" t="n">
        <v>1</v>
      </c>
      <c r="K436" t="n">
        <v>0</v>
      </c>
      <c r="L436" t="n">
        <v>0</v>
      </c>
      <c r="M436" t="n">
        <v>0</v>
      </c>
      <c r="N436" t="n">
        <v>0</v>
      </c>
      <c r="O436" t="n">
        <v>1</v>
      </c>
      <c r="P436" t="n">
        <v>0</v>
      </c>
      <c r="Q436" t="n">
        <v>5</v>
      </c>
      <c r="R436" s="2" t="inlineStr">
        <is>
          <t>Garnlav
Finbräken
Brudsporre
Dactylorhiza incarnata subsp. incarnata
Blåsippa</t>
        </is>
      </c>
      <c r="S436">
        <f>HYPERLINK("https://klasma.github.io/Logging_2313/artfynd/A 59102-2019 artfynd.xlsx", "A 59102-2019")</f>
        <v/>
      </c>
      <c r="T436">
        <f>HYPERLINK("https://klasma.github.io/Logging_2313/kartor/A 59102-2019 karta.png", "A 59102-2019")</f>
        <v/>
      </c>
      <c r="V436">
        <f>HYPERLINK("https://klasma.github.io/Logging_2313/klagomål/A 59102-2019 FSC-klagomål.docx", "A 59102-2019")</f>
        <v/>
      </c>
      <c r="W436">
        <f>HYPERLINK("https://klasma.github.io/Logging_2313/klagomålsmail/A 59102-2019 FSC-klagomål mail.docx", "A 59102-2019")</f>
        <v/>
      </c>
      <c r="X436">
        <f>HYPERLINK("https://klasma.github.io/Logging_2313/tillsyn/A 59102-2019 tillsynsbegäran.docx", "A 59102-2019")</f>
        <v/>
      </c>
      <c r="Y436">
        <f>HYPERLINK("https://klasma.github.io/Logging_2313/tillsynsmail/A 59102-2019 tillsynsbegäran mail.docx", "A 59102-2019")</f>
        <v/>
      </c>
    </row>
    <row r="437" ht="15" customHeight="1">
      <c r="A437" t="inlineStr">
        <is>
          <t>A 68312-2019</t>
        </is>
      </c>
      <c r="B437" s="1" t="n">
        <v>43817</v>
      </c>
      <c r="C437" s="1" t="n">
        <v>45363</v>
      </c>
      <c r="D437" t="inlineStr">
        <is>
          <t>JÄMTLANDS LÄN</t>
        </is>
      </c>
      <c r="E437" t="inlineStr">
        <is>
          <t>KROKOM</t>
        </is>
      </c>
      <c r="F437" t="inlineStr">
        <is>
          <t>SCA</t>
        </is>
      </c>
      <c r="G437" t="n">
        <v>4.4</v>
      </c>
      <c r="H437" t="n">
        <v>1</v>
      </c>
      <c r="I437" t="n">
        <v>2</v>
      </c>
      <c r="J437" t="n">
        <v>2</v>
      </c>
      <c r="K437" t="n">
        <v>1</v>
      </c>
      <c r="L437" t="n">
        <v>0</v>
      </c>
      <c r="M437" t="n">
        <v>0</v>
      </c>
      <c r="N437" t="n">
        <v>0</v>
      </c>
      <c r="O437" t="n">
        <v>3</v>
      </c>
      <c r="P437" t="n">
        <v>1</v>
      </c>
      <c r="Q437" t="n">
        <v>5</v>
      </c>
      <c r="R437" s="2" t="inlineStr">
        <is>
          <t>Goliatmusseron
Lunglav
Skrovellav
Bårdlav
Plattlummer</t>
        </is>
      </c>
      <c r="S437">
        <f>HYPERLINK("https://klasma.github.io/Logging_2309/artfynd/A 68312-2019 artfynd.xlsx", "A 68312-2019")</f>
        <v/>
      </c>
      <c r="T437">
        <f>HYPERLINK("https://klasma.github.io/Logging_2309/kartor/A 68312-2019 karta.png", "A 68312-2019")</f>
        <v/>
      </c>
      <c r="V437">
        <f>HYPERLINK("https://klasma.github.io/Logging_2309/klagomål/A 68312-2019 FSC-klagomål.docx", "A 68312-2019")</f>
        <v/>
      </c>
      <c r="W437">
        <f>HYPERLINK("https://klasma.github.io/Logging_2309/klagomålsmail/A 68312-2019 FSC-klagomål mail.docx", "A 68312-2019")</f>
        <v/>
      </c>
      <c r="X437">
        <f>HYPERLINK("https://klasma.github.io/Logging_2309/tillsyn/A 68312-2019 tillsynsbegäran.docx", "A 68312-2019")</f>
        <v/>
      </c>
      <c r="Y437">
        <f>HYPERLINK("https://klasma.github.io/Logging_2309/tillsynsmail/A 68312-2019 tillsynsbegäran mail.docx", "A 68312-2019")</f>
        <v/>
      </c>
    </row>
    <row r="438" ht="15" customHeight="1">
      <c r="A438" t="inlineStr">
        <is>
          <t>A 10058-2020</t>
        </is>
      </c>
      <c r="B438" s="1" t="n">
        <v>43882</v>
      </c>
      <c r="C438" s="1" t="n">
        <v>45363</v>
      </c>
      <c r="D438" t="inlineStr">
        <is>
          <t>JÄMTLANDS LÄN</t>
        </is>
      </c>
      <c r="E438" t="inlineStr">
        <is>
          <t>STRÖMSUND</t>
        </is>
      </c>
      <c r="G438" t="n">
        <v>10.7</v>
      </c>
      <c r="H438" t="n">
        <v>0</v>
      </c>
      <c r="I438" t="n">
        <v>1</v>
      </c>
      <c r="J438" t="n">
        <v>3</v>
      </c>
      <c r="K438" t="n">
        <v>1</v>
      </c>
      <c r="L438" t="n">
        <v>0</v>
      </c>
      <c r="M438" t="n">
        <v>0</v>
      </c>
      <c r="N438" t="n">
        <v>0</v>
      </c>
      <c r="O438" t="n">
        <v>4</v>
      </c>
      <c r="P438" t="n">
        <v>1</v>
      </c>
      <c r="Q438" t="n">
        <v>5</v>
      </c>
      <c r="R438" s="2" t="inlineStr">
        <is>
          <t>Rynkskinn
Garnlav
Lunglav
Ullticka
Stuplav</t>
        </is>
      </c>
      <c r="S438">
        <f>HYPERLINK("https://klasma.github.io/Logging_2313/artfynd/A 10058-2020 artfynd.xlsx", "A 10058-2020")</f>
        <v/>
      </c>
      <c r="T438">
        <f>HYPERLINK("https://klasma.github.io/Logging_2313/kartor/A 10058-2020 karta.png", "A 10058-2020")</f>
        <v/>
      </c>
      <c r="V438">
        <f>HYPERLINK("https://klasma.github.io/Logging_2313/klagomål/A 10058-2020 FSC-klagomål.docx", "A 10058-2020")</f>
        <v/>
      </c>
      <c r="W438">
        <f>HYPERLINK("https://klasma.github.io/Logging_2313/klagomålsmail/A 10058-2020 FSC-klagomål mail.docx", "A 10058-2020")</f>
        <v/>
      </c>
      <c r="X438">
        <f>HYPERLINK("https://klasma.github.io/Logging_2313/tillsyn/A 10058-2020 tillsynsbegäran.docx", "A 10058-2020")</f>
        <v/>
      </c>
      <c r="Y438">
        <f>HYPERLINK("https://klasma.github.io/Logging_2313/tillsynsmail/A 10058-2020 tillsynsbegäran mail.docx", "A 10058-2020")</f>
        <v/>
      </c>
    </row>
    <row r="439" ht="15" customHeight="1">
      <c r="A439" t="inlineStr">
        <is>
          <t>A 12142-2020</t>
        </is>
      </c>
      <c r="B439" s="1" t="n">
        <v>43895</v>
      </c>
      <c r="C439" s="1" t="n">
        <v>45363</v>
      </c>
      <c r="D439" t="inlineStr">
        <is>
          <t>JÄMTLANDS LÄN</t>
        </is>
      </c>
      <c r="E439" t="inlineStr">
        <is>
          <t>BRÄCKE</t>
        </is>
      </c>
      <c r="G439" t="n">
        <v>3.2</v>
      </c>
      <c r="H439" t="n">
        <v>1</v>
      </c>
      <c r="I439" t="n">
        <v>1</v>
      </c>
      <c r="J439" t="n">
        <v>2</v>
      </c>
      <c r="K439" t="n">
        <v>2</v>
      </c>
      <c r="L439" t="n">
        <v>0</v>
      </c>
      <c r="M439" t="n">
        <v>0</v>
      </c>
      <c r="N439" t="n">
        <v>0</v>
      </c>
      <c r="O439" t="n">
        <v>4</v>
      </c>
      <c r="P439" t="n">
        <v>2</v>
      </c>
      <c r="Q439" t="n">
        <v>5</v>
      </c>
      <c r="R439" s="2" t="inlineStr">
        <is>
          <t>Fläckporing
Knärot
Dvärgbägarlav
Kortskaftad ärgspik
Dvärgtufs</t>
        </is>
      </c>
      <c r="S439">
        <f>HYPERLINK("https://klasma.github.io/Logging_2305/artfynd/A 12142-2020 artfynd.xlsx", "A 12142-2020")</f>
        <v/>
      </c>
      <c r="T439">
        <f>HYPERLINK("https://klasma.github.io/Logging_2305/kartor/A 12142-2020 karta.png", "A 12142-2020")</f>
        <v/>
      </c>
      <c r="U439">
        <f>HYPERLINK("https://klasma.github.io/Logging_2305/knärot/A 12142-2020 karta knärot.png", "A 12142-2020")</f>
        <v/>
      </c>
      <c r="V439">
        <f>HYPERLINK("https://klasma.github.io/Logging_2305/klagomål/A 12142-2020 FSC-klagomål.docx", "A 12142-2020")</f>
        <v/>
      </c>
      <c r="W439">
        <f>HYPERLINK("https://klasma.github.io/Logging_2305/klagomålsmail/A 12142-2020 FSC-klagomål mail.docx", "A 12142-2020")</f>
        <v/>
      </c>
      <c r="X439">
        <f>HYPERLINK("https://klasma.github.io/Logging_2305/tillsyn/A 12142-2020 tillsynsbegäran.docx", "A 12142-2020")</f>
        <v/>
      </c>
      <c r="Y439">
        <f>HYPERLINK("https://klasma.github.io/Logging_2305/tillsynsmail/A 12142-2020 tillsynsbegäran mail.docx", "A 12142-2020")</f>
        <v/>
      </c>
    </row>
    <row r="440" ht="15" customHeight="1">
      <c r="A440" t="inlineStr">
        <is>
          <t>A 16575-2020</t>
        </is>
      </c>
      <c r="B440" s="1" t="n">
        <v>43920</v>
      </c>
      <c r="C440" s="1" t="n">
        <v>45363</v>
      </c>
      <c r="D440" t="inlineStr">
        <is>
          <t>JÄMTLANDS LÄN</t>
        </is>
      </c>
      <c r="E440" t="inlineStr">
        <is>
          <t>KROKOM</t>
        </is>
      </c>
      <c r="G440" t="n">
        <v>14.6</v>
      </c>
      <c r="H440" t="n">
        <v>0</v>
      </c>
      <c r="I440" t="n">
        <v>2</v>
      </c>
      <c r="J440" t="n">
        <v>3</v>
      </c>
      <c r="K440" t="n">
        <v>0</v>
      </c>
      <c r="L440" t="n">
        <v>0</v>
      </c>
      <c r="M440" t="n">
        <v>0</v>
      </c>
      <c r="N440" t="n">
        <v>0</v>
      </c>
      <c r="O440" t="n">
        <v>3</v>
      </c>
      <c r="P440" t="n">
        <v>0</v>
      </c>
      <c r="Q440" t="n">
        <v>5</v>
      </c>
      <c r="R440" s="2" t="inlineStr">
        <is>
          <t>Garnlav
Lunglav
Skrovellav
Bårdlav
Norrlandslav</t>
        </is>
      </c>
      <c r="S440">
        <f>HYPERLINK("https://klasma.github.io/Logging_2309/artfynd/A 16575-2020 artfynd.xlsx", "A 16575-2020")</f>
        <v/>
      </c>
      <c r="T440">
        <f>HYPERLINK("https://klasma.github.io/Logging_2309/kartor/A 16575-2020 karta.png", "A 16575-2020")</f>
        <v/>
      </c>
      <c r="V440">
        <f>HYPERLINK("https://klasma.github.io/Logging_2309/klagomål/A 16575-2020 FSC-klagomål.docx", "A 16575-2020")</f>
        <v/>
      </c>
      <c r="W440">
        <f>HYPERLINK("https://klasma.github.io/Logging_2309/klagomålsmail/A 16575-2020 FSC-klagomål mail.docx", "A 16575-2020")</f>
        <v/>
      </c>
      <c r="X440">
        <f>HYPERLINK("https://klasma.github.io/Logging_2309/tillsyn/A 16575-2020 tillsynsbegäran.docx", "A 16575-2020")</f>
        <v/>
      </c>
      <c r="Y440">
        <f>HYPERLINK("https://klasma.github.io/Logging_2309/tillsynsmail/A 16575-2020 tillsynsbegäran mail.docx", "A 16575-2020")</f>
        <v/>
      </c>
    </row>
    <row r="441" ht="15" customHeight="1">
      <c r="A441" t="inlineStr">
        <is>
          <t>A 34121-2020</t>
        </is>
      </c>
      <c r="B441" s="1" t="n">
        <v>44028</v>
      </c>
      <c r="C441" s="1" t="n">
        <v>45363</v>
      </c>
      <c r="D441" t="inlineStr">
        <is>
          <t>JÄMTLANDS LÄN</t>
        </is>
      </c>
      <c r="E441" t="inlineStr">
        <is>
          <t>STRÖMSUND</t>
        </is>
      </c>
      <c r="F441" t="inlineStr">
        <is>
          <t>SCA</t>
        </is>
      </c>
      <c r="G441" t="n">
        <v>28.8</v>
      </c>
      <c r="H441" t="n">
        <v>0</v>
      </c>
      <c r="I441" t="n">
        <v>0</v>
      </c>
      <c r="J441" t="n">
        <v>3</v>
      </c>
      <c r="K441" t="n">
        <v>2</v>
      </c>
      <c r="L441" t="n">
        <v>0</v>
      </c>
      <c r="M441" t="n">
        <v>0</v>
      </c>
      <c r="N441" t="n">
        <v>0</v>
      </c>
      <c r="O441" t="n">
        <v>5</v>
      </c>
      <c r="P441" t="n">
        <v>2</v>
      </c>
      <c r="Q441" t="n">
        <v>5</v>
      </c>
      <c r="R441" s="2" t="inlineStr">
        <is>
          <t>Liten sotlav
Norsk näverlav
Gränsticka
Harticka
Ullticka</t>
        </is>
      </c>
      <c r="S441">
        <f>HYPERLINK("https://klasma.github.io/Logging_2313/artfynd/A 34121-2020 artfynd.xlsx", "A 34121-2020")</f>
        <v/>
      </c>
      <c r="T441">
        <f>HYPERLINK("https://klasma.github.io/Logging_2313/kartor/A 34121-2020 karta.png", "A 34121-2020")</f>
        <v/>
      </c>
      <c r="V441">
        <f>HYPERLINK("https://klasma.github.io/Logging_2313/klagomål/A 34121-2020 FSC-klagomål.docx", "A 34121-2020")</f>
        <v/>
      </c>
      <c r="W441">
        <f>HYPERLINK("https://klasma.github.io/Logging_2313/klagomålsmail/A 34121-2020 FSC-klagomål mail.docx", "A 34121-2020")</f>
        <v/>
      </c>
      <c r="X441">
        <f>HYPERLINK("https://klasma.github.io/Logging_2313/tillsyn/A 34121-2020 tillsynsbegäran.docx", "A 34121-2020")</f>
        <v/>
      </c>
      <c r="Y441">
        <f>HYPERLINK("https://klasma.github.io/Logging_2313/tillsynsmail/A 34121-2020 tillsynsbegäran mail.docx", "A 34121-2020")</f>
        <v/>
      </c>
    </row>
    <row r="442" ht="15" customHeight="1">
      <c r="A442" t="inlineStr">
        <is>
          <t>A 35691-2020</t>
        </is>
      </c>
      <c r="B442" s="1" t="n">
        <v>44046</v>
      </c>
      <c r="C442" s="1" t="n">
        <v>45363</v>
      </c>
      <c r="D442" t="inlineStr">
        <is>
          <t>JÄMTLANDS LÄN</t>
        </is>
      </c>
      <c r="E442" t="inlineStr">
        <is>
          <t>STRÖMSUND</t>
        </is>
      </c>
      <c r="G442" t="n">
        <v>13.9</v>
      </c>
      <c r="H442" t="n">
        <v>1</v>
      </c>
      <c r="I442" t="n">
        <v>4</v>
      </c>
      <c r="J442" t="n">
        <v>1</v>
      </c>
      <c r="K442" t="n">
        <v>0</v>
      </c>
      <c r="L442" t="n">
        <v>0</v>
      </c>
      <c r="M442" t="n">
        <v>0</v>
      </c>
      <c r="N442" t="n">
        <v>0</v>
      </c>
      <c r="O442" t="n">
        <v>1</v>
      </c>
      <c r="P442" t="n">
        <v>0</v>
      </c>
      <c r="Q442" t="n">
        <v>5</v>
      </c>
      <c r="R442" s="2" t="inlineStr">
        <is>
          <t>Garnlav
Kransrams
Luddlav
Spindelblomster
Stuplav</t>
        </is>
      </c>
      <c r="S442">
        <f>HYPERLINK("https://klasma.github.io/Logging_2313/artfynd/A 35691-2020 artfynd.xlsx", "A 35691-2020")</f>
        <v/>
      </c>
      <c r="T442">
        <f>HYPERLINK("https://klasma.github.io/Logging_2313/kartor/A 35691-2020 karta.png", "A 35691-2020")</f>
        <v/>
      </c>
      <c r="V442">
        <f>HYPERLINK("https://klasma.github.io/Logging_2313/klagomål/A 35691-2020 FSC-klagomål.docx", "A 35691-2020")</f>
        <v/>
      </c>
      <c r="W442">
        <f>HYPERLINK("https://klasma.github.io/Logging_2313/klagomålsmail/A 35691-2020 FSC-klagomål mail.docx", "A 35691-2020")</f>
        <v/>
      </c>
      <c r="X442">
        <f>HYPERLINK("https://klasma.github.io/Logging_2313/tillsyn/A 35691-2020 tillsynsbegäran.docx", "A 35691-2020")</f>
        <v/>
      </c>
      <c r="Y442">
        <f>HYPERLINK("https://klasma.github.io/Logging_2313/tillsynsmail/A 35691-2020 tillsynsbegäran mail.docx", "A 35691-2020")</f>
        <v/>
      </c>
    </row>
    <row r="443" ht="15" customHeight="1">
      <c r="A443" t="inlineStr">
        <is>
          <t>A 39021-2020</t>
        </is>
      </c>
      <c r="B443" s="1" t="n">
        <v>44062</v>
      </c>
      <c r="C443" s="1" t="n">
        <v>45363</v>
      </c>
      <c r="D443" t="inlineStr">
        <is>
          <t>JÄMTLANDS LÄN</t>
        </is>
      </c>
      <c r="E443" t="inlineStr">
        <is>
          <t>BERG</t>
        </is>
      </c>
      <c r="G443" t="n">
        <v>18</v>
      </c>
      <c r="H443" t="n">
        <v>0</v>
      </c>
      <c r="I443" t="n">
        <v>0</v>
      </c>
      <c r="J443" t="n">
        <v>5</v>
      </c>
      <c r="K443" t="n">
        <v>0</v>
      </c>
      <c r="L443" t="n">
        <v>0</v>
      </c>
      <c r="M443" t="n">
        <v>0</v>
      </c>
      <c r="N443" t="n">
        <v>0</v>
      </c>
      <c r="O443" t="n">
        <v>5</v>
      </c>
      <c r="P443" t="n">
        <v>0</v>
      </c>
      <c r="Q443" t="n">
        <v>5</v>
      </c>
      <c r="R443" s="2" t="inlineStr">
        <is>
          <t>Kolflarnlav
Mörk kolflarnlav
Vedflamlav
Vedskivlav
Vitplätt</t>
        </is>
      </c>
      <c r="S443">
        <f>HYPERLINK("https://klasma.github.io/Logging_2326/artfynd/A 39021-2020 artfynd.xlsx", "A 39021-2020")</f>
        <v/>
      </c>
      <c r="T443">
        <f>HYPERLINK("https://klasma.github.io/Logging_2326/kartor/A 39021-2020 karta.png", "A 39021-2020")</f>
        <v/>
      </c>
      <c r="V443">
        <f>HYPERLINK("https://klasma.github.io/Logging_2326/klagomål/A 39021-2020 FSC-klagomål.docx", "A 39021-2020")</f>
        <v/>
      </c>
      <c r="W443">
        <f>HYPERLINK("https://klasma.github.io/Logging_2326/klagomålsmail/A 39021-2020 FSC-klagomål mail.docx", "A 39021-2020")</f>
        <v/>
      </c>
      <c r="X443">
        <f>HYPERLINK("https://klasma.github.io/Logging_2326/tillsyn/A 39021-2020 tillsynsbegäran.docx", "A 39021-2020")</f>
        <v/>
      </c>
      <c r="Y443">
        <f>HYPERLINK("https://klasma.github.io/Logging_2326/tillsynsmail/A 39021-2020 tillsynsbegäran mail.docx", "A 39021-2020")</f>
        <v/>
      </c>
    </row>
    <row r="444" ht="15" customHeight="1">
      <c r="A444" t="inlineStr">
        <is>
          <t>A 42629-2020</t>
        </is>
      </c>
      <c r="B444" s="1" t="n">
        <v>44077</v>
      </c>
      <c r="C444" s="1" t="n">
        <v>45363</v>
      </c>
      <c r="D444" t="inlineStr">
        <is>
          <t>JÄMTLANDS LÄN</t>
        </is>
      </c>
      <c r="E444" t="inlineStr">
        <is>
          <t>ÅRE</t>
        </is>
      </c>
      <c r="G444" t="n">
        <v>6.3</v>
      </c>
      <c r="H444" t="n">
        <v>1</v>
      </c>
      <c r="I444" t="n">
        <v>0</v>
      </c>
      <c r="J444" t="n">
        <v>5</v>
      </c>
      <c r="K444" t="n">
        <v>0</v>
      </c>
      <c r="L444" t="n">
        <v>0</v>
      </c>
      <c r="M444" t="n">
        <v>0</v>
      </c>
      <c r="N444" t="n">
        <v>0</v>
      </c>
      <c r="O444" t="n">
        <v>5</v>
      </c>
      <c r="P444" t="n">
        <v>0</v>
      </c>
      <c r="Q444" t="n">
        <v>5</v>
      </c>
      <c r="R444" s="2" t="inlineStr">
        <is>
          <t>Garnlav
Granticka
Knottrig blåslav
Tretåig hackspett
Ullticka</t>
        </is>
      </c>
      <c r="S444">
        <f>HYPERLINK("https://klasma.github.io/Logging_2321/artfynd/A 42629-2020 artfynd.xlsx", "A 42629-2020")</f>
        <v/>
      </c>
      <c r="T444">
        <f>HYPERLINK("https://klasma.github.io/Logging_2321/kartor/A 42629-2020 karta.png", "A 42629-2020")</f>
        <v/>
      </c>
      <c r="V444">
        <f>HYPERLINK("https://klasma.github.io/Logging_2321/klagomål/A 42629-2020 FSC-klagomål.docx", "A 42629-2020")</f>
        <v/>
      </c>
      <c r="W444">
        <f>HYPERLINK("https://klasma.github.io/Logging_2321/klagomålsmail/A 42629-2020 FSC-klagomål mail.docx", "A 42629-2020")</f>
        <v/>
      </c>
      <c r="X444">
        <f>HYPERLINK("https://klasma.github.io/Logging_2321/tillsyn/A 42629-2020 tillsynsbegäran.docx", "A 42629-2020")</f>
        <v/>
      </c>
      <c r="Y444">
        <f>HYPERLINK("https://klasma.github.io/Logging_2321/tillsynsmail/A 42629-2020 tillsynsbegäran mail.docx", "A 42629-2020")</f>
        <v/>
      </c>
      <c r="Z444">
        <f>HYPERLINK("https://klasma.github.io/Logging_2321/fåglar/A 42629-2020 prioriterade fågelarter.docx", "A 42629-2020")</f>
        <v/>
      </c>
    </row>
    <row r="445" ht="15" customHeight="1">
      <c r="A445" t="inlineStr">
        <is>
          <t>A 47027-2020</t>
        </is>
      </c>
      <c r="B445" s="1" t="n">
        <v>44096</v>
      </c>
      <c r="C445" s="1" t="n">
        <v>45363</v>
      </c>
      <c r="D445" t="inlineStr">
        <is>
          <t>JÄMTLANDS LÄN</t>
        </is>
      </c>
      <c r="E445" t="inlineStr">
        <is>
          <t>STRÖMSUND</t>
        </is>
      </c>
      <c r="F445" t="inlineStr">
        <is>
          <t>Holmen skog AB</t>
        </is>
      </c>
      <c r="G445" t="n">
        <v>10.1</v>
      </c>
      <c r="H445" t="n">
        <v>0</v>
      </c>
      <c r="I445" t="n">
        <v>1</v>
      </c>
      <c r="J445" t="n">
        <v>4</v>
      </c>
      <c r="K445" t="n">
        <v>0</v>
      </c>
      <c r="L445" t="n">
        <v>0</v>
      </c>
      <c r="M445" t="n">
        <v>0</v>
      </c>
      <c r="N445" t="n">
        <v>0</v>
      </c>
      <c r="O445" t="n">
        <v>4</v>
      </c>
      <c r="P445" t="n">
        <v>0</v>
      </c>
      <c r="Q445" t="n">
        <v>5</v>
      </c>
      <c r="R445" s="2" t="inlineStr">
        <is>
          <t>Kolflarnlav
Mörk kolflarnlav
Skrovellav
Vedflamlav
Stuplav</t>
        </is>
      </c>
      <c r="S445">
        <f>HYPERLINK("https://klasma.github.io/Logging_2313/artfynd/A 47027-2020 artfynd.xlsx", "A 47027-2020")</f>
        <v/>
      </c>
      <c r="T445">
        <f>HYPERLINK("https://klasma.github.io/Logging_2313/kartor/A 47027-2020 karta.png", "A 47027-2020")</f>
        <v/>
      </c>
      <c r="V445">
        <f>HYPERLINK("https://klasma.github.io/Logging_2313/klagomål/A 47027-2020 FSC-klagomål.docx", "A 47027-2020")</f>
        <v/>
      </c>
      <c r="W445">
        <f>HYPERLINK("https://klasma.github.io/Logging_2313/klagomålsmail/A 47027-2020 FSC-klagomål mail.docx", "A 47027-2020")</f>
        <v/>
      </c>
      <c r="X445">
        <f>HYPERLINK("https://klasma.github.io/Logging_2313/tillsyn/A 47027-2020 tillsynsbegäran.docx", "A 47027-2020")</f>
        <v/>
      </c>
      <c r="Y445">
        <f>HYPERLINK("https://klasma.github.io/Logging_2313/tillsynsmail/A 47027-2020 tillsynsbegäran mail.docx", "A 47027-2020")</f>
        <v/>
      </c>
    </row>
    <row r="446" ht="15" customHeight="1">
      <c r="A446" t="inlineStr">
        <is>
          <t>A 50257-2020</t>
        </is>
      </c>
      <c r="B446" s="1" t="n">
        <v>44109</v>
      </c>
      <c r="C446" s="1" t="n">
        <v>45363</v>
      </c>
      <c r="D446" t="inlineStr">
        <is>
          <t>JÄMTLANDS LÄN</t>
        </is>
      </c>
      <c r="E446" t="inlineStr">
        <is>
          <t>STRÖMSUND</t>
        </is>
      </c>
      <c r="F446" t="inlineStr">
        <is>
          <t>SCA</t>
        </is>
      </c>
      <c r="G446" t="n">
        <v>16.6</v>
      </c>
      <c r="H446" t="n">
        <v>0</v>
      </c>
      <c r="I446" t="n">
        <v>0</v>
      </c>
      <c r="J446" t="n">
        <v>4</v>
      </c>
      <c r="K446" t="n">
        <v>1</v>
      </c>
      <c r="L446" t="n">
        <v>0</v>
      </c>
      <c r="M446" t="n">
        <v>0</v>
      </c>
      <c r="N446" t="n">
        <v>0</v>
      </c>
      <c r="O446" t="n">
        <v>5</v>
      </c>
      <c r="P446" t="n">
        <v>1</v>
      </c>
      <c r="Q446" t="n">
        <v>5</v>
      </c>
      <c r="R446" s="2" t="inlineStr">
        <is>
          <t>Tallgråticka
Blå taggsvamp
Motaggsvamp
Orange taggsvamp
Skrovlig taggsvamp</t>
        </is>
      </c>
      <c r="S446">
        <f>HYPERLINK("https://klasma.github.io/Logging_2313/artfynd/A 50257-2020 artfynd.xlsx", "A 50257-2020")</f>
        <v/>
      </c>
      <c r="T446">
        <f>HYPERLINK("https://klasma.github.io/Logging_2313/kartor/A 50257-2020 karta.png", "A 50257-2020")</f>
        <v/>
      </c>
      <c r="V446">
        <f>HYPERLINK("https://klasma.github.io/Logging_2313/klagomål/A 50257-2020 FSC-klagomål.docx", "A 50257-2020")</f>
        <v/>
      </c>
      <c r="W446">
        <f>HYPERLINK("https://klasma.github.io/Logging_2313/klagomålsmail/A 50257-2020 FSC-klagomål mail.docx", "A 50257-2020")</f>
        <v/>
      </c>
      <c r="X446">
        <f>HYPERLINK("https://klasma.github.io/Logging_2313/tillsyn/A 50257-2020 tillsynsbegäran.docx", "A 50257-2020")</f>
        <v/>
      </c>
      <c r="Y446">
        <f>HYPERLINK("https://klasma.github.io/Logging_2313/tillsynsmail/A 50257-2020 tillsynsbegäran mail.docx", "A 50257-2020")</f>
        <v/>
      </c>
    </row>
    <row r="447" ht="15" customHeight="1">
      <c r="A447" t="inlineStr">
        <is>
          <t>A 50987-2020</t>
        </is>
      </c>
      <c r="B447" s="1" t="n">
        <v>44111</v>
      </c>
      <c r="C447" s="1" t="n">
        <v>45363</v>
      </c>
      <c r="D447" t="inlineStr">
        <is>
          <t>JÄMTLANDS LÄN</t>
        </is>
      </c>
      <c r="E447" t="inlineStr">
        <is>
          <t>RAGUNDA</t>
        </is>
      </c>
      <c r="G447" t="n">
        <v>6.7</v>
      </c>
      <c r="H447" t="n">
        <v>1</v>
      </c>
      <c r="I447" t="n">
        <v>0</v>
      </c>
      <c r="J447" t="n">
        <v>3</v>
      </c>
      <c r="K447" t="n">
        <v>2</v>
      </c>
      <c r="L447" t="n">
        <v>0</v>
      </c>
      <c r="M447" t="n">
        <v>0</v>
      </c>
      <c r="N447" t="n">
        <v>0</v>
      </c>
      <c r="O447" t="n">
        <v>5</v>
      </c>
      <c r="P447" t="n">
        <v>2</v>
      </c>
      <c r="Q447" t="n">
        <v>5</v>
      </c>
      <c r="R447" s="2" t="inlineStr">
        <is>
          <t>Knärot
Norsk näverlav
Garnlav
Skrovellav
Vedtrappmossa</t>
        </is>
      </c>
      <c r="S447">
        <f>HYPERLINK("https://klasma.github.io/Logging_2303/artfynd/A 50987-2020 artfynd.xlsx", "A 50987-2020")</f>
        <v/>
      </c>
      <c r="T447">
        <f>HYPERLINK("https://klasma.github.io/Logging_2303/kartor/A 50987-2020 karta.png", "A 50987-2020")</f>
        <v/>
      </c>
      <c r="U447">
        <f>HYPERLINK("https://klasma.github.io/Logging_2303/knärot/A 50987-2020 karta knärot.png", "A 50987-2020")</f>
        <v/>
      </c>
      <c r="V447">
        <f>HYPERLINK("https://klasma.github.io/Logging_2303/klagomål/A 50987-2020 FSC-klagomål.docx", "A 50987-2020")</f>
        <v/>
      </c>
      <c r="W447">
        <f>HYPERLINK("https://klasma.github.io/Logging_2303/klagomålsmail/A 50987-2020 FSC-klagomål mail.docx", "A 50987-2020")</f>
        <v/>
      </c>
      <c r="X447">
        <f>HYPERLINK("https://klasma.github.io/Logging_2303/tillsyn/A 50987-2020 tillsynsbegäran.docx", "A 50987-2020")</f>
        <v/>
      </c>
      <c r="Y447">
        <f>HYPERLINK("https://klasma.github.io/Logging_2303/tillsynsmail/A 50987-2020 tillsynsbegäran mail.docx", "A 50987-2020")</f>
        <v/>
      </c>
    </row>
    <row r="448" ht="15" customHeight="1">
      <c r="A448" t="inlineStr">
        <is>
          <t>A 57197-2020</t>
        </is>
      </c>
      <c r="B448" s="1" t="n">
        <v>44139</v>
      </c>
      <c r="C448" s="1" t="n">
        <v>45363</v>
      </c>
      <c r="D448" t="inlineStr">
        <is>
          <t>JÄMTLANDS LÄN</t>
        </is>
      </c>
      <c r="E448" t="inlineStr">
        <is>
          <t>RAGUNDA</t>
        </is>
      </c>
      <c r="G448" t="n">
        <v>9.1</v>
      </c>
      <c r="H448" t="n">
        <v>2</v>
      </c>
      <c r="I448" t="n">
        <v>2</v>
      </c>
      <c r="J448" t="n">
        <v>3</v>
      </c>
      <c r="K448" t="n">
        <v>0</v>
      </c>
      <c r="L448" t="n">
        <v>0</v>
      </c>
      <c r="M448" t="n">
        <v>0</v>
      </c>
      <c r="N448" t="n">
        <v>0</v>
      </c>
      <c r="O448" t="n">
        <v>3</v>
      </c>
      <c r="P448" t="n">
        <v>0</v>
      </c>
      <c r="Q448" t="n">
        <v>5</v>
      </c>
      <c r="R448" s="2" t="inlineStr">
        <is>
          <t>Dvärgbägarlav
Kolflarnlav
Spillkråka
Dropptaggsvamp
Tvåblad</t>
        </is>
      </c>
      <c r="S448">
        <f>HYPERLINK("https://klasma.github.io/Logging_2303/artfynd/A 57197-2020 artfynd.xlsx", "A 57197-2020")</f>
        <v/>
      </c>
      <c r="T448">
        <f>HYPERLINK("https://klasma.github.io/Logging_2303/kartor/A 57197-2020 karta.png", "A 57197-2020")</f>
        <v/>
      </c>
      <c r="V448">
        <f>HYPERLINK("https://klasma.github.io/Logging_2303/klagomål/A 57197-2020 FSC-klagomål.docx", "A 57197-2020")</f>
        <v/>
      </c>
      <c r="W448">
        <f>HYPERLINK("https://klasma.github.io/Logging_2303/klagomålsmail/A 57197-2020 FSC-klagomål mail.docx", "A 57197-2020")</f>
        <v/>
      </c>
      <c r="X448">
        <f>HYPERLINK("https://klasma.github.io/Logging_2303/tillsyn/A 57197-2020 tillsynsbegäran.docx", "A 57197-2020")</f>
        <v/>
      </c>
      <c r="Y448">
        <f>HYPERLINK("https://klasma.github.io/Logging_2303/tillsynsmail/A 57197-2020 tillsynsbegäran mail.docx", "A 57197-2020")</f>
        <v/>
      </c>
      <c r="Z448">
        <f>HYPERLINK("https://klasma.github.io/Logging_2303/fåglar/A 57197-2020 prioriterade fågelarter.docx", "A 57197-2020")</f>
        <v/>
      </c>
    </row>
    <row r="449" ht="15" customHeight="1">
      <c r="A449" t="inlineStr">
        <is>
          <t>A 57718-2020</t>
        </is>
      </c>
      <c r="B449" s="1" t="n">
        <v>44140</v>
      </c>
      <c r="C449" s="1" t="n">
        <v>45363</v>
      </c>
      <c r="D449" t="inlineStr">
        <is>
          <t>JÄMTLANDS LÄN</t>
        </is>
      </c>
      <c r="E449" t="inlineStr">
        <is>
          <t>RAGUNDA</t>
        </is>
      </c>
      <c r="F449" t="inlineStr">
        <is>
          <t>SCA</t>
        </is>
      </c>
      <c r="G449" t="n">
        <v>4.6</v>
      </c>
      <c r="H449" t="n">
        <v>0</v>
      </c>
      <c r="I449" t="n">
        <v>3</v>
      </c>
      <c r="J449" t="n">
        <v>2</v>
      </c>
      <c r="K449" t="n">
        <v>0</v>
      </c>
      <c r="L449" t="n">
        <v>0</v>
      </c>
      <c r="M449" t="n">
        <v>0</v>
      </c>
      <c r="N449" t="n">
        <v>0</v>
      </c>
      <c r="O449" t="n">
        <v>2</v>
      </c>
      <c r="P449" t="n">
        <v>0</v>
      </c>
      <c r="Q449" t="n">
        <v>5</v>
      </c>
      <c r="R449" s="2" t="inlineStr">
        <is>
          <t>Lunglav
Ullticka
Korallblylav
Luddlav
Stuplav</t>
        </is>
      </c>
      <c r="S449">
        <f>HYPERLINK("https://klasma.github.io/Logging_2303/artfynd/A 57718-2020 artfynd.xlsx", "A 57718-2020")</f>
        <v/>
      </c>
      <c r="T449">
        <f>HYPERLINK("https://klasma.github.io/Logging_2303/kartor/A 57718-2020 karta.png", "A 57718-2020")</f>
        <v/>
      </c>
      <c r="V449">
        <f>HYPERLINK("https://klasma.github.io/Logging_2303/klagomål/A 57718-2020 FSC-klagomål.docx", "A 57718-2020")</f>
        <v/>
      </c>
      <c r="W449">
        <f>HYPERLINK("https://klasma.github.io/Logging_2303/klagomålsmail/A 57718-2020 FSC-klagomål mail.docx", "A 57718-2020")</f>
        <v/>
      </c>
      <c r="X449">
        <f>HYPERLINK("https://klasma.github.io/Logging_2303/tillsyn/A 57718-2020 tillsynsbegäran.docx", "A 57718-2020")</f>
        <v/>
      </c>
      <c r="Y449">
        <f>HYPERLINK("https://klasma.github.io/Logging_2303/tillsynsmail/A 57718-2020 tillsynsbegäran mail.docx", "A 57718-2020")</f>
        <v/>
      </c>
    </row>
    <row r="450" ht="15" customHeight="1">
      <c r="A450" t="inlineStr">
        <is>
          <t>A 58580-2020</t>
        </is>
      </c>
      <c r="B450" s="1" t="n">
        <v>44144</v>
      </c>
      <c r="C450" s="1" t="n">
        <v>45363</v>
      </c>
      <c r="D450" t="inlineStr">
        <is>
          <t>JÄMTLANDS LÄN</t>
        </is>
      </c>
      <c r="E450" t="inlineStr">
        <is>
          <t>STRÖMSUND</t>
        </is>
      </c>
      <c r="G450" t="n">
        <v>74.8</v>
      </c>
      <c r="H450" t="n">
        <v>0</v>
      </c>
      <c r="I450" t="n">
        <v>3</v>
      </c>
      <c r="J450" t="n">
        <v>2</v>
      </c>
      <c r="K450" t="n">
        <v>0</v>
      </c>
      <c r="L450" t="n">
        <v>0</v>
      </c>
      <c r="M450" t="n">
        <v>0</v>
      </c>
      <c r="N450" t="n">
        <v>0</v>
      </c>
      <c r="O450" t="n">
        <v>2</v>
      </c>
      <c r="P450" t="n">
        <v>0</v>
      </c>
      <c r="Q450" t="n">
        <v>5</v>
      </c>
      <c r="R450" s="2" t="inlineStr">
        <is>
          <t>Garnlav
Skrovellav
Gytterlav
Luddlav
Stuplav</t>
        </is>
      </c>
      <c r="S450">
        <f>HYPERLINK("https://klasma.github.io/Logging_2313/artfynd/A 58580-2020 artfynd.xlsx", "A 58580-2020")</f>
        <v/>
      </c>
      <c r="T450">
        <f>HYPERLINK("https://klasma.github.io/Logging_2313/kartor/A 58580-2020 karta.png", "A 58580-2020")</f>
        <v/>
      </c>
      <c r="V450">
        <f>HYPERLINK("https://klasma.github.io/Logging_2313/klagomål/A 58580-2020 FSC-klagomål.docx", "A 58580-2020")</f>
        <v/>
      </c>
      <c r="W450">
        <f>HYPERLINK("https://klasma.github.io/Logging_2313/klagomålsmail/A 58580-2020 FSC-klagomål mail.docx", "A 58580-2020")</f>
        <v/>
      </c>
      <c r="X450">
        <f>HYPERLINK("https://klasma.github.io/Logging_2313/tillsyn/A 58580-2020 tillsynsbegäran.docx", "A 58580-2020")</f>
        <v/>
      </c>
      <c r="Y450">
        <f>HYPERLINK("https://klasma.github.io/Logging_2313/tillsynsmail/A 58580-2020 tillsynsbegäran mail.docx", "A 58580-2020")</f>
        <v/>
      </c>
    </row>
    <row r="451" ht="15" customHeight="1">
      <c r="A451" t="inlineStr">
        <is>
          <t>A 59380-2020</t>
        </is>
      </c>
      <c r="B451" s="1" t="n">
        <v>44145</v>
      </c>
      <c r="C451" s="1" t="n">
        <v>45363</v>
      </c>
      <c r="D451" t="inlineStr">
        <is>
          <t>JÄMTLANDS LÄN</t>
        </is>
      </c>
      <c r="E451" t="inlineStr">
        <is>
          <t>ÅRE</t>
        </is>
      </c>
      <c r="G451" t="n">
        <v>10.8</v>
      </c>
      <c r="H451" t="n">
        <v>0</v>
      </c>
      <c r="I451" t="n">
        <v>0</v>
      </c>
      <c r="J451" t="n">
        <v>5</v>
      </c>
      <c r="K451" t="n">
        <v>0</v>
      </c>
      <c r="L451" t="n">
        <v>0</v>
      </c>
      <c r="M451" t="n">
        <v>0</v>
      </c>
      <c r="N451" t="n">
        <v>0</v>
      </c>
      <c r="O451" t="n">
        <v>5</v>
      </c>
      <c r="P451" t="n">
        <v>0</v>
      </c>
      <c r="Q451" t="n">
        <v>5</v>
      </c>
      <c r="R451" s="2" t="inlineStr">
        <is>
          <t>Gammelgransskål
Gränsticka
Harticka
Lunglav
Skrovellav</t>
        </is>
      </c>
      <c r="S451">
        <f>HYPERLINK("https://klasma.github.io/Logging_2321/artfynd/A 59380-2020 artfynd.xlsx", "A 59380-2020")</f>
        <v/>
      </c>
      <c r="T451">
        <f>HYPERLINK("https://klasma.github.io/Logging_2321/kartor/A 59380-2020 karta.png", "A 59380-2020")</f>
        <v/>
      </c>
      <c r="V451">
        <f>HYPERLINK("https://klasma.github.io/Logging_2321/klagomål/A 59380-2020 FSC-klagomål.docx", "A 59380-2020")</f>
        <v/>
      </c>
      <c r="W451">
        <f>HYPERLINK("https://klasma.github.io/Logging_2321/klagomålsmail/A 59380-2020 FSC-klagomål mail.docx", "A 59380-2020")</f>
        <v/>
      </c>
      <c r="X451">
        <f>HYPERLINK("https://klasma.github.io/Logging_2321/tillsyn/A 59380-2020 tillsynsbegäran.docx", "A 59380-2020")</f>
        <v/>
      </c>
      <c r="Y451">
        <f>HYPERLINK("https://klasma.github.io/Logging_2321/tillsynsmail/A 59380-2020 tillsynsbegäran mail.docx", "A 59380-2020")</f>
        <v/>
      </c>
    </row>
    <row r="452" ht="15" customHeight="1">
      <c r="A452" t="inlineStr">
        <is>
          <t>A 59619-2020</t>
        </is>
      </c>
      <c r="B452" s="1" t="n">
        <v>44150</v>
      </c>
      <c r="C452" s="1" t="n">
        <v>45363</v>
      </c>
      <c r="D452" t="inlineStr">
        <is>
          <t>JÄMTLANDS LÄN</t>
        </is>
      </c>
      <c r="E452" t="inlineStr">
        <is>
          <t>KROKOM</t>
        </is>
      </c>
      <c r="G452" t="n">
        <v>11.3</v>
      </c>
      <c r="H452" t="n">
        <v>1</v>
      </c>
      <c r="I452" t="n">
        <v>0</v>
      </c>
      <c r="J452" t="n">
        <v>5</v>
      </c>
      <c r="K452" t="n">
        <v>0</v>
      </c>
      <c r="L452" t="n">
        <v>0</v>
      </c>
      <c r="M452" t="n">
        <v>0</v>
      </c>
      <c r="N452" t="n">
        <v>0</v>
      </c>
      <c r="O452" t="n">
        <v>5</v>
      </c>
      <c r="P452" t="n">
        <v>0</v>
      </c>
      <c r="Q452" t="n">
        <v>5</v>
      </c>
      <c r="R452" s="2" t="inlineStr">
        <is>
          <t>Brunpudrad nållav
Granticka
Liten svartspik
Tretåig hackspett
Vitgrynig nållav</t>
        </is>
      </c>
      <c r="S452">
        <f>HYPERLINK("https://klasma.github.io/Logging_2309/artfynd/A 59619-2020 artfynd.xlsx", "A 59619-2020")</f>
        <v/>
      </c>
      <c r="T452">
        <f>HYPERLINK("https://klasma.github.io/Logging_2309/kartor/A 59619-2020 karta.png", "A 59619-2020")</f>
        <v/>
      </c>
      <c r="V452">
        <f>HYPERLINK("https://klasma.github.io/Logging_2309/klagomål/A 59619-2020 FSC-klagomål.docx", "A 59619-2020")</f>
        <v/>
      </c>
      <c r="W452">
        <f>HYPERLINK("https://klasma.github.io/Logging_2309/klagomålsmail/A 59619-2020 FSC-klagomål mail.docx", "A 59619-2020")</f>
        <v/>
      </c>
      <c r="X452">
        <f>HYPERLINK("https://klasma.github.io/Logging_2309/tillsyn/A 59619-2020 tillsynsbegäran.docx", "A 59619-2020")</f>
        <v/>
      </c>
      <c r="Y452">
        <f>HYPERLINK("https://klasma.github.io/Logging_2309/tillsynsmail/A 59619-2020 tillsynsbegäran mail.docx", "A 59619-2020")</f>
        <v/>
      </c>
      <c r="Z452">
        <f>HYPERLINK("https://klasma.github.io/Logging_2309/fåglar/A 59619-2020 prioriterade fågelarter.docx", "A 59619-2020")</f>
        <v/>
      </c>
    </row>
    <row r="453" ht="15" customHeight="1">
      <c r="A453" t="inlineStr">
        <is>
          <t>A 68491-2020</t>
        </is>
      </c>
      <c r="B453" s="1" t="n">
        <v>44183</v>
      </c>
      <c r="C453" s="1" t="n">
        <v>45363</v>
      </c>
      <c r="D453" t="inlineStr">
        <is>
          <t>JÄMTLANDS LÄN</t>
        </is>
      </c>
      <c r="E453" t="inlineStr">
        <is>
          <t>KROKOM</t>
        </is>
      </c>
      <c r="G453" t="n">
        <v>30.6</v>
      </c>
      <c r="H453" t="n">
        <v>1</v>
      </c>
      <c r="I453" t="n">
        <v>4</v>
      </c>
      <c r="J453" t="n">
        <v>1</v>
      </c>
      <c r="K453" t="n">
        <v>0</v>
      </c>
      <c r="L453" t="n">
        <v>0</v>
      </c>
      <c r="M453" t="n">
        <v>0</v>
      </c>
      <c r="N453" t="n">
        <v>0</v>
      </c>
      <c r="O453" t="n">
        <v>1</v>
      </c>
      <c r="P453" t="n">
        <v>0</v>
      </c>
      <c r="Q453" t="n">
        <v>5</v>
      </c>
      <c r="R453" s="2" t="inlineStr">
        <is>
          <t>Grynig filtlav
Bårdlav
Platt fjädermossa
Plattlummer
Vedticka</t>
        </is>
      </c>
      <c r="S453">
        <f>HYPERLINK("https://klasma.github.io/Logging_2309/artfynd/A 68491-2020 artfynd.xlsx", "A 68491-2020")</f>
        <v/>
      </c>
      <c r="T453">
        <f>HYPERLINK("https://klasma.github.io/Logging_2309/kartor/A 68491-2020 karta.png", "A 68491-2020")</f>
        <v/>
      </c>
      <c r="V453">
        <f>HYPERLINK("https://klasma.github.io/Logging_2309/klagomål/A 68491-2020 FSC-klagomål.docx", "A 68491-2020")</f>
        <v/>
      </c>
      <c r="W453">
        <f>HYPERLINK("https://klasma.github.io/Logging_2309/klagomålsmail/A 68491-2020 FSC-klagomål mail.docx", "A 68491-2020")</f>
        <v/>
      </c>
      <c r="X453">
        <f>HYPERLINK("https://klasma.github.io/Logging_2309/tillsyn/A 68491-2020 tillsynsbegäran.docx", "A 68491-2020")</f>
        <v/>
      </c>
      <c r="Y453">
        <f>HYPERLINK("https://klasma.github.io/Logging_2309/tillsynsmail/A 68491-2020 tillsynsbegäran mail.docx", "A 68491-2020")</f>
        <v/>
      </c>
    </row>
    <row r="454" ht="15" customHeight="1">
      <c r="A454" t="inlineStr">
        <is>
          <t>A 69486-2020</t>
        </is>
      </c>
      <c r="B454" s="1" t="n">
        <v>44194</v>
      </c>
      <c r="C454" s="1" t="n">
        <v>45363</v>
      </c>
      <c r="D454" t="inlineStr">
        <is>
          <t>JÄMTLANDS LÄN</t>
        </is>
      </c>
      <c r="E454" t="inlineStr">
        <is>
          <t>KROKOM</t>
        </is>
      </c>
      <c r="G454" t="n">
        <v>26.3</v>
      </c>
      <c r="H454" t="n">
        <v>2</v>
      </c>
      <c r="I454" t="n">
        <v>4</v>
      </c>
      <c r="J454" t="n">
        <v>0</v>
      </c>
      <c r="K454" t="n">
        <v>0</v>
      </c>
      <c r="L454" t="n">
        <v>0</v>
      </c>
      <c r="M454" t="n">
        <v>0</v>
      </c>
      <c r="N454" t="n">
        <v>0</v>
      </c>
      <c r="O454" t="n">
        <v>0</v>
      </c>
      <c r="P454" t="n">
        <v>0</v>
      </c>
      <c r="Q454" t="n">
        <v>5</v>
      </c>
      <c r="R454" s="2" t="inlineStr">
        <is>
          <t>Axag
Gräsull
Tvåblad
Ögonpyrola
Brudsporre</t>
        </is>
      </c>
      <c r="S454">
        <f>HYPERLINK("https://klasma.github.io/Logging_2309/artfynd/A 69486-2020 artfynd.xlsx", "A 69486-2020")</f>
        <v/>
      </c>
      <c r="T454">
        <f>HYPERLINK("https://klasma.github.io/Logging_2309/kartor/A 69486-2020 karta.png", "A 69486-2020")</f>
        <v/>
      </c>
      <c r="V454">
        <f>HYPERLINK("https://klasma.github.io/Logging_2309/klagomål/A 69486-2020 FSC-klagomål.docx", "A 69486-2020")</f>
        <v/>
      </c>
      <c r="W454">
        <f>HYPERLINK("https://klasma.github.io/Logging_2309/klagomålsmail/A 69486-2020 FSC-klagomål mail.docx", "A 69486-2020")</f>
        <v/>
      </c>
      <c r="X454">
        <f>HYPERLINK("https://klasma.github.io/Logging_2309/tillsyn/A 69486-2020 tillsynsbegäran.docx", "A 69486-2020")</f>
        <v/>
      </c>
      <c r="Y454">
        <f>HYPERLINK("https://klasma.github.io/Logging_2309/tillsynsmail/A 69486-2020 tillsynsbegäran mail.docx", "A 69486-2020")</f>
        <v/>
      </c>
    </row>
    <row r="455" ht="15" customHeight="1">
      <c r="A455" t="inlineStr">
        <is>
          <t>A 12988-2021</t>
        </is>
      </c>
      <c r="B455" s="1" t="n">
        <v>44271</v>
      </c>
      <c r="C455" s="1" t="n">
        <v>45363</v>
      </c>
      <c r="D455" t="inlineStr">
        <is>
          <t>JÄMTLANDS LÄN</t>
        </is>
      </c>
      <c r="E455" t="inlineStr">
        <is>
          <t>ÅRE</t>
        </is>
      </c>
      <c r="G455" t="n">
        <v>25.9</v>
      </c>
      <c r="H455" t="n">
        <v>1</v>
      </c>
      <c r="I455" t="n">
        <v>2</v>
      </c>
      <c r="J455" t="n">
        <v>3</v>
      </c>
      <c r="K455" t="n">
        <v>0</v>
      </c>
      <c r="L455" t="n">
        <v>0</v>
      </c>
      <c r="M455" t="n">
        <v>0</v>
      </c>
      <c r="N455" t="n">
        <v>0</v>
      </c>
      <c r="O455" t="n">
        <v>3</v>
      </c>
      <c r="P455" t="n">
        <v>0</v>
      </c>
      <c r="Q455" t="n">
        <v>5</v>
      </c>
      <c r="R455" s="2" t="inlineStr">
        <is>
          <t>Granticka
Skrovellav
Ullticka
Spindelblomster
Stuplav</t>
        </is>
      </c>
      <c r="S455">
        <f>HYPERLINK("https://klasma.github.io/Logging_2321/artfynd/A 12988-2021 artfynd.xlsx", "A 12988-2021")</f>
        <v/>
      </c>
      <c r="T455">
        <f>HYPERLINK("https://klasma.github.io/Logging_2321/kartor/A 12988-2021 karta.png", "A 12988-2021")</f>
        <v/>
      </c>
      <c r="V455">
        <f>HYPERLINK("https://klasma.github.io/Logging_2321/klagomål/A 12988-2021 FSC-klagomål.docx", "A 12988-2021")</f>
        <v/>
      </c>
      <c r="W455">
        <f>HYPERLINK("https://klasma.github.io/Logging_2321/klagomålsmail/A 12988-2021 FSC-klagomål mail.docx", "A 12988-2021")</f>
        <v/>
      </c>
      <c r="X455">
        <f>HYPERLINK("https://klasma.github.io/Logging_2321/tillsyn/A 12988-2021 tillsynsbegäran.docx", "A 12988-2021")</f>
        <v/>
      </c>
      <c r="Y455">
        <f>HYPERLINK("https://klasma.github.io/Logging_2321/tillsynsmail/A 12988-2021 tillsynsbegäran mail.docx", "A 12988-2021")</f>
        <v/>
      </c>
    </row>
    <row r="456" ht="15" customHeight="1">
      <c r="A456" t="inlineStr">
        <is>
          <t>A 14195-2021</t>
        </is>
      </c>
      <c r="B456" s="1" t="n">
        <v>44278</v>
      </c>
      <c r="C456" s="1" t="n">
        <v>45363</v>
      </c>
      <c r="D456" t="inlineStr">
        <is>
          <t>JÄMTLANDS LÄN</t>
        </is>
      </c>
      <c r="E456" t="inlineStr">
        <is>
          <t>ÅRE</t>
        </is>
      </c>
      <c r="G456" t="n">
        <v>23.1</v>
      </c>
      <c r="H456" t="n">
        <v>2</v>
      </c>
      <c r="I456" t="n">
        <v>0</v>
      </c>
      <c r="J456" t="n">
        <v>5</v>
      </c>
      <c r="K456" t="n">
        <v>0</v>
      </c>
      <c r="L456" t="n">
        <v>0</v>
      </c>
      <c r="M456" t="n">
        <v>0</v>
      </c>
      <c r="N456" t="n">
        <v>0</v>
      </c>
      <c r="O456" t="n">
        <v>5</v>
      </c>
      <c r="P456" t="n">
        <v>0</v>
      </c>
      <c r="Q456" t="n">
        <v>5</v>
      </c>
      <c r="R456" s="2" t="inlineStr">
        <is>
          <t>Garnlav
Granticka
Knottrig blåslav
Spillkråka
Tretåig hackspett</t>
        </is>
      </c>
      <c r="S456">
        <f>HYPERLINK("https://klasma.github.io/Logging_2321/artfynd/A 14195-2021 artfynd.xlsx", "A 14195-2021")</f>
        <v/>
      </c>
      <c r="T456">
        <f>HYPERLINK("https://klasma.github.io/Logging_2321/kartor/A 14195-2021 karta.png", "A 14195-2021")</f>
        <v/>
      </c>
      <c r="V456">
        <f>HYPERLINK("https://klasma.github.io/Logging_2321/klagomål/A 14195-2021 FSC-klagomål.docx", "A 14195-2021")</f>
        <v/>
      </c>
      <c r="W456">
        <f>HYPERLINK("https://klasma.github.io/Logging_2321/klagomålsmail/A 14195-2021 FSC-klagomål mail.docx", "A 14195-2021")</f>
        <v/>
      </c>
      <c r="X456">
        <f>HYPERLINK("https://klasma.github.io/Logging_2321/tillsyn/A 14195-2021 tillsynsbegäran.docx", "A 14195-2021")</f>
        <v/>
      </c>
      <c r="Y456">
        <f>HYPERLINK("https://klasma.github.io/Logging_2321/tillsynsmail/A 14195-2021 tillsynsbegäran mail.docx", "A 14195-2021")</f>
        <v/>
      </c>
      <c r="Z456">
        <f>HYPERLINK("https://klasma.github.io/Logging_2321/fåglar/A 14195-2021 prioriterade fågelarter.docx", "A 14195-2021")</f>
        <v/>
      </c>
    </row>
    <row r="457" ht="15" customHeight="1">
      <c r="A457" t="inlineStr">
        <is>
          <t>A 14285-2021</t>
        </is>
      </c>
      <c r="B457" s="1" t="n">
        <v>44278</v>
      </c>
      <c r="C457" s="1" t="n">
        <v>45363</v>
      </c>
      <c r="D457" t="inlineStr">
        <is>
          <t>JÄMTLANDS LÄN</t>
        </is>
      </c>
      <c r="E457" t="inlineStr">
        <is>
          <t>HÄRJEDALEN</t>
        </is>
      </c>
      <c r="F457" t="inlineStr">
        <is>
          <t>Bergvik skog väst AB</t>
        </is>
      </c>
      <c r="G457" t="n">
        <v>31</v>
      </c>
      <c r="H457" t="n">
        <v>3</v>
      </c>
      <c r="I457" t="n">
        <v>0</v>
      </c>
      <c r="J457" t="n">
        <v>4</v>
      </c>
      <c r="K457" t="n">
        <v>0</v>
      </c>
      <c r="L457" t="n">
        <v>0</v>
      </c>
      <c r="M457" t="n">
        <v>0</v>
      </c>
      <c r="N457" t="n">
        <v>0</v>
      </c>
      <c r="O457" t="n">
        <v>4</v>
      </c>
      <c r="P457" t="n">
        <v>0</v>
      </c>
      <c r="Q457" t="n">
        <v>5</v>
      </c>
      <c r="R457" s="2" t="inlineStr">
        <is>
          <t>Garnlav
Granticka
Talltita
Tretåig hackspett
Lavskrika</t>
        </is>
      </c>
      <c r="S457">
        <f>HYPERLINK("https://klasma.github.io/Logging_2361/artfynd/A 14285-2021 artfynd.xlsx", "A 14285-2021")</f>
        <v/>
      </c>
      <c r="T457">
        <f>HYPERLINK("https://klasma.github.io/Logging_2361/kartor/A 14285-2021 karta.png", "A 14285-2021")</f>
        <v/>
      </c>
      <c r="V457">
        <f>HYPERLINK("https://klasma.github.io/Logging_2361/klagomål/A 14285-2021 FSC-klagomål.docx", "A 14285-2021")</f>
        <v/>
      </c>
      <c r="W457">
        <f>HYPERLINK("https://klasma.github.io/Logging_2361/klagomålsmail/A 14285-2021 FSC-klagomål mail.docx", "A 14285-2021")</f>
        <v/>
      </c>
      <c r="X457">
        <f>HYPERLINK("https://klasma.github.io/Logging_2361/tillsyn/A 14285-2021 tillsynsbegäran.docx", "A 14285-2021")</f>
        <v/>
      </c>
      <c r="Y457">
        <f>HYPERLINK("https://klasma.github.io/Logging_2361/tillsynsmail/A 14285-2021 tillsynsbegäran mail.docx", "A 14285-2021")</f>
        <v/>
      </c>
      <c r="Z457">
        <f>HYPERLINK("https://klasma.github.io/Logging_2361/fåglar/A 14285-2021 prioriterade fågelarter.docx", "A 14285-2021")</f>
        <v/>
      </c>
    </row>
    <row r="458" ht="15" customHeight="1">
      <c r="A458" t="inlineStr">
        <is>
          <t>A 20644-2021</t>
        </is>
      </c>
      <c r="B458" s="1" t="n">
        <v>44316</v>
      </c>
      <c r="C458" s="1" t="n">
        <v>45363</v>
      </c>
      <c r="D458" t="inlineStr">
        <is>
          <t>JÄMTLANDS LÄN</t>
        </is>
      </c>
      <c r="E458" t="inlineStr">
        <is>
          <t>ÅRE</t>
        </is>
      </c>
      <c r="G458" t="n">
        <v>42.9</v>
      </c>
      <c r="H458" t="n">
        <v>2</v>
      </c>
      <c r="I458" t="n">
        <v>1</v>
      </c>
      <c r="J458" t="n">
        <v>4</v>
      </c>
      <c r="K458" t="n">
        <v>0</v>
      </c>
      <c r="L458" t="n">
        <v>0</v>
      </c>
      <c r="M458" t="n">
        <v>0</v>
      </c>
      <c r="N458" t="n">
        <v>0</v>
      </c>
      <c r="O458" t="n">
        <v>4</v>
      </c>
      <c r="P458" t="n">
        <v>0</v>
      </c>
      <c r="Q458" t="n">
        <v>5</v>
      </c>
      <c r="R458" s="2" t="inlineStr">
        <is>
          <t>Doftskinn
Garnlav
Månlåsbräken
Tretåig hackspett
Tvåblad</t>
        </is>
      </c>
      <c r="S458">
        <f>HYPERLINK("https://klasma.github.io/Logging_2321/artfynd/A 20644-2021 artfynd.xlsx", "A 20644-2021")</f>
        <v/>
      </c>
      <c r="T458">
        <f>HYPERLINK("https://klasma.github.io/Logging_2321/kartor/A 20644-2021 karta.png", "A 20644-2021")</f>
        <v/>
      </c>
      <c r="V458">
        <f>HYPERLINK("https://klasma.github.io/Logging_2321/klagomål/A 20644-2021 FSC-klagomål.docx", "A 20644-2021")</f>
        <v/>
      </c>
      <c r="W458">
        <f>HYPERLINK("https://klasma.github.io/Logging_2321/klagomålsmail/A 20644-2021 FSC-klagomål mail.docx", "A 20644-2021")</f>
        <v/>
      </c>
      <c r="X458">
        <f>HYPERLINK("https://klasma.github.io/Logging_2321/tillsyn/A 20644-2021 tillsynsbegäran.docx", "A 20644-2021")</f>
        <v/>
      </c>
      <c r="Y458">
        <f>HYPERLINK("https://klasma.github.io/Logging_2321/tillsynsmail/A 20644-2021 tillsynsbegäran mail.docx", "A 20644-2021")</f>
        <v/>
      </c>
      <c r="Z458">
        <f>HYPERLINK("https://klasma.github.io/Logging_2321/fåglar/A 20644-2021 prioriterade fågelarter.docx", "A 20644-2021")</f>
        <v/>
      </c>
    </row>
    <row r="459" ht="15" customHeight="1">
      <c r="A459" t="inlineStr">
        <is>
          <t>A 22773-2021</t>
        </is>
      </c>
      <c r="B459" s="1" t="n">
        <v>44327</v>
      </c>
      <c r="C459" s="1" t="n">
        <v>45363</v>
      </c>
      <c r="D459" t="inlineStr">
        <is>
          <t>JÄMTLANDS LÄN</t>
        </is>
      </c>
      <c r="E459" t="inlineStr">
        <is>
          <t>STRÖMSUND</t>
        </is>
      </c>
      <c r="G459" t="n">
        <v>1.8</v>
      </c>
      <c r="H459" t="n">
        <v>1</v>
      </c>
      <c r="I459" t="n">
        <v>2</v>
      </c>
      <c r="J459" t="n">
        <v>1</v>
      </c>
      <c r="K459" t="n">
        <v>0</v>
      </c>
      <c r="L459" t="n">
        <v>1</v>
      </c>
      <c r="M459" t="n">
        <v>0</v>
      </c>
      <c r="N459" t="n">
        <v>0</v>
      </c>
      <c r="O459" t="n">
        <v>2</v>
      </c>
      <c r="P459" t="n">
        <v>1</v>
      </c>
      <c r="Q459" t="n">
        <v>5</v>
      </c>
      <c r="R459" s="2" t="inlineStr">
        <is>
          <t>Trolldruvemätare
Lunglav
Svart trolldruva
Ögonpyrola
Blåsippa</t>
        </is>
      </c>
      <c r="S459">
        <f>HYPERLINK("https://klasma.github.io/Logging_2313/artfynd/A 22773-2021 artfynd.xlsx", "A 22773-2021")</f>
        <v/>
      </c>
      <c r="T459">
        <f>HYPERLINK("https://klasma.github.io/Logging_2313/kartor/A 22773-2021 karta.png", "A 22773-2021")</f>
        <v/>
      </c>
      <c r="V459">
        <f>HYPERLINK("https://klasma.github.io/Logging_2313/klagomål/A 22773-2021 FSC-klagomål.docx", "A 22773-2021")</f>
        <v/>
      </c>
      <c r="W459">
        <f>HYPERLINK("https://klasma.github.io/Logging_2313/klagomålsmail/A 22773-2021 FSC-klagomål mail.docx", "A 22773-2021")</f>
        <v/>
      </c>
      <c r="X459">
        <f>HYPERLINK("https://klasma.github.io/Logging_2313/tillsyn/A 22773-2021 tillsynsbegäran.docx", "A 22773-2021")</f>
        <v/>
      </c>
      <c r="Y459">
        <f>HYPERLINK("https://klasma.github.io/Logging_2313/tillsynsmail/A 22773-2021 tillsynsbegäran mail.docx", "A 22773-2021")</f>
        <v/>
      </c>
    </row>
    <row r="460" ht="15" customHeight="1">
      <c r="A460" t="inlineStr">
        <is>
          <t>A 23752-2021</t>
        </is>
      </c>
      <c r="B460" s="1" t="n">
        <v>44334</v>
      </c>
      <c r="C460" s="1" t="n">
        <v>45363</v>
      </c>
      <c r="D460" t="inlineStr">
        <is>
          <t>JÄMTLANDS LÄN</t>
        </is>
      </c>
      <c r="E460" t="inlineStr">
        <is>
          <t>STRÖMSUND</t>
        </is>
      </c>
      <c r="F460" t="inlineStr">
        <is>
          <t>SCA</t>
        </is>
      </c>
      <c r="G460" t="n">
        <v>7</v>
      </c>
      <c r="H460" t="n">
        <v>0</v>
      </c>
      <c r="I460" t="n">
        <v>4</v>
      </c>
      <c r="J460" t="n">
        <v>1</v>
      </c>
      <c r="K460" t="n">
        <v>0</v>
      </c>
      <c r="L460" t="n">
        <v>0</v>
      </c>
      <c r="M460" t="n">
        <v>0</v>
      </c>
      <c r="N460" t="n">
        <v>0</v>
      </c>
      <c r="O460" t="n">
        <v>1</v>
      </c>
      <c r="P460" t="n">
        <v>0</v>
      </c>
      <c r="Q460" t="n">
        <v>5</v>
      </c>
      <c r="R460" s="2" t="inlineStr">
        <is>
          <t>Brunklöver
Bronshjon
Svavelriska
Trådticka
Vågbandad barkbock</t>
        </is>
      </c>
      <c r="S460">
        <f>HYPERLINK("https://klasma.github.io/Logging_2313/artfynd/A 23752-2021 artfynd.xlsx", "A 23752-2021")</f>
        <v/>
      </c>
      <c r="T460">
        <f>HYPERLINK("https://klasma.github.io/Logging_2313/kartor/A 23752-2021 karta.png", "A 23752-2021")</f>
        <v/>
      </c>
      <c r="V460">
        <f>HYPERLINK("https://klasma.github.io/Logging_2313/klagomål/A 23752-2021 FSC-klagomål.docx", "A 23752-2021")</f>
        <v/>
      </c>
      <c r="W460">
        <f>HYPERLINK("https://klasma.github.io/Logging_2313/klagomålsmail/A 23752-2021 FSC-klagomål mail.docx", "A 23752-2021")</f>
        <v/>
      </c>
      <c r="X460">
        <f>HYPERLINK("https://klasma.github.io/Logging_2313/tillsyn/A 23752-2021 tillsynsbegäran.docx", "A 23752-2021")</f>
        <v/>
      </c>
      <c r="Y460">
        <f>HYPERLINK("https://klasma.github.io/Logging_2313/tillsynsmail/A 23752-2021 tillsynsbegäran mail.docx", "A 23752-2021")</f>
        <v/>
      </c>
    </row>
    <row r="461" ht="15" customHeight="1">
      <c r="A461" t="inlineStr">
        <is>
          <t>A 26149-2021</t>
        </is>
      </c>
      <c r="B461" s="1" t="n">
        <v>44346</v>
      </c>
      <c r="C461" s="1" t="n">
        <v>45363</v>
      </c>
      <c r="D461" t="inlineStr">
        <is>
          <t>JÄMTLANDS LÄN</t>
        </is>
      </c>
      <c r="E461" t="inlineStr">
        <is>
          <t>STRÖMSUND</t>
        </is>
      </c>
      <c r="F461" t="inlineStr">
        <is>
          <t>SCA</t>
        </is>
      </c>
      <c r="G461" t="n">
        <v>14.4</v>
      </c>
      <c r="H461" t="n">
        <v>0</v>
      </c>
      <c r="I461" t="n">
        <v>3</v>
      </c>
      <c r="J461" t="n">
        <v>2</v>
      </c>
      <c r="K461" t="n">
        <v>0</v>
      </c>
      <c r="L461" t="n">
        <v>0</v>
      </c>
      <c r="M461" t="n">
        <v>0</v>
      </c>
      <c r="N461" t="n">
        <v>0</v>
      </c>
      <c r="O461" t="n">
        <v>2</v>
      </c>
      <c r="P461" t="n">
        <v>0</v>
      </c>
      <c r="Q461" t="n">
        <v>5</v>
      </c>
      <c r="R461" s="2" t="inlineStr">
        <is>
          <t>Lunglav
Skrovellav
Skinnlav
Stor aspticka
Stuplav</t>
        </is>
      </c>
      <c r="S461">
        <f>HYPERLINK("https://klasma.github.io/Logging_2313/artfynd/A 26149-2021 artfynd.xlsx", "A 26149-2021")</f>
        <v/>
      </c>
      <c r="T461">
        <f>HYPERLINK("https://klasma.github.io/Logging_2313/kartor/A 26149-2021 karta.png", "A 26149-2021")</f>
        <v/>
      </c>
      <c r="V461">
        <f>HYPERLINK("https://klasma.github.io/Logging_2313/klagomål/A 26149-2021 FSC-klagomål.docx", "A 26149-2021")</f>
        <v/>
      </c>
      <c r="W461">
        <f>HYPERLINK("https://klasma.github.io/Logging_2313/klagomålsmail/A 26149-2021 FSC-klagomål mail.docx", "A 26149-2021")</f>
        <v/>
      </c>
      <c r="X461">
        <f>HYPERLINK("https://klasma.github.io/Logging_2313/tillsyn/A 26149-2021 tillsynsbegäran.docx", "A 26149-2021")</f>
        <v/>
      </c>
      <c r="Y461">
        <f>HYPERLINK("https://klasma.github.io/Logging_2313/tillsynsmail/A 26149-2021 tillsynsbegäran mail.docx", "A 26149-2021")</f>
        <v/>
      </c>
    </row>
    <row r="462" ht="15" customHeight="1">
      <c r="A462" t="inlineStr">
        <is>
          <t>A 33546-2021</t>
        </is>
      </c>
      <c r="B462" s="1" t="n">
        <v>44377</v>
      </c>
      <c r="C462" s="1" t="n">
        <v>45363</v>
      </c>
      <c r="D462" t="inlineStr">
        <is>
          <t>JÄMTLANDS LÄN</t>
        </is>
      </c>
      <c r="E462" t="inlineStr">
        <is>
          <t>STRÖMSUND</t>
        </is>
      </c>
      <c r="G462" t="n">
        <v>1.9</v>
      </c>
      <c r="H462" t="n">
        <v>0</v>
      </c>
      <c r="I462" t="n">
        <v>2</v>
      </c>
      <c r="J462" t="n">
        <v>3</v>
      </c>
      <c r="K462" t="n">
        <v>0</v>
      </c>
      <c r="L462" t="n">
        <v>0</v>
      </c>
      <c r="M462" t="n">
        <v>0</v>
      </c>
      <c r="N462" t="n">
        <v>0</v>
      </c>
      <c r="O462" t="n">
        <v>3</v>
      </c>
      <c r="P462" t="n">
        <v>0</v>
      </c>
      <c r="Q462" t="n">
        <v>5</v>
      </c>
      <c r="R462" s="2" t="inlineStr">
        <is>
          <t>Gränsticka
Lunglav
Vitgrynig nållav
Skinnlav
Stuplav</t>
        </is>
      </c>
      <c r="S462">
        <f>HYPERLINK("https://klasma.github.io/Logging_2313/artfynd/A 33546-2021 artfynd.xlsx", "A 33546-2021")</f>
        <v/>
      </c>
      <c r="T462">
        <f>HYPERLINK("https://klasma.github.io/Logging_2313/kartor/A 33546-2021 karta.png", "A 33546-2021")</f>
        <v/>
      </c>
      <c r="V462">
        <f>HYPERLINK("https://klasma.github.io/Logging_2313/klagomål/A 33546-2021 FSC-klagomål.docx", "A 33546-2021")</f>
        <v/>
      </c>
      <c r="W462">
        <f>HYPERLINK("https://klasma.github.io/Logging_2313/klagomålsmail/A 33546-2021 FSC-klagomål mail.docx", "A 33546-2021")</f>
        <v/>
      </c>
      <c r="X462">
        <f>HYPERLINK("https://klasma.github.io/Logging_2313/tillsyn/A 33546-2021 tillsynsbegäran.docx", "A 33546-2021")</f>
        <v/>
      </c>
      <c r="Y462">
        <f>HYPERLINK("https://klasma.github.io/Logging_2313/tillsynsmail/A 33546-2021 tillsynsbegäran mail.docx", "A 33546-2021")</f>
        <v/>
      </c>
    </row>
    <row r="463" ht="15" customHeight="1">
      <c r="A463" t="inlineStr">
        <is>
          <t>A 48914-2021</t>
        </is>
      </c>
      <c r="B463" s="1" t="n">
        <v>44452</v>
      </c>
      <c r="C463" s="1" t="n">
        <v>45363</v>
      </c>
      <c r="D463" t="inlineStr">
        <is>
          <t>JÄMTLANDS LÄN</t>
        </is>
      </c>
      <c r="E463" t="inlineStr">
        <is>
          <t>KROKOM</t>
        </is>
      </c>
      <c r="G463" t="n">
        <v>20.4</v>
      </c>
      <c r="H463" t="n">
        <v>1</v>
      </c>
      <c r="I463" t="n">
        <v>2</v>
      </c>
      <c r="J463" t="n">
        <v>3</v>
      </c>
      <c r="K463" t="n">
        <v>0</v>
      </c>
      <c r="L463" t="n">
        <v>0</v>
      </c>
      <c r="M463" t="n">
        <v>0</v>
      </c>
      <c r="N463" t="n">
        <v>0</v>
      </c>
      <c r="O463" t="n">
        <v>3</v>
      </c>
      <c r="P463" t="n">
        <v>0</v>
      </c>
      <c r="Q463" t="n">
        <v>5</v>
      </c>
      <c r="R463" s="2" t="inlineStr">
        <is>
          <t>Brunpudrad nållav
Granticka
Rödbrun blekspik
Gulnål
Spindelblomster</t>
        </is>
      </c>
      <c r="S463">
        <f>HYPERLINK("https://klasma.github.io/Logging_2309/artfynd/A 48914-2021 artfynd.xlsx", "A 48914-2021")</f>
        <v/>
      </c>
      <c r="T463">
        <f>HYPERLINK("https://klasma.github.io/Logging_2309/kartor/A 48914-2021 karta.png", "A 48914-2021")</f>
        <v/>
      </c>
      <c r="V463">
        <f>HYPERLINK("https://klasma.github.io/Logging_2309/klagomål/A 48914-2021 FSC-klagomål.docx", "A 48914-2021")</f>
        <v/>
      </c>
      <c r="W463">
        <f>HYPERLINK("https://klasma.github.io/Logging_2309/klagomålsmail/A 48914-2021 FSC-klagomål mail.docx", "A 48914-2021")</f>
        <v/>
      </c>
      <c r="X463">
        <f>HYPERLINK("https://klasma.github.io/Logging_2309/tillsyn/A 48914-2021 tillsynsbegäran.docx", "A 48914-2021")</f>
        <v/>
      </c>
      <c r="Y463">
        <f>HYPERLINK("https://klasma.github.io/Logging_2309/tillsynsmail/A 48914-2021 tillsynsbegäran mail.docx", "A 48914-2021")</f>
        <v/>
      </c>
    </row>
    <row r="464" ht="15" customHeight="1">
      <c r="A464" t="inlineStr">
        <is>
          <t>A 56203-2021</t>
        </is>
      </c>
      <c r="B464" s="1" t="n">
        <v>44477</v>
      </c>
      <c r="C464" s="1" t="n">
        <v>45363</v>
      </c>
      <c r="D464" t="inlineStr">
        <is>
          <t>JÄMTLANDS LÄN</t>
        </is>
      </c>
      <c r="E464" t="inlineStr">
        <is>
          <t>BERG</t>
        </is>
      </c>
      <c r="F464" t="inlineStr">
        <is>
          <t>SCA</t>
        </is>
      </c>
      <c r="G464" t="n">
        <v>3.4</v>
      </c>
      <c r="H464" t="n">
        <v>2</v>
      </c>
      <c r="I464" t="n">
        <v>0</v>
      </c>
      <c r="J464" t="n">
        <v>4</v>
      </c>
      <c r="K464" t="n">
        <v>0</v>
      </c>
      <c r="L464" t="n">
        <v>0</v>
      </c>
      <c r="M464" t="n">
        <v>0</v>
      </c>
      <c r="N464" t="n">
        <v>0</v>
      </c>
      <c r="O464" t="n">
        <v>4</v>
      </c>
      <c r="P464" t="n">
        <v>0</v>
      </c>
      <c r="Q464" t="n">
        <v>5</v>
      </c>
      <c r="R464" s="2" t="inlineStr">
        <is>
          <t>Garnlav
Granticka
Lunglav
Tretåig hackspett
Tjäder</t>
        </is>
      </c>
      <c r="S464">
        <f>HYPERLINK("https://klasma.github.io/Logging_2326/artfynd/A 56203-2021 artfynd.xlsx", "A 56203-2021")</f>
        <v/>
      </c>
      <c r="T464">
        <f>HYPERLINK("https://klasma.github.io/Logging_2326/kartor/A 56203-2021 karta.png", "A 56203-2021")</f>
        <v/>
      </c>
      <c r="V464">
        <f>HYPERLINK("https://klasma.github.io/Logging_2326/klagomål/A 56203-2021 FSC-klagomål.docx", "A 56203-2021")</f>
        <v/>
      </c>
      <c r="W464">
        <f>HYPERLINK("https://klasma.github.io/Logging_2326/klagomålsmail/A 56203-2021 FSC-klagomål mail.docx", "A 56203-2021")</f>
        <v/>
      </c>
      <c r="X464">
        <f>HYPERLINK("https://klasma.github.io/Logging_2326/tillsyn/A 56203-2021 tillsynsbegäran.docx", "A 56203-2021")</f>
        <v/>
      </c>
      <c r="Y464">
        <f>HYPERLINK("https://klasma.github.io/Logging_2326/tillsynsmail/A 56203-2021 tillsynsbegäran mail.docx", "A 56203-2021")</f>
        <v/>
      </c>
      <c r="Z464">
        <f>HYPERLINK("https://klasma.github.io/Logging_2326/fåglar/A 56203-2021 prioriterade fågelarter.docx", "A 56203-2021")</f>
        <v/>
      </c>
    </row>
    <row r="465" ht="15" customHeight="1">
      <c r="A465" t="inlineStr">
        <is>
          <t>A 58238-2021</t>
        </is>
      </c>
      <c r="B465" s="1" t="n">
        <v>44487</v>
      </c>
      <c r="C465" s="1" t="n">
        <v>45363</v>
      </c>
      <c r="D465" t="inlineStr">
        <is>
          <t>JÄMTLANDS LÄN</t>
        </is>
      </c>
      <c r="E465" t="inlineStr">
        <is>
          <t>ÅRE</t>
        </is>
      </c>
      <c r="G465" t="n">
        <v>42.2</v>
      </c>
      <c r="H465" t="n">
        <v>0</v>
      </c>
      <c r="I465" t="n">
        <v>0</v>
      </c>
      <c r="J465" t="n">
        <v>3</v>
      </c>
      <c r="K465" t="n">
        <v>2</v>
      </c>
      <c r="L465" t="n">
        <v>0</v>
      </c>
      <c r="M465" t="n">
        <v>0</v>
      </c>
      <c r="N465" t="n">
        <v>0</v>
      </c>
      <c r="O465" t="n">
        <v>5</v>
      </c>
      <c r="P465" t="n">
        <v>2</v>
      </c>
      <c r="Q465" t="n">
        <v>5</v>
      </c>
      <c r="R465" s="2" t="inlineStr">
        <is>
          <t>Lappticka
Norsk näverlav
Gammelgransskål
Gränsticka
Rödbrun blekspik</t>
        </is>
      </c>
      <c r="S465">
        <f>HYPERLINK("https://klasma.github.io/Logging_2321/artfynd/A 58238-2021 artfynd.xlsx", "A 58238-2021")</f>
        <v/>
      </c>
      <c r="T465">
        <f>HYPERLINK("https://klasma.github.io/Logging_2321/kartor/A 58238-2021 karta.png", "A 58238-2021")</f>
        <v/>
      </c>
      <c r="V465">
        <f>HYPERLINK("https://klasma.github.io/Logging_2321/klagomål/A 58238-2021 FSC-klagomål.docx", "A 58238-2021")</f>
        <v/>
      </c>
      <c r="W465">
        <f>HYPERLINK("https://klasma.github.io/Logging_2321/klagomålsmail/A 58238-2021 FSC-klagomål mail.docx", "A 58238-2021")</f>
        <v/>
      </c>
      <c r="X465">
        <f>HYPERLINK("https://klasma.github.io/Logging_2321/tillsyn/A 58238-2021 tillsynsbegäran.docx", "A 58238-2021")</f>
        <v/>
      </c>
      <c r="Y465">
        <f>HYPERLINK("https://klasma.github.io/Logging_2321/tillsynsmail/A 58238-2021 tillsynsbegäran mail.docx", "A 58238-2021")</f>
        <v/>
      </c>
    </row>
    <row r="466" ht="15" customHeight="1">
      <c r="A466" t="inlineStr">
        <is>
          <t>A 60246-2021</t>
        </is>
      </c>
      <c r="B466" s="1" t="n">
        <v>44495</v>
      </c>
      <c r="C466" s="1" t="n">
        <v>45363</v>
      </c>
      <c r="D466" t="inlineStr">
        <is>
          <t>JÄMTLANDS LÄN</t>
        </is>
      </c>
      <c r="E466" t="inlineStr">
        <is>
          <t>ÅRE</t>
        </is>
      </c>
      <c r="G466" t="n">
        <v>4.3</v>
      </c>
      <c r="H466" t="n">
        <v>1</v>
      </c>
      <c r="I466" t="n">
        <v>0</v>
      </c>
      <c r="J466" t="n">
        <v>4</v>
      </c>
      <c r="K466" t="n">
        <v>1</v>
      </c>
      <c r="L466" t="n">
        <v>0</v>
      </c>
      <c r="M466" t="n">
        <v>0</v>
      </c>
      <c r="N466" t="n">
        <v>0</v>
      </c>
      <c r="O466" t="n">
        <v>5</v>
      </c>
      <c r="P466" t="n">
        <v>1</v>
      </c>
      <c r="Q466" t="n">
        <v>5</v>
      </c>
      <c r="R466" s="2" t="inlineStr">
        <is>
          <t>Lappticka
Granticka
Tretåig hackspett
Ullticka
Vitgrynig nållav</t>
        </is>
      </c>
      <c r="S466">
        <f>HYPERLINK("https://klasma.github.io/Logging_2321/artfynd/A 60246-2021 artfynd.xlsx", "A 60246-2021")</f>
        <v/>
      </c>
      <c r="T466">
        <f>HYPERLINK("https://klasma.github.io/Logging_2321/kartor/A 60246-2021 karta.png", "A 60246-2021")</f>
        <v/>
      </c>
      <c r="V466">
        <f>HYPERLINK("https://klasma.github.io/Logging_2321/klagomål/A 60246-2021 FSC-klagomål.docx", "A 60246-2021")</f>
        <v/>
      </c>
      <c r="W466">
        <f>HYPERLINK("https://klasma.github.io/Logging_2321/klagomålsmail/A 60246-2021 FSC-klagomål mail.docx", "A 60246-2021")</f>
        <v/>
      </c>
      <c r="X466">
        <f>HYPERLINK("https://klasma.github.io/Logging_2321/tillsyn/A 60246-2021 tillsynsbegäran.docx", "A 60246-2021")</f>
        <v/>
      </c>
      <c r="Y466">
        <f>HYPERLINK("https://klasma.github.io/Logging_2321/tillsynsmail/A 60246-2021 tillsynsbegäran mail.docx", "A 60246-2021")</f>
        <v/>
      </c>
      <c r="Z466">
        <f>HYPERLINK("https://klasma.github.io/Logging_2321/fåglar/A 60246-2021 prioriterade fågelarter.docx", "A 60246-2021")</f>
        <v/>
      </c>
    </row>
    <row r="467" ht="15" customHeight="1">
      <c r="A467" t="inlineStr">
        <is>
          <t>A 64303-2021</t>
        </is>
      </c>
      <c r="B467" s="1" t="n">
        <v>44510</v>
      </c>
      <c r="C467" s="1" t="n">
        <v>45363</v>
      </c>
      <c r="D467" t="inlineStr">
        <is>
          <t>JÄMTLANDS LÄN</t>
        </is>
      </c>
      <c r="E467" t="inlineStr">
        <is>
          <t>KROKOM</t>
        </is>
      </c>
      <c r="G467" t="n">
        <v>9.4</v>
      </c>
      <c r="H467" t="n">
        <v>2</v>
      </c>
      <c r="I467" t="n">
        <v>0</v>
      </c>
      <c r="J467" t="n">
        <v>5</v>
      </c>
      <c r="K467" t="n">
        <v>0</v>
      </c>
      <c r="L467" t="n">
        <v>0</v>
      </c>
      <c r="M467" t="n">
        <v>0</v>
      </c>
      <c r="N467" t="n">
        <v>0</v>
      </c>
      <c r="O467" t="n">
        <v>5</v>
      </c>
      <c r="P467" t="n">
        <v>0</v>
      </c>
      <c r="Q467" t="n">
        <v>5</v>
      </c>
      <c r="R467" s="2" t="inlineStr">
        <is>
          <t>Garnlav
Lunglav
Skrovellav
Spillkråka
Tretåig hackspett</t>
        </is>
      </c>
      <c r="S467">
        <f>HYPERLINK("https://klasma.github.io/Logging_2309/artfynd/A 64303-2021 artfynd.xlsx", "A 64303-2021")</f>
        <v/>
      </c>
      <c r="T467">
        <f>HYPERLINK("https://klasma.github.io/Logging_2309/kartor/A 64303-2021 karta.png", "A 64303-2021")</f>
        <v/>
      </c>
      <c r="V467">
        <f>HYPERLINK("https://klasma.github.io/Logging_2309/klagomål/A 64303-2021 FSC-klagomål.docx", "A 64303-2021")</f>
        <v/>
      </c>
      <c r="W467">
        <f>HYPERLINK("https://klasma.github.io/Logging_2309/klagomålsmail/A 64303-2021 FSC-klagomål mail.docx", "A 64303-2021")</f>
        <v/>
      </c>
      <c r="X467">
        <f>HYPERLINK("https://klasma.github.io/Logging_2309/tillsyn/A 64303-2021 tillsynsbegäran.docx", "A 64303-2021")</f>
        <v/>
      </c>
      <c r="Y467">
        <f>HYPERLINK("https://klasma.github.io/Logging_2309/tillsynsmail/A 64303-2021 tillsynsbegäran mail.docx", "A 64303-2021")</f>
        <v/>
      </c>
      <c r="Z467">
        <f>HYPERLINK("https://klasma.github.io/Logging_2309/fåglar/A 64303-2021 prioriterade fågelarter.docx", "A 64303-2021")</f>
        <v/>
      </c>
    </row>
    <row r="468" ht="15" customHeight="1">
      <c r="A468" t="inlineStr">
        <is>
          <t>A 65187-2021</t>
        </is>
      </c>
      <c r="B468" s="1" t="n">
        <v>44515</v>
      </c>
      <c r="C468" s="1" t="n">
        <v>45363</v>
      </c>
      <c r="D468" t="inlineStr">
        <is>
          <t>JÄMTLANDS LÄN</t>
        </is>
      </c>
      <c r="E468" t="inlineStr">
        <is>
          <t>KROKOM</t>
        </is>
      </c>
      <c r="F468" t="inlineStr">
        <is>
          <t>Kyrkan</t>
        </is>
      </c>
      <c r="G468" t="n">
        <v>27.3</v>
      </c>
      <c r="H468" t="n">
        <v>1</v>
      </c>
      <c r="I468" t="n">
        <v>2</v>
      </c>
      <c r="J468" t="n">
        <v>2</v>
      </c>
      <c r="K468" t="n">
        <v>0</v>
      </c>
      <c r="L468" t="n">
        <v>0</v>
      </c>
      <c r="M468" t="n">
        <v>0</v>
      </c>
      <c r="N468" t="n">
        <v>0</v>
      </c>
      <c r="O468" t="n">
        <v>2</v>
      </c>
      <c r="P468" t="n">
        <v>0</v>
      </c>
      <c r="Q468" t="n">
        <v>5</v>
      </c>
      <c r="R468" s="2" t="inlineStr">
        <is>
          <t>Flattoppad klubbsvamp
Skrovellav
Kransrams
Svart trolldruva
Blåsippa</t>
        </is>
      </c>
      <c r="S468">
        <f>HYPERLINK("https://klasma.github.io/Logging_2309/artfynd/A 65187-2021 artfynd.xlsx", "A 65187-2021")</f>
        <v/>
      </c>
      <c r="T468">
        <f>HYPERLINK("https://klasma.github.io/Logging_2309/kartor/A 65187-2021 karta.png", "A 65187-2021")</f>
        <v/>
      </c>
      <c r="V468">
        <f>HYPERLINK("https://klasma.github.io/Logging_2309/klagomål/A 65187-2021 FSC-klagomål.docx", "A 65187-2021")</f>
        <v/>
      </c>
      <c r="W468">
        <f>HYPERLINK("https://klasma.github.io/Logging_2309/klagomålsmail/A 65187-2021 FSC-klagomål mail.docx", "A 65187-2021")</f>
        <v/>
      </c>
      <c r="X468">
        <f>HYPERLINK("https://klasma.github.io/Logging_2309/tillsyn/A 65187-2021 tillsynsbegäran.docx", "A 65187-2021")</f>
        <v/>
      </c>
      <c r="Y468">
        <f>HYPERLINK("https://klasma.github.io/Logging_2309/tillsynsmail/A 65187-2021 tillsynsbegäran mail.docx", "A 65187-2021")</f>
        <v/>
      </c>
    </row>
    <row r="469" ht="15" customHeight="1">
      <c r="A469" t="inlineStr">
        <is>
          <t>A 65899-2021</t>
        </is>
      </c>
      <c r="B469" s="1" t="n">
        <v>44517</v>
      </c>
      <c r="C469" s="1" t="n">
        <v>45363</v>
      </c>
      <c r="D469" t="inlineStr">
        <is>
          <t>JÄMTLANDS LÄN</t>
        </is>
      </c>
      <c r="E469" t="inlineStr">
        <is>
          <t>HÄRJEDALEN</t>
        </is>
      </c>
      <c r="G469" t="n">
        <v>25</v>
      </c>
      <c r="H469" t="n">
        <v>0</v>
      </c>
      <c r="I469" t="n">
        <v>0</v>
      </c>
      <c r="J469" t="n">
        <v>5</v>
      </c>
      <c r="K469" t="n">
        <v>0</v>
      </c>
      <c r="L469" t="n">
        <v>0</v>
      </c>
      <c r="M469" t="n">
        <v>0</v>
      </c>
      <c r="N469" t="n">
        <v>0</v>
      </c>
      <c r="O469" t="n">
        <v>5</v>
      </c>
      <c r="P469" t="n">
        <v>0</v>
      </c>
      <c r="Q469" t="n">
        <v>5</v>
      </c>
      <c r="R469" s="2" t="inlineStr">
        <is>
          <t>Gammelgransskål
Garnlav
Granticka
Harticka
Vedskivlav</t>
        </is>
      </c>
      <c r="S469">
        <f>HYPERLINK("https://klasma.github.io/Logging_2361/artfynd/A 65899-2021 artfynd.xlsx", "A 65899-2021")</f>
        <v/>
      </c>
      <c r="T469">
        <f>HYPERLINK("https://klasma.github.io/Logging_2361/kartor/A 65899-2021 karta.png", "A 65899-2021")</f>
        <v/>
      </c>
      <c r="V469">
        <f>HYPERLINK("https://klasma.github.io/Logging_2361/klagomål/A 65899-2021 FSC-klagomål.docx", "A 65899-2021")</f>
        <v/>
      </c>
      <c r="W469">
        <f>HYPERLINK("https://klasma.github.io/Logging_2361/klagomålsmail/A 65899-2021 FSC-klagomål mail.docx", "A 65899-2021")</f>
        <v/>
      </c>
      <c r="X469">
        <f>HYPERLINK("https://klasma.github.io/Logging_2361/tillsyn/A 65899-2021 tillsynsbegäran.docx", "A 65899-2021")</f>
        <v/>
      </c>
      <c r="Y469">
        <f>HYPERLINK("https://klasma.github.io/Logging_2361/tillsynsmail/A 65899-2021 tillsynsbegäran mail.docx", "A 65899-2021")</f>
        <v/>
      </c>
    </row>
    <row r="470" ht="15" customHeight="1">
      <c r="A470" t="inlineStr">
        <is>
          <t>A 71570-2021</t>
        </is>
      </c>
      <c r="B470" s="1" t="n">
        <v>44540</v>
      </c>
      <c r="C470" s="1" t="n">
        <v>45363</v>
      </c>
      <c r="D470" t="inlineStr">
        <is>
          <t>JÄMTLANDS LÄN</t>
        </is>
      </c>
      <c r="E470" t="inlineStr">
        <is>
          <t>KROKOM</t>
        </is>
      </c>
      <c r="G470" t="n">
        <v>0.6</v>
      </c>
      <c r="H470" t="n">
        <v>0</v>
      </c>
      <c r="I470" t="n">
        <v>3</v>
      </c>
      <c r="J470" t="n">
        <v>1</v>
      </c>
      <c r="K470" t="n">
        <v>1</v>
      </c>
      <c r="L470" t="n">
        <v>0</v>
      </c>
      <c r="M470" t="n">
        <v>0</v>
      </c>
      <c r="N470" t="n">
        <v>0</v>
      </c>
      <c r="O470" t="n">
        <v>2</v>
      </c>
      <c r="P470" t="n">
        <v>1</v>
      </c>
      <c r="Q470" t="n">
        <v>5</v>
      </c>
      <c r="R470" s="2" t="inlineStr">
        <is>
          <t>Läderdoftande fingersvamp
Gultoppig fingersvamp
Droppklibbskivling
Fjällig taggsvamp s.str.
Ögonpyrola</t>
        </is>
      </c>
      <c r="S470">
        <f>HYPERLINK("https://klasma.github.io/Logging_2309/artfynd/A 71570-2021 artfynd.xlsx", "A 71570-2021")</f>
        <v/>
      </c>
      <c r="T470">
        <f>HYPERLINK("https://klasma.github.io/Logging_2309/kartor/A 71570-2021 karta.png", "A 71570-2021")</f>
        <v/>
      </c>
      <c r="V470">
        <f>HYPERLINK("https://klasma.github.io/Logging_2309/klagomål/A 71570-2021 FSC-klagomål.docx", "A 71570-2021")</f>
        <v/>
      </c>
      <c r="W470">
        <f>HYPERLINK("https://klasma.github.io/Logging_2309/klagomålsmail/A 71570-2021 FSC-klagomål mail.docx", "A 71570-2021")</f>
        <v/>
      </c>
      <c r="X470">
        <f>HYPERLINK("https://klasma.github.io/Logging_2309/tillsyn/A 71570-2021 tillsynsbegäran.docx", "A 71570-2021")</f>
        <v/>
      </c>
      <c r="Y470">
        <f>HYPERLINK("https://klasma.github.io/Logging_2309/tillsynsmail/A 71570-2021 tillsynsbegäran mail.docx", "A 71570-2021")</f>
        <v/>
      </c>
    </row>
    <row r="471" ht="15" customHeight="1">
      <c r="A471" t="inlineStr">
        <is>
          <t>A 74005-2021</t>
        </is>
      </c>
      <c r="B471" s="1" t="n">
        <v>44557</v>
      </c>
      <c r="C471" s="1" t="n">
        <v>45363</v>
      </c>
      <c r="D471" t="inlineStr">
        <is>
          <t>JÄMTLANDS LÄN</t>
        </is>
      </c>
      <c r="E471" t="inlineStr">
        <is>
          <t>KROKOM</t>
        </is>
      </c>
      <c r="G471" t="n">
        <v>19.9</v>
      </c>
      <c r="H471" t="n">
        <v>1</v>
      </c>
      <c r="I471" t="n">
        <v>1</v>
      </c>
      <c r="J471" t="n">
        <v>4</v>
      </c>
      <c r="K471" t="n">
        <v>0</v>
      </c>
      <c r="L471" t="n">
        <v>0</v>
      </c>
      <c r="M471" t="n">
        <v>0</v>
      </c>
      <c r="N471" t="n">
        <v>0</v>
      </c>
      <c r="O471" t="n">
        <v>4</v>
      </c>
      <c r="P471" t="n">
        <v>0</v>
      </c>
      <c r="Q471" t="n">
        <v>5</v>
      </c>
      <c r="R471" s="2" t="inlineStr">
        <is>
          <t>Doftskinn
Gammelgransskål
Garnlav
Gränsticka
Spindelblomster</t>
        </is>
      </c>
      <c r="S471">
        <f>HYPERLINK("https://klasma.github.io/Logging_2309/artfynd/A 74005-2021 artfynd.xlsx", "A 74005-2021")</f>
        <v/>
      </c>
      <c r="T471">
        <f>HYPERLINK("https://klasma.github.io/Logging_2309/kartor/A 74005-2021 karta.png", "A 74005-2021")</f>
        <v/>
      </c>
      <c r="V471">
        <f>HYPERLINK("https://klasma.github.io/Logging_2309/klagomål/A 74005-2021 FSC-klagomål.docx", "A 74005-2021")</f>
        <v/>
      </c>
      <c r="W471">
        <f>HYPERLINK("https://klasma.github.io/Logging_2309/klagomålsmail/A 74005-2021 FSC-klagomål mail.docx", "A 74005-2021")</f>
        <v/>
      </c>
      <c r="X471">
        <f>HYPERLINK("https://klasma.github.io/Logging_2309/tillsyn/A 74005-2021 tillsynsbegäran.docx", "A 74005-2021")</f>
        <v/>
      </c>
      <c r="Y471">
        <f>HYPERLINK("https://klasma.github.io/Logging_2309/tillsynsmail/A 74005-2021 tillsynsbegäran mail.docx", "A 74005-2021")</f>
        <v/>
      </c>
    </row>
    <row r="472" ht="15" customHeight="1">
      <c r="A472" t="inlineStr">
        <is>
          <t>A 12196-2022</t>
        </is>
      </c>
      <c r="B472" s="1" t="n">
        <v>44636</v>
      </c>
      <c r="C472" s="1" t="n">
        <v>45363</v>
      </c>
      <c r="D472" t="inlineStr">
        <is>
          <t>JÄMTLANDS LÄN</t>
        </is>
      </c>
      <c r="E472" t="inlineStr">
        <is>
          <t>STRÖMSUND</t>
        </is>
      </c>
      <c r="F472" t="inlineStr">
        <is>
          <t>SCA</t>
        </is>
      </c>
      <c r="G472" t="n">
        <v>6.7</v>
      </c>
      <c r="H472" t="n">
        <v>0</v>
      </c>
      <c r="I472" t="n">
        <v>1</v>
      </c>
      <c r="J472" t="n">
        <v>3</v>
      </c>
      <c r="K472" t="n">
        <v>1</v>
      </c>
      <c r="L472" t="n">
        <v>0</v>
      </c>
      <c r="M472" t="n">
        <v>0</v>
      </c>
      <c r="N472" t="n">
        <v>0</v>
      </c>
      <c r="O472" t="n">
        <v>4</v>
      </c>
      <c r="P472" t="n">
        <v>1</v>
      </c>
      <c r="Q472" t="n">
        <v>5</v>
      </c>
      <c r="R472" s="2" t="inlineStr">
        <is>
          <t>Rynkskinn
Garnlav
Rosenticka
Vitgrynig nållav
Kransrams</t>
        </is>
      </c>
      <c r="S472">
        <f>HYPERLINK("https://klasma.github.io/Logging_2313/artfynd/A 12196-2022 artfynd.xlsx", "A 12196-2022")</f>
        <v/>
      </c>
      <c r="T472">
        <f>HYPERLINK("https://klasma.github.io/Logging_2313/kartor/A 12196-2022 karta.png", "A 12196-2022")</f>
        <v/>
      </c>
      <c r="V472">
        <f>HYPERLINK("https://klasma.github.io/Logging_2313/klagomål/A 12196-2022 FSC-klagomål.docx", "A 12196-2022")</f>
        <v/>
      </c>
      <c r="W472">
        <f>HYPERLINK("https://klasma.github.io/Logging_2313/klagomålsmail/A 12196-2022 FSC-klagomål mail.docx", "A 12196-2022")</f>
        <v/>
      </c>
      <c r="X472">
        <f>HYPERLINK("https://klasma.github.io/Logging_2313/tillsyn/A 12196-2022 tillsynsbegäran.docx", "A 12196-2022")</f>
        <v/>
      </c>
      <c r="Y472">
        <f>HYPERLINK("https://klasma.github.io/Logging_2313/tillsynsmail/A 12196-2022 tillsynsbegäran mail.docx", "A 12196-2022")</f>
        <v/>
      </c>
    </row>
    <row r="473" ht="15" customHeight="1">
      <c r="A473" t="inlineStr">
        <is>
          <t>A 13482-2022</t>
        </is>
      </c>
      <c r="B473" s="1" t="n">
        <v>44645</v>
      </c>
      <c r="C473" s="1" t="n">
        <v>45363</v>
      </c>
      <c r="D473" t="inlineStr">
        <is>
          <t>JÄMTLANDS LÄN</t>
        </is>
      </c>
      <c r="E473" t="inlineStr">
        <is>
          <t>RAGUNDA</t>
        </is>
      </c>
      <c r="F473" t="inlineStr">
        <is>
          <t>SCA</t>
        </is>
      </c>
      <c r="G473" t="n">
        <v>6.6</v>
      </c>
      <c r="H473" t="n">
        <v>0</v>
      </c>
      <c r="I473" t="n">
        <v>0</v>
      </c>
      <c r="J473" t="n">
        <v>5</v>
      </c>
      <c r="K473" t="n">
        <v>0</v>
      </c>
      <c r="L473" t="n">
        <v>0</v>
      </c>
      <c r="M473" t="n">
        <v>0</v>
      </c>
      <c r="N473" t="n">
        <v>0</v>
      </c>
      <c r="O473" t="n">
        <v>5</v>
      </c>
      <c r="P473" t="n">
        <v>0</v>
      </c>
      <c r="Q473" t="n">
        <v>5</v>
      </c>
      <c r="R473" s="2" t="inlineStr">
        <is>
          <t>Dvärgbägarlav
Garnlav
Lunglav
Mörk kolflarnlav
Vedskivlav</t>
        </is>
      </c>
      <c r="S473">
        <f>HYPERLINK("https://klasma.github.io/Logging_2303/artfynd/A 13482-2022 artfynd.xlsx", "A 13482-2022")</f>
        <v/>
      </c>
      <c r="T473">
        <f>HYPERLINK("https://klasma.github.io/Logging_2303/kartor/A 13482-2022 karta.png", "A 13482-2022")</f>
        <v/>
      </c>
      <c r="U473">
        <f>HYPERLINK("https://klasma.github.io/Logging_2303/knärot/A 13482-2022 karta knärot.png", "A 13482-2022")</f>
        <v/>
      </c>
      <c r="V473">
        <f>HYPERLINK("https://klasma.github.io/Logging_2303/klagomål/A 13482-2022 FSC-klagomål.docx", "A 13482-2022")</f>
        <v/>
      </c>
      <c r="W473">
        <f>HYPERLINK("https://klasma.github.io/Logging_2303/klagomålsmail/A 13482-2022 FSC-klagomål mail.docx", "A 13482-2022")</f>
        <v/>
      </c>
      <c r="X473">
        <f>HYPERLINK("https://klasma.github.io/Logging_2303/tillsyn/A 13482-2022 tillsynsbegäran.docx", "A 13482-2022")</f>
        <v/>
      </c>
      <c r="Y473">
        <f>HYPERLINK("https://klasma.github.io/Logging_2303/tillsynsmail/A 13482-2022 tillsynsbegäran mail.docx", "A 13482-2022")</f>
        <v/>
      </c>
    </row>
    <row r="474" ht="15" customHeight="1">
      <c r="A474" t="inlineStr">
        <is>
          <t>A 14908-2022</t>
        </is>
      </c>
      <c r="B474" s="1" t="n">
        <v>44656</v>
      </c>
      <c r="C474" s="1" t="n">
        <v>45363</v>
      </c>
      <c r="D474" t="inlineStr">
        <is>
          <t>JÄMTLANDS LÄN</t>
        </is>
      </c>
      <c r="E474" t="inlineStr">
        <is>
          <t>RAGUNDA</t>
        </is>
      </c>
      <c r="F474" t="inlineStr">
        <is>
          <t>SCA</t>
        </is>
      </c>
      <c r="G474" t="n">
        <v>4.6</v>
      </c>
      <c r="H474" t="n">
        <v>0</v>
      </c>
      <c r="I474" t="n">
        <v>3</v>
      </c>
      <c r="J474" t="n">
        <v>2</v>
      </c>
      <c r="K474" t="n">
        <v>0</v>
      </c>
      <c r="L474" t="n">
        <v>0</v>
      </c>
      <c r="M474" t="n">
        <v>0</v>
      </c>
      <c r="N474" t="n">
        <v>0</v>
      </c>
      <c r="O474" t="n">
        <v>2</v>
      </c>
      <c r="P474" t="n">
        <v>0</v>
      </c>
      <c r="Q474" t="n">
        <v>5</v>
      </c>
      <c r="R474" s="2" t="inlineStr">
        <is>
          <t>Garnlav
Skrovellav
Bårdlav
Källmossa
Ögonpyrola</t>
        </is>
      </c>
      <c r="S474">
        <f>HYPERLINK("https://klasma.github.io/Logging_2303/artfynd/A 14908-2022 artfynd.xlsx", "A 14908-2022")</f>
        <v/>
      </c>
      <c r="T474">
        <f>HYPERLINK("https://klasma.github.io/Logging_2303/kartor/A 14908-2022 karta.png", "A 14908-2022")</f>
        <v/>
      </c>
      <c r="V474">
        <f>HYPERLINK("https://klasma.github.io/Logging_2303/klagomål/A 14908-2022 FSC-klagomål.docx", "A 14908-2022")</f>
        <v/>
      </c>
      <c r="W474">
        <f>HYPERLINK("https://klasma.github.io/Logging_2303/klagomålsmail/A 14908-2022 FSC-klagomål mail.docx", "A 14908-2022")</f>
        <v/>
      </c>
      <c r="X474">
        <f>HYPERLINK("https://klasma.github.io/Logging_2303/tillsyn/A 14908-2022 tillsynsbegäran.docx", "A 14908-2022")</f>
        <v/>
      </c>
      <c r="Y474">
        <f>HYPERLINK("https://klasma.github.io/Logging_2303/tillsynsmail/A 14908-2022 tillsynsbegäran mail.docx", "A 14908-2022")</f>
        <v/>
      </c>
    </row>
    <row r="475" ht="15" customHeight="1">
      <c r="A475" t="inlineStr">
        <is>
          <t>A 26143-2022</t>
        </is>
      </c>
      <c r="B475" s="1" t="n">
        <v>44734</v>
      </c>
      <c r="C475" s="1" t="n">
        <v>45363</v>
      </c>
      <c r="D475" t="inlineStr">
        <is>
          <t>JÄMTLANDS LÄN</t>
        </is>
      </c>
      <c r="E475" t="inlineStr">
        <is>
          <t>RAGUNDA</t>
        </is>
      </c>
      <c r="F475" t="inlineStr">
        <is>
          <t>SCA</t>
        </is>
      </c>
      <c r="G475" t="n">
        <v>4.4</v>
      </c>
      <c r="H475" t="n">
        <v>0</v>
      </c>
      <c r="I475" t="n">
        <v>2</v>
      </c>
      <c r="J475" t="n">
        <v>2</v>
      </c>
      <c r="K475" t="n">
        <v>1</v>
      </c>
      <c r="L475" t="n">
        <v>0</v>
      </c>
      <c r="M475" t="n">
        <v>0</v>
      </c>
      <c r="N475" t="n">
        <v>0</v>
      </c>
      <c r="O475" t="n">
        <v>3</v>
      </c>
      <c r="P475" t="n">
        <v>1</v>
      </c>
      <c r="Q475" t="n">
        <v>5</v>
      </c>
      <c r="R475" s="2" t="inlineStr">
        <is>
          <t>Gräddporing
Kolflarnlav
Lunglav
Dropptaggsvamp
Skinnlav</t>
        </is>
      </c>
      <c r="S475">
        <f>HYPERLINK("https://klasma.github.io/Logging_2303/artfynd/A 26143-2022 artfynd.xlsx", "A 26143-2022")</f>
        <v/>
      </c>
      <c r="T475">
        <f>HYPERLINK("https://klasma.github.io/Logging_2303/kartor/A 26143-2022 karta.png", "A 26143-2022")</f>
        <v/>
      </c>
      <c r="V475">
        <f>HYPERLINK("https://klasma.github.io/Logging_2303/klagomål/A 26143-2022 FSC-klagomål.docx", "A 26143-2022")</f>
        <v/>
      </c>
      <c r="W475">
        <f>HYPERLINK("https://klasma.github.io/Logging_2303/klagomålsmail/A 26143-2022 FSC-klagomål mail.docx", "A 26143-2022")</f>
        <v/>
      </c>
      <c r="X475">
        <f>HYPERLINK("https://klasma.github.io/Logging_2303/tillsyn/A 26143-2022 tillsynsbegäran.docx", "A 26143-2022")</f>
        <v/>
      </c>
      <c r="Y475">
        <f>HYPERLINK("https://klasma.github.io/Logging_2303/tillsynsmail/A 26143-2022 tillsynsbegäran mail.docx", "A 26143-2022")</f>
        <v/>
      </c>
    </row>
    <row r="476" ht="15" customHeight="1">
      <c r="A476" t="inlineStr">
        <is>
          <t>A 27577-2022</t>
        </is>
      </c>
      <c r="B476" s="1" t="n">
        <v>44742</v>
      </c>
      <c r="C476" s="1" t="n">
        <v>45363</v>
      </c>
      <c r="D476" t="inlineStr">
        <is>
          <t>JÄMTLANDS LÄN</t>
        </is>
      </c>
      <c r="E476" t="inlineStr">
        <is>
          <t>ÖSTERSUND</t>
        </is>
      </c>
      <c r="F476" t="inlineStr">
        <is>
          <t>SCA</t>
        </is>
      </c>
      <c r="G476" t="n">
        <v>12</v>
      </c>
      <c r="H476" t="n">
        <v>2</v>
      </c>
      <c r="I476" t="n">
        <v>3</v>
      </c>
      <c r="J476" t="n">
        <v>1</v>
      </c>
      <c r="K476" t="n">
        <v>0</v>
      </c>
      <c r="L476" t="n">
        <v>0</v>
      </c>
      <c r="M476" t="n">
        <v>0</v>
      </c>
      <c r="N476" t="n">
        <v>0</v>
      </c>
      <c r="O476" t="n">
        <v>1</v>
      </c>
      <c r="P476" t="n">
        <v>0</v>
      </c>
      <c r="Q476" t="n">
        <v>5</v>
      </c>
      <c r="R476" s="2" t="inlineStr">
        <is>
          <t>Granticka
Tibast
Tvåblad
Underviol
Blåsippa</t>
        </is>
      </c>
      <c r="S476">
        <f>HYPERLINK("https://klasma.github.io/Logging_2380/artfynd/A 27577-2022 artfynd.xlsx", "A 27577-2022")</f>
        <v/>
      </c>
      <c r="T476">
        <f>HYPERLINK("https://klasma.github.io/Logging_2380/kartor/A 27577-2022 karta.png", "A 27577-2022")</f>
        <v/>
      </c>
      <c r="V476">
        <f>HYPERLINK("https://klasma.github.io/Logging_2380/klagomål/A 27577-2022 FSC-klagomål.docx", "A 27577-2022")</f>
        <v/>
      </c>
      <c r="W476">
        <f>HYPERLINK("https://klasma.github.io/Logging_2380/klagomålsmail/A 27577-2022 FSC-klagomål mail.docx", "A 27577-2022")</f>
        <v/>
      </c>
      <c r="X476">
        <f>HYPERLINK("https://klasma.github.io/Logging_2380/tillsyn/A 27577-2022 tillsynsbegäran.docx", "A 27577-2022")</f>
        <v/>
      </c>
      <c r="Y476">
        <f>HYPERLINK("https://klasma.github.io/Logging_2380/tillsynsmail/A 27577-2022 tillsynsbegäran mail.docx", "A 27577-2022")</f>
        <v/>
      </c>
    </row>
    <row r="477" ht="15" customHeight="1">
      <c r="A477" t="inlineStr">
        <is>
          <t>A 32065-2022</t>
        </is>
      </c>
      <c r="B477" s="1" t="n">
        <v>44778</v>
      </c>
      <c r="C477" s="1" t="n">
        <v>45363</v>
      </c>
      <c r="D477" t="inlineStr">
        <is>
          <t>JÄMTLANDS LÄN</t>
        </is>
      </c>
      <c r="E477" t="inlineStr">
        <is>
          <t>ÅRE</t>
        </is>
      </c>
      <c r="G477" t="n">
        <v>19.2</v>
      </c>
      <c r="H477" t="n">
        <v>1</v>
      </c>
      <c r="I477" t="n">
        <v>2</v>
      </c>
      <c r="J477" t="n">
        <v>3</v>
      </c>
      <c r="K477" t="n">
        <v>0</v>
      </c>
      <c r="L477" t="n">
        <v>0</v>
      </c>
      <c r="M477" t="n">
        <v>0</v>
      </c>
      <c r="N477" t="n">
        <v>0</v>
      </c>
      <c r="O477" t="n">
        <v>3</v>
      </c>
      <c r="P477" t="n">
        <v>0</v>
      </c>
      <c r="Q477" t="n">
        <v>5</v>
      </c>
      <c r="R477" s="2" t="inlineStr">
        <is>
          <t>Granticka
Tretåig hackspett
Ullticka
Sotlav
Stuplav</t>
        </is>
      </c>
      <c r="S477">
        <f>HYPERLINK("https://klasma.github.io/Logging_2321/artfynd/A 32065-2022 artfynd.xlsx", "A 32065-2022")</f>
        <v/>
      </c>
      <c r="T477">
        <f>HYPERLINK("https://klasma.github.io/Logging_2321/kartor/A 32065-2022 karta.png", "A 32065-2022")</f>
        <v/>
      </c>
      <c r="V477">
        <f>HYPERLINK("https://klasma.github.io/Logging_2321/klagomål/A 32065-2022 FSC-klagomål.docx", "A 32065-2022")</f>
        <v/>
      </c>
      <c r="W477">
        <f>HYPERLINK("https://klasma.github.io/Logging_2321/klagomålsmail/A 32065-2022 FSC-klagomål mail.docx", "A 32065-2022")</f>
        <v/>
      </c>
      <c r="X477">
        <f>HYPERLINK("https://klasma.github.io/Logging_2321/tillsyn/A 32065-2022 tillsynsbegäran.docx", "A 32065-2022")</f>
        <v/>
      </c>
      <c r="Y477">
        <f>HYPERLINK("https://klasma.github.io/Logging_2321/tillsynsmail/A 32065-2022 tillsynsbegäran mail.docx", "A 32065-2022")</f>
        <v/>
      </c>
      <c r="Z477">
        <f>HYPERLINK("https://klasma.github.io/Logging_2321/fåglar/A 32065-2022 prioriterade fågelarter.docx", "A 32065-2022")</f>
        <v/>
      </c>
    </row>
    <row r="478" ht="15" customHeight="1">
      <c r="A478" t="inlineStr">
        <is>
          <t>A 38101-2022</t>
        </is>
      </c>
      <c r="B478" s="1" t="n">
        <v>44811</v>
      </c>
      <c r="C478" s="1" t="n">
        <v>45363</v>
      </c>
      <c r="D478" t="inlineStr">
        <is>
          <t>JÄMTLANDS LÄN</t>
        </is>
      </c>
      <c r="E478" t="inlineStr">
        <is>
          <t>STRÖMSUND</t>
        </is>
      </c>
      <c r="F478" t="inlineStr">
        <is>
          <t>SCA</t>
        </is>
      </c>
      <c r="G478" t="n">
        <v>6.9</v>
      </c>
      <c r="H478" t="n">
        <v>1</v>
      </c>
      <c r="I478" t="n">
        <v>0</v>
      </c>
      <c r="J478" t="n">
        <v>4</v>
      </c>
      <c r="K478" t="n">
        <v>1</v>
      </c>
      <c r="L478" t="n">
        <v>0</v>
      </c>
      <c r="M478" t="n">
        <v>0</v>
      </c>
      <c r="N478" t="n">
        <v>0</v>
      </c>
      <c r="O478" t="n">
        <v>5</v>
      </c>
      <c r="P478" t="n">
        <v>1</v>
      </c>
      <c r="Q478" t="n">
        <v>5</v>
      </c>
      <c r="R478" s="2" t="inlineStr">
        <is>
          <t>Doftticka
Granticka
Lunglav
Skrovellav
Violettgrå tagellav</t>
        </is>
      </c>
      <c r="S478">
        <f>HYPERLINK("https://klasma.github.io/Logging_2313/artfynd/A 38101-2022 artfynd.xlsx", "A 38101-2022")</f>
        <v/>
      </c>
      <c r="T478">
        <f>HYPERLINK("https://klasma.github.io/Logging_2313/kartor/A 38101-2022 karta.png", "A 38101-2022")</f>
        <v/>
      </c>
      <c r="V478">
        <f>HYPERLINK("https://klasma.github.io/Logging_2313/klagomål/A 38101-2022 FSC-klagomål.docx", "A 38101-2022")</f>
        <v/>
      </c>
      <c r="W478">
        <f>HYPERLINK("https://klasma.github.io/Logging_2313/klagomålsmail/A 38101-2022 FSC-klagomål mail.docx", "A 38101-2022")</f>
        <v/>
      </c>
      <c r="X478">
        <f>HYPERLINK("https://klasma.github.io/Logging_2313/tillsyn/A 38101-2022 tillsynsbegäran.docx", "A 38101-2022")</f>
        <v/>
      </c>
      <c r="Y478">
        <f>HYPERLINK("https://klasma.github.io/Logging_2313/tillsynsmail/A 38101-2022 tillsynsbegäran mail.docx", "A 38101-2022")</f>
        <v/>
      </c>
    </row>
    <row r="479" ht="15" customHeight="1">
      <c r="A479" t="inlineStr">
        <is>
          <t>A 39695-2022</t>
        </is>
      </c>
      <c r="B479" s="1" t="n">
        <v>44818</v>
      </c>
      <c r="C479" s="1" t="n">
        <v>45363</v>
      </c>
      <c r="D479" t="inlineStr">
        <is>
          <t>JÄMTLANDS LÄN</t>
        </is>
      </c>
      <c r="E479" t="inlineStr">
        <is>
          <t>STRÖMSUND</t>
        </is>
      </c>
      <c r="F479" t="inlineStr">
        <is>
          <t>SCA</t>
        </is>
      </c>
      <c r="G479" t="n">
        <v>4.4</v>
      </c>
      <c r="H479" t="n">
        <v>0</v>
      </c>
      <c r="I479" t="n">
        <v>0</v>
      </c>
      <c r="J479" t="n">
        <v>4</v>
      </c>
      <c r="K479" t="n">
        <v>1</v>
      </c>
      <c r="L479" t="n">
        <v>0</v>
      </c>
      <c r="M479" t="n">
        <v>0</v>
      </c>
      <c r="N479" t="n">
        <v>0</v>
      </c>
      <c r="O479" t="n">
        <v>5</v>
      </c>
      <c r="P479" t="n">
        <v>1</v>
      </c>
      <c r="Q479" t="n">
        <v>5</v>
      </c>
      <c r="R479" s="2" t="inlineStr">
        <is>
          <t>Blackticka
Lunglav
Skrovellav
Ullticka
Vitskaftad svartspik</t>
        </is>
      </c>
      <c r="S479">
        <f>HYPERLINK("https://klasma.github.io/Logging_2313/artfynd/A 39695-2022 artfynd.xlsx", "A 39695-2022")</f>
        <v/>
      </c>
      <c r="T479">
        <f>HYPERLINK("https://klasma.github.io/Logging_2313/kartor/A 39695-2022 karta.png", "A 39695-2022")</f>
        <v/>
      </c>
      <c r="V479">
        <f>HYPERLINK("https://klasma.github.io/Logging_2313/klagomål/A 39695-2022 FSC-klagomål.docx", "A 39695-2022")</f>
        <v/>
      </c>
      <c r="W479">
        <f>HYPERLINK("https://klasma.github.io/Logging_2313/klagomålsmail/A 39695-2022 FSC-klagomål mail.docx", "A 39695-2022")</f>
        <v/>
      </c>
      <c r="X479">
        <f>HYPERLINK("https://klasma.github.io/Logging_2313/tillsyn/A 39695-2022 tillsynsbegäran.docx", "A 39695-2022")</f>
        <v/>
      </c>
      <c r="Y479">
        <f>HYPERLINK("https://klasma.github.io/Logging_2313/tillsynsmail/A 39695-2022 tillsynsbegäran mail.docx", "A 39695-2022")</f>
        <v/>
      </c>
    </row>
    <row r="480" ht="15" customHeight="1">
      <c r="A480" t="inlineStr">
        <is>
          <t>A 41174-2022</t>
        </is>
      </c>
      <c r="B480" s="1" t="n">
        <v>44825</v>
      </c>
      <c r="C480" s="1" t="n">
        <v>45363</v>
      </c>
      <c r="D480" t="inlineStr">
        <is>
          <t>JÄMTLANDS LÄN</t>
        </is>
      </c>
      <c r="E480" t="inlineStr">
        <is>
          <t>BRÄCKE</t>
        </is>
      </c>
      <c r="F480" t="inlineStr">
        <is>
          <t>SCA</t>
        </is>
      </c>
      <c r="G480" t="n">
        <v>16.5</v>
      </c>
      <c r="H480" t="n">
        <v>1</v>
      </c>
      <c r="I480" t="n">
        <v>1</v>
      </c>
      <c r="J480" t="n">
        <v>2</v>
      </c>
      <c r="K480" t="n">
        <v>2</v>
      </c>
      <c r="L480" t="n">
        <v>0</v>
      </c>
      <c r="M480" t="n">
        <v>0</v>
      </c>
      <c r="N480" t="n">
        <v>0</v>
      </c>
      <c r="O480" t="n">
        <v>4</v>
      </c>
      <c r="P480" t="n">
        <v>2</v>
      </c>
      <c r="Q480" t="n">
        <v>5</v>
      </c>
      <c r="R480" s="2" t="inlineStr">
        <is>
          <t>Doftticka
Gräddporing
Lunglav
Skrovellav
Skarp dropptaggsvamp</t>
        </is>
      </c>
      <c r="S480">
        <f>HYPERLINK("https://klasma.github.io/Logging_2305/artfynd/A 41174-2022 artfynd.xlsx", "A 41174-2022")</f>
        <v/>
      </c>
      <c r="T480">
        <f>HYPERLINK("https://klasma.github.io/Logging_2305/kartor/A 41174-2022 karta.png", "A 41174-2022")</f>
        <v/>
      </c>
      <c r="V480">
        <f>HYPERLINK("https://klasma.github.io/Logging_2305/klagomål/A 41174-2022 FSC-klagomål.docx", "A 41174-2022")</f>
        <v/>
      </c>
      <c r="W480">
        <f>HYPERLINK("https://klasma.github.io/Logging_2305/klagomålsmail/A 41174-2022 FSC-klagomål mail.docx", "A 41174-2022")</f>
        <v/>
      </c>
      <c r="X480">
        <f>HYPERLINK("https://klasma.github.io/Logging_2305/tillsyn/A 41174-2022 tillsynsbegäran.docx", "A 41174-2022")</f>
        <v/>
      </c>
      <c r="Y480">
        <f>HYPERLINK("https://klasma.github.io/Logging_2305/tillsynsmail/A 41174-2022 tillsynsbegäran mail.docx", "A 41174-2022")</f>
        <v/>
      </c>
    </row>
    <row r="481" ht="15" customHeight="1">
      <c r="A481" t="inlineStr">
        <is>
          <t>A 45114-2022</t>
        </is>
      </c>
      <c r="B481" s="1" t="n">
        <v>44843</v>
      </c>
      <c r="C481" s="1" t="n">
        <v>45363</v>
      </c>
      <c r="D481" t="inlineStr">
        <is>
          <t>JÄMTLANDS LÄN</t>
        </is>
      </c>
      <c r="E481" t="inlineStr">
        <is>
          <t>ÅRE</t>
        </is>
      </c>
      <c r="G481" t="n">
        <v>2.1</v>
      </c>
      <c r="H481" t="n">
        <v>1</v>
      </c>
      <c r="I481" t="n">
        <v>3</v>
      </c>
      <c r="J481" t="n">
        <v>1</v>
      </c>
      <c r="K481" t="n">
        <v>0</v>
      </c>
      <c r="L481" t="n">
        <v>0</v>
      </c>
      <c r="M481" t="n">
        <v>0</v>
      </c>
      <c r="N481" t="n">
        <v>0</v>
      </c>
      <c r="O481" t="n">
        <v>1</v>
      </c>
      <c r="P481" t="n">
        <v>0</v>
      </c>
      <c r="Q481" t="n">
        <v>5</v>
      </c>
      <c r="R481" s="2" t="inlineStr">
        <is>
          <t>Lunglav
Luddlav
Strutbräken
Stuplav
Fläcknycklar</t>
        </is>
      </c>
      <c r="S481">
        <f>HYPERLINK("https://klasma.github.io/Logging_2321/artfynd/A 45114-2022 artfynd.xlsx", "A 45114-2022")</f>
        <v/>
      </c>
      <c r="T481">
        <f>HYPERLINK("https://klasma.github.io/Logging_2321/kartor/A 45114-2022 karta.png", "A 45114-2022")</f>
        <v/>
      </c>
      <c r="V481">
        <f>HYPERLINK("https://klasma.github.io/Logging_2321/klagomål/A 45114-2022 FSC-klagomål.docx", "A 45114-2022")</f>
        <v/>
      </c>
      <c r="W481">
        <f>HYPERLINK("https://klasma.github.io/Logging_2321/klagomålsmail/A 45114-2022 FSC-klagomål mail.docx", "A 45114-2022")</f>
        <v/>
      </c>
      <c r="X481">
        <f>HYPERLINK("https://klasma.github.io/Logging_2321/tillsyn/A 45114-2022 tillsynsbegäran.docx", "A 45114-2022")</f>
        <v/>
      </c>
      <c r="Y481">
        <f>HYPERLINK("https://klasma.github.io/Logging_2321/tillsynsmail/A 45114-2022 tillsynsbegäran mail.docx", "A 45114-2022")</f>
        <v/>
      </c>
    </row>
    <row r="482" ht="15" customHeight="1">
      <c r="A482" t="inlineStr">
        <is>
          <t>A 47392-2022</t>
        </is>
      </c>
      <c r="B482" s="1" t="n">
        <v>44851</v>
      </c>
      <c r="C482" s="1" t="n">
        <v>45363</v>
      </c>
      <c r="D482" t="inlineStr">
        <is>
          <t>JÄMTLANDS LÄN</t>
        </is>
      </c>
      <c r="E482" t="inlineStr">
        <is>
          <t>ÖSTERSUND</t>
        </is>
      </c>
      <c r="G482" t="n">
        <v>1.6</v>
      </c>
      <c r="H482" t="n">
        <v>3</v>
      </c>
      <c r="I482" t="n">
        <v>3</v>
      </c>
      <c r="J482" t="n">
        <v>1</v>
      </c>
      <c r="K482" t="n">
        <v>1</v>
      </c>
      <c r="L482" t="n">
        <v>0</v>
      </c>
      <c r="M482" t="n">
        <v>0</v>
      </c>
      <c r="N482" t="n">
        <v>0</v>
      </c>
      <c r="O482" t="n">
        <v>2</v>
      </c>
      <c r="P482" t="n">
        <v>1</v>
      </c>
      <c r="Q482" t="n">
        <v>5</v>
      </c>
      <c r="R482" s="2" t="inlineStr">
        <is>
          <t>Knärot
Garnlav
Guckusko
Plattlummer
Trådfräken</t>
        </is>
      </c>
      <c r="S482">
        <f>HYPERLINK("https://klasma.github.io/Logging_2380/artfynd/A 47392-2022 artfynd.xlsx", "A 47392-2022")</f>
        <v/>
      </c>
      <c r="T482">
        <f>HYPERLINK("https://klasma.github.io/Logging_2380/kartor/A 47392-2022 karta.png", "A 47392-2022")</f>
        <v/>
      </c>
      <c r="U482">
        <f>HYPERLINK("https://klasma.github.io/Logging_2380/knärot/A 47392-2022 karta knärot.png", "A 47392-2022")</f>
        <v/>
      </c>
      <c r="V482">
        <f>HYPERLINK("https://klasma.github.io/Logging_2380/klagomål/A 47392-2022 FSC-klagomål.docx", "A 47392-2022")</f>
        <v/>
      </c>
      <c r="W482">
        <f>HYPERLINK("https://klasma.github.io/Logging_2380/klagomålsmail/A 47392-2022 FSC-klagomål mail.docx", "A 47392-2022")</f>
        <v/>
      </c>
      <c r="X482">
        <f>HYPERLINK("https://klasma.github.io/Logging_2380/tillsyn/A 47392-2022 tillsynsbegäran.docx", "A 47392-2022")</f>
        <v/>
      </c>
      <c r="Y482">
        <f>HYPERLINK("https://klasma.github.io/Logging_2380/tillsynsmail/A 47392-2022 tillsynsbegäran mail.docx", "A 47392-2022")</f>
        <v/>
      </c>
    </row>
    <row r="483" ht="15" customHeight="1">
      <c r="A483" t="inlineStr">
        <is>
          <t>A 50340-2022</t>
        </is>
      </c>
      <c r="B483" s="1" t="n">
        <v>44865</v>
      </c>
      <c r="C483" s="1" t="n">
        <v>45363</v>
      </c>
      <c r="D483" t="inlineStr">
        <is>
          <t>JÄMTLANDS LÄN</t>
        </is>
      </c>
      <c r="E483" t="inlineStr">
        <is>
          <t>RAGUNDA</t>
        </is>
      </c>
      <c r="F483" t="inlineStr">
        <is>
          <t>SCA</t>
        </is>
      </c>
      <c r="G483" t="n">
        <v>12.8</v>
      </c>
      <c r="H483" t="n">
        <v>0</v>
      </c>
      <c r="I483" t="n">
        <v>1</v>
      </c>
      <c r="J483" t="n">
        <v>4</v>
      </c>
      <c r="K483" t="n">
        <v>0</v>
      </c>
      <c r="L483" t="n">
        <v>0</v>
      </c>
      <c r="M483" t="n">
        <v>0</v>
      </c>
      <c r="N483" t="n">
        <v>0</v>
      </c>
      <c r="O483" t="n">
        <v>4</v>
      </c>
      <c r="P483" t="n">
        <v>0</v>
      </c>
      <c r="Q483" t="n">
        <v>5</v>
      </c>
      <c r="R483" s="2" t="inlineStr">
        <is>
          <t>Gammelgransskål
Garnlav
Kolflarnlav
Lunglav
Stor aspticka</t>
        </is>
      </c>
      <c r="S483">
        <f>HYPERLINK("https://klasma.github.io/Logging_2303/artfynd/A 50340-2022 artfynd.xlsx", "A 50340-2022")</f>
        <v/>
      </c>
      <c r="T483">
        <f>HYPERLINK("https://klasma.github.io/Logging_2303/kartor/A 50340-2022 karta.png", "A 50340-2022")</f>
        <v/>
      </c>
      <c r="V483">
        <f>HYPERLINK("https://klasma.github.io/Logging_2303/klagomål/A 50340-2022 FSC-klagomål.docx", "A 50340-2022")</f>
        <v/>
      </c>
      <c r="W483">
        <f>HYPERLINK("https://klasma.github.io/Logging_2303/klagomålsmail/A 50340-2022 FSC-klagomål mail.docx", "A 50340-2022")</f>
        <v/>
      </c>
      <c r="X483">
        <f>HYPERLINK("https://klasma.github.io/Logging_2303/tillsyn/A 50340-2022 tillsynsbegäran.docx", "A 50340-2022")</f>
        <v/>
      </c>
      <c r="Y483">
        <f>HYPERLINK("https://klasma.github.io/Logging_2303/tillsynsmail/A 50340-2022 tillsynsbegäran mail.docx", "A 50340-2022")</f>
        <v/>
      </c>
    </row>
    <row r="484" ht="15" customHeight="1">
      <c r="A484" t="inlineStr">
        <is>
          <t>A 50686-2022</t>
        </is>
      </c>
      <c r="B484" s="1" t="n">
        <v>44866</v>
      </c>
      <c r="C484" s="1" t="n">
        <v>45363</v>
      </c>
      <c r="D484" t="inlineStr">
        <is>
          <t>JÄMTLANDS LÄN</t>
        </is>
      </c>
      <c r="E484" t="inlineStr">
        <is>
          <t>STRÖMSUND</t>
        </is>
      </c>
      <c r="F484" t="inlineStr">
        <is>
          <t>SCA</t>
        </is>
      </c>
      <c r="G484" t="n">
        <v>8.5</v>
      </c>
      <c r="H484" t="n">
        <v>1</v>
      </c>
      <c r="I484" t="n">
        <v>0</v>
      </c>
      <c r="J484" t="n">
        <v>3</v>
      </c>
      <c r="K484" t="n">
        <v>1</v>
      </c>
      <c r="L484" t="n">
        <v>1</v>
      </c>
      <c r="M484" t="n">
        <v>0</v>
      </c>
      <c r="N484" t="n">
        <v>0</v>
      </c>
      <c r="O484" t="n">
        <v>5</v>
      </c>
      <c r="P484" t="n">
        <v>2</v>
      </c>
      <c r="Q484" t="n">
        <v>5</v>
      </c>
      <c r="R484" s="2" t="inlineStr">
        <is>
          <t>Timmerskapania
Liten hornflikmossa
Utter
Vedflikmossa
Vedtrappmossa</t>
        </is>
      </c>
      <c r="S484">
        <f>HYPERLINK("https://klasma.github.io/Logging_2313/artfynd/A 50686-2022 artfynd.xlsx", "A 50686-2022")</f>
        <v/>
      </c>
      <c r="T484">
        <f>HYPERLINK("https://klasma.github.io/Logging_2313/kartor/A 50686-2022 karta.png", "A 50686-2022")</f>
        <v/>
      </c>
      <c r="V484">
        <f>HYPERLINK("https://klasma.github.io/Logging_2313/klagomål/A 50686-2022 FSC-klagomål.docx", "A 50686-2022")</f>
        <v/>
      </c>
      <c r="W484">
        <f>HYPERLINK("https://klasma.github.io/Logging_2313/klagomålsmail/A 50686-2022 FSC-klagomål mail.docx", "A 50686-2022")</f>
        <v/>
      </c>
      <c r="X484">
        <f>HYPERLINK("https://klasma.github.io/Logging_2313/tillsyn/A 50686-2022 tillsynsbegäran.docx", "A 50686-2022")</f>
        <v/>
      </c>
      <c r="Y484">
        <f>HYPERLINK("https://klasma.github.io/Logging_2313/tillsynsmail/A 50686-2022 tillsynsbegäran mail.docx", "A 50686-2022")</f>
        <v/>
      </c>
    </row>
    <row r="485" ht="15" customHeight="1">
      <c r="A485" t="inlineStr">
        <is>
          <t>A 54448-2022</t>
        </is>
      </c>
      <c r="B485" s="1" t="n">
        <v>44882</v>
      </c>
      <c r="C485" s="1" t="n">
        <v>45363</v>
      </c>
      <c r="D485" t="inlineStr">
        <is>
          <t>JÄMTLANDS LÄN</t>
        </is>
      </c>
      <c r="E485" t="inlineStr">
        <is>
          <t>ÅRE</t>
        </is>
      </c>
      <c r="G485" t="n">
        <v>7.4</v>
      </c>
      <c r="H485" t="n">
        <v>0</v>
      </c>
      <c r="I485" t="n">
        <v>0</v>
      </c>
      <c r="J485" t="n">
        <v>5</v>
      </c>
      <c r="K485" t="n">
        <v>0</v>
      </c>
      <c r="L485" t="n">
        <v>0</v>
      </c>
      <c r="M485" t="n">
        <v>0</v>
      </c>
      <c r="N485" t="n">
        <v>0</v>
      </c>
      <c r="O485" t="n">
        <v>5</v>
      </c>
      <c r="P485" t="n">
        <v>0</v>
      </c>
      <c r="Q485" t="n">
        <v>5</v>
      </c>
      <c r="R485" s="2" t="inlineStr">
        <is>
          <t>Garnlav
Granticka
Gränsticka
Rosenticka
Ullticka</t>
        </is>
      </c>
      <c r="S485">
        <f>HYPERLINK("https://klasma.github.io/Logging_2321/artfynd/A 54448-2022 artfynd.xlsx", "A 54448-2022")</f>
        <v/>
      </c>
      <c r="T485">
        <f>HYPERLINK("https://klasma.github.io/Logging_2321/kartor/A 54448-2022 karta.png", "A 54448-2022")</f>
        <v/>
      </c>
      <c r="V485">
        <f>HYPERLINK("https://klasma.github.io/Logging_2321/klagomål/A 54448-2022 FSC-klagomål.docx", "A 54448-2022")</f>
        <v/>
      </c>
      <c r="W485">
        <f>HYPERLINK("https://klasma.github.io/Logging_2321/klagomålsmail/A 54448-2022 FSC-klagomål mail.docx", "A 54448-2022")</f>
        <v/>
      </c>
      <c r="X485">
        <f>HYPERLINK("https://klasma.github.io/Logging_2321/tillsyn/A 54448-2022 tillsynsbegäran.docx", "A 54448-2022")</f>
        <v/>
      </c>
      <c r="Y485">
        <f>HYPERLINK("https://klasma.github.io/Logging_2321/tillsynsmail/A 54448-2022 tillsynsbegäran mail.docx", "A 54448-2022")</f>
        <v/>
      </c>
    </row>
    <row r="486" ht="15" customHeight="1">
      <c r="A486" t="inlineStr">
        <is>
          <t>A 54841-2022</t>
        </is>
      </c>
      <c r="B486" s="1" t="n">
        <v>44883</v>
      </c>
      <c r="C486" s="1" t="n">
        <v>45363</v>
      </c>
      <c r="D486" t="inlineStr">
        <is>
          <t>JÄMTLANDS LÄN</t>
        </is>
      </c>
      <c r="E486" t="inlineStr">
        <is>
          <t>BERG</t>
        </is>
      </c>
      <c r="F486" t="inlineStr">
        <is>
          <t>SCA</t>
        </is>
      </c>
      <c r="G486" t="n">
        <v>21.9</v>
      </c>
      <c r="H486" t="n">
        <v>0</v>
      </c>
      <c r="I486" t="n">
        <v>0</v>
      </c>
      <c r="J486" t="n">
        <v>2</v>
      </c>
      <c r="K486" t="n">
        <v>3</v>
      </c>
      <c r="L486" t="n">
        <v>0</v>
      </c>
      <c r="M486" t="n">
        <v>0</v>
      </c>
      <c r="N486" t="n">
        <v>0</v>
      </c>
      <c r="O486" t="n">
        <v>5</v>
      </c>
      <c r="P486" t="n">
        <v>3</v>
      </c>
      <c r="Q486" t="n">
        <v>5</v>
      </c>
      <c r="R486" s="2" t="inlineStr">
        <is>
          <t>Fläckporing
Gräddporing
Smalfotad taggsvamp
Dvärgbägarlav
Vedflamlav</t>
        </is>
      </c>
      <c r="S486">
        <f>HYPERLINK("https://klasma.github.io/Logging_2326/artfynd/A 54841-2022 artfynd.xlsx", "A 54841-2022")</f>
        <v/>
      </c>
      <c r="T486">
        <f>HYPERLINK("https://klasma.github.io/Logging_2326/kartor/A 54841-2022 karta.png", "A 54841-2022")</f>
        <v/>
      </c>
      <c r="V486">
        <f>HYPERLINK("https://klasma.github.io/Logging_2326/klagomål/A 54841-2022 FSC-klagomål.docx", "A 54841-2022")</f>
        <v/>
      </c>
      <c r="W486">
        <f>HYPERLINK("https://klasma.github.io/Logging_2326/klagomålsmail/A 54841-2022 FSC-klagomål mail.docx", "A 54841-2022")</f>
        <v/>
      </c>
      <c r="X486">
        <f>HYPERLINK("https://klasma.github.io/Logging_2326/tillsyn/A 54841-2022 tillsynsbegäran.docx", "A 54841-2022")</f>
        <v/>
      </c>
      <c r="Y486">
        <f>HYPERLINK("https://klasma.github.io/Logging_2326/tillsynsmail/A 54841-2022 tillsynsbegäran mail.docx", "A 54841-2022")</f>
        <v/>
      </c>
    </row>
    <row r="487" ht="15" customHeight="1">
      <c r="A487" t="inlineStr">
        <is>
          <t>A 56096-2022</t>
        </is>
      </c>
      <c r="B487" s="1" t="n">
        <v>44889</v>
      </c>
      <c r="C487" s="1" t="n">
        <v>45363</v>
      </c>
      <c r="D487" t="inlineStr">
        <is>
          <t>JÄMTLANDS LÄN</t>
        </is>
      </c>
      <c r="E487" t="inlineStr">
        <is>
          <t>ÖSTERSUND</t>
        </is>
      </c>
      <c r="F487" t="inlineStr">
        <is>
          <t>Övriga Aktiebolag</t>
        </is>
      </c>
      <c r="G487" t="n">
        <v>15.1</v>
      </c>
      <c r="H487" t="n">
        <v>1</v>
      </c>
      <c r="I487" t="n">
        <v>0</v>
      </c>
      <c r="J487" t="n">
        <v>4</v>
      </c>
      <c r="K487" t="n">
        <v>0</v>
      </c>
      <c r="L487" t="n">
        <v>0</v>
      </c>
      <c r="M487" t="n">
        <v>0</v>
      </c>
      <c r="N487" t="n">
        <v>0</v>
      </c>
      <c r="O487" t="n">
        <v>4</v>
      </c>
      <c r="P487" t="n">
        <v>0</v>
      </c>
      <c r="Q487" t="n">
        <v>5</v>
      </c>
      <c r="R487" s="2" t="inlineStr">
        <is>
          <t>Brunklöver
Dvärgbägarlav
Garnlav
Ullticka
Revlummer</t>
        </is>
      </c>
      <c r="S487">
        <f>HYPERLINK("https://klasma.github.io/Logging_2380/artfynd/A 56096-2022 artfynd.xlsx", "A 56096-2022")</f>
        <v/>
      </c>
      <c r="T487">
        <f>HYPERLINK("https://klasma.github.io/Logging_2380/kartor/A 56096-2022 karta.png", "A 56096-2022")</f>
        <v/>
      </c>
      <c r="V487">
        <f>HYPERLINK("https://klasma.github.io/Logging_2380/klagomål/A 56096-2022 FSC-klagomål.docx", "A 56096-2022")</f>
        <v/>
      </c>
      <c r="W487">
        <f>HYPERLINK("https://klasma.github.io/Logging_2380/klagomålsmail/A 56096-2022 FSC-klagomål mail.docx", "A 56096-2022")</f>
        <v/>
      </c>
      <c r="X487">
        <f>HYPERLINK("https://klasma.github.io/Logging_2380/tillsyn/A 56096-2022 tillsynsbegäran.docx", "A 56096-2022")</f>
        <v/>
      </c>
      <c r="Y487">
        <f>HYPERLINK("https://klasma.github.io/Logging_2380/tillsynsmail/A 56096-2022 tillsynsbegäran mail.docx", "A 56096-2022")</f>
        <v/>
      </c>
    </row>
    <row r="488" ht="15" customHeight="1">
      <c r="A488" t="inlineStr">
        <is>
          <t>A 58784-2022</t>
        </is>
      </c>
      <c r="B488" s="1" t="n">
        <v>44895</v>
      </c>
      <c r="C488" s="1" t="n">
        <v>45363</v>
      </c>
      <c r="D488" t="inlineStr">
        <is>
          <t>JÄMTLANDS LÄN</t>
        </is>
      </c>
      <c r="E488" t="inlineStr">
        <is>
          <t>KROKOM</t>
        </is>
      </c>
      <c r="G488" t="n">
        <v>19.9</v>
      </c>
      <c r="H488" t="n">
        <v>3</v>
      </c>
      <c r="I488" t="n">
        <v>0</v>
      </c>
      <c r="J488" t="n">
        <v>4</v>
      </c>
      <c r="K488" t="n">
        <v>1</v>
      </c>
      <c r="L488" t="n">
        <v>0</v>
      </c>
      <c r="M488" t="n">
        <v>0</v>
      </c>
      <c r="N488" t="n">
        <v>0</v>
      </c>
      <c r="O488" t="n">
        <v>5</v>
      </c>
      <c r="P488" t="n">
        <v>1</v>
      </c>
      <c r="Q488" t="n">
        <v>5</v>
      </c>
      <c r="R488" s="2" t="inlineStr">
        <is>
          <t>Tallbit
Garnlav
Lunglav
Spillkråka
Tretåig hackspett</t>
        </is>
      </c>
      <c r="S488">
        <f>HYPERLINK("https://klasma.github.io/Logging_2309/artfynd/A 58784-2022 artfynd.xlsx", "A 58784-2022")</f>
        <v/>
      </c>
      <c r="T488">
        <f>HYPERLINK("https://klasma.github.io/Logging_2309/kartor/A 58784-2022 karta.png", "A 58784-2022")</f>
        <v/>
      </c>
      <c r="V488">
        <f>HYPERLINK("https://klasma.github.io/Logging_2309/klagomål/A 58784-2022 FSC-klagomål.docx", "A 58784-2022")</f>
        <v/>
      </c>
      <c r="W488">
        <f>HYPERLINK("https://klasma.github.io/Logging_2309/klagomålsmail/A 58784-2022 FSC-klagomål mail.docx", "A 58784-2022")</f>
        <v/>
      </c>
      <c r="X488">
        <f>HYPERLINK("https://klasma.github.io/Logging_2309/tillsyn/A 58784-2022 tillsynsbegäran.docx", "A 58784-2022")</f>
        <v/>
      </c>
      <c r="Y488">
        <f>HYPERLINK("https://klasma.github.io/Logging_2309/tillsynsmail/A 58784-2022 tillsynsbegäran mail.docx", "A 58784-2022")</f>
        <v/>
      </c>
      <c r="Z488">
        <f>HYPERLINK("https://klasma.github.io/Logging_2309/fåglar/A 58784-2022 prioriterade fågelarter.docx", "A 58784-2022")</f>
        <v/>
      </c>
    </row>
    <row r="489" ht="15" customHeight="1">
      <c r="A489" t="inlineStr">
        <is>
          <t>A 57827-2022</t>
        </is>
      </c>
      <c r="B489" s="1" t="n">
        <v>44897</v>
      </c>
      <c r="C489" s="1" t="n">
        <v>45363</v>
      </c>
      <c r="D489" t="inlineStr">
        <is>
          <t>JÄMTLANDS LÄN</t>
        </is>
      </c>
      <c r="E489" t="inlineStr">
        <is>
          <t>STRÖMSUND</t>
        </is>
      </c>
      <c r="F489" t="inlineStr">
        <is>
          <t>SCA</t>
        </is>
      </c>
      <c r="G489" t="n">
        <v>4.9</v>
      </c>
      <c r="H489" t="n">
        <v>0</v>
      </c>
      <c r="I489" t="n">
        <v>2</v>
      </c>
      <c r="J489" t="n">
        <v>3</v>
      </c>
      <c r="K489" t="n">
        <v>0</v>
      </c>
      <c r="L489" t="n">
        <v>0</v>
      </c>
      <c r="M489" t="n">
        <v>0</v>
      </c>
      <c r="N489" t="n">
        <v>0</v>
      </c>
      <c r="O489" t="n">
        <v>3</v>
      </c>
      <c r="P489" t="n">
        <v>0</v>
      </c>
      <c r="Q489" t="n">
        <v>5</v>
      </c>
      <c r="R489" s="2" t="inlineStr">
        <is>
          <t>Lunglav
Skrovellav
Ullticka
Luddlav
Stuplav</t>
        </is>
      </c>
      <c r="S489">
        <f>HYPERLINK("https://klasma.github.io/Logging_2313/artfynd/A 57827-2022 artfynd.xlsx", "A 57827-2022")</f>
        <v/>
      </c>
      <c r="T489">
        <f>HYPERLINK("https://klasma.github.io/Logging_2313/kartor/A 57827-2022 karta.png", "A 57827-2022")</f>
        <v/>
      </c>
      <c r="V489">
        <f>HYPERLINK("https://klasma.github.io/Logging_2313/klagomål/A 57827-2022 FSC-klagomål.docx", "A 57827-2022")</f>
        <v/>
      </c>
      <c r="W489">
        <f>HYPERLINK("https://klasma.github.io/Logging_2313/klagomålsmail/A 57827-2022 FSC-klagomål mail.docx", "A 57827-2022")</f>
        <v/>
      </c>
      <c r="X489">
        <f>HYPERLINK("https://klasma.github.io/Logging_2313/tillsyn/A 57827-2022 tillsynsbegäran.docx", "A 57827-2022")</f>
        <v/>
      </c>
      <c r="Y489">
        <f>HYPERLINK("https://klasma.github.io/Logging_2313/tillsynsmail/A 57827-2022 tillsynsbegäran mail.docx", "A 57827-2022")</f>
        <v/>
      </c>
    </row>
    <row r="490" ht="15" customHeight="1">
      <c r="A490" t="inlineStr">
        <is>
          <t>A 58511-2022</t>
        </is>
      </c>
      <c r="B490" s="1" t="n">
        <v>44902</v>
      </c>
      <c r="C490" s="1" t="n">
        <v>45363</v>
      </c>
      <c r="D490" t="inlineStr">
        <is>
          <t>JÄMTLANDS LÄN</t>
        </is>
      </c>
      <c r="E490" t="inlineStr">
        <is>
          <t>BRÄCKE</t>
        </is>
      </c>
      <c r="G490" t="n">
        <v>5.4</v>
      </c>
      <c r="H490" t="n">
        <v>1</v>
      </c>
      <c r="I490" t="n">
        <v>0</v>
      </c>
      <c r="J490" t="n">
        <v>4</v>
      </c>
      <c r="K490" t="n">
        <v>1</v>
      </c>
      <c r="L490" t="n">
        <v>0</v>
      </c>
      <c r="M490" t="n">
        <v>0</v>
      </c>
      <c r="N490" t="n">
        <v>0</v>
      </c>
      <c r="O490" t="n">
        <v>5</v>
      </c>
      <c r="P490" t="n">
        <v>1</v>
      </c>
      <c r="Q490" t="n">
        <v>5</v>
      </c>
      <c r="R490" s="2" t="inlineStr">
        <is>
          <t>Rotfingersvamp
Dvärgbägarlav
Orange taggsvamp
Skrovlig taggsvamp
Talltita</t>
        </is>
      </c>
      <c r="S490">
        <f>HYPERLINK("https://klasma.github.io/Logging_2305/artfynd/A 58511-2022 artfynd.xlsx", "A 58511-2022")</f>
        <v/>
      </c>
      <c r="T490">
        <f>HYPERLINK("https://klasma.github.io/Logging_2305/kartor/A 58511-2022 karta.png", "A 58511-2022")</f>
        <v/>
      </c>
      <c r="V490">
        <f>HYPERLINK("https://klasma.github.io/Logging_2305/klagomål/A 58511-2022 FSC-klagomål.docx", "A 58511-2022")</f>
        <v/>
      </c>
      <c r="W490">
        <f>HYPERLINK("https://klasma.github.io/Logging_2305/klagomålsmail/A 58511-2022 FSC-klagomål mail.docx", "A 58511-2022")</f>
        <v/>
      </c>
      <c r="X490">
        <f>HYPERLINK("https://klasma.github.io/Logging_2305/tillsyn/A 58511-2022 tillsynsbegäran.docx", "A 58511-2022")</f>
        <v/>
      </c>
      <c r="Y490">
        <f>HYPERLINK("https://klasma.github.io/Logging_2305/tillsynsmail/A 58511-2022 tillsynsbegäran mail.docx", "A 58511-2022")</f>
        <v/>
      </c>
      <c r="Z490">
        <f>HYPERLINK("https://klasma.github.io/Logging_2305/fåglar/A 58511-2022 prioriterade fågelarter.docx", "A 58511-2022")</f>
        <v/>
      </c>
    </row>
    <row r="491" ht="15" customHeight="1">
      <c r="A491" t="inlineStr">
        <is>
          <t>A 60683-2022</t>
        </is>
      </c>
      <c r="B491" s="1" t="n">
        <v>44911</v>
      </c>
      <c r="C491" s="1" t="n">
        <v>45363</v>
      </c>
      <c r="D491" t="inlineStr">
        <is>
          <t>JÄMTLANDS LÄN</t>
        </is>
      </c>
      <c r="E491" t="inlineStr">
        <is>
          <t>RAGUNDA</t>
        </is>
      </c>
      <c r="F491" t="inlineStr">
        <is>
          <t>SCA</t>
        </is>
      </c>
      <c r="G491" t="n">
        <v>2.4</v>
      </c>
      <c r="H491" t="n">
        <v>2</v>
      </c>
      <c r="I491" t="n">
        <v>2</v>
      </c>
      <c r="J491" t="n">
        <v>1</v>
      </c>
      <c r="K491" t="n">
        <v>0</v>
      </c>
      <c r="L491" t="n">
        <v>0</v>
      </c>
      <c r="M491" t="n">
        <v>0</v>
      </c>
      <c r="N491" t="n">
        <v>0</v>
      </c>
      <c r="O491" t="n">
        <v>1</v>
      </c>
      <c r="P491" t="n">
        <v>0</v>
      </c>
      <c r="Q491" t="n">
        <v>5</v>
      </c>
      <c r="R491" s="2" t="inlineStr">
        <is>
          <t>Granticka
Blodticka
Diskvaxskivling
Fläcknycklar
Blåsippa</t>
        </is>
      </c>
      <c r="S491">
        <f>HYPERLINK("https://klasma.github.io/Logging_2303/artfynd/A 60683-2022 artfynd.xlsx", "A 60683-2022")</f>
        <v/>
      </c>
      <c r="T491">
        <f>HYPERLINK("https://klasma.github.io/Logging_2303/kartor/A 60683-2022 karta.png", "A 60683-2022")</f>
        <v/>
      </c>
      <c r="V491">
        <f>HYPERLINK("https://klasma.github.io/Logging_2303/klagomål/A 60683-2022 FSC-klagomål.docx", "A 60683-2022")</f>
        <v/>
      </c>
      <c r="W491">
        <f>HYPERLINK("https://klasma.github.io/Logging_2303/klagomålsmail/A 60683-2022 FSC-klagomål mail.docx", "A 60683-2022")</f>
        <v/>
      </c>
      <c r="X491">
        <f>HYPERLINK("https://klasma.github.io/Logging_2303/tillsyn/A 60683-2022 tillsynsbegäran.docx", "A 60683-2022")</f>
        <v/>
      </c>
      <c r="Y491">
        <f>HYPERLINK("https://klasma.github.io/Logging_2303/tillsynsmail/A 60683-2022 tillsynsbegäran mail.docx", "A 60683-2022")</f>
        <v/>
      </c>
    </row>
    <row r="492" ht="15" customHeight="1">
      <c r="A492" t="inlineStr">
        <is>
          <t>A 62717-2022</t>
        </is>
      </c>
      <c r="B492" s="1" t="n">
        <v>44925</v>
      </c>
      <c r="C492" s="1" t="n">
        <v>45363</v>
      </c>
      <c r="D492" t="inlineStr">
        <is>
          <t>JÄMTLANDS LÄN</t>
        </is>
      </c>
      <c r="E492" t="inlineStr">
        <is>
          <t>HÄRJEDALEN</t>
        </is>
      </c>
      <c r="F492" t="inlineStr">
        <is>
          <t>Holmen skog AB</t>
        </is>
      </c>
      <c r="G492" t="n">
        <v>3.2</v>
      </c>
      <c r="H492" t="n">
        <v>1</v>
      </c>
      <c r="I492" t="n">
        <v>0</v>
      </c>
      <c r="J492" t="n">
        <v>4</v>
      </c>
      <c r="K492" t="n">
        <v>1</v>
      </c>
      <c r="L492" t="n">
        <v>0</v>
      </c>
      <c r="M492" t="n">
        <v>0</v>
      </c>
      <c r="N492" t="n">
        <v>0</v>
      </c>
      <c r="O492" t="n">
        <v>5</v>
      </c>
      <c r="P492" t="n">
        <v>1</v>
      </c>
      <c r="Q492" t="n">
        <v>5</v>
      </c>
      <c r="R492" s="2" t="inlineStr">
        <is>
          <t>Knärot
Garnlav
Kolflarnlav
Lunglav
Skrovellav</t>
        </is>
      </c>
      <c r="S492">
        <f>HYPERLINK("https://klasma.github.io/Logging_2361/artfynd/A 62717-2022 artfynd.xlsx", "A 62717-2022")</f>
        <v/>
      </c>
      <c r="T492">
        <f>HYPERLINK("https://klasma.github.io/Logging_2361/kartor/A 62717-2022 karta.png", "A 62717-2022")</f>
        <v/>
      </c>
      <c r="U492">
        <f>HYPERLINK("https://klasma.github.io/Logging_2361/knärot/A 62717-2022 karta knärot.png", "A 62717-2022")</f>
        <v/>
      </c>
      <c r="V492">
        <f>HYPERLINK("https://klasma.github.io/Logging_2361/klagomål/A 62717-2022 FSC-klagomål.docx", "A 62717-2022")</f>
        <v/>
      </c>
      <c r="W492">
        <f>HYPERLINK("https://klasma.github.io/Logging_2361/klagomålsmail/A 62717-2022 FSC-klagomål mail.docx", "A 62717-2022")</f>
        <v/>
      </c>
      <c r="X492">
        <f>HYPERLINK("https://klasma.github.io/Logging_2361/tillsyn/A 62717-2022 tillsynsbegäran.docx", "A 62717-2022")</f>
        <v/>
      </c>
      <c r="Y492">
        <f>HYPERLINK("https://klasma.github.io/Logging_2361/tillsynsmail/A 62717-2022 tillsynsbegäran mail.docx", "A 62717-2022")</f>
        <v/>
      </c>
    </row>
    <row r="493" ht="15" customHeight="1">
      <c r="A493" t="inlineStr">
        <is>
          <t>A 4716-2023</t>
        </is>
      </c>
      <c r="B493" s="1" t="n">
        <v>44953</v>
      </c>
      <c r="C493" s="1" t="n">
        <v>45363</v>
      </c>
      <c r="D493" t="inlineStr">
        <is>
          <t>JÄMTLANDS LÄN</t>
        </is>
      </c>
      <c r="E493" t="inlineStr">
        <is>
          <t>BERG</t>
        </is>
      </c>
      <c r="G493" t="n">
        <v>9.6</v>
      </c>
      <c r="H493" t="n">
        <v>1</v>
      </c>
      <c r="I493" t="n">
        <v>0</v>
      </c>
      <c r="J493" t="n">
        <v>3</v>
      </c>
      <c r="K493" t="n">
        <v>2</v>
      </c>
      <c r="L493" t="n">
        <v>0</v>
      </c>
      <c r="M493" t="n">
        <v>0</v>
      </c>
      <c r="N493" t="n">
        <v>0</v>
      </c>
      <c r="O493" t="n">
        <v>5</v>
      </c>
      <c r="P493" t="n">
        <v>2</v>
      </c>
      <c r="Q493" t="n">
        <v>5</v>
      </c>
      <c r="R493" s="2" t="inlineStr">
        <is>
          <t>Knärot
Taggfingersvamp
Garnlav
Lunglav
Ullticka</t>
        </is>
      </c>
      <c r="S493">
        <f>HYPERLINK("https://klasma.github.io/Logging_2326/artfynd/A 4716-2023 artfynd.xlsx", "A 4716-2023")</f>
        <v/>
      </c>
      <c r="T493">
        <f>HYPERLINK("https://klasma.github.io/Logging_2326/kartor/A 4716-2023 karta.png", "A 4716-2023")</f>
        <v/>
      </c>
      <c r="U493">
        <f>HYPERLINK("https://klasma.github.io/Logging_2326/knärot/A 4716-2023 karta knärot.png", "A 4716-2023")</f>
        <v/>
      </c>
      <c r="V493">
        <f>HYPERLINK("https://klasma.github.io/Logging_2326/klagomål/A 4716-2023 FSC-klagomål.docx", "A 4716-2023")</f>
        <v/>
      </c>
      <c r="W493">
        <f>HYPERLINK("https://klasma.github.io/Logging_2326/klagomålsmail/A 4716-2023 FSC-klagomål mail.docx", "A 4716-2023")</f>
        <v/>
      </c>
      <c r="X493">
        <f>HYPERLINK("https://klasma.github.io/Logging_2326/tillsyn/A 4716-2023 tillsynsbegäran.docx", "A 4716-2023")</f>
        <v/>
      </c>
      <c r="Y493">
        <f>HYPERLINK("https://klasma.github.io/Logging_2326/tillsynsmail/A 4716-2023 tillsynsbegäran mail.docx", "A 4716-2023")</f>
        <v/>
      </c>
    </row>
    <row r="494" ht="15" customHeight="1">
      <c r="A494" t="inlineStr">
        <is>
          <t>A 5043-2023</t>
        </is>
      </c>
      <c r="B494" s="1" t="n">
        <v>44956</v>
      </c>
      <c r="C494" s="1" t="n">
        <v>45363</v>
      </c>
      <c r="D494" t="inlineStr">
        <is>
          <t>JÄMTLANDS LÄN</t>
        </is>
      </c>
      <c r="E494" t="inlineStr">
        <is>
          <t>ÖSTERSUND</t>
        </is>
      </c>
      <c r="G494" t="n">
        <v>0.8</v>
      </c>
      <c r="H494" t="n">
        <v>2</v>
      </c>
      <c r="I494" t="n">
        <v>2</v>
      </c>
      <c r="J494" t="n">
        <v>1</v>
      </c>
      <c r="K494" t="n">
        <v>0</v>
      </c>
      <c r="L494" t="n">
        <v>0</v>
      </c>
      <c r="M494" t="n">
        <v>0</v>
      </c>
      <c r="N494" t="n">
        <v>0</v>
      </c>
      <c r="O494" t="n">
        <v>1</v>
      </c>
      <c r="P494" t="n">
        <v>0</v>
      </c>
      <c r="Q494" t="n">
        <v>5</v>
      </c>
      <c r="R494" s="2" t="inlineStr">
        <is>
          <t>Slåtterfibbla
Svavelriska
Vårärt
Brudsporre
Blåsippa</t>
        </is>
      </c>
      <c r="S494">
        <f>HYPERLINK("https://klasma.github.io/Logging_2380/artfynd/A 5043-2023 artfynd.xlsx", "A 5043-2023")</f>
        <v/>
      </c>
      <c r="T494">
        <f>HYPERLINK("https://klasma.github.io/Logging_2380/kartor/A 5043-2023 karta.png", "A 5043-2023")</f>
        <v/>
      </c>
      <c r="V494">
        <f>HYPERLINK("https://klasma.github.io/Logging_2380/klagomål/A 5043-2023 FSC-klagomål.docx", "A 5043-2023")</f>
        <v/>
      </c>
      <c r="W494">
        <f>HYPERLINK("https://klasma.github.io/Logging_2380/klagomålsmail/A 5043-2023 FSC-klagomål mail.docx", "A 5043-2023")</f>
        <v/>
      </c>
      <c r="X494">
        <f>HYPERLINK("https://klasma.github.io/Logging_2380/tillsyn/A 5043-2023 tillsynsbegäran.docx", "A 5043-2023")</f>
        <v/>
      </c>
      <c r="Y494">
        <f>HYPERLINK("https://klasma.github.io/Logging_2380/tillsynsmail/A 5043-2023 tillsynsbegäran mail.docx", "A 5043-2023")</f>
        <v/>
      </c>
    </row>
    <row r="495" ht="15" customHeight="1">
      <c r="A495" t="inlineStr">
        <is>
          <t>A 8515-2023</t>
        </is>
      </c>
      <c r="B495" s="1" t="n">
        <v>44977</v>
      </c>
      <c r="C495" s="1" t="n">
        <v>45363</v>
      </c>
      <c r="D495" t="inlineStr">
        <is>
          <t>JÄMTLANDS LÄN</t>
        </is>
      </c>
      <c r="E495" t="inlineStr">
        <is>
          <t>ÅRE</t>
        </is>
      </c>
      <c r="F495" t="inlineStr">
        <is>
          <t>Övriga Aktiebolag</t>
        </is>
      </c>
      <c r="G495" t="n">
        <v>34.2</v>
      </c>
      <c r="H495" t="n">
        <v>1</v>
      </c>
      <c r="I495" t="n">
        <v>2</v>
      </c>
      <c r="J495" t="n">
        <v>3</v>
      </c>
      <c r="K495" t="n">
        <v>0</v>
      </c>
      <c r="L495" t="n">
        <v>0</v>
      </c>
      <c r="M495" t="n">
        <v>0</v>
      </c>
      <c r="N495" t="n">
        <v>0</v>
      </c>
      <c r="O495" t="n">
        <v>3</v>
      </c>
      <c r="P495" t="n">
        <v>0</v>
      </c>
      <c r="Q495" t="n">
        <v>5</v>
      </c>
      <c r="R495" s="2" t="inlineStr">
        <is>
          <t>Gränsticka
Skrovellav
Tretåig hackspett
Skinnlav
Stuplav</t>
        </is>
      </c>
      <c r="S495">
        <f>HYPERLINK("https://klasma.github.io/Logging_2321/artfynd/A 8515-2023 artfynd.xlsx", "A 8515-2023")</f>
        <v/>
      </c>
      <c r="T495">
        <f>HYPERLINK("https://klasma.github.io/Logging_2321/kartor/A 8515-2023 karta.png", "A 8515-2023")</f>
        <v/>
      </c>
      <c r="V495">
        <f>HYPERLINK("https://klasma.github.io/Logging_2321/klagomål/A 8515-2023 FSC-klagomål.docx", "A 8515-2023")</f>
        <v/>
      </c>
      <c r="W495">
        <f>HYPERLINK("https://klasma.github.io/Logging_2321/klagomålsmail/A 8515-2023 FSC-klagomål mail.docx", "A 8515-2023")</f>
        <v/>
      </c>
      <c r="X495">
        <f>HYPERLINK("https://klasma.github.io/Logging_2321/tillsyn/A 8515-2023 tillsynsbegäran.docx", "A 8515-2023")</f>
        <v/>
      </c>
      <c r="Y495">
        <f>HYPERLINK("https://klasma.github.io/Logging_2321/tillsynsmail/A 8515-2023 tillsynsbegäran mail.docx", "A 8515-2023")</f>
        <v/>
      </c>
      <c r="Z495">
        <f>HYPERLINK("https://klasma.github.io/Logging_2321/fåglar/A 8515-2023 prioriterade fågelarter.docx", "A 8515-2023")</f>
        <v/>
      </c>
    </row>
    <row r="496" ht="15" customHeight="1">
      <c r="A496" t="inlineStr">
        <is>
          <t>A 13266-2023</t>
        </is>
      </c>
      <c r="B496" s="1" t="n">
        <v>45002</v>
      </c>
      <c r="C496" s="1" t="n">
        <v>45363</v>
      </c>
      <c r="D496" t="inlineStr">
        <is>
          <t>JÄMTLANDS LÄN</t>
        </is>
      </c>
      <c r="E496" t="inlineStr">
        <is>
          <t>RAGUNDA</t>
        </is>
      </c>
      <c r="F496" t="inlineStr">
        <is>
          <t>SCA</t>
        </is>
      </c>
      <c r="G496" t="n">
        <v>4.1</v>
      </c>
      <c r="H496" t="n">
        <v>1</v>
      </c>
      <c r="I496" t="n">
        <v>0</v>
      </c>
      <c r="J496" t="n">
        <v>4</v>
      </c>
      <c r="K496" t="n">
        <v>0</v>
      </c>
      <c r="L496" t="n">
        <v>0</v>
      </c>
      <c r="M496" t="n">
        <v>0</v>
      </c>
      <c r="N496" t="n">
        <v>0</v>
      </c>
      <c r="O496" t="n">
        <v>4</v>
      </c>
      <c r="P496" t="n">
        <v>0</v>
      </c>
      <c r="Q496" t="n">
        <v>5</v>
      </c>
      <c r="R496" s="2" t="inlineStr">
        <is>
          <t>Gammelgransskål
Garnlav
Granticka
Lunglav
Revlummer</t>
        </is>
      </c>
      <c r="S496">
        <f>HYPERLINK("https://klasma.github.io/Logging_2303/artfynd/A 13266-2023 artfynd.xlsx", "A 13266-2023")</f>
        <v/>
      </c>
      <c r="T496">
        <f>HYPERLINK("https://klasma.github.io/Logging_2303/kartor/A 13266-2023 karta.png", "A 13266-2023")</f>
        <v/>
      </c>
      <c r="V496">
        <f>HYPERLINK("https://klasma.github.io/Logging_2303/klagomål/A 13266-2023 FSC-klagomål.docx", "A 13266-2023")</f>
        <v/>
      </c>
      <c r="W496">
        <f>HYPERLINK("https://klasma.github.io/Logging_2303/klagomålsmail/A 13266-2023 FSC-klagomål mail.docx", "A 13266-2023")</f>
        <v/>
      </c>
      <c r="X496">
        <f>HYPERLINK("https://klasma.github.io/Logging_2303/tillsyn/A 13266-2023 tillsynsbegäran.docx", "A 13266-2023")</f>
        <v/>
      </c>
      <c r="Y496">
        <f>HYPERLINK("https://klasma.github.io/Logging_2303/tillsynsmail/A 13266-2023 tillsynsbegäran mail.docx", "A 13266-2023")</f>
        <v/>
      </c>
    </row>
    <row r="497" ht="15" customHeight="1">
      <c r="A497" t="inlineStr">
        <is>
          <t>A 23524-2023</t>
        </is>
      </c>
      <c r="B497" s="1" t="n">
        <v>45076</v>
      </c>
      <c r="C497" s="1" t="n">
        <v>45363</v>
      </c>
      <c r="D497" t="inlineStr">
        <is>
          <t>JÄMTLANDS LÄN</t>
        </is>
      </c>
      <c r="E497" t="inlineStr">
        <is>
          <t>STRÖMSUND</t>
        </is>
      </c>
      <c r="F497" t="inlineStr">
        <is>
          <t>SCA</t>
        </is>
      </c>
      <c r="G497" t="n">
        <v>12.5</v>
      </c>
      <c r="H497" t="n">
        <v>0</v>
      </c>
      <c r="I497" t="n">
        <v>1</v>
      </c>
      <c r="J497" t="n">
        <v>4</v>
      </c>
      <c r="K497" t="n">
        <v>0</v>
      </c>
      <c r="L497" t="n">
        <v>0</v>
      </c>
      <c r="M497" t="n">
        <v>0</v>
      </c>
      <c r="N497" t="n">
        <v>0</v>
      </c>
      <c r="O497" t="n">
        <v>4</v>
      </c>
      <c r="P497" t="n">
        <v>0</v>
      </c>
      <c r="Q497" t="n">
        <v>5</v>
      </c>
      <c r="R497" s="2" t="inlineStr">
        <is>
          <t>Garnlav
Kolflarnlav
Skrovellav
Vedskivlav
Dropptaggsvamp</t>
        </is>
      </c>
      <c r="S497">
        <f>HYPERLINK("https://klasma.github.io/Logging_2313/artfynd/A 23524-2023 artfynd.xlsx", "A 23524-2023")</f>
        <v/>
      </c>
      <c r="T497">
        <f>HYPERLINK("https://klasma.github.io/Logging_2313/kartor/A 23524-2023 karta.png", "A 23524-2023")</f>
        <v/>
      </c>
      <c r="V497">
        <f>HYPERLINK("https://klasma.github.io/Logging_2313/klagomål/A 23524-2023 FSC-klagomål.docx", "A 23524-2023")</f>
        <v/>
      </c>
      <c r="W497">
        <f>HYPERLINK("https://klasma.github.io/Logging_2313/klagomålsmail/A 23524-2023 FSC-klagomål mail.docx", "A 23524-2023")</f>
        <v/>
      </c>
      <c r="X497">
        <f>HYPERLINK("https://klasma.github.io/Logging_2313/tillsyn/A 23524-2023 tillsynsbegäran.docx", "A 23524-2023")</f>
        <v/>
      </c>
      <c r="Y497">
        <f>HYPERLINK("https://klasma.github.io/Logging_2313/tillsynsmail/A 23524-2023 tillsynsbegäran mail.docx", "A 23524-2023")</f>
        <v/>
      </c>
    </row>
    <row r="498" ht="15" customHeight="1">
      <c r="A498" t="inlineStr">
        <is>
          <t>A 25286-2023</t>
        </is>
      </c>
      <c r="B498" s="1" t="n">
        <v>45079</v>
      </c>
      <c r="C498" s="1" t="n">
        <v>45363</v>
      </c>
      <c r="D498" t="inlineStr">
        <is>
          <t>JÄMTLANDS LÄN</t>
        </is>
      </c>
      <c r="E498" t="inlineStr">
        <is>
          <t>KROKOM</t>
        </is>
      </c>
      <c r="G498" t="n">
        <v>11.4</v>
      </c>
      <c r="H498" t="n">
        <v>1</v>
      </c>
      <c r="I498" t="n">
        <v>2</v>
      </c>
      <c r="J498" t="n">
        <v>3</v>
      </c>
      <c r="K498" t="n">
        <v>0</v>
      </c>
      <c r="L498" t="n">
        <v>0</v>
      </c>
      <c r="M498" t="n">
        <v>0</v>
      </c>
      <c r="N498" t="n">
        <v>0</v>
      </c>
      <c r="O498" t="n">
        <v>3</v>
      </c>
      <c r="P498" t="n">
        <v>0</v>
      </c>
      <c r="Q498" t="n">
        <v>5</v>
      </c>
      <c r="R498" s="2" t="inlineStr">
        <is>
          <t>Garnlav
Gränsticka
Spillkråka
Blodticka
Trådticka</t>
        </is>
      </c>
      <c r="S498">
        <f>HYPERLINK("https://klasma.github.io/Logging_2309/artfynd/A 25286-2023 artfynd.xlsx", "A 25286-2023")</f>
        <v/>
      </c>
      <c r="T498">
        <f>HYPERLINK("https://klasma.github.io/Logging_2309/kartor/A 25286-2023 karta.png", "A 25286-2023")</f>
        <v/>
      </c>
      <c r="V498">
        <f>HYPERLINK("https://klasma.github.io/Logging_2309/klagomål/A 25286-2023 FSC-klagomål.docx", "A 25286-2023")</f>
        <v/>
      </c>
      <c r="W498">
        <f>HYPERLINK("https://klasma.github.io/Logging_2309/klagomålsmail/A 25286-2023 FSC-klagomål mail.docx", "A 25286-2023")</f>
        <v/>
      </c>
      <c r="X498">
        <f>HYPERLINK("https://klasma.github.io/Logging_2309/tillsyn/A 25286-2023 tillsynsbegäran.docx", "A 25286-2023")</f>
        <v/>
      </c>
      <c r="Y498">
        <f>HYPERLINK("https://klasma.github.io/Logging_2309/tillsynsmail/A 25286-2023 tillsynsbegäran mail.docx", "A 25286-2023")</f>
        <v/>
      </c>
      <c r="Z498">
        <f>HYPERLINK("https://klasma.github.io/Logging_2309/fåglar/A 25286-2023 prioriterade fågelarter.docx", "A 25286-2023")</f>
        <v/>
      </c>
    </row>
    <row r="499" ht="15" customHeight="1">
      <c r="A499" t="inlineStr">
        <is>
          <t>A 26406-2023</t>
        </is>
      </c>
      <c r="B499" s="1" t="n">
        <v>45089</v>
      </c>
      <c r="C499" s="1" t="n">
        <v>45363</v>
      </c>
      <c r="D499" t="inlineStr">
        <is>
          <t>JÄMTLANDS LÄN</t>
        </is>
      </c>
      <c r="E499" t="inlineStr">
        <is>
          <t>STRÖMSUND</t>
        </is>
      </c>
      <c r="G499" t="n">
        <v>12.8</v>
      </c>
      <c r="H499" t="n">
        <v>1</v>
      </c>
      <c r="I499" t="n">
        <v>1</v>
      </c>
      <c r="J499" t="n">
        <v>3</v>
      </c>
      <c r="K499" t="n">
        <v>1</v>
      </c>
      <c r="L499" t="n">
        <v>0</v>
      </c>
      <c r="M499" t="n">
        <v>0</v>
      </c>
      <c r="N499" t="n">
        <v>0</v>
      </c>
      <c r="O499" t="n">
        <v>4</v>
      </c>
      <c r="P499" t="n">
        <v>1</v>
      </c>
      <c r="Q499" t="n">
        <v>5</v>
      </c>
      <c r="R499" s="2" t="inlineStr">
        <is>
          <t>Knärot
Lunglav
Rosenticka
Vitgrynig nållav
Blodticka</t>
        </is>
      </c>
      <c r="S499">
        <f>HYPERLINK("https://klasma.github.io/Logging_2313/artfynd/A 26406-2023 artfynd.xlsx", "A 26406-2023")</f>
        <v/>
      </c>
      <c r="T499">
        <f>HYPERLINK("https://klasma.github.io/Logging_2313/kartor/A 26406-2023 karta.png", "A 26406-2023")</f>
        <v/>
      </c>
      <c r="U499">
        <f>HYPERLINK("https://klasma.github.io/Logging_2313/knärot/A 26406-2023 karta knärot.png", "A 26406-2023")</f>
        <v/>
      </c>
      <c r="V499">
        <f>HYPERLINK("https://klasma.github.io/Logging_2313/klagomål/A 26406-2023 FSC-klagomål.docx", "A 26406-2023")</f>
        <v/>
      </c>
      <c r="W499">
        <f>HYPERLINK("https://klasma.github.io/Logging_2313/klagomålsmail/A 26406-2023 FSC-klagomål mail.docx", "A 26406-2023")</f>
        <v/>
      </c>
      <c r="X499">
        <f>HYPERLINK("https://klasma.github.io/Logging_2313/tillsyn/A 26406-2023 tillsynsbegäran.docx", "A 26406-2023")</f>
        <v/>
      </c>
      <c r="Y499">
        <f>HYPERLINK("https://klasma.github.io/Logging_2313/tillsynsmail/A 26406-2023 tillsynsbegäran mail.docx", "A 26406-2023")</f>
        <v/>
      </c>
    </row>
    <row r="500" ht="15" customHeight="1">
      <c r="A500" t="inlineStr">
        <is>
          <t>A 29061-2023</t>
        </is>
      </c>
      <c r="B500" s="1" t="n">
        <v>45104</v>
      </c>
      <c r="C500" s="1" t="n">
        <v>45363</v>
      </c>
      <c r="D500" t="inlineStr">
        <is>
          <t>JÄMTLANDS LÄN</t>
        </is>
      </c>
      <c r="E500" t="inlineStr">
        <is>
          <t>STRÖMSUND</t>
        </is>
      </c>
      <c r="F500" t="inlineStr">
        <is>
          <t>SCA</t>
        </is>
      </c>
      <c r="G500" t="n">
        <v>5.2</v>
      </c>
      <c r="H500" t="n">
        <v>1</v>
      </c>
      <c r="I500" t="n">
        <v>0</v>
      </c>
      <c r="J500" t="n">
        <v>5</v>
      </c>
      <c r="K500" t="n">
        <v>0</v>
      </c>
      <c r="L500" t="n">
        <v>0</v>
      </c>
      <c r="M500" t="n">
        <v>0</v>
      </c>
      <c r="N500" t="n">
        <v>0</v>
      </c>
      <c r="O500" t="n">
        <v>5</v>
      </c>
      <c r="P500" t="n">
        <v>0</v>
      </c>
      <c r="Q500" t="n">
        <v>5</v>
      </c>
      <c r="R500" s="2" t="inlineStr">
        <is>
          <t>Gammelgransskål
Garnlav
Lunglav
Skrovellav
Tretåig hackspett</t>
        </is>
      </c>
      <c r="S500">
        <f>HYPERLINK("https://klasma.github.io/Logging_2313/artfynd/A 29061-2023 artfynd.xlsx", "A 29061-2023")</f>
        <v/>
      </c>
      <c r="T500">
        <f>HYPERLINK("https://klasma.github.io/Logging_2313/kartor/A 29061-2023 karta.png", "A 29061-2023")</f>
        <v/>
      </c>
      <c r="V500">
        <f>HYPERLINK("https://klasma.github.io/Logging_2313/klagomål/A 29061-2023 FSC-klagomål.docx", "A 29061-2023")</f>
        <v/>
      </c>
      <c r="W500">
        <f>HYPERLINK("https://klasma.github.io/Logging_2313/klagomålsmail/A 29061-2023 FSC-klagomål mail.docx", "A 29061-2023")</f>
        <v/>
      </c>
      <c r="X500">
        <f>HYPERLINK("https://klasma.github.io/Logging_2313/tillsyn/A 29061-2023 tillsynsbegäran.docx", "A 29061-2023")</f>
        <v/>
      </c>
      <c r="Y500">
        <f>HYPERLINK("https://klasma.github.io/Logging_2313/tillsynsmail/A 29061-2023 tillsynsbegäran mail.docx", "A 29061-2023")</f>
        <v/>
      </c>
      <c r="Z500">
        <f>HYPERLINK("https://klasma.github.io/Logging_2313/fåglar/A 29061-2023 prioriterade fågelarter.docx", "A 29061-2023")</f>
        <v/>
      </c>
    </row>
    <row r="501" ht="15" customHeight="1">
      <c r="A501" t="inlineStr">
        <is>
          <t>A 36207-2023</t>
        </is>
      </c>
      <c r="B501" s="1" t="n">
        <v>45149</v>
      </c>
      <c r="C501" s="1" t="n">
        <v>45363</v>
      </c>
      <c r="D501" t="inlineStr">
        <is>
          <t>JÄMTLANDS LÄN</t>
        </is>
      </c>
      <c r="E501" t="inlineStr">
        <is>
          <t>STRÖMSUND</t>
        </is>
      </c>
      <c r="F501" t="inlineStr">
        <is>
          <t>SCA</t>
        </is>
      </c>
      <c r="G501" t="n">
        <v>1</v>
      </c>
      <c r="H501" t="n">
        <v>3</v>
      </c>
      <c r="I501" t="n">
        <v>3</v>
      </c>
      <c r="J501" t="n">
        <v>1</v>
      </c>
      <c r="K501" t="n">
        <v>0</v>
      </c>
      <c r="L501" t="n">
        <v>0</v>
      </c>
      <c r="M501" t="n">
        <v>0</v>
      </c>
      <c r="N501" t="n">
        <v>0</v>
      </c>
      <c r="O501" t="n">
        <v>1</v>
      </c>
      <c r="P501" t="n">
        <v>0</v>
      </c>
      <c r="Q501" t="n">
        <v>5</v>
      </c>
      <c r="R501" s="2" t="inlineStr">
        <is>
          <t>Skogsfru
Barrfagerspindling
Kryddspindling
Tvåblad
Blåsippa</t>
        </is>
      </c>
      <c r="S501">
        <f>HYPERLINK("https://klasma.github.io/Logging_2313/artfynd/A 36207-2023 artfynd.xlsx", "A 36207-2023")</f>
        <v/>
      </c>
      <c r="T501">
        <f>HYPERLINK("https://klasma.github.io/Logging_2313/kartor/A 36207-2023 karta.png", "A 36207-2023")</f>
        <v/>
      </c>
      <c r="V501">
        <f>HYPERLINK("https://klasma.github.io/Logging_2313/klagomål/A 36207-2023 FSC-klagomål.docx", "A 36207-2023")</f>
        <v/>
      </c>
      <c r="W501">
        <f>HYPERLINK("https://klasma.github.io/Logging_2313/klagomålsmail/A 36207-2023 FSC-klagomål mail.docx", "A 36207-2023")</f>
        <v/>
      </c>
      <c r="X501">
        <f>HYPERLINK("https://klasma.github.io/Logging_2313/tillsyn/A 36207-2023 tillsynsbegäran.docx", "A 36207-2023")</f>
        <v/>
      </c>
      <c r="Y501">
        <f>HYPERLINK("https://klasma.github.io/Logging_2313/tillsynsmail/A 36207-2023 tillsynsbegäran mail.docx", "A 36207-2023")</f>
        <v/>
      </c>
    </row>
    <row r="502" ht="15" customHeight="1">
      <c r="A502" t="inlineStr">
        <is>
          <t>A 43106-2023</t>
        </is>
      </c>
      <c r="B502" s="1" t="n">
        <v>45182</v>
      </c>
      <c r="C502" s="1" t="n">
        <v>45363</v>
      </c>
      <c r="D502" t="inlineStr">
        <is>
          <t>JÄMTLANDS LÄN</t>
        </is>
      </c>
      <c r="E502" t="inlineStr">
        <is>
          <t>RAGUNDA</t>
        </is>
      </c>
      <c r="F502" t="inlineStr">
        <is>
          <t>SCA</t>
        </is>
      </c>
      <c r="G502" t="n">
        <v>7.6</v>
      </c>
      <c r="H502" t="n">
        <v>0</v>
      </c>
      <c r="I502" t="n">
        <v>0</v>
      </c>
      <c r="J502" t="n">
        <v>5</v>
      </c>
      <c r="K502" t="n">
        <v>0</v>
      </c>
      <c r="L502" t="n">
        <v>0</v>
      </c>
      <c r="M502" t="n">
        <v>0</v>
      </c>
      <c r="N502" t="n">
        <v>0</v>
      </c>
      <c r="O502" t="n">
        <v>5</v>
      </c>
      <c r="P502" t="n">
        <v>0</v>
      </c>
      <c r="Q502" t="n">
        <v>5</v>
      </c>
      <c r="R502" s="2" t="inlineStr">
        <is>
          <t>Blanksvart spiklav
Blågrå svartspik
Harticka
Rosenticka
Ullticka</t>
        </is>
      </c>
      <c r="S502">
        <f>HYPERLINK("https://klasma.github.io/Logging_2303/artfynd/A 43106-2023 artfynd.xlsx", "A 43106-2023")</f>
        <v/>
      </c>
      <c r="T502">
        <f>HYPERLINK("https://klasma.github.io/Logging_2303/kartor/A 43106-2023 karta.png", "A 43106-2023")</f>
        <v/>
      </c>
      <c r="V502">
        <f>HYPERLINK("https://klasma.github.io/Logging_2303/klagomål/A 43106-2023 FSC-klagomål.docx", "A 43106-2023")</f>
        <v/>
      </c>
      <c r="W502">
        <f>HYPERLINK("https://klasma.github.io/Logging_2303/klagomålsmail/A 43106-2023 FSC-klagomål mail.docx", "A 43106-2023")</f>
        <v/>
      </c>
      <c r="X502">
        <f>HYPERLINK("https://klasma.github.io/Logging_2303/tillsyn/A 43106-2023 tillsynsbegäran.docx", "A 43106-2023")</f>
        <v/>
      </c>
      <c r="Y502">
        <f>HYPERLINK("https://klasma.github.io/Logging_2303/tillsynsmail/A 43106-2023 tillsynsbegäran mail.docx", "A 43106-2023")</f>
        <v/>
      </c>
    </row>
    <row r="503" ht="15" customHeight="1">
      <c r="A503" t="inlineStr">
        <is>
          <t>A 45828-2023</t>
        </is>
      </c>
      <c r="B503" s="1" t="n">
        <v>45195</v>
      </c>
      <c r="C503" s="1" t="n">
        <v>45363</v>
      </c>
      <c r="D503" t="inlineStr">
        <is>
          <t>JÄMTLANDS LÄN</t>
        </is>
      </c>
      <c r="E503" t="inlineStr">
        <is>
          <t>ÅRE</t>
        </is>
      </c>
      <c r="G503" t="n">
        <v>10.9</v>
      </c>
      <c r="H503" t="n">
        <v>3</v>
      </c>
      <c r="I503" t="n">
        <v>0</v>
      </c>
      <c r="J503" t="n">
        <v>4</v>
      </c>
      <c r="K503" t="n">
        <v>0</v>
      </c>
      <c r="L503" t="n">
        <v>0</v>
      </c>
      <c r="M503" t="n">
        <v>0</v>
      </c>
      <c r="N503" t="n">
        <v>0</v>
      </c>
      <c r="O503" t="n">
        <v>4</v>
      </c>
      <c r="P503" t="n">
        <v>0</v>
      </c>
      <c r="Q503" t="n">
        <v>5</v>
      </c>
      <c r="R503" s="2" t="inlineStr">
        <is>
          <t>Granticka
Harticka
Spillkråka
Tretåig hackspett
Lavskrika</t>
        </is>
      </c>
      <c r="S503">
        <f>HYPERLINK("https://klasma.github.io/Logging_2321/artfynd/A 45828-2023 artfynd.xlsx", "A 45828-2023")</f>
        <v/>
      </c>
      <c r="T503">
        <f>HYPERLINK("https://klasma.github.io/Logging_2321/kartor/A 45828-2023 karta.png", "A 45828-2023")</f>
        <v/>
      </c>
      <c r="V503">
        <f>HYPERLINK("https://klasma.github.io/Logging_2321/klagomål/A 45828-2023 FSC-klagomål.docx", "A 45828-2023")</f>
        <v/>
      </c>
      <c r="W503">
        <f>HYPERLINK("https://klasma.github.io/Logging_2321/klagomålsmail/A 45828-2023 FSC-klagomål mail.docx", "A 45828-2023")</f>
        <v/>
      </c>
      <c r="X503">
        <f>HYPERLINK("https://klasma.github.io/Logging_2321/tillsyn/A 45828-2023 tillsynsbegäran.docx", "A 45828-2023")</f>
        <v/>
      </c>
      <c r="Y503">
        <f>HYPERLINK("https://klasma.github.io/Logging_2321/tillsynsmail/A 45828-2023 tillsynsbegäran mail.docx", "A 45828-2023")</f>
        <v/>
      </c>
      <c r="Z503">
        <f>HYPERLINK("https://klasma.github.io/Logging_2321/fåglar/A 45828-2023 prioriterade fågelarter.docx", "A 45828-2023")</f>
        <v/>
      </c>
    </row>
    <row r="504" ht="15" customHeight="1">
      <c r="A504" t="inlineStr">
        <is>
          <t>A 45969-2023</t>
        </is>
      </c>
      <c r="B504" s="1" t="n">
        <v>45195</v>
      </c>
      <c r="C504" s="1" t="n">
        <v>45363</v>
      </c>
      <c r="D504" t="inlineStr">
        <is>
          <t>JÄMTLANDS LÄN</t>
        </is>
      </c>
      <c r="E504" t="inlineStr">
        <is>
          <t>RAGUNDA</t>
        </is>
      </c>
      <c r="F504" t="inlineStr">
        <is>
          <t>SCA</t>
        </is>
      </c>
      <c r="G504" t="n">
        <v>9.300000000000001</v>
      </c>
      <c r="H504" t="n">
        <v>1</v>
      </c>
      <c r="I504" t="n">
        <v>4</v>
      </c>
      <c r="J504" t="n">
        <v>1</v>
      </c>
      <c r="K504" t="n">
        <v>0</v>
      </c>
      <c r="L504" t="n">
        <v>0</v>
      </c>
      <c r="M504" t="n">
        <v>0</v>
      </c>
      <c r="N504" t="n">
        <v>0</v>
      </c>
      <c r="O504" t="n">
        <v>1</v>
      </c>
      <c r="P504" t="n">
        <v>0</v>
      </c>
      <c r="Q504" t="n">
        <v>5</v>
      </c>
      <c r="R504" s="2" t="inlineStr">
        <is>
          <t>Lunglav
Dropptaggsvamp
Grönpyrola
Plattlummer
Skarp dropptaggsvamp</t>
        </is>
      </c>
      <c r="S504">
        <f>HYPERLINK("https://klasma.github.io/Logging_2303/artfynd/A 45969-2023 artfynd.xlsx", "A 45969-2023")</f>
        <v/>
      </c>
      <c r="T504">
        <f>HYPERLINK("https://klasma.github.io/Logging_2303/kartor/A 45969-2023 karta.png", "A 45969-2023")</f>
        <v/>
      </c>
      <c r="V504">
        <f>HYPERLINK("https://klasma.github.io/Logging_2303/klagomål/A 45969-2023 FSC-klagomål.docx", "A 45969-2023")</f>
        <v/>
      </c>
      <c r="W504">
        <f>HYPERLINK("https://klasma.github.io/Logging_2303/klagomålsmail/A 45969-2023 FSC-klagomål mail.docx", "A 45969-2023")</f>
        <v/>
      </c>
      <c r="X504">
        <f>HYPERLINK("https://klasma.github.io/Logging_2303/tillsyn/A 45969-2023 tillsynsbegäran.docx", "A 45969-2023")</f>
        <v/>
      </c>
      <c r="Y504">
        <f>HYPERLINK("https://klasma.github.io/Logging_2303/tillsynsmail/A 45969-2023 tillsynsbegäran mail.docx", "A 45969-2023")</f>
        <v/>
      </c>
    </row>
    <row r="505" ht="15" customHeight="1">
      <c r="A505" t="inlineStr">
        <is>
          <t>A 51032-2023</t>
        </is>
      </c>
      <c r="B505" s="1" t="n">
        <v>45218</v>
      </c>
      <c r="C505" s="1" t="n">
        <v>45363</v>
      </c>
      <c r="D505" t="inlineStr">
        <is>
          <t>JÄMTLANDS LÄN</t>
        </is>
      </c>
      <c r="E505" t="inlineStr">
        <is>
          <t>RAGUNDA</t>
        </is>
      </c>
      <c r="G505" t="n">
        <v>3.5</v>
      </c>
      <c r="H505" t="n">
        <v>3</v>
      </c>
      <c r="I505" t="n">
        <v>3</v>
      </c>
      <c r="J505" t="n">
        <v>1</v>
      </c>
      <c r="K505" t="n">
        <v>0</v>
      </c>
      <c r="L505" t="n">
        <v>0</v>
      </c>
      <c r="M505" t="n">
        <v>0</v>
      </c>
      <c r="N505" t="n">
        <v>0</v>
      </c>
      <c r="O505" t="n">
        <v>1</v>
      </c>
      <c r="P505" t="n">
        <v>0</v>
      </c>
      <c r="Q505" t="n">
        <v>5</v>
      </c>
      <c r="R505" s="2" t="inlineStr">
        <is>
          <t>Gultoppig fingersvamp
Grönkulla
Svart trolldruva
Tvåblad
Blåsippa</t>
        </is>
      </c>
      <c r="S505">
        <f>HYPERLINK("https://klasma.github.io/Logging_2303/artfynd/A 51032-2023 artfynd.xlsx", "A 51032-2023")</f>
        <v/>
      </c>
      <c r="T505">
        <f>HYPERLINK("https://klasma.github.io/Logging_2303/kartor/A 51032-2023 karta.png", "A 51032-2023")</f>
        <v/>
      </c>
      <c r="V505">
        <f>HYPERLINK("https://klasma.github.io/Logging_2303/klagomål/A 51032-2023 FSC-klagomål.docx", "A 51032-2023")</f>
        <v/>
      </c>
      <c r="W505">
        <f>HYPERLINK("https://klasma.github.io/Logging_2303/klagomålsmail/A 51032-2023 FSC-klagomål mail.docx", "A 51032-2023")</f>
        <v/>
      </c>
      <c r="X505">
        <f>HYPERLINK("https://klasma.github.io/Logging_2303/tillsyn/A 51032-2023 tillsynsbegäran.docx", "A 51032-2023")</f>
        <v/>
      </c>
      <c r="Y505">
        <f>HYPERLINK("https://klasma.github.io/Logging_2303/tillsynsmail/A 51032-2023 tillsynsbegäran mail.docx", "A 51032-2023")</f>
        <v/>
      </c>
    </row>
    <row r="506" ht="15" customHeight="1">
      <c r="A506" t="inlineStr">
        <is>
          <t>A 51425-2023</t>
        </is>
      </c>
      <c r="B506" s="1" t="n">
        <v>45220</v>
      </c>
      <c r="C506" s="1" t="n">
        <v>45363</v>
      </c>
      <c r="D506" t="inlineStr">
        <is>
          <t>JÄMTLANDS LÄN</t>
        </is>
      </c>
      <c r="E506" t="inlineStr">
        <is>
          <t>BRÄCKE</t>
        </is>
      </c>
      <c r="F506" t="inlineStr">
        <is>
          <t>SCA</t>
        </is>
      </c>
      <c r="G506" t="n">
        <v>7.6</v>
      </c>
      <c r="H506" t="n">
        <v>0</v>
      </c>
      <c r="I506" t="n">
        <v>2</v>
      </c>
      <c r="J506" t="n">
        <v>3</v>
      </c>
      <c r="K506" t="n">
        <v>0</v>
      </c>
      <c r="L506" t="n">
        <v>0</v>
      </c>
      <c r="M506" t="n">
        <v>0</v>
      </c>
      <c r="N506" t="n">
        <v>0</v>
      </c>
      <c r="O506" t="n">
        <v>3</v>
      </c>
      <c r="P506" t="n">
        <v>0</v>
      </c>
      <c r="Q506" t="n">
        <v>5</v>
      </c>
      <c r="R506" s="2" t="inlineStr">
        <is>
          <t>Garnlav
Lunglav
Skrovlig taggsvamp
Skinnlav
Stuplav</t>
        </is>
      </c>
      <c r="S506">
        <f>HYPERLINK("https://klasma.github.io/Logging_2305/artfynd/A 51425-2023 artfynd.xlsx", "A 51425-2023")</f>
        <v/>
      </c>
      <c r="T506">
        <f>HYPERLINK("https://klasma.github.io/Logging_2305/kartor/A 51425-2023 karta.png", "A 51425-2023")</f>
        <v/>
      </c>
      <c r="V506">
        <f>HYPERLINK("https://klasma.github.io/Logging_2305/klagomål/A 51425-2023 FSC-klagomål.docx", "A 51425-2023")</f>
        <v/>
      </c>
      <c r="W506">
        <f>HYPERLINK("https://klasma.github.io/Logging_2305/klagomålsmail/A 51425-2023 FSC-klagomål mail.docx", "A 51425-2023")</f>
        <v/>
      </c>
      <c r="X506">
        <f>HYPERLINK("https://klasma.github.io/Logging_2305/tillsyn/A 51425-2023 tillsynsbegäran.docx", "A 51425-2023")</f>
        <v/>
      </c>
      <c r="Y506">
        <f>HYPERLINK("https://klasma.github.io/Logging_2305/tillsynsmail/A 51425-2023 tillsynsbegäran mail.docx", "A 51425-2023")</f>
        <v/>
      </c>
    </row>
    <row r="507" ht="15" customHeight="1">
      <c r="A507" t="inlineStr">
        <is>
          <t>A 54134-2023</t>
        </is>
      </c>
      <c r="B507" s="1" t="n">
        <v>45225</v>
      </c>
      <c r="C507" s="1" t="n">
        <v>45363</v>
      </c>
      <c r="D507" t="inlineStr">
        <is>
          <t>JÄMTLANDS LÄN</t>
        </is>
      </c>
      <c r="E507" t="inlineStr">
        <is>
          <t>BRÄCKE</t>
        </is>
      </c>
      <c r="G507" t="n">
        <v>4.4</v>
      </c>
      <c r="H507" t="n">
        <v>1</v>
      </c>
      <c r="I507" t="n">
        <v>2</v>
      </c>
      <c r="J507" t="n">
        <v>2</v>
      </c>
      <c r="K507" t="n">
        <v>0</v>
      </c>
      <c r="L507" t="n">
        <v>0</v>
      </c>
      <c r="M507" t="n">
        <v>0</v>
      </c>
      <c r="N507" t="n">
        <v>0</v>
      </c>
      <c r="O507" t="n">
        <v>2</v>
      </c>
      <c r="P507" t="n">
        <v>0</v>
      </c>
      <c r="Q507" t="n">
        <v>5</v>
      </c>
      <c r="R507" s="2" t="inlineStr">
        <is>
          <t>Garnlav
Lunglav
Vårärt
Ögonpyrola
Blåsippa</t>
        </is>
      </c>
      <c r="S507">
        <f>HYPERLINK("https://klasma.github.io/Logging_2305/artfynd/A 54134-2023 artfynd.xlsx", "A 54134-2023")</f>
        <v/>
      </c>
      <c r="T507">
        <f>HYPERLINK("https://klasma.github.io/Logging_2305/kartor/A 54134-2023 karta.png", "A 54134-2023")</f>
        <v/>
      </c>
      <c r="V507">
        <f>HYPERLINK("https://klasma.github.io/Logging_2305/klagomål/A 54134-2023 FSC-klagomål.docx", "A 54134-2023")</f>
        <v/>
      </c>
      <c r="W507">
        <f>HYPERLINK("https://klasma.github.io/Logging_2305/klagomålsmail/A 54134-2023 FSC-klagomål mail.docx", "A 54134-2023")</f>
        <v/>
      </c>
      <c r="X507">
        <f>HYPERLINK("https://klasma.github.io/Logging_2305/tillsyn/A 54134-2023 tillsynsbegäran.docx", "A 54134-2023")</f>
        <v/>
      </c>
      <c r="Y507">
        <f>HYPERLINK("https://klasma.github.io/Logging_2305/tillsynsmail/A 54134-2023 tillsynsbegäran mail.docx", "A 54134-2023")</f>
        <v/>
      </c>
    </row>
    <row r="508" ht="15" customHeight="1">
      <c r="A508" t="inlineStr">
        <is>
          <t>A 54406-2023</t>
        </is>
      </c>
      <c r="B508" s="1" t="n">
        <v>45233</v>
      </c>
      <c r="C508" s="1" t="n">
        <v>45363</v>
      </c>
      <c r="D508" t="inlineStr">
        <is>
          <t>JÄMTLANDS LÄN</t>
        </is>
      </c>
      <c r="E508" t="inlineStr">
        <is>
          <t>BERG</t>
        </is>
      </c>
      <c r="G508" t="n">
        <v>10.2</v>
      </c>
      <c r="H508" t="n">
        <v>1</v>
      </c>
      <c r="I508" t="n">
        <v>0</v>
      </c>
      <c r="J508" t="n">
        <v>4</v>
      </c>
      <c r="K508" t="n">
        <v>0</v>
      </c>
      <c r="L508" t="n">
        <v>0</v>
      </c>
      <c r="M508" t="n">
        <v>0</v>
      </c>
      <c r="N508" t="n">
        <v>0</v>
      </c>
      <c r="O508" t="n">
        <v>4</v>
      </c>
      <c r="P508" t="n">
        <v>0</v>
      </c>
      <c r="Q508" t="n">
        <v>5</v>
      </c>
      <c r="R508" s="2" t="inlineStr">
        <is>
          <t>Gammelgransskål
Garnlav
Granticka
Knottrig blåslav
Revlummer</t>
        </is>
      </c>
      <c r="S508">
        <f>HYPERLINK("https://klasma.github.io/Logging_2326/artfynd/A 54406-2023 artfynd.xlsx", "A 54406-2023")</f>
        <v/>
      </c>
      <c r="T508">
        <f>HYPERLINK("https://klasma.github.io/Logging_2326/kartor/A 54406-2023 karta.png", "A 54406-2023")</f>
        <v/>
      </c>
      <c r="V508">
        <f>HYPERLINK("https://klasma.github.io/Logging_2326/klagomål/A 54406-2023 FSC-klagomål.docx", "A 54406-2023")</f>
        <v/>
      </c>
      <c r="W508">
        <f>HYPERLINK("https://klasma.github.io/Logging_2326/klagomålsmail/A 54406-2023 FSC-klagomål mail.docx", "A 54406-2023")</f>
        <v/>
      </c>
      <c r="X508">
        <f>HYPERLINK("https://klasma.github.io/Logging_2326/tillsyn/A 54406-2023 tillsynsbegäran.docx", "A 54406-2023")</f>
        <v/>
      </c>
      <c r="Y508">
        <f>HYPERLINK("https://klasma.github.io/Logging_2326/tillsynsmail/A 54406-2023 tillsynsbegäran mail.docx", "A 54406-2023")</f>
        <v/>
      </c>
    </row>
    <row r="509" ht="15" customHeight="1">
      <c r="A509" t="inlineStr">
        <is>
          <t>A 54887-2023</t>
        </is>
      </c>
      <c r="B509" s="1" t="n">
        <v>45236</v>
      </c>
      <c r="C509" s="1" t="n">
        <v>45363</v>
      </c>
      <c r="D509" t="inlineStr">
        <is>
          <t>JÄMTLANDS LÄN</t>
        </is>
      </c>
      <c r="E509" t="inlineStr">
        <is>
          <t>STRÖMSUND</t>
        </is>
      </c>
      <c r="G509" t="n">
        <v>20.9</v>
      </c>
      <c r="H509" t="n">
        <v>1</v>
      </c>
      <c r="I509" t="n">
        <v>2</v>
      </c>
      <c r="J509" t="n">
        <v>2</v>
      </c>
      <c r="K509" t="n">
        <v>0</v>
      </c>
      <c r="L509" t="n">
        <v>0</v>
      </c>
      <c r="M509" t="n">
        <v>0</v>
      </c>
      <c r="N509" t="n">
        <v>0</v>
      </c>
      <c r="O509" t="n">
        <v>2</v>
      </c>
      <c r="P509" t="n">
        <v>0</v>
      </c>
      <c r="Q509" t="n">
        <v>5</v>
      </c>
      <c r="R509" s="2" t="inlineStr">
        <is>
          <t>Garnlav
Harticka
Finbräken
Kransrams
Blåsippa</t>
        </is>
      </c>
      <c r="S509">
        <f>HYPERLINK("https://klasma.github.io/Logging_2313/artfynd/A 54887-2023 artfynd.xlsx", "A 54887-2023")</f>
        <v/>
      </c>
      <c r="T509">
        <f>HYPERLINK("https://klasma.github.io/Logging_2313/kartor/A 54887-2023 karta.png", "A 54887-2023")</f>
        <v/>
      </c>
      <c r="V509">
        <f>HYPERLINK("https://klasma.github.io/Logging_2313/klagomål/A 54887-2023 FSC-klagomål.docx", "A 54887-2023")</f>
        <v/>
      </c>
      <c r="W509">
        <f>HYPERLINK("https://klasma.github.io/Logging_2313/klagomålsmail/A 54887-2023 FSC-klagomål mail.docx", "A 54887-2023")</f>
        <v/>
      </c>
      <c r="X509">
        <f>HYPERLINK("https://klasma.github.io/Logging_2313/tillsyn/A 54887-2023 tillsynsbegäran.docx", "A 54887-2023")</f>
        <v/>
      </c>
      <c r="Y509">
        <f>HYPERLINK("https://klasma.github.io/Logging_2313/tillsynsmail/A 54887-2023 tillsynsbegäran mail.docx", "A 54887-2023")</f>
        <v/>
      </c>
    </row>
    <row r="510" ht="15" customHeight="1">
      <c r="A510" t="inlineStr">
        <is>
          <t>A 55332-2023</t>
        </is>
      </c>
      <c r="B510" s="1" t="n">
        <v>45238</v>
      </c>
      <c r="C510" s="1" t="n">
        <v>45363</v>
      </c>
      <c r="D510" t="inlineStr">
        <is>
          <t>JÄMTLANDS LÄN</t>
        </is>
      </c>
      <c r="E510" t="inlineStr">
        <is>
          <t>BERG</t>
        </is>
      </c>
      <c r="F510" t="inlineStr">
        <is>
          <t>SCA</t>
        </is>
      </c>
      <c r="G510" t="n">
        <v>13</v>
      </c>
      <c r="H510" t="n">
        <v>0</v>
      </c>
      <c r="I510" t="n">
        <v>0</v>
      </c>
      <c r="J510" t="n">
        <v>3</v>
      </c>
      <c r="K510" t="n">
        <v>2</v>
      </c>
      <c r="L510" t="n">
        <v>0</v>
      </c>
      <c r="M510" t="n">
        <v>0</v>
      </c>
      <c r="N510" t="n">
        <v>0</v>
      </c>
      <c r="O510" t="n">
        <v>5</v>
      </c>
      <c r="P510" t="n">
        <v>2</v>
      </c>
      <c r="Q510" t="n">
        <v>5</v>
      </c>
      <c r="R510" s="2" t="inlineStr">
        <is>
          <t>Smalfotad taggsvamp
Tajgataggsvamp
Blanksvart spiklav
Reliktbock
Vedflamlav</t>
        </is>
      </c>
      <c r="S510">
        <f>HYPERLINK("https://klasma.github.io/Logging_2326/artfynd/A 55332-2023 artfynd.xlsx", "A 55332-2023")</f>
        <v/>
      </c>
      <c r="T510">
        <f>HYPERLINK("https://klasma.github.io/Logging_2326/kartor/A 55332-2023 karta.png", "A 55332-2023")</f>
        <v/>
      </c>
      <c r="V510">
        <f>HYPERLINK("https://klasma.github.io/Logging_2326/klagomål/A 55332-2023 FSC-klagomål.docx", "A 55332-2023")</f>
        <v/>
      </c>
      <c r="W510">
        <f>HYPERLINK("https://klasma.github.io/Logging_2326/klagomålsmail/A 55332-2023 FSC-klagomål mail.docx", "A 55332-2023")</f>
        <v/>
      </c>
      <c r="X510">
        <f>HYPERLINK("https://klasma.github.io/Logging_2326/tillsyn/A 55332-2023 tillsynsbegäran.docx", "A 55332-2023")</f>
        <v/>
      </c>
      <c r="Y510">
        <f>HYPERLINK("https://klasma.github.io/Logging_2326/tillsynsmail/A 55332-2023 tillsynsbegäran mail.docx", "A 55332-2023")</f>
        <v/>
      </c>
    </row>
    <row r="511" ht="15" customHeight="1">
      <c r="A511" t="inlineStr">
        <is>
          <t>A 62113-2023</t>
        </is>
      </c>
      <c r="B511" s="1" t="n">
        <v>45266</v>
      </c>
      <c r="C511" s="1" t="n">
        <v>45363</v>
      </c>
      <c r="D511" t="inlineStr">
        <is>
          <t>JÄMTLANDS LÄN</t>
        </is>
      </c>
      <c r="E511" t="inlineStr">
        <is>
          <t>BRÄCKE</t>
        </is>
      </c>
      <c r="F511" t="inlineStr">
        <is>
          <t>Naturvårdsverket</t>
        </is>
      </c>
      <c r="G511" t="n">
        <v>4.5</v>
      </c>
      <c r="H511" t="n">
        <v>0</v>
      </c>
      <c r="I511" t="n">
        <v>1</v>
      </c>
      <c r="J511" t="n">
        <v>3</v>
      </c>
      <c r="K511" t="n">
        <v>1</v>
      </c>
      <c r="L511" t="n">
        <v>0</v>
      </c>
      <c r="M511" t="n">
        <v>0</v>
      </c>
      <c r="N511" t="n">
        <v>0</v>
      </c>
      <c r="O511" t="n">
        <v>4</v>
      </c>
      <c r="P511" t="n">
        <v>1</v>
      </c>
      <c r="Q511" t="n">
        <v>5</v>
      </c>
      <c r="R511" s="2" t="inlineStr">
        <is>
          <t>Smalfotad taggsvamp
Blå taggsvamp
Orange taggsvamp
Skrovlig taggsvamp
Skarp dropptaggsvamp</t>
        </is>
      </c>
      <c r="S511">
        <f>HYPERLINK("https://klasma.github.io/Logging_2305/artfynd/A 62113-2023 artfynd.xlsx", "A 62113-2023")</f>
        <v/>
      </c>
      <c r="T511">
        <f>HYPERLINK("https://klasma.github.io/Logging_2305/kartor/A 62113-2023 karta.png", "A 62113-2023")</f>
        <v/>
      </c>
      <c r="V511">
        <f>HYPERLINK("https://klasma.github.io/Logging_2305/klagomål/A 62113-2023 FSC-klagomål.docx", "A 62113-2023")</f>
        <v/>
      </c>
      <c r="W511">
        <f>HYPERLINK("https://klasma.github.io/Logging_2305/klagomålsmail/A 62113-2023 FSC-klagomål mail.docx", "A 62113-2023")</f>
        <v/>
      </c>
      <c r="X511">
        <f>HYPERLINK("https://klasma.github.io/Logging_2305/tillsyn/A 62113-2023 tillsynsbegäran.docx", "A 62113-2023")</f>
        <v/>
      </c>
      <c r="Y511">
        <f>HYPERLINK("https://klasma.github.io/Logging_2305/tillsynsmail/A 62113-2023 tillsynsbegäran mail.docx", "A 62113-2023")</f>
        <v/>
      </c>
    </row>
    <row r="512" ht="15" customHeight="1">
      <c r="A512" t="inlineStr">
        <is>
          <t>A 2249-2024</t>
        </is>
      </c>
      <c r="B512" s="1" t="n">
        <v>45309</v>
      </c>
      <c r="C512" s="1" t="n">
        <v>45363</v>
      </c>
      <c r="D512" t="inlineStr">
        <is>
          <t>JÄMTLANDS LÄN</t>
        </is>
      </c>
      <c r="E512" t="inlineStr">
        <is>
          <t>RAGUNDA</t>
        </is>
      </c>
      <c r="G512" t="n">
        <v>4.9</v>
      </c>
      <c r="H512" t="n">
        <v>0</v>
      </c>
      <c r="I512" t="n">
        <v>3</v>
      </c>
      <c r="J512" t="n">
        <v>2</v>
      </c>
      <c r="K512" t="n">
        <v>0</v>
      </c>
      <c r="L512" t="n">
        <v>0</v>
      </c>
      <c r="M512" t="n">
        <v>0</v>
      </c>
      <c r="N512" t="n">
        <v>0</v>
      </c>
      <c r="O512" t="n">
        <v>2</v>
      </c>
      <c r="P512" t="n">
        <v>0</v>
      </c>
      <c r="Q512" t="n">
        <v>5</v>
      </c>
      <c r="R512" s="2" t="inlineStr">
        <is>
          <t>Lunglav
Äggvaxskivling
Bollvitmossa
Bårdlav
Stuplav</t>
        </is>
      </c>
      <c r="S512">
        <f>HYPERLINK("https://klasma.github.io/Logging_2303/artfynd/A 2249-2024 artfynd.xlsx", "A 2249-2024")</f>
        <v/>
      </c>
      <c r="T512">
        <f>HYPERLINK("https://klasma.github.io/Logging_2303/kartor/A 2249-2024 karta.png", "A 2249-2024")</f>
        <v/>
      </c>
      <c r="V512">
        <f>HYPERLINK("https://klasma.github.io/Logging_2303/klagomål/A 2249-2024 FSC-klagomål.docx", "A 2249-2024")</f>
        <v/>
      </c>
      <c r="W512">
        <f>HYPERLINK("https://klasma.github.io/Logging_2303/klagomålsmail/A 2249-2024 FSC-klagomål mail.docx", "A 2249-2024")</f>
        <v/>
      </c>
      <c r="X512">
        <f>HYPERLINK("https://klasma.github.io/Logging_2303/tillsyn/A 2249-2024 tillsynsbegäran.docx", "A 2249-2024")</f>
        <v/>
      </c>
      <c r="Y512">
        <f>HYPERLINK("https://klasma.github.io/Logging_2303/tillsynsmail/A 2249-2024 tillsynsbegäran mail.docx", "A 2249-2024")</f>
        <v/>
      </c>
    </row>
    <row r="513" ht="15" customHeight="1">
      <c r="A513" t="inlineStr">
        <is>
          <t>A 63268-2018</t>
        </is>
      </c>
      <c r="B513" s="1" t="n">
        <v>43426</v>
      </c>
      <c r="C513" s="1" t="n">
        <v>45363</v>
      </c>
      <c r="D513" t="inlineStr">
        <is>
          <t>JÄMTLANDS LÄN</t>
        </is>
      </c>
      <c r="E513" t="inlineStr">
        <is>
          <t>BERG</t>
        </is>
      </c>
      <c r="F513" t="inlineStr">
        <is>
          <t>SCA</t>
        </is>
      </c>
      <c r="G513" t="n">
        <v>9.1</v>
      </c>
      <c r="H513" t="n">
        <v>0</v>
      </c>
      <c r="I513" t="n">
        <v>1</v>
      </c>
      <c r="J513" t="n">
        <v>3</v>
      </c>
      <c r="K513" t="n">
        <v>0</v>
      </c>
      <c r="L513" t="n">
        <v>0</v>
      </c>
      <c r="M513" t="n">
        <v>0</v>
      </c>
      <c r="N513" t="n">
        <v>0</v>
      </c>
      <c r="O513" t="n">
        <v>3</v>
      </c>
      <c r="P513" t="n">
        <v>0</v>
      </c>
      <c r="Q513" t="n">
        <v>4</v>
      </c>
      <c r="R513" s="2" t="inlineStr">
        <is>
          <t>Garnlav
Lunglav
Skrovellav
Skinnlav</t>
        </is>
      </c>
      <c r="S513">
        <f>HYPERLINK("https://klasma.github.io/Logging_2326/artfynd/A 63268-2018 artfynd.xlsx", "A 63268-2018")</f>
        <v/>
      </c>
      <c r="T513">
        <f>HYPERLINK("https://klasma.github.io/Logging_2326/kartor/A 63268-2018 karta.png", "A 63268-2018")</f>
        <v/>
      </c>
      <c r="V513">
        <f>HYPERLINK("https://klasma.github.io/Logging_2326/klagomål/A 63268-2018 FSC-klagomål.docx", "A 63268-2018")</f>
        <v/>
      </c>
      <c r="W513">
        <f>HYPERLINK("https://klasma.github.io/Logging_2326/klagomålsmail/A 63268-2018 FSC-klagomål mail.docx", "A 63268-2018")</f>
        <v/>
      </c>
      <c r="X513">
        <f>HYPERLINK("https://klasma.github.io/Logging_2326/tillsyn/A 63268-2018 tillsynsbegäran.docx", "A 63268-2018")</f>
        <v/>
      </c>
      <c r="Y513">
        <f>HYPERLINK("https://klasma.github.io/Logging_2326/tillsynsmail/A 63268-2018 tillsynsbegäran mail.docx", "A 63268-2018")</f>
        <v/>
      </c>
    </row>
    <row r="514" ht="15" customHeight="1">
      <c r="A514" t="inlineStr">
        <is>
          <t>A 4904-2019</t>
        </is>
      </c>
      <c r="B514" s="1" t="n">
        <v>43479</v>
      </c>
      <c r="C514" s="1" t="n">
        <v>45363</v>
      </c>
      <c r="D514" t="inlineStr">
        <is>
          <t>JÄMTLANDS LÄN</t>
        </is>
      </c>
      <c r="E514" t="inlineStr">
        <is>
          <t>HÄRJEDALEN</t>
        </is>
      </c>
      <c r="F514" t="inlineStr">
        <is>
          <t>SCA</t>
        </is>
      </c>
      <c r="G514" t="n">
        <v>10.5</v>
      </c>
      <c r="H514" t="n">
        <v>1</v>
      </c>
      <c r="I514" t="n">
        <v>2</v>
      </c>
      <c r="J514" t="n">
        <v>1</v>
      </c>
      <c r="K514" t="n">
        <v>0</v>
      </c>
      <c r="L514" t="n">
        <v>1</v>
      </c>
      <c r="M514" t="n">
        <v>0</v>
      </c>
      <c r="N514" t="n">
        <v>0</v>
      </c>
      <c r="O514" t="n">
        <v>2</v>
      </c>
      <c r="P514" t="n">
        <v>1</v>
      </c>
      <c r="Q514" t="n">
        <v>4</v>
      </c>
      <c r="R514" s="2" t="inlineStr">
        <is>
          <t>Mosippa
Talltaggsvamp
Dropptaggsvamp
Skarp dropptaggsvamp</t>
        </is>
      </c>
      <c r="S514">
        <f>HYPERLINK("https://klasma.github.io/Logging_2361/artfynd/A 4904-2019 artfynd.xlsx", "A 4904-2019")</f>
        <v/>
      </c>
      <c r="T514">
        <f>HYPERLINK("https://klasma.github.io/Logging_2361/kartor/A 4904-2019 karta.png", "A 4904-2019")</f>
        <v/>
      </c>
      <c r="V514">
        <f>HYPERLINK("https://klasma.github.io/Logging_2361/klagomål/A 4904-2019 FSC-klagomål.docx", "A 4904-2019")</f>
        <v/>
      </c>
      <c r="W514">
        <f>HYPERLINK("https://klasma.github.io/Logging_2361/klagomålsmail/A 4904-2019 FSC-klagomål mail.docx", "A 4904-2019")</f>
        <v/>
      </c>
      <c r="X514">
        <f>HYPERLINK("https://klasma.github.io/Logging_2361/tillsyn/A 4904-2019 tillsynsbegäran.docx", "A 4904-2019")</f>
        <v/>
      </c>
      <c r="Y514">
        <f>HYPERLINK("https://klasma.github.io/Logging_2361/tillsynsmail/A 4904-2019 tillsynsbegäran mail.docx", "A 4904-2019")</f>
        <v/>
      </c>
    </row>
    <row r="515" ht="15" customHeight="1">
      <c r="A515" t="inlineStr">
        <is>
          <t>A 3647-2019</t>
        </is>
      </c>
      <c r="B515" s="1" t="n">
        <v>43481</v>
      </c>
      <c r="C515" s="1" t="n">
        <v>45363</v>
      </c>
      <c r="D515" t="inlineStr">
        <is>
          <t>JÄMTLANDS LÄN</t>
        </is>
      </c>
      <c r="E515" t="inlineStr">
        <is>
          <t>HÄRJEDALEN</t>
        </is>
      </c>
      <c r="F515" t="inlineStr">
        <is>
          <t>Holmen skog AB</t>
        </is>
      </c>
      <c r="G515" t="n">
        <v>30.7</v>
      </c>
      <c r="H515" t="n">
        <v>2</v>
      </c>
      <c r="I515" t="n">
        <v>1</v>
      </c>
      <c r="J515" t="n">
        <v>2</v>
      </c>
      <c r="K515" t="n">
        <v>1</v>
      </c>
      <c r="L515" t="n">
        <v>0</v>
      </c>
      <c r="M515" t="n">
        <v>0</v>
      </c>
      <c r="N515" t="n">
        <v>0</v>
      </c>
      <c r="O515" t="n">
        <v>3</v>
      </c>
      <c r="P515" t="n">
        <v>1</v>
      </c>
      <c r="Q515" t="n">
        <v>4</v>
      </c>
      <c r="R515" s="2" t="inlineStr">
        <is>
          <t>Knärot
Lunglav
Skrovellav
Korallrot</t>
        </is>
      </c>
      <c r="S515">
        <f>HYPERLINK("https://klasma.github.io/Logging_2361/artfynd/A 3647-2019 artfynd.xlsx", "A 3647-2019")</f>
        <v/>
      </c>
      <c r="T515">
        <f>HYPERLINK("https://klasma.github.io/Logging_2361/kartor/A 3647-2019 karta.png", "A 3647-2019")</f>
        <v/>
      </c>
      <c r="U515">
        <f>HYPERLINK("https://klasma.github.io/Logging_2361/knärot/A 3647-2019 karta knärot.png", "A 3647-2019")</f>
        <v/>
      </c>
      <c r="V515">
        <f>HYPERLINK("https://klasma.github.io/Logging_2361/klagomål/A 3647-2019 FSC-klagomål.docx", "A 3647-2019")</f>
        <v/>
      </c>
      <c r="W515">
        <f>HYPERLINK("https://klasma.github.io/Logging_2361/klagomålsmail/A 3647-2019 FSC-klagomål mail.docx", "A 3647-2019")</f>
        <v/>
      </c>
      <c r="X515">
        <f>HYPERLINK("https://klasma.github.io/Logging_2361/tillsyn/A 3647-2019 tillsynsbegäran.docx", "A 3647-2019")</f>
        <v/>
      </c>
      <c r="Y515">
        <f>HYPERLINK("https://klasma.github.io/Logging_2361/tillsynsmail/A 3647-2019 tillsynsbegäran mail.docx", "A 3647-2019")</f>
        <v/>
      </c>
    </row>
    <row r="516" ht="15" customHeight="1">
      <c r="A516" t="inlineStr">
        <is>
          <t>A 12831-2019</t>
        </is>
      </c>
      <c r="B516" s="1" t="n">
        <v>43525</v>
      </c>
      <c r="C516" s="1" t="n">
        <v>45363</v>
      </c>
      <c r="D516" t="inlineStr">
        <is>
          <t>JÄMTLANDS LÄN</t>
        </is>
      </c>
      <c r="E516" t="inlineStr">
        <is>
          <t>HÄRJEDALEN</t>
        </is>
      </c>
      <c r="G516" t="n">
        <v>8.6</v>
      </c>
      <c r="H516" t="n">
        <v>0</v>
      </c>
      <c r="I516" t="n">
        <v>1</v>
      </c>
      <c r="J516" t="n">
        <v>3</v>
      </c>
      <c r="K516" t="n">
        <v>0</v>
      </c>
      <c r="L516" t="n">
        <v>0</v>
      </c>
      <c r="M516" t="n">
        <v>0</v>
      </c>
      <c r="N516" t="n">
        <v>0</v>
      </c>
      <c r="O516" t="n">
        <v>3</v>
      </c>
      <c r="P516" t="n">
        <v>0</v>
      </c>
      <c r="Q516" t="n">
        <v>4</v>
      </c>
      <c r="R516" s="2" t="inlineStr">
        <is>
          <t>Knottrig blåslav
Skrovellav
Vedskivlav
Stuplav</t>
        </is>
      </c>
      <c r="S516">
        <f>HYPERLINK("https://klasma.github.io/Logging_2361/artfynd/A 12831-2019 artfynd.xlsx", "A 12831-2019")</f>
        <v/>
      </c>
      <c r="T516">
        <f>HYPERLINK("https://klasma.github.io/Logging_2361/kartor/A 12831-2019 karta.png", "A 12831-2019")</f>
        <v/>
      </c>
      <c r="V516">
        <f>HYPERLINK("https://klasma.github.io/Logging_2361/klagomål/A 12831-2019 FSC-klagomål.docx", "A 12831-2019")</f>
        <v/>
      </c>
      <c r="W516">
        <f>HYPERLINK("https://klasma.github.io/Logging_2361/klagomålsmail/A 12831-2019 FSC-klagomål mail.docx", "A 12831-2019")</f>
        <v/>
      </c>
      <c r="X516">
        <f>HYPERLINK("https://klasma.github.io/Logging_2361/tillsyn/A 12831-2019 tillsynsbegäran.docx", "A 12831-2019")</f>
        <v/>
      </c>
      <c r="Y516">
        <f>HYPERLINK("https://klasma.github.io/Logging_2361/tillsynsmail/A 12831-2019 tillsynsbegäran mail.docx", "A 12831-2019")</f>
        <v/>
      </c>
    </row>
    <row r="517" ht="15" customHeight="1">
      <c r="A517" t="inlineStr">
        <is>
          <t>A 32051-2019</t>
        </is>
      </c>
      <c r="B517" s="1" t="n">
        <v>43643</v>
      </c>
      <c r="C517" s="1" t="n">
        <v>45363</v>
      </c>
      <c r="D517" t="inlineStr">
        <is>
          <t>JÄMTLANDS LÄN</t>
        </is>
      </c>
      <c r="E517" t="inlineStr">
        <is>
          <t>ÅRE</t>
        </is>
      </c>
      <c r="G517" t="n">
        <v>7.1</v>
      </c>
      <c r="H517" t="n">
        <v>2</v>
      </c>
      <c r="I517" t="n">
        <v>2</v>
      </c>
      <c r="J517" t="n">
        <v>1</v>
      </c>
      <c r="K517" t="n">
        <v>0</v>
      </c>
      <c r="L517" t="n">
        <v>0</v>
      </c>
      <c r="M517" t="n">
        <v>0</v>
      </c>
      <c r="N517" t="n">
        <v>0</v>
      </c>
      <c r="O517" t="n">
        <v>1</v>
      </c>
      <c r="P517" t="n">
        <v>0</v>
      </c>
      <c r="Q517" t="n">
        <v>4</v>
      </c>
      <c r="R517" s="2" t="inlineStr">
        <is>
          <t>Lunglav
Guckusko
Tibast
Blåsippa</t>
        </is>
      </c>
      <c r="S517">
        <f>HYPERLINK("https://klasma.github.io/Logging_2321/artfynd/A 32051-2019 artfynd.xlsx", "A 32051-2019")</f>
        <v/>
      </c>
      <c r="T517">
        <f>HYPERLINK("https://klasma.github.io/Logging_2321/kartor/A 32051-2019 karta.png", "A 32051-2019")</f>
        <v/>
      </c>
      <c r="V517">
        <f>HYPERLINK("https://klasma.github.io/Logging_2321/klagomål/A 32051-2019 FSC-klagomål.docx", "A 32051-2019")</f>
        <v/>
      </c>
      <c r="W517">
        <f>HYPERLINK("https://klasma.github.io/Logging_2321/klagomålsmail/A 32051-2019 FSC-klagomål mail.docx", "A 32051-2019")</f>
        <v/>
      </c>
      <c r="X517">
        <f>HYPERLINK("https://klasma.github.io/Logging_2321/tillsyn/A 32051-2019 tillsynsbegäran.docx", "A 32051-2019")</f>
        <v/>
      </c>
      <c r="Y517">
        <f>HYPERLINK("https://klasma.github.io/Logging_2321/tillsynsmail/A 32051-2019 tillsynsbegäran mail.docx", "A 32051-2019")</f>
        <v/>
      </c>
    </row>
    <row r="518" ht="15" customHeight="1">
      <c r="A518" t="inlineStr">
        <is>
          <t>A 34717-2019</t>
        </is>
      </c>
      <c r="B518" s="1" t="n">
        <v>43657</v>
      </c>
      <c r="C518" s="1" t="n">
        <v>45363</v>
      </c>
      <c r="D518" t="inlineStr">
        <is>
          <t>JÄMTLANDS LÄN</t>
        </is>
      </c>
      <c r="E518" t="inlineStr">
        <is>
          <t>ÅRE</t>
        </is>
      </c>
      <c r="G518" t="n">
        <v>14.4</v>
      </c>
      <c r="H518" t="n">
        <v>0</v>
      </c>
      <c r="I518" t="n">
        <v>1</v>
      </c>
      <c r="J518" t="n">
        <v>3</v>
      </c>
      <c r="K518" t="n">
        <v>0</v>
      </c>
      <c r="L518" t="n">
        <v>0</v>
      </c>
      <c r="M518" t="n">
        <v>0</v>
      </c>
      <c r="N518" t="n">
        <v>0</v>
      </c>
      <c r="O518" t="n">
        <v>3</v>
      </c>
      <c r="P518" t="n">
        <v>0</v>
      </c>
      <c r="Q518" t="n">
        <v>4</v>
      </c>
      <c r="R518" s="2" t="inlineStr">
        <is>
          <t>Blanksvart spiklav
Blågrå svartspik
Vedflamlav
Dropptaggsvamp</t>
        </is>
      </c>
      <c r="S518">
        <f>HYPERLINK("https://klasma.github.io/Logging_2321/artfynd/A 34717-2019 artfynd.xlsx", "A 34717-2019")</f>
        <v/>
      </c>
      <c r="T518">
        <f>HYPERLINK("https://klasma.github.io/Logging_2321/kartor/A 34717-2019 karta.png", "A 34717-2019")</f>
        <v/>
      </c>
      <c r="V518">
        <f>HYPERLINK("https://klasma.github.io/Logging_2321/klagomål/A 34717-2019 FSC-klagomål.docx", "A 34717-2019")</f>
        <v/>
      </c>
      <c r="W518">
        <f>HYPERLINK("https://klasma.github.io/Logging_2321/klagomålsmail/A 34717-2019 FSC-klagomål mail.docx", "A 34717-2019")</f>
        <v/>
      </c>
      <c r="X518">
        <f>HYPERLINK("https://klasma.github.io/Logging_2321/tillsyn/A 34717-2019 tillsynsbegäran.docx", "A 34717-2019")</f>
        <v/>
      </c>
      <c r="Y518">
        <f>HYPERLINK("https://klasma.github.io/Logging_2321/tillsynsmail/A 34717-2019 tillsynsbegäran mail.docx", "A 34717-2019")</f>
        <v/>
      </c>
    </row>
    <row r="519" ht="15" customHeight="1">
      <c r="A519" t="inlineStr">
        <is>
          <t>A 36192-2019</t>
        </is>
      </c>
      <c r="B519" s="1" t="n">
        <v>43669</v>
      </c>
      <c r="C519" s="1" t="n">
        <v>45363</v>
      </c>
      <c r="D519" t="inlineStr">
        <is>
          <t>JÄMTLANDS LÄN</t>
        </is>
      </c>
      <c r="E519" t="inlineStr">
        <is>
          <t>KROKOM</t>
        </is>
      </c>
      <c r="G519" t="n">
        <v>2.6</v>
      </c>
      <c r="H519" t="n">
        <v>3</v>
      </c>
      <c r="I519" t="n">
        <v>1</v>
      </c>
      <c r="J519" t="n">
        <v>1</v>
      </c>
      <c r="K519" t="n">
        <v>0</v>
      </c>
      <c r="L519" t="n">
        <v>0</v>
      </c>
      <c r="M519" t="n">
        <v>0</v>
      </c>
      <c r="N519" t="n">
        <v>0</v>
      </c>
      <c r="O519" t="n">
        <v>1</v>
      </c>
      <c r="P519" t="n">
        <v>0</v>
      </c>
      <c r="Q519" t="n">
        <v>4</v>
      </c>
      <c r="R519" s="2" t="inlineStr">
        <is>
          <t>Rosenfink
Svart trolldruva
Blåsippa
Gullviva</t>
        </is>
      </c>
      <c r="S519">
        <f>HYPERLINK("https://klasma.github.io/Logging_2309/artfynd/A 36192-2019 artfynd.xlsx", "A 36192-2019")</f>
        <v/>
      </c>
      <c r="T519">
        <f>HYPERLINK("https://klasma.github.io/Logging_2309/kartor/A 36192-2019 karta.png", "A 36192-2019")</f>
        <v/>
      </c>
      <c r="V519">
        <f>HYPERLINK("https://klasma.github.io/Logging_2309/klagomål/A 36192-2019 FSC-klagomål.docx", "A 36192-2019")</f>
        <v/>
      </c>
      <c r="W519">
        <f>HYPERLINK("https://klasma.github.io/Logging_2309/klagomålsmail/A 36192-2019 FSC-klagomål mail.docx", "A 36192-2019")</f>
        <v/>
      </c>
      <c r="X519">
        <f>HYPERLINK("https://klasma.github.io/Logging_2309/tillsyn/A 36192-2019 tillsynsbegäran.docx", "A 36192-2019")</f>
        <v/>
      </c>
      <c r="Y519">
        <f>HYPERLINK("https://klasma.github.io/Logging_2309/tillsynsmail/A 36192-2019 tillsynsbegäran mail.docx", "A 36192-2019")</f>
        <v/>
      </c>
      <c r="Z519">
        <f>HYPERLINK("https://klasma.github.io/Logging_2309/fåglar/A 36192-2019 prioriterade fågelarter.docx", "A 36192-2019")</f>
        <v/>
      </c>
    </row>
    <row r="520" ht="15" customHeight="1">
      <c r="A520" t="inlineStr">
        <is>
          <t>A 36209-2019</t>
        </is>
      </c>
      <c r="B520" s="1" t="n">
        <v>43669</v>
      </c>
      <c r="C520" s="1" t="n">
        <v>45363</v>
      </c>
      <c r="D520" t="inlineStr">
        <is>
          <t>JÄMTLANDS LÄN</t>
        </is>
      </c>
      <c r="E520" t="inlineStr">
        <is>
          <t>KROKOM</t>
        </is>
      </c>
      <c r="G520" t="n">
        <v>2.6</v>
      </c>
      <c r="H520" t="n">
        <v>3</v>
      </c>
      <c r="I520" t="n">
        <v>1</v>
      </c>
      <c r="J520" t="n">
        <v>1</v>
      </c>
      <c r="K520" t="n">
        <v>0</v>
      </c>
      <c r="L520" t="n">
        <v>0</v>
      </c>
      <c r="M520" t="n">
        <v>0</v>
      </c>
      <c r="N520" t="n">
        <v>0</v>
      </c>
      <c r="O520" t="n">
        <v>1</v>
      </c>
      <c r="P520" t="n">
        <v>0</v>
      </c>
      <c r="Q520" t="n">
        <v>4</v>
      </c>
      <c r="R520" s="2" t="inlineStr">
        <is>
          <t>Rosenfink
Svart trolldruva
Blåsippa
Gullviva</t>
        </is>
      </c>
      <c r="S520">
        <f>HYPERLINK("https://klasma.github.io/Logging_2309/artfynd/A 36209-2019 artfynd.xlsx", "A 36209-2019")</f>
        <v/>
      </c>
      <c r="T520">
        <f>HYPERLINK("https://klasma.github.io/Logging_2309/kartor/A 36209-2019 karta.png", "A 36209-2019")</f>
        <v/>
      </c>
      <c r="V520">
        <f>HYPERLINK("https://klasma.github.io/Logging_2309/klagomål/A 36209-2019 FSC-klagomål.docx", "A 36209-2019")</f>
        <v/>
      </c>
      <c r="W520">
        <f>HYPERLINK("https://klasma.github.io/Logging_2309/klagomålsmail/A 36209-2019 FSC-klagomål mail.docx", "A 36209-2019")</f>
        <v/>
      </c>
      <c r="X520">
        <f>HYPERLINK("https://klasma.github.io/Logging_2309/tillsyn/A 36209-2019 tillsynsbegäran.docx", "A 36209-2019")</f>
        <v/>
      </c>
      <c r="Y520">
        <f>HYPERLINK("https://klasma.github.io/Logging_2309/tillsynsmail/A 36209-2019 tillsynsbegäran mail.docx", "A 36209-2019")</f>
        <v/>
      </c>
      <c r="Z520">
        <f>HYPERLINK("https://klasma.github.io/Logging_2309/fåglar/A 36209-2019 prioriterade fågelarter.docx", "A 36209-2019")</f>
        <v/>
      </c>
    </row>
    <row r="521" ht="15" customHeight="1">
      <c r="A521" t="inlineStr">
        <is>
          <t>A 36377-2019</t>
        </is>
      </c>
      <c r="B521" s="1" t="n">
        <v>43670</v>
      </c>
      <c r="C521" s="1" t="n">
        <v>45363</v>
      </c>
      <c r="D521" t="inlineStr">
        <is>
          <t>JÄMTLANDS LÄN</t>
        </is>
      </c>
      <c r="E521" t="inlineStr">
        <is>
          <t>KROKOM</t>
        </is>
      </c>
      <c r="G521" t="n">
        <v>36.9</v>
      </c>
      <c r="H521" t="n">
        <v>0</v>
      </c>
      <c r="I521" t="n">
        <v>3</v>
      </c>
      <c r="J521" t="n">
        <v>1</v>
      </c>
      <c r="K521" t="n">
        <v>0</v>
      </c>
      <c r="L521" t="n">
        <v>0</v>
      </c>
      <c r="M521" t="n">
        <v>0</v>
      </c>
      <c r="N521" t="n">
        <v>0</v>
      </c>
      <c r="O521" t="n">
        <v>1</v>
      </c>
      <c r="P521" t="n">
        <v>0</v>
      </c>
      <c r="Q521" t="n">
        <v>4</v>
      </c>
      <c r="R521" s="2" t="inlineStr">
        <is>
          <t>Doftskinn
Dvärghäxört
Kambräken
Mörk husmossa</t>
        </is>
      </c>
      <c r="S521">
        <f>HYPERLINK("https://klasma.github.io/Logging_2309/artfynd/A 36377-2019 artfynd.xlsx", "A 36377-2019")</f>
        <v/>
      </c>
      <c r="T521">
        <f>HYPERLINK("https://klasma.github.io/Logging_2309/kartor/A 36377-2019 karta.png", "A 36377-2019")</f>
        <v/>
      </c>
      <c r="V521">
        <f>HYPERLINK("https://klasma.github.io/Logging_2309/klagomål/A 36377-2019 FSC-klagomål.docx", "A 36377-2019")</f>
        <v/>
      </c>
      <c r="W521">
        <f>HYPERLINK("https://klasma.github.io/Logging_2309/klagomålsmail/A 36377-2019 FSC-klagomål mail.docx", "A 36377-2019")</f>
        <v/>
      </c>
      <c r="X521">
        <f>HYPERLINK("https://klasma.github.io/Logging_2309/tillsyn/A 36377-2019 tillsynsbegäran.docx", "A 36377-2019")</f>
        <v/>
      </c>
      <c r="Y521">
        <f>HYPERLINK("https://klasma.github.io/Logging_2309/tillsynsmail/A 36377-2019 tillsynsbegäran mail.docx", "A 36377-2019")</f>
        <v/>
      </c>
    </row>
    <row r="522" ht="15" customHeight="1">
      <c r="A522" t="inlineStr">
        <is>
          <t>A 42079-2019</t>
        </is>
      </c>
      <c r="B522" s="1" t="n">
        <v>43700</v>
      </c>
      <c r="C522" s="1" t="n">
        <v>45363</v>
      </c>
      <c r="D522" t="inlineStr">
        <is>
          <t>JÄMTLANDS LÄN</t>
        </is>
      </c>
      <c r="E522" t="inlineStr">
        <is>
          <t>BRÄCKE</t>
        </is>
      </c>
      <c r="F522" t="inlineStr">
        <is>
          <t>SCA</t>
        </is>
      </c>
      <c r="G522" t="n">
        <v>6.3</v>
      </c>
      <c r="H522" t="n">
        <v>1</v>
      </c>
      <c r="I522" t="n">
        <v>1</v>
      </c>
      <c r="J522" t="n">
        <v>3</v>
      </c>
      <c r="K522" t="n">
        <v>0</v>
      </c>
      <c r="L522" t="n">
        <v>0</v>
      </c>
      <c r="M522" t="n">
        <v>0</v>
      </c>
      <c r="N522" t="n">
        <v>0</v>
      </c>
      <c r="O522" t="n">
        <v>3</v>
      </c>
      <c r="P522" t="n">
        <v>0</v>
      </c>
      <c r="Q522" t="n">
        <v>4</v>
      </c>
      <c r="R522" s="2" t="inlineStr">
        <is>
          <t>Garnlav
Lunglav
Tretåig hackspett
Korallblylav</t>
        </is>
      </c>
      <c r="S522">
        <f>HYPERLINK("https://klasma.github.io/Logging_2305/artfynd/A 42079-2019 artfynd.xlsx", "A 42079-2019")</f>
        <v/>
      </c>
      <c r="T522">
        <f>HYPERLINK("https://klasma.github.io/Logging_2305/kartor/A 42079-2019 karta.png", "A 42079-2019")</f>
        <v/>
      </c>
      <c r="V522">
        <f>HYPERLINK("https://klasma.github.io/Logging_2305/klagomål/A 42079-2019 FSC-klagomål.docx", "A 42079-2019")</f>
        <v/>
      </c>
      <c r="W522">
        <f>HYPERLINK("https://klasma.github.io/Logging_2305/klagomålsmail/A 42079-2019 FSC-klagomål mail.docx", "A 42079-2019")</f>
        <v/>
      </c>
      <c r="X522">
        <f>HYPERLINK("https://klasma.github.io/Logging_2305/tillsyn/A 42079-2019 tillsynsbegäran.docx", "A 42079-2019")</f>
        <v/>
      </c>
      <c r="Y522">
        <f>HYPERLINK("https://klasma.github.io/Logging_2305/tillsynsmail/A 42079-2019 tillsynsbegäran mail.docx", "A 42079-2019")</f>
        <v/>
      </c>
      <c r="Z522">
        <f>HYPERLINK("https://klasma.github.io/Logging_2305/fåglar/A 42079-2019 prioriterade fågelarter.docx", "A 42079-2019")</f>
        <v/>
      </c>
    </row>
    <row r="523" ht="15" customHeight="1">
      <c r="A523" t="inlineStr">
        <is>
          <t>A 42426-2019</t>
        </is>
      </c>
      <c r="B523" s="1" t="n">
        <v>43703</v>
      </c>
      <c r="C523" s="1" t="n">
        <v>45363</v>
      </c>
      <c r="D523" t="inlineStr">
        <is>
          <t>JÄMTLANDS LÄN</t>
        </is>
      </c>
      <c r="E523" t="inlineStr">
        <is>
          <t>STRÖMSUND</t>
        </is>
      </c>
      <c r="F523" t="inlineStr">
        <is>
          <t>SCA</t>
        </is>
      </c>
      <c r="G523" t="n">
        <v>7.6</v>
      </c>
      <c r="H523" t="n">
        <v>0</v>
      </c>
      <c r="I523" t="n">
        <v>1</v>
      </c>
      <c r="J523" t="n">
        <v>3</v>
      </c>
      <c r="K523" t="n">
        <v>0</v>
      </c>
      <c r="L523" t="n">
        <v>0</v>
      </c>
      <c r="M523" t="n">
        <v>0</v>
      </c>
      <c r="N523" t="n">
        <v>0</v>
      </c>
      <c r="O523" t="n">
        <v>3</v>
      </c>
      <c r="P523" t="n">
        <v>0</v>
      </c>
      <c r="Q523" t="n">
        <v>4</v>
      </c>
      <c r="R523" s="2" t="inlineStr">
        <is>
          <t>Gammelgransskål
Gränsticka
Ullticka
Trådticka</t>
        </is>
      </c>
      <c r="S523">
        <f>HYPERLINK("https://klasma.github.io/Logging_2313/artfynd/A 42426-2019 artfynd.xlsx", "A 42426-2019")</f>
        <v/>
      </c>
      <c r="T523">
        <f>HYPERLINK("https://klasma.github.io/Logging_2313/kartor/A 42426-2019 karta.png", "A 42426-2019")</f>
        <v/>
      </c>
      <c r="V523">
        <f>HYPERLINK("https://klasma.github.io/Logging_2313/klagomål/A 42426-2019 FSC-klagomål.docx", "A 42426-2019")</f>
        <v/>
      </c>
      <c r="W523">
        <f>HYPERLINK("https://klasma.github.io/Logging_2313/klagomålsmail/A 42426-2019 FSC-klagomål mail.docx", "A 42426-2019")</f>
        <v/>
      </c>
      <c r="X523">
        <f>HYPERLINK("https://klasma.github.io/Logging_2313/tillsyn/A 42426-2019 tillsynsbegäran.docx", "A 42426-2019")</f>
        <v/>
      </c>
      <c r="Y523">
        <f>HYPERLINK("https://klasma.github.io/Logging_2313/tillsynsmail/A 42426-2019 tillsynsbegäran mail.docx", "A 42426-2019")</f>
        <v/>
      </c>
    </row>
    <row r="524" ht="15" customHeight="1">
      <c r="A524" t="inlineStr">
        <is>
          <t>A 43202-2019</t>
        </is>
      </c>
      <c r="B524" s="1" t="n">
        <v>43705</v>
      </c>
      <c r="C524" s="1" t="n">
        <v>45363</v>
      </c>
      <c r="D524" t="inlineStr">
        <is>
          <t>JÄMTLANDS LÄN</t>
        </is>
      </c>
      <c r="E524" t="inlineStr">
        <is>
          <t>KROKOM</t>
        </is>
      </c>
      <c r="F524" t="inlineStr">
        <is>
          <t>SCA</t>
        </is>
      </c>
      <c r="G524" t="n">
        <v>4.3</v>
      </c>
      <c r="H524" t="n">
        <v>0</v>
      </c>
      <c r="I524" t="n">
        <v>1</v>
      </c>
      <c r="J524" t="n">
        <v>2</v>
      </c>
      <c r="K524" t="n">
        <v>1</v>
      </c>
      <c r="L524" t="n">
        <v>0</v>
      </c>
      <c r="M524" t="n">
        <v>0</v>
      </c>
      <c r="N524" t="n">
        <v>0</v>
      </c>
      <c r="O524" t="n">
        <v>3</v>
      </c>
      <c r="P524" t="n">
        <v>1</v>
      </c>
      <c r="Q524" t="n">
        <v>4</v>
      </c>
      <c r="R524" s="2" t="inlineStr">
        <is>
          <t>Gräddporing
Nordtagging
Vedtrappmossa
Luddlav</t>
        </is>
      </c>
      <c r="S524">
        <f>HYPERLINK("https://klasma.github.io/Logging_2309/artfynd/A 43202-2019 artfynd.xlsx", "A 43202-2019")</f>
        <v/>
      </c>
      <c r="T524">
        <f>HYPERLINK("https://klasma.github.io/Logging_2309/kartor/A 43202-2019 karta.png", "A 43202-2019")</f>
        <v/>
      </c>
      <c r="V524">
        <f>HYPERLINK("https://klasma.github.io/Logging_2309/klagomål/A 43202-2019 FSC-klagomål.docx", "A 43202-2019")</f>
        <v/>
      </c>
      <c r="W524">
        <f>HYPERLINK("https://klasma.github.io/Logging_2309/klagomålsmail/A 43202-2019 FSC-klagomål mail.docx", "A 43202-2019")</f>
        <v/>
      </c>
      <c r="X524">
        <f>HYPERLINK("https://klasma.github.io/Logging_2309/tillsyn/A 43202-2019 tillsynsbegäran.docx", "A 43202-2019")</f>
        <v/>
      </c>
      <c r="Y524">
        <f>HYPERLINK("https://klasma.github.io/Logging_2309/tillsynsmail/A 43202-2019 tillsynsbegäran mail.docx", "A 43202-2019")</f>
        <v/>
      </c>
    </row>
    <row r="525" ht="15" customHeight="1">
      <c r="A525" t="inlineStr">
        <is>
          <t>A 49140-2019</t>
        </is>
      </c>
      <c r="B525" s="1" t="n">
        <v>43731</v>
      </c>
      <c r="C525" s="1" t="n">
        <v>45363</v>
      </c>
      <c r="D525" t="inlineStr">
        <is>
          <t>JÄMTLANDS LÄN</t>
        </is>
      </c>
      <c r="E525" t="inlineStr">
        <is>
          <t>KROKOM</t>
        </is>
      </c>
      <c r="G525" t="n">
        <v>13.3</v>
      </c>
      <c r="H525" t="n">
        <v>1</v>
      </c>
      <c r="I525" t="n">
        <v>1</v>
      </c>
      <c r="J525" t="n">
        <v>3</v>
      </c>
      <c r="K525" t="n">
        <v>0</v>
      </c>
      <c r="L525" t="n">
        <v>0</v>
      </c>
      <c r="M525" t="n">
        <v>0</v>
      </c>
      <c r="N525" t="n">
        <v>0</v>
      </c>
      <c r="O525" t="n">
        <v>3</v>
      </c>
      <c r="P525" t="n">
        <v>0</v>
      </c>
      <c r="Q525" t="n">
        <v>4</v>
      </c>
      <c r="R525" s="2" t="inlineStr">
        <is>
          <t>Granticka
Skogshare
Tretåig hackspett
Trådticka</t>
        </is>
      </c>
      <c r="S525">
        <f>HYPERLINK("https://klasma.github.io/Logging_2309/artfynd/A 49140-2019 artfynd.xlsx", "A 49140-2019")</f>
        <v/>
      </c>
      <c r="T525">
        <f>HYPERLINK("https://klasma.github.io/Logging_2309/kartor/A 49140-2019 karta.png", "A 49140-2019")</f>
        <v/>
      </c>
      <c r="V525">
        <f>HYPERLINK("https://klasma.github.io/Logging_2309/klagomål/A 49140-2019 FSC-klagomål.docx", "A 49140-2019")</f>
        <v/>
      </c>
      <c r="W525">
        <f>HYPERLINK("https://klasma.github.io/Logging_2309/klagomålsmail/A 49140-2019 FSC-klagomål mail.docx", "A 49140-2019")</f>
        <v/>
      </c>
      <c r="X525">
        <f>HYPERLINK("https://klasma.github.io/Logging_2309/tillsyn/A 49140-2019 tillsynsbegäran.docx", "A 49140-2019")</f>
        <v/>
      </c>
      <c r="Y525">
        <f>HYPERLINK("https://klasma.github.io/Logging_2309/tillsynsmail/A 49140-2019 tillsynsbegäran mail.docx", "A 49140-2019")</f>
        <v/>
      </c>
      <c r="Z525">
        <f>HYPERLINK("https://klasma.github.io/Logging_2309/fåglar/A 49140-2019 prioriterade fågelarter.docx", "A 49140-2019")</f>
        <v/>
      </c>
    </row>
    <row r="526" ht="15" customHeight="1">
      <c r="A526" t="inlineStr">
        <is>
          <t>A 49169-2019</t>
        </is>
      </c>
      <c r="B526" s="1" t="n">
        <v>43731</v>
      </c>
      <c r="C526" s="1" t="n">
        <v>45363</v>
      </c>
      <c r="D526" t="inlineStr">
        <is>
          <t>JÄMTLANDS LÄN</t>
        </is>
      </c>
      <c r="E526" t="inlineStr">
        <is>
          <t>KROKOM</t>
        </is>
      </c>
      <c r="G526" t="n">
        <v>3.5</v>
      </c>
      <c r="H526" t="n">
        <v>1</v>
      </c>
      <c r="I526" t="n">
        <v>1</v>
      </c>
      <c r="J526" t="n">
        <v>3</v>
      </c>
      <c r="K526" t="n">
        <v>0</v>
      </c>
      <c r="L526" t="n">
        <v>0</v>
      </c>
      <c r="M526" t="n">
        <v>0</v>
      </c>
      <c r="N526" t="n">
        <v>0</v>
      </c>
      <c r="O526" t="n">
        <v>3</v>
      </c>
      <c r="P526" t="n">
        <v>0</v>
      </c>
      <c r="Q526" t="n">
        <v>4</v>
      </c>
      <c r="R526" s="2" t="inlineStr">
        <is>
          <t>Granticka
Tretåig hackspett
Ullticka
Trådticka</t>
        </is>
      </c>
      <c r="S526">
        <f>HYPERLINK("https://klasma.github.io/Logging_2309/artfynd/A 49169-2019 artfynd.xlsx", "A 49169-2019")</f>
        <v/>
      </c>
      <c r="T526">
        <f>HYPERLINK("https://klasma.github.io/Logging_2309/kartor/A 49169-2019 karta.png", "A 49169-2019")</f>
        <v/>
      </c>
      <c r="V526">
        <f>HYPERLINK("https://klasma.github.io/Logging_2309/klagomål/A 49169-2019 FSC-klagomål.docx", "A 49169-2019")</f>
        <v/>
      </c>
      <c r="W526">
        <f>HYPERLINK("https://klasma.github.io/Logging_2309/klagomålsmail/A 49169-2019 FSC-klagomål mail.docx", "A 49169-2019")</f>
        <v/>
      </c>
      <c r="X526">
        <f>HYPERLINK("https://klasma.github.io/Logging_2309/tillsyn/A 49169-2019 tillsynsbegäran.docx", "A 49169-2019")</f>
        <v/>
      </c>
      <c r="Y526">
        <f>HYPERLINK("https://klasma.github.io/Logging_2309/tillsynsmail/A 49169-2019 tillsynsbegäran mail.docx", "A 49169-2019")</f>
        <v/>
      </c>
      <c r="Z526">
        <f>HYPERLINK("https://klasma.github.io/Logging_2309/fåglar/A 49169-2019 prioriterade fågelarter.docx", "A 49169-2019")</f>
        <v/>
      </c>
    </row>
    <row r="527" ht="15" customHeight="1">
      <c r="A527" t="inlineStr">
        <is>
          <t>A 49097-2019</t>
        </is>
      </c>
      <c r="B527" s="1" t="n">
        <v>43731</v>
      </c>
      <c r="C527" s="1" t="n">
        <v>45363</v>
      </c>
      <c r="D527" t="inlineStr">
        <is>
          <t>JÄMTLANDS LÄN</t>
        </is>
      </c>
      <c r="E527" t="inlineStr">
        <is>
          <t>KROKOM</t>
        </is>
      </c>
      <c r="G527" t="n">
        <v>31.3</v>
      </c>
      <c r="H527" t="n">
        <v>0</v>
      </c>
      <c r="I527" t="n">
        <v>0</v>
      </c>
      <c r="J527" t="n">
        <v>4</v>
      </c>
      <c r="K527" t="n">
        <v>0</v>
      </c>
      <c r="L527" t="n">
        <v>0</v>
      </c>
      <c r="M527" t="n">
        <v>0</v>
      </c>
      <c r="N527" t="n">
        <v>0</v>
      </c>
      <c r="O527" t="n">
        <v>4</v>
      </c>
      <c r="P527" t="n">
        <v>0</v>
      </c>
      <c r="Q527" t="n">
        <v>4</v>
      </c>
      <c r="R527" s="2" t="inlineStr">
        <is>
          <t>Garnlav
Granticka
Gränsticka
Vitgrynig nållav</t>
        </is>
      </c>
      <c r="S527">
        <f>HYPERLINK("https://klasma.github.io/Logging_2309/artfynd/A 49097-2019 artfynd.xlsx", "A 49097-2019")</f>
        <v/>
      </c>
      <c r="T527">
        <f>HYPERLINK("https://klasma.github.io/Logging_2309/kartor/A 49097-2019 karta.png", "A 49097-2019")</f>
        <v/>
      </c>
      <c r="V527">
        <f>HYPERLINK("https://klasma.github.io/Logging_2309/klagomål/A 49097-2019 FSC-klagomål.docx", "A 49097-2019")</f>
        <v/>
      </c>
      <c r="W527">
        <f>HYPERLINK("https://klasma.github.io/Logging_2309/klagomålsmail/A 49097-2019 FSC-klagomål mail.docx", "A 49097-2019")</f>
        <v/>
      </c>
      <c r="X527">
        <f>HYPERLINK("https://klasma.github.io/Logging_2309/tillsyn/A 49097-2019 tillsynsbegäran.docx", "A 49097-2019")</f>
        <v/>
      </c>
      <c r="Y527">
        <f>HYPERLINK("https://klasma.github.io/Logging_2309/tillsynsmail/A 49097-2019 tillsynsbegäran mail.docx", "A 49097-2019")</f>
        <v/>
      </c>
    </row>
    <row r="528" ht="15" customHeight="1">
      <c r="A528" t="inlineStr">
        <is>
          <t>A 63750-2019</t>
        </is>
      </c>
      <c r="B528" s="1" t="n">
        <v>43795</v>
      </c>
      <c r="C528" s="1" t="n">
        <v>45363</v>
      </c>
      <c r="D528" t="inlineStr">
        <is>
          <t>JÄMTLANDS LÄN</t>
        </is>
      </c>
      <c r="E528" t="inlineStr">
        <is>
          <t>HÄRJEDALEN</t>
        </is>
      </c>
      <c r="F528" t="inlineStr">
        <is>
          <t>Sveaskog</t>
        </is>
      </c>
      <c r="G528" t="n">
        <v>5.6</v>
      </c>
      <c r="H528" t="n">
        <v>1</v>
      </c>
      <c r="I528" t="n">
        <v>1</v>
      </c>
      <c r="J528" t="n">
        <v>2</v>
      </c>
      <c r="K528" t="n">
        <v>0</v>
      </c>
      <c r="L528" t="n">
        <v>0</v>
      </c>
      <c r="M528" t="n">
        <v>0</v>
      </c>
      <c r="N528" t="n">
        <v>0</v>
      </c>
      <c r="O528" t="n">
        <v>2</v>
      </c>
      <c r="P528" t="n">
        <v>0</v>
      </c>
      <c r="Q528" t="n">
        <v>4</v>
      </c>
      <c r="R528" s="2" t="inlineStr">
        <is>
          <t>Garnlav
Lunglav
Stuplav
Revlummer</t>
        </is>
      </c>
      <c r="S528">
        <f>HYPERLINK("https://klasma.github.io/Logging_2361/artfynd/A 63750-2019 artfynd.xlsx", "A 63750-2019")</f>
        <v/>
      </c>
      <c r="T528">
        <f>HYPERLINK("https://klasma.github.io/Logging_2361/kartor/A 63750-2019 karta.png", "A 63750-2019")</f>
        <v/>
      </c>
      <c r="V528">
        <f>HYPERLINK("https://klasma.github.io/Logging_2361/klagomål/A 63750-2019 FSC-klagomål.docx", "A 63750-2019")</f>
        <v/>
      </c>
      <c r="W528">
        <f>HYPERLINK("https://klasma.github.io/Logging_2361/klagomålsmail/A 63750-2019 FSC-klagomål mail.docx", "A 63750-2019")</f>
        <v/>
      </c>
      <c r="X528">
        <f>HYPERLINK("https://klasma.github.io/Logging_2361/tillsyn/A 63750-2019 tillsynsbegäran.docx", "A 63750-2019")</f>
        <v/>
      </c>
      <c r="Y528">
        <f>HYPERLINK("https://klasma.github.io/Logging_2361/tillsynsmail/A 63750-2019 tillsynsbegäran mail.docx", "A 63750-2019")</f>
        <v/>
      </c>
    </row>
    <row r="529" ht="15" customHeight="1">
      <c r="A529" t="inlineStr">
        <is>
          <t>A 68086-2019</t>
        </is>
      </c>
      <c r="B529" s="1" t="n">
        <v>43816</v>
      </c>
      <c r="C529" s="1" t="n">
        <v>45363</v>
      </c>
      <c r="D529" t="inlineStr">
        <is>
          <t>JÄMTLANDS LÄN</t>
        </is>
      </c>
      <c r="E529" t="inlineStr">
        <is>
          <t>KROKOM</t>
        </is>
      </c>
      <c r="F529" t="inlineStr">
        <is>
          <t>SCA</t>
        </is>
      </c>
      <c r="G529" t="n">
        <v>2.5</v>
      </c>
      <c r="H529" t="n">
        <v>0</v>
      </c>
      <c r="I529" t="n">
        <v>0</v>
      </c>
      <c r="J529" t="n">
        <v>4</v>
      </c>
      <c r="K529" t="n">
        <v>0</v>
      </c>
      <c r="L529" t="n">
        <v>0</v>
      </c>
      <c r="M529" t="n">
        <v>0</v>
      </c>
      <c r="N529" t="n">
        <v>0</v>
      </c>
      <c r="O529" t="n">
        <v>4</v>
      </c>
      <c r="P529" t="n">
        <v>0</v>
      </c>
      <c r="Q529" t="n">
        <v>4</v>
      </c>
      <c r="R529" s="2" t="inlineStr">
        <is>
          <t>Garnlav
Lunglav
Skrovellav
Tallticka</t>
        </is>
      </c>
      <c r="S529">
        <f>HYPERLINK("https://klasma.github.io/Logging_2309/artfynd/A 68086-2019 artfynd.xlsx", "A 68086-2019")</f>
        <v/>
      </c>
      <c r="T529">
        <f>HYPERLINK("https://klasma.github.io/Logging_2309/kartor/A 68086-2019 karta.png", "A 68086-2019")</f>
        <v/>
      </c>
      <c r="V529">
        <f>HYPERLINK("https://klasma.github.io/Logging_2309/klagomål/A 68086-2019 FSC-klagomål.docx", "A 68086-2019")</f>
        <v/>
      </c>
      <c r="W529">
        <f>HYPERLINK("https://klasma.github.io/Logging_2309/klagomålsmail/A 68086-2019 FSC-klagomål mail.docx", "A 68086-2019")</f>
        <v/>
      </c>
      <c r="X529">
        <f>HYPERLINK("https://klasma.github.io/Logging_2309/tillsyn/A 68086-2019 tillsynsbegäran.docx", "A 68086-2019")</f>
        <v/>
      </c>
      <c r="Y529">
        <f>HYPERLINK("https://klasma.github.io/Logging_2309/tillsynsmail/A 68086-2019 tillsynsbegäran mail.docx", "A 68086-2019")</f>
        <v/>
      </c>
    </row>
    <row r="530" ht="15" customHeight="1">
      <c r="A530" t="inlineStr">
        <is>
          <t>A 68311-2019</t>
        </is>
      </c>
      <c r="B530" s="1" t="n">
        <v>43817</v>
      </c>
      <c r="C530" s="1" t="n">
        <v>45363</v>
      </c>
      <c r="D530" t="inlineStr">
        <is>
          <t>JÄMTLANDS LÄN</t>
        </is>
      </c>
      <c r="E530" t="inlineStr">
        <is>
          <t>KROKOM</t>
        </is>
      </c>
      <c r="F530" t="inlineStr">
        <is>
          <t>SCA</t>
        </is>
      </c>
      <c r="G530" t="n">
        <v>5.7</v>
      </c>
      <c r="H530" t="n">
        <v>0</v>
      </c>
      <c r="I530" t="n">
        <v>1</v>
      </c>
      <c r="J530" t="n">
        <v>3</v>
      </c>
      <c r="K530" t="n">
        <v>0</v>
      </c>
      <c r="L530" t="n">
        <v>0</v>
      </c>
      <c r="M530" t="n">
        <v>0</v>
      </c>
      <c r="N530" t="n">
        <v>0</v>
      </c>
      <c r="O530" t="n">
        <v>3</v>
      </c>
      <c r="P530" t="n">
        <v>0</v>
      </c>
      <c r="Q530" t="n">
        <v>4</v>
      </c>
      <c r="R530" s="2" t="inlineStr">
        <is>
          <t>Garnlav
Kolflarnlav
Vedskivlav
Norrlandslav</t>
        </is>
      </c>
      <c r="S530">
        <f>HYPERLINK("https://klasma.github.io/Logging_2309/artfynd/A 68311-2019 artfynd.xlsx", "A 68311-2019")</f>
        <v/>
      </c>
      <c r="T530">
        <f>HYPERLINK("https://klasma.github.io/Logging_2309/kartor/A 68311-2019 karta.png", "A 68311-2019")</f>
        <v/>
      </c>
      <c r="V530">
        <f>HYPERLINK("https://klasma.github.io/Logging_2309/klagomål/A 68311-2019 FSC-klagomål.docx", "A 68311-2019")</f>
        <v/>
      </c>
      <c r="W530">
        <f>HYPERLINK("https://klasma.github.io/Logging_2309/klagomålsmail/A 68311-2019 FSC-klagomål mail.docx", "A 68311-2019")</f>
        <v/>
      </c>
      <c r="X530">
        <f>HYPERLINK("https://klasma.github.io/Logging_2309/tillsyn/A 68311-2019 tillsynsbegäran.docx", "A 68311-2019")</f>
        <v/>
      </c>
      <c r="Y530">
        <f>HYPERLINK("https://klasma.github.io/Logging_2309/tillsynsmail/A 68311-2019 tillsynsbegäran mail.docx", "A 68311-2019")</f>
        <v/>
      </c>
    </row>
    <row r="531" ht="15" customHeight="1">
      <c r="A531" t="inlineStr">
        <is>
          <t>A 1781-2020</t>
        </is>
      </c>
      <c r="B531" s="1" t="n">
        <v>43844</v>
      </c>
      <c r="C531" s="1" t="n">
        <v>45363</v>
      </c>
      <c r="D531" t="inlineStr">
        <is>
          <t>JÄMTLANDS LÄN</t>
        </is>
      </c>
      <c r="E531" t="inlineStr">
        <is>
          <t>ÅRE</t>
        </is>
      </c>
      <c r="G531" t="n">
        <v>9.300000000000001</v>
      </c>
      <c r="H531" t="n">
        <v>0</v>
      </c>
      <c r="I531" t="n">
        <v>3</v>
      </c>
      <c r="J531" t="n">
        <v>1</v>
      </c>
      <c r="K531" t="n">
        <v>0</v>
      </c>
      <c r="L531" t="n">
        <v>0</v>
      </c>
      <c r="M531" t="n">
        <v>0</v>
      </c>
      <c r="N531" t="n">
        <v>0</v>
      </c>
      <c r="O531" t="n">
        <v>1</v>
      </c>
      <c r="P531" t="n">
        <v>0</v>
      </c>
      <c r="Q531" t="n">
        <v>4</v>
      </c>
      <c r="R531" s="2" t="inlineStr">
        <is>
          <t>Vitgrynig nållav
Kransrams
Kryddspindling
Svavelriska</t>
        </is>
      </c>
      <c r="S531">
        <f>HYPERLINK("https://klasma.github.io/Logging_2321/artfynd/A 1781-2020 artfynd.xlsx", "A 1781-2020")</f>
        <v/>
      </c>
      <c r="T531">
        <f>HYPERLINK("https://klasma.github.io/Logging_2321/kartor/A 1781-2020 karta.png", "A 1781-2020")</f>
        <v/>
      </c>
      <c r="V531">
        <f>HYPERLINK("https://klasma.github.io/Logging_2321/klagomål/A 1781-2020 FSC-klagomål.docx", "A 1781-2020")</f>
        <v/>
      </c>
      <c r="W531">
        <f>HYPERLINK("https://klasma.github.io/Logging_2321/klagomålsmail/A 1781-2020 FSC-klagomål mail.docx", "A 1781-2020")</f>
        <v/>
      </c>
      <c r="X531">
        <f>HYPERLINK("https://klasma.github.io/Logging_2321/tillsyn/A 1781-2020 tillsynsbegäran.docx", "A 1781-2020")</f>
        <v/>
      </c>
      <c r="Y531">
        <f>HYPERLINK("https://klasma.github.io/Logging_2321/tillsynsmail/A 1781-2020 tillsynsbegäran mail.docx", "A 1781-2020")</f>
        <v/>
      </c>
    </row>
    <row r="532" ht="15" customHeight="1">
      <c r="A532" t="inlineStr">
        <is>
          <t>A 16005-2020</t>
        </is>
      </c>
      <c r="B532" s="1" t="n">
        <v>43916</v>
      </c>
      <c r="C532" s="1" t="n">
        <v>45363</v>
      </c>
      <c r="D532" t="inlineStr">
        <is>
          <t>JÄMTLANDS LÄN</t>
        </is>
      </c>
      <c r="E532" t="inlineStr">
        <is>
          <t>ÅRE</t>
        </is>
      </c>
      <c r="G532" t="n">
        <v>13.3</v>
      </c>
      <c r="H532" t="n">
        <v>1</v>
      </c>
      <c r="I532" t="n">
        <v>2</v>
      </c>
      <c r="J532" t="n">
        <v>1</v>
      </c>
      <c r="K532" t="n">
        <v>0</v>
      </c>
      <c r="L532" t="n">
        <v>0</v>
      </c>
      <c r="M532" t="n">
        <v>0</v>
      </c>
      <c r="N532" t="n">
        <v>0</v>
      </c>
      <c r="O532" t="n">
        <v>1</v>
      </c>
      <c r="P532" t="n">
        <v>0</v>
      </c>
      <c r="Q532" t="n">
        <v>4</v>
      </c>
      <c r="R532" s="2" t="inlineStr">
        <is>
          <t>Orange taggsvamp
Dropptaggsvamp
Kransrams
Blåsippa</t>
        </is>
      </c>
      <c r="S532">
        <f>HYPERLINK("https://klasma.github.io/Logging_2321/artfynd/A 16005-2020 artfynd.xlsx", "A 16005-2020")</f>
        <v/>
      </c>
      <c r="T532">
        <f>HYPERLINK("https://klasma.github.io/Logging_2321/kartor/A 16005-2020 karta.png", "A 16005-2020")</f>
        <v/>
      </c>
      <c r="V532">
        <f>HYPERLINK("https://klasma.github.io/Logging_2321/klagomål/A 16005-2020 FSC-klagomål.docx", "A 16005-2020")</f>
        <v/>
      </c>
      <c r="W532">
        <f>HYPERLINK("https://klasma.github.io/Logging_2321/klagomålsmail/A 16005-2020 FSC-klagomål mail.docx", "A 16005-2020")</f>
        <v/>
      </c>
      <c r="X532">
        <f>HYPERLINK("https://klasma.github.io/Logging_2321/tillsyn/A 16005-2020 tillsynsbegäran.docx", "A 16005-2020")</f>
        <v/>
      </c>
      <c r="Y532">
        <f>HYPERLINK("https://klasma.github.io/Logging_2321/tillsynsmail/A 16005-2020 tillsynsbegäran mail.docx", "A 16005-2020")</f>
        <v/>
      </c>
    </row>
    <row r="533" ht="15" customHeight="1">
      <c r="A533" t="inlineStr">
        <is>
          <t>A 17948-2020</t>
        </is>
      </c>
      <c r="B533" s="1" t="n">
        <v>43924</v>
      </c>
      <c r="C533" s="1" t="n">
        <v>45363</v>
      </c>
      <c r="D533" t="inlineStr">
        <is>
          <t>JÄMTLANDS LÄN</t>
        </is>
      </c>
      <c r="E533" t="inlineStr">
        <is>
          <t>STRÖMSUND</t>
        </is>
      </c>
      <c r="F533" t="inlineStr">
        <is>
          <t>SCA</t>
        </is>
      </c>
      <c r="G533" t="n">
        <v>15.7</v>
      </c>
      <c r="H533" t="n">
        <v>0</v>
      </c>
      <c r="I533" t="n">
        <v>3</v>
      </c>
      <c r="J533" t="n">
        <v>1</v>
      </c>
      <c r="K533" t="n">
        <v>0</v>
      </c>
      <c r="L533" t="n">
        <v>0</v>
      </c>
      <c r="M533" t="n">
        <v>0</v>
      </c>
      <c r="N533" t="n">
        <v>0</v>
      </c>
      <c r="O533" t="n">
        <v>1</v>
      </c>
      <c r="P533" t="n">
        <v>0</v>
      </c>
      <c r="Q533" t="n">
        <v>4</v>
      </c>
      <c r="R533" s="2" t="inlineStr">
        <is>
          <t>Skrovellav
Bårdlav
Luddlav
Stuplav</t>
        </is>
      </c>
      <c r="S533">
        <f>HYPERLINK("https://klasma.github.io/Logging_2313/artfynd/A 17948-2020 artfynd.xlsx", "A 17948-2020")</f>
        <v/>
      </c>
      <c r="T533">
        <f>HYPERLINK("https://klasma.github.io/Logging_2313/kartor/A 17948-2020 karta.png", "A 17948-2020")</f>
        <v/>
      </c>
      <c r="V533">
        <f>HYPERLINK("https://klasma.github.io/Logging_2313/klagomål/A 17948-2020 FSC-klagomål.docx", "A 17948-2020")</f>
        <v/>
      </c>
      <c r="W533">
        <f>HYPERLINK("https://klasma.github.io/Logging_2313/klagomålsmail/A 17948-2020 FSC-klagomål mail.docx", "A 17948-2020")</f>
        <v/>
      </c>
      <c r="X533">
        <f>HYPERLINK("https://klasma.github.io/Logging_2313/tillsyn/A 17948-2020 tillsynsbegäran.docx", "A 17948-2020")</f>
        <v/>
      </c>
      <c r="Y533">
        <f>HYPERLINK("https://klasma.github.io/Logging_2313/tillsynsmail/A 17948-2020 tillsynsbegäran mail.docx", "A 17948-2020")</f>
        <v/>
      </c>
    </row>
    <row r="534" ht="15" customHeight="1">
      <c r="A534" t="inlineStr">
        <is>
          <t>A 20526-2020</t>
        </is>
      </c>
      <c r="B534" s="1" t="n">
        <v>43948</v>
      </c>
      <c r="C534" s="1" t="n">
        <v>45363</v>
      </c>
      <c r="D534" t="inlineStr">
        <is>
          <t>JÄMTLANDS LÄN</t>
        </is>
      </c>
      <c r="E534" t="inlineStr">
        <is>
          <t>BERG</t>
        </is>
      </c>
      <c r="G534" t="n">
        <v>1</v>
      </c>
      <c r="H534" t="n">
        <v>0</v>
      </c>
      <c r="I534" t="n">
        <v>0</v>
      </c>
      <c r="J534" t="n">
        <v>3</v>
      </c>
      <c r="K534" t="n">
        <v>0</v>
      </c>
      <c r="L534" t="n">
        <v>1</v>
      </c>
      <c r="M534" t="n">
        <v>0</v>
      </c>
      <c r="N534" t="n">
        <v>0</v>
      </c>
      <c r="O534" t="n">
        <v>4</v>
      </c>
      <c r="P534" t="n">
        <v>1</v>
      </c>
      <c r="Q534" t="n">
        <v>4</v>
      </c>
      <c r="R534" s="2" t="inlineStr">
        <is>
          <t>Grynlav
Olivbrun gytterlav
Skrovellav
Ullticka</t>
        </is>
      </c>
      <c r="S534">
        <f>HYPERLINK("https://klasma.github.io/Logging_2326/artfynd/A 20526-2020 artfynd.xlsx", "A 20526-2020")</f>
        <v/>
      </c>
      <c r="T534">
        <f>HYPERLINK("https://klasma.github.io/Logging_2326/kartor/A 20526-2020 karta.png", "A 20526-2020")</f>
        <v/>
      </c>
      <c r="V534">
        <f>HYPERLINK("https://klasma.github.io/Logging_2326/klagomål/A 20526-2020 FSC-klagomål.docx", "A 20526-2020")</f>
        <v/>
      </c>
      <c r="W534">
        <f>HYPERLINK("https://klasma.github.io/Logging_2326/klagomålsmail/A 20526-2020 FSC-klagomål mail.docx", "A 20526-2020")</f>
        <v/>
      </c>
      <c r="X534">
        <f>HYPERLINK("https://klasma.github.io/Logging_2326/tillsyn/A 20526-2020 tillsynsbegäran.docx", "A 20526-2020")</f>
        <v/>
      </c>
      <c r="Y534">
        <f>HYPERLINK("https://klasma.github.io/Logging_2326/tillsynsmail/A 20526-2020 tillsynsbegäran mail.docx", "A 20526-2020")</f>
        <v/>
      </c>
    </row>
    <row r="535" ht="15" customHeight="1">
      <c r="A535" t="inlineStr">
        <is>
          <t>A 24547-2020</t>
        </is>
      </c>
      <c r="B535" s="1" t="n">
        <v>43977</v>
      </c>
      <c r="C535" s="1" t="n">
        <v>45363</v>
      </c>
      <c r="D535" t="inlineStr">
        <is>
          <t>JÄMTLANDS LÄN</t>
        </is>
      </c>
      <c r="E535" t="inlineStr">
        <is>
          <t>BRÄCKE</t>
        </is>
      </c>
      <c r="G535" t="n">
        <v>5.2</v>
      </c>
      <c r="H535" t="n">
        <v>3</v>
      </c>
      <c r="I535" t="n">
        <v>1</v>
      </c>
      <c r="J535" t="n">
        <v>2</v>
      </c>
      <c r="K535" t="n">
        <v>1</v>
      </c>
      <c r="L535" t="n">
        <v>0</v>
      </c>
      <c r="M535" t="n">
        <v>0</v>
      </c>
      <c r="N535" t="n">
        <v>0</v>
      </c>
      <c r="O535" t="n">
        <v>3</v>
      </c>
      <c r="P535" t="n">
        <v>1</v>
      </c>
      <c r="Q535" t="n">
        <v>4</v>
      </c>
      <c r="R535" s="2" t="inlineStr">
        <is>
          <t>Knärot
Lunglav
Spillkråka
Korallrot</t>
        </is>
      </c>
      <c r="S535">
        <f>HYPERLINK("https://klasma.github.io/Logging_2305/artfynd/A 24547-2020 artfynd.xlsx", "A 24547-2020")</f>
        <v/>
      </c>
      <c r="T535">
        <f>HYPERLINK("https://klasma.github.io/Logging_2305/kartor/A 24547-2020 karta.png", "A 24547-2020")</f>
        <v/>
      </c>
      <c r="U535">
        <f>HYPERLINK("https://klasma.github.io/Logging_2305/knärot/A 24547-2020 karta knärot.png", "A 24547-2020")</f>
        <v/>
      </c>
      <c r="V535">
        <f>HYPERLINK("https://klasma.github.io/Logging_2305/klagomål/A 24547-2020 FSC-klagomål.docx", "A 24547-2020")</f>
        <v/>
      </c>
      <c r="W535">
        <f>HYPERLINK("https://klasma.github.io/Logging_2305/klagomålsmail/A 24547-2020 FSC-klagomål mail.docx", "A 24547-2020")</f>
        <v/>
      </c>
      <c r="X535">
        <f>HYPERLINK("https://klasma.github.io/Logging_2305/tillsyn/A 24547-2020 tillsynsbegäran.docx", "A 24547-2020")</f>
        <v/>
      </c>
      <c r="Y535">
        <f>HYPERLINK("https://klasma.github.io/Logging_2305/tillsynsmail/A 24547-2020 tillsynsbegäran mail.docx", "A 24547-2020")</f>
        <v/>
      </c>
      <c r="Z535">
        <f>HYPERLINK("https://klasma.github.io/Logging_2305/fåglar/A 24547-2020 prioriterade fågelarter.docx", "A 24547-2020")</f>
        <v/>
      </c>
    </row>
    <row r="536" ht="15" customHeight="1">
      <c r="A536" t="inlineStr">
        <is>
          <t>A 24562-2020</t>
        </is>
      </c>
      <c r="B536" s="1" t="n">
        <v>43977</v>
      </c>
      <c r="C536" s="1" t="n">
        <v>45363</v>
      </c>
      <c r="D536" t="inlineStr">
        <is>
          <t>JÄMTLANDS LÄN</t>
        </is>
      </c>
      <c r="E536" t="inlineStr">
        <is>
          <t>BRÄCKE</t>
        </is>
      </c>
      <c r="G536" t="n">
        <v>14.6</v>
      </c>
      <c r="H536" t="n">
        <v>1</v>
      </c>
      <c r="I536" t="n">
        <v>1</v>
      </c>
      <c r="J536" t="n">
        <v>2</v>
      </c>
      <c r="K536" t="n">
        <v>1</v>
      </c>
      <c r="L536" t="n">
        <v>0</v>
      </c>
      <c r="M536" t="n">
        <v>0</v>
      </c>
      <c r="N536" t="n">
        <v>0</v>
      </c>
      <c r="O536" t="n">
        <v>3</v>
      </c>
      <c r="P536" t="n">
        <v>1</v>
      </c>
      <c r="Q536" t="n">
        <v>4</v>
      </c>
      <c r="R536" s="2" t="inlineStr">
        <is>
          <t>Knärot
Lunglav
Ullticka
Stuplav</t>
        </is>
      </c>
      <c r="S536">
        <f>HYPERLINK("https://klasma.github.io/Logging_2305/artfynd/A 24562-2020 artfynd.xlsx", "A 24562-2020")</f>
        <v/>
      </c>
      <c r="T536">
        <f>HYPERLINK("https://klasma.github.io/Logging_2305/kartor/A 24562-2020 karta.png", "A 24562-2020")</f>
        <v/>
      </c>
      <c r="U536">
        <f>HYPERLINK("https://klasma.github.io/Logging_2305/knärot/A 24562-2020 karta knärot.png", "A 24562-2020")</f>
        <v/>
      </c>
      <c r="V536">
        <f>HYPERLINK("https://klasma.github.io/Logging_2305/klagomål/A 24562-2020 FSC-klagomål.docx", "A 24562-2020")</f>
        <v/>
      </c>
      <c r="W536">
        <f>HYPERLINK("https://klasma.github.io/Logging_2305/klagomålsmail/A 24562-2020 FSC-klagomål mail.docx", "A 24562-2020")</f>
        <v/>
      </c>
      <c r="X536">
        <f>HYPERLINK("https://klasma.github.io/Logging_2305/tillsyn/A 24562-2020 tillsynsbegäran.docx", "A 24562-2020")</f>
        <v/>
      </c>
      <c r="Y536">
        <f>HYPERLINK("https://klasma.github.io/Logging_2305/tillsynsmail/A 24562-2020 tillsynsbegäran mail.docx", "A 24562-2020")</f>
        <v/>
      </c>
    </row>
    <row r="537" ht="15" customHeight="1">
      <c r="A537" t="inlineStr">
        <is>
          <t>A 30406-2020</t>
        </is>
      </c>
      <c r="B537" s="1" t="n">
        <v>44007</v>
      </c>
      <c r="C537" s="1" t="n">
        <v>45363</v>
      </c>
      <c r="D537" t="inlineStr">
        <is>
          <t>JÄMTLANDS LÄN</t>
        </is>
      </c>
      <c r="E537" t="inlineStr">
        <is>
          <t>STRÖMSUND</t>
        </is>
      </c>
      <c r="F537" t="inlineStr">
        <is>
          <t>Holmen skog AB</t>
        </is>
      </c>
      <c r="G537" t="n">
        <v>9.5</v>
      </c>
      <c r="H537" t="n">
        <v>0</v>
      </c>
      <c r="I537" t="n">
        <v>1</v>
      </c>
      <c r="J537" t="n">
        <v>2</v>
      </c>
      <c r="K537" t="n">
        <v>1</v>
      </c>
      <c r="L537" t="n">
        <v>0</v>
      </c>
      <c r="M537" t="n">
        <v>0</v>
      </c>
      <c r="N537" t="n">
        <v>0</v>
      </c>
      <c r="O537" t="n">
        <v>3</v>
      </c>
      <c r="P537" t="n">
        <v>1</v>
      </c>
      <c r="Q537" t="n">
        <v>4</v>
      </c>
      <c r="R537" s="2" t="inlineStr">
        <is>
          <t>Vit aspticka
Orange taggsvamp
Stiftgelélav
Skinnlav</t>
        </is>
      </c>
      <c r="S537">
        <f>HYPERLINK("https://klasma.github.io/Logging_2313/artfynd/A 30406-2020 artfynd.xlsx", "A 30406-2020")</f>
        <v/>
      </c>
      <c r="T537">
        <f>HYPERLINK("https://klasma.github.io/Logging_2313/kartor/A 30406-2020 karta.png", "A 30406-2020")</f>
        <v/>
      </c>
      <c r="V537">
        <f>HYPERLINK("https://klasma.github.io/Logging_2313/klagomål/A 30406-2020 FSC-klagomål.docx", "A 30406-2020")</f>
        <v/>
      </c>
      <c r="W537">
        <f>HYPERLINK("https://klasma.github.io/Logging_2313/klagomålsmail/A 30406-2020 FSC-klagomål mail.docx", "A 30406-2020")</f>
        <v/>
      </c>
      <c r="X537">
        <f>HYPERLINK("https://klasma.github.io/Logging_2313/tillsyn/A 30406-2020 tillsynsbegäran.docx", "A 30406-2020")</f>
        <v/>
      </c>
      <c r="Y537">
        <f>HYPERLINK("https://klasma.github.io/Logging_2313/tillsynsmail/A 30406-2020 tillsynsbegäran mail.docx", "A 30406-2020")</f>
        <v/>
      </c>
    </row>
    <row r="538" ht="15" customHeight="1">
      <c r="A538" t="inlineStr">
        <is>
          <t>A 36669-2020</t>
        </is>
      </c>
      <c r="B538" s="1" t="n">
        <v>44050</v>
      </c>
      <c r="C538" s="1" t="n">
        <v>45363</v>
      </c>
      <c r="D538" t="inlineStr">
        <is>
          <t>JÄMTLANDS LÄN</t>
        </is>
      </c>
      <c r="E538" t="inlineStr">
        <is>
          <t>BERG</t>
        </is>
      </c>
      <c r="F538" t="inlineStr">
        <is>
          <t>SCA</t>
        </is>
      </c>
      <c r="G538" t="n">
        <v>2.7</v>
      </c>
      <c r="H538" t="n">
        <v>0</v>
      </c>
      <c r="I538" t="n">
        <v>0</v>
      </c>
      <c r="J538" t="n">
        <v>4</v>
      </c>
      <c r="K538" t="n">
        <v>0</v>
      </c>
      <c r="L538" t="n">
        <v>0</v>
      </c>
      <c r="M538" t="n">
        <v>0</v>
      </c>
      <c r="N538" t="n">
        <v>0</v>
      </c>
      <c r="O538" t="n">
        <v>4</v>
      </c>
      <c r="P538" t="n">
        <v>0</v>
      </c>
      <c r="Q538" t="n">
        <v>4</v>
      </c>
      <c r="R538" s="2" t="inlineStr">
        <is>
          <t>Gammelgransskål
Garnlav
Harticka
Skrovellav</t>
        </is>
      </c>
      <c r="S538">
        <f>HYPERLINK("https://klasma.github.io/Logging_2326/artfynd/A 36669-2020 artfynd.xlsx", "A 36669-2020")</f>
        <v/>
      </c>
      <c r="T538">
        <f>HYPERLINK("https://klasma.github.io/Logging_2326/kartor/A 36669-2020 karta.png", "A 36669-2020")</f>
        <v/>
      </c>
      <c r="V538">
        <f>HYPERLINK("https://klasma.github.io/Logging_2326/klagomål/A 36669-2020 FSC-klagomål.docx", "A 36669-2020")</f>
        <v/>
      </c>
      <c r="W538">
        <f>HYPERLINK("https://klasma.github.io/Logging_2326/klagomålsmail/A 36669-2020 FSC-klagomål mail.docx", "A 36669-2020")</f>
        <v/>
      </c>
      <c r="X538">
        <f>HYPERLINK("https://klasma.github.io/Logging_2326/tillsyn/A 36669-2020 tillsynsbegäran.docx", "A 36669-2020")</f>
        <v/>
      </c>
      <c r="Y538">
        <f>HYPERLINK("https://klasma.github.io/Logging_2326/tillsynsmail/A 36669-2020 tillsynsbegäran mail.docx", "A 36669-2020")</f>
        <v/>
      </c>
    </row>
    <row r="539" ht="15" customHeight="1">
      <c r="A539" t="inlineStr">
        <is>
          <t>A 39056-2020</t>
        </is>
      </c>
      <c r="B539" s="1" t="n">
        <v>44062</v>
      </c>
      <c r="C539" s="1" t="n">
        <v>45363</v>
      </c>
      <c r="D539" t="inlineStr">
        <is>
          <t>JÄMTLANDS LÄN</t>
        </is>
      </c>
      <c r="E539" t="inlineStr">
        <is>
          <t>BRÄCKE</t>
        </is>
      </c>
      <c r="F539" t="inlineStr">
        <is>
          <t>SCA</t>
        </is>
      </c>
      <c r="G539" t="n">
        <v>3.3</v>
      </c>
      <c r="H539" t="n">
        <v>1</v>
      </c>
      <c r="I539" t="n">
        <v>0</v>
      </c>
      <c r="J539" t="n">
        <v>4</v>
      </c>
      <c r="K539" t="n">
        <v>0</v>
      </c>
      <c r="L539" t="n">
        <v>0</v>
      </c>
      <c r="M539" t="n">
        <v>0</v>
      </c>
      <c r="N539" t="n">
        <v>0</v>
      </c>
      <c r="O539" t="n">
        <v>4</v>
      </c>
      <c r="P539" t="n">
        <v>0</v>
      </c>
      <c r="Q539" t="n">
        <v>4</v>
      </c>
      <c r="R539" s="2" t="inlineStr">
        <is>
          <t>Blå taggsvamp
Garnlav
Kolflarnlav
Tretåig hackspett</t>
        </is>
      </c>
      <c r="S539">
        <f>HYPERLINK("https://klasma.github.io/Logging_2305/artfynd/A 39056-2020 artfynd.xlsx", "A 39056-2020")</f>
        <v/>
      </c>
      <c r="T539">
        <f>HYPERLINK("https://klasma.github.io/Logging_2305/kartor/A 39056-2020 karta.png", "A 39056-2020")</f>
        <v/>
      </c>
      <c r="V539">
        <f>HYPERLINK("https://klasma.github.io/Logging_2305/klagomål/A 39056-2020 FSC-klagomål.docx", "A 39056-2020")</f>
        <v/>
      </c>
      <c r="W539">
        <f>HYPERLINK("https://klasma.github.io/Logging_2305/klagomålsmail/A 39056-2020 FSC-klagomål mail.docx", "A 39056-2020")</f>
        <v/>
      </c>
      <c r="X539">
        <f>HYPERLINK("https://klasma.github.io/Logging_2305/tillsyn/A 39056-2020 tillsynsbegäran.docx", "A 39056-2020")</f>
        <v/>
      </c>
      <c r="Y539">
        <f>HYPERLINK("https://klasma.github.io/Logging_2305/tillsynsmail/A 39056-2020 tillsynsbegäran mail.docx", "A 39056-2020")</f>
        <v/>
      </c>
      <c r="Z539">
        <f>HYPERLINK("https://klasma.github.io/Logging_2305/fåglar/A 39056-2020 prioriterade fågelarter.docx", "A 39056-2020")</f>
        <v/>
      </c>
    </row>
    <row r="540" ht="15" customHeight="1">
      <c r="A540" t="inlineStr">
        <is>
          <t>A 41872-2020</t>
        </is>
      </c>
      <c r="B540" s="1" t="n">
        <v>44074</v>
      </c>
      <c r="C540" s="1" t="n">
        <v>45363</v>
      </c>
      <c r="D540" t="inlineStr">
        <is>
          <t>JÄMTLANDS LÄN</t>
        </is>
      </c>
      <c r="E540" t="inlineStr">
        <is>
          <t>BERG</t>
        </is>
      </c>
      <c r="F540" t="inlineStr">
        <is>
          <t>SCA</t>
        </is>
      </c>
      <c r="G540" t="n">
        <v>4.9</v>
      </c>
      <c r="H540" t="n">
        <v>0</v>
      </c>
      <c r="I540" t="n">
        <v>1</v>
      </c>
      <c r="J540" t="n">
        <v>3</v>
      </c>
      <c r="K540" t="n">
        <v>0</v>
      </c>
      <c r="L540" t="n">
        <v>0</v>
      </c>
      <c r="M540" t="n">
        <v>0</v>
      </c>
      <c r="N540" t="n">
        <v>0</v>
      </c>
      <c r="O540" t="n">
        <v>3</v>
      </c>
      <c r="P540" t="n">
        <v>0</v>
      </c>
      <c r="Q540" t="n">
        <v>4</v>
      </c>
      <c r="R540" s="2" t="inlineStr">
        <is>
          <t>Garnlav
Lunglav
Vedskivlav
Dropptaggsvamp</t>
        </is>
      </c>
      <c r="S540">
        <f>HYPERLINK("https://klasma.github.io/Logging_2326/artfynd/A 41872-2020 artfynd.xlsx", "A 41872-2020")</f>
        <v/>
      </c>
      <c r="T540">
        <f>HYPERLINK("https://klasma.github.io/Logging_2326/kartor/A 41872-2020 karta.png", "A 41872-2020")</f>
        <v/>
      </c>
      <c r="V540">
        <f>HYPERLINK("https://klasma.github.io/Logging_2326/klagomål/A 41872-2020 FSC-klagomål.docx", "A 41872-2020")</f>
        <v/>
      </c>
      <c r="W540">
        <f>HYPERLINK("https://klasma.github.io/Logging_2326/klagomålsmail/A 41872-2020 FSC-klagomål mail.docx", "A 41872-2020")</f>
        <v/>
      </c>
      <c r="X540">
        <f>HYPERLINK("https://klasma.github.io/Logging_2326/tillsyn/A 41872-2020 tillsynsbegäran.docx", "A 41872-2020")</f>
        <v/>
      </c>
      <c r="Y540">
        <f>HYPERLINK("https://klasma.github.io/Logging_2326/tillsynsmail/A 41872-2020 tillsynsbegäran mail.docx", "A 41872-2020")</f>
        <v/>
      </c>
    </row>
    <row r="541" ht="15" customHeight="1">
      <c r="A541" t="inlineStr">
        <is>
          <t>A 45849-2020</t>
        </is>
      </c>
      <c r="B541" s="1" t="n">
        <v>44090</v>
      </c>
      <c r="C541" s="1" t="n">
        <v>45363</v>
      </c>
      <c r="D541" t="inlineStr">
        <is>
          <t>JÄMTLANDS LÄN</t>
        </is>
      </c>
      <c r="E541" t="inlineStr">
        <is>
          <t>ÅRE</t>
        </is>
      </c>
      <c r="G541" t="n">
        <v>2.7</v>
      </c>
      <c r="H541" t="n">
        <v>0</v>
      </c>
      <c r="I541" t="n">
        <v>1</v>
      </c>
      <c r="J541" t="n">
        <v>3</v>
      </c>
      <c r="K541" t="n">
        <v>0</v>
      </c>
      <c r="L541" t="n">
        <v>0</v>
      </c>
      <c r="M541" t="n">
        <v>0</v>
      </c>
      <c r="N541" t="n">
        <v>0</v>
      </c>
      <c r="O541" t="n">
        <v>3</v>
      </c>
      <c r="P541" t="n">
        <v>0</v>
      </c>
      <c r="Q541" t="n">
        <v>4</v>
      </c>
      <c r="R541" s="2" t="inlineStr">
        <is>
          <t>Garnlav
Granticka
Harticka
Stuplav</t>
        </is>
      </c>
      <c r="S541">
        <f>HYPERLINK("https://klasma.github.io/Logging_2321/artfynd/A 45849-2020 artfynd.xlsx", "A 45849-2020")</f>
        <v/>
      </c>
      <c r="T541">
        <f>HYPERLINK("https://klasma.github.io/Logging_2321/kartor/A 45849-2020 karta.png", "A 45849-2020")</f>
        <v/>
      </c>
      <c r="V541">
        <f>HYPERLINK("https://klasma.github.io/Logging_2321/klagomål/A 45849-2020 FSC-klagomål.docx", "A 45849-2020")</f>
        <v/>
      </c>
      <c r="W541">
        <f>HYPERLINK("https://klasma.github.io/Logging_2321/klagomålsmail/A 45849-2020 FSC-klagomål mail.docx", "A 45849-2020")</f>
        <v/>
      </c>
      <c r="X541">
        <f>HYPERLINK("https://klasma.github.io/Logging_2321/tillsyn/A 45849-2020 tillsynsbegäran.docx", "A 45849-2020")</f>
        <v/>
      </c>
      <c r="Y541">
        <f>HYPERLINK("https://klasma.github.io/Logging_2321/tillsynsmail/A 45849-2020 tillsynsbegäran mail.docx", "A 45849-2020")</f>
        <v/>
      </c>
    </row>
    <row r="542" ht="15" customHeight="1">
      <c r="A542" t="inlineStr">
        <is>
          <t>A 51686-2020</t>
        </is>
      </c>
      <c r="B542" s="1" t="n">
        <v>44113</v>
      </c>
      <c r="C542" s="1" t="n">
        <v>45363</v>
      </c>
      <c r="D542" t="inlineStr">
        <is>
          <t>JÄMTLANDS LÄN</t>
        </is>
      </c>
      <c r="E542" t="inlineStr">
        <is>
          <t>RAGUNDA</t>
        </is>
      </c>
      <c r="F542" t="inlineStr">
        <is>
          <t>SCA</t>
        </is>
      </c>
      <c r="G542" t="n">
        <v>1.8</v>
      </c>
      <c r="H542" t="n">
        <v>0</v>
      </c>
      <c r="I542" t="n">
        <v>1</v>
      </c>
      <c r="J542" t="n">
        <v>3</v>
      </c>
      <c r="K542" t="n">
        <v>0</v>
      </c>
      <c r="L542" t="n">
        <v>0</v>
      </c>
      <c r="M542" t="n">
        <v>0</v>
      </c>
      <c r="N542" t="n">
        <v>0</v>
      </c>
      <c r="O542" t="n">
        <v>3</v>
      </c>
      <c r="P542" t="n">
        <v>0</v>
      </c>
      <c r="Q542" t="n">
        <v>4</v>
      </c>
      <c r="R542" s="2" t="inlineStr">
        <is>
          <t>Kolflarnlav
Lunglav
Skrovellav
Stuplav</t>
        </is>
      </c>
      <c r="S542">
        <f>HYPERLINK("https://klasma.github.io/Logging_2303/artfynd/A 51686-2020 artfynd.xlsx", "A 51686-2020")</f>
        <v/>
      </c>
      <c r="T542">
        <f>HYPERLINK("https://klasma.github.io/Logging_2303/kartor/A 51686-2020 karta.png", "A 51686-2020")</f>
        <v/>
      </c>
      <c r="V542">
        <f>HYPERLINK("https://klasma.github.io/Logging_2303/klagomål/A 51686-2020 FSC-klagomål.docx", "A 51686-2020")</f>
        <v/>
      </c>
      <c r="W542">
        <f>HYPERLINK("https://klasma.github.io/Logging_2303/klagomålsmail/A 51686-2020 FSC-klagomål mail.docx", "A 51686-2020")</f>
        <v/>
      </c>
      <c r="X542">
        <f>HYPERLINK("https://klasma.github.io/Logging_2303/tillsyn/A 51686-2020 tillsynsbegäran.docx", "A 51686-2020")</f>
        <v/>
      </c>
      <c r="Y542">
        <f>HYPERLINK("https://klasma.github.io/Logging_2303/tillsynsmail/A 51686-2020 tillsynsbegäran mail.docx", "A 51686-2020")</f>
        <v/>
      </c>
    </row>
    <row r="543" ht="15" customHeight="1">
      <c r="A543" t="inlineStr">
        <is>
          <t>A 65901-2020</t>
        </is>
      </c>
      <c r="B543" s="1" t="n">
        <v>44174</v>
      </c>
      <c r="C543" s="1" t="n">
        <v>45363</v>
      </c>
      <c r="D543" t="inlineStr">
        <is>
          <t>JÄMTLANDS LÄN</t>
        </is>
      </c>
      <c r="E543" t="inlineStr">
        <is>
          <t>KROKOM</t>
        </is>
      </c>
      <c r="G543" t="n">
        <v>9.699999999999999</v>
      </c>
      <c r="H543" t="n">
        <v>0</v>
      </c>
      <c r="I543" t="n">
        <v>4</v>
      </c>
      <c r="J543" t="n">
        <v>0</v>
      </c>
      <c r="K543" t="n">
        <v>0</v>
      </c>
      <c r="L543" t="n">
        <v>0</v>
      </c>
      <c r="M543" t="n">
        <v>0</v>
      </c>
      <c r="N543" t="n">
        <v>0</v>
      </c>
      <c r="O543" t="n">
        <v>0</v>
      </c>
      <c r="P543" t="n">
        <v>0</v>
      </c>
      <c r="Q543" t="n">
        <v>4</v>
      </c>
      <c r="R543" s="2" t="inlineStr">
        <is>
          <t>Barrfagerspindling
Diskvaxskivling
Kryddspindling
Tibast</t>
        </is>
      </c>
      <c r="S543">
        <f>HYPERLINK("https://klasma.github.io/Logging_2309/artfynd/A 65901-2020 artfynd.xlsx", "A 65901-2020")</f>
        <v/>
      </c>
      <c r="T543">
        <f>HYPERLINK("https://klasma.github.io/Logging_2309/kartor/A 65901-2020 karta.png", "A 65901-2020")</f>
        <v/>
      </c>
      <c r="V543">
        <f>HYPERLINK("https://klasma.github.io/Logging_2309/klagomål/A 65901-2020 FSC-klagomål.docx", "A 65901-2020")</f>
        <v/>
      </c>
      <c r="W543">
        <f>HYPERLINK("https://klasma.github.io/Logging_2309/klagomålsmail/A 65901-2020 FSC-klagomål mail.docx", "A 65901-2020")</f>
        <v/>
      </c>
      <c r="X543">
        <f>HYPERLINK("https://klasma.github.io/Logging_2309/tillsyn/A 65901-2020 tillsynsbegäran.docx", "A 65901-2020")</f>
        <v/>
      </c>
      <c r="Y543">
        <f>HYPERLINK("https://klasma.github.io/Logging_2309/tillsynsmail/A 65901-2020 tillsynsbegäran mail.docx", "A 65901-2020")</f>
        <v/>
      </c>
    </row>
    <row r="544" ht="15" customHeight="1">
      <c r="A544" t="inlineStr">
        <is>
          <t>A 66729-2020</t>
        </is>
      </c>
      <c r="B544" s="1" t="n">
        <v>44179</v>
      </c>
      <c r="C544" s="1" t="n">
        <v>45363</v>
      </c>
      <c r="D544" t="inlineStr">
        <is>
          <t>JÄMTLANDS LÄN</t>
        </is>
      </c>
      <c r="E544" t="inlineStr">
        <is>
          <t>STRÖMSUND</t>
        </is>
      </c>
      <c r="F544" t="inlineStr">
        <is>
          <t>SCA</t>
        </is>
      </c>
      <c r="G544" t="n">
        <v>22.4</v>
      </c>
      <c r="H544" t="n">
        <v>0</v>
      </c>
      <c r="I544" t="n">
        <v>0</v>
      </c>
      <c r="J544" t="n">
        <v>2</v>
      </c>
      <c r="K544" t="n">
        <v>2</v>
      </c>
      <c r="L544" t="n">
        <v>0</v>
      </c>
      <c r="M544" t="n">
        <v>0</v>
      </c>
      <c r="N544" t="n">
        <v>0</v>
      </c>
      <c r="O544" t="n">
        <v>4</v>
      </c>
      <c r="P544" t="n">
        <v>2</v>
      </c>
      <c r="Q544" t="n">
        <v>4</v>
      </c>
      <c r="R544" s="2" t="inlineStr">
        <is>
          <t>Liten sotlav
Norsk näverlav
Gränsticka
Harticka</t>
        </is>
      </c>
      <c r="S544">
        <f>HYPERLINK("https://klasma.github.io/Logging_2313/artfynd/A 66729-2020 artfynd.xlsx", "A 66729-2020")</f>
        <v/>
      </c>
      <c r="T544">
        <f>HYPERLINK("https://klasma.github.io/Logging_2313/kartor/A 66729-2020 karta.png", "A 66729-2020")</f>
        <v/>
      </c>
      <c r="V544">
        <f>HYPERLINK("https://klasma.github.io/Logging_2313/klagomål/A 66729-2020 FSC-klagomål.docx", "A 66729-2020")</f>
        <v/>
      </c>
      <c r="W544">
        <f>HYPERLINK("https://klasma.github.io/Logging_2313/klagomålsmail/A 66729-2020 FSC-klagomål mail.docx", "A 66729-2020")</f>
        <v/>
      </c>
      <c r="X544">
        <f>HYPERLINK("https://klasma.github.io/Logging_2313/tillsyn/A 66729-2020 tillsynsbegäran.docx", "A 66729-2020")</f>
        <v/>
      </c>
      <c r="Y544">
        <f>HYPERLINK("https://klasma.github.io/Logging_2313/tillsynsmail/A 66729-2020 tillsynsbegäran mail.docx", "A 66729-2020")</f>
        <v/>
      </c>
    </row>
    <row r="545" ht="15" customHeight="1">
      <c r="A545" t="inlineStr">
        <is>
          <t>A 69317-2020</t>
        </is>
      </c>
      <c r="B545" s="1" t="n">
        <v>44193</v>
      </c>
      <c r="C545" s="1" t="n">
        <v>45363</v>
      </c>
      <c r="D545" t="inlineStr">
        <is>
          <t>JÄMTLANDS LÄN</t>
        </is>
      </c>
      <c r="E545" t="inlineStr">
        <is>
          <t>ÅRE</t>
        </is>
      </c>
      <c r="G545" t="n">
        <v>10.3</v>
      </c>
      <c r="H545" t="n">
        <v>2</v>
      </c>
      <c r="I545" t="n">
        <v>0</v>
      </c>
      <c r="J545" t="n">
        <v>4</v>
      </c>
      <c r="K545" t="n">
        <v>0</v>
      </c>
      <c r="L545" t="n">
        <v>0</v>
      </c>
      <c r="M545" t="n">
        <v>0</v>
      </c>
      <c r="N545" t="n">
        <v>0</v>
      </c>
      <c r="O545" t="n">
        <v>4</v>
      </c>
      <c r="P545" t="n">
        <v>0</v>
      </c>
      <c r="Q545" t="n">
        <v>4</v>
      </c>
      <c r="R545" s="2" t="inlineStr">
        <is>
          <t>Garnlav
Granticka
Spillkråka
Tretåig hackspett</t>
        </is>
      </c>
      <c r="S545">
        <f>HYPERLINK("https://klasma.github.io/Logging_2321/artfynd/A 69317-2020 artfynd.xlsx", "A 69317-2020")</f>
        <v/>
      </c>
      <c r="T545">
        <f>HYPERLINK("https://klasma.github.io/Logging_2321/kartor/A 69317-2020 karta.png", "A 69317-2020")</f>
        <v/>
      </c>
      <c r="V545">
        <f>HYPERLINK("https://klasma.github.io/Logging_2321/klagomål/A 69317-2020 FSC-klagomål.docx", "A 69317-2020")</f>
        <v/>
      </c>
      <c r="W545">
        <f>HYPERLINK("https://klasma.github.io/Logging_2321/klagomålsmail/A 69317-2020 FSC-klagomål mail.docx", "A 69317-2020")</f>
        <v/>
      </c>
      <c r="X545">
        <f>HYPERLINK("https://klasma.github.io/Logging_2321/tillsyn/A 69317-2020 tillsynsbegäran.docx", "A 69317-2020")</f>
        <v/>
      </c>
      <c r="Y545">
        <f>HYPERLINK("https://klasma.github.io/Logging_2321/tillsynsmail/A 69317-2020 tillsynsbegäran mail.docx", "A 69317-2020")</f>
        <v/>
      </c>
      <c r="Z545">
        <f>HYPERLINK("https://klasma.github.io/Logging_2321/fåglar/A 69317-2020 prioriterade fågelarter.docx", "A 69317-2020")</f>
        <v/>
      </c>
    </row>
    <row r="546" ht="15" customHeight="1">
      <c r="A546" t="inlineStr">
        <is>
          <t>A 69641-2020</t>
        </is>
      </c>
      <c r="B546" s="1" t="n">
        <v>44195</v>
      </c>
      <c r="C546" s="1" t="n">
        <v>45363</v>
      </c>
      <c r="D546" t="inlineStr">
        <is>
          <t>JÄMTLANDS LÄN</t>
        </is>
      </c>
      <c r="E546" t="inlineStr">
        <is>
          <t>STRÖMSUND</t>
        </is>
      </c>
      <c r="G546" t="n">
        <v>15.8</v>
      </c>
      <c r="H546" t="n">
        <v>1</v>
      </c>
      <c r="I546" t="n">
        <v>3</v>
      </c>
      <c r="J546" t="n">
        <v>0</v>
      </c>
      <c r="K546" t="n">
        <v>0</v>
      </c>
      <c r="L546" t="n">
        <v>0</v>
      </c>
      <c r="M546" t="n">
        <v>0</v>
      </c>
      <c r="N546" t="n">
        <v>0</v>
      </c>
      <c r="O546" t="n">
        <v>0</v>
      </c>
      <c r="P546" t="n">
        <v>0</v>
      </c>
      <c r="Q546" t="n">
        <v>4</v>
      </c>
      <c r="R546" s="2" t="inlineStr">
        <is>
          <t>Finbräken
Kransrams
Stuplav
Blåsippa</t>
        </is>
      </c>
      <c r="S546">
        <f>HYPERLINK("https://klasma.github.io/Logging_2313/artfynd/A 69641-2020 artfynd.xlsx", "A 69641-2020")</f>
        <v/>
      </c>
      <c r="T546">
        <f>HYPERLINK("https://klasma.github.io/Logging_2313/kartor/A 69641-2020 karta.png", "A 69641-2020")</f>
        <v/>
      </c>
      <c r="V546">
        <f>HYPERLINK("https://klasma.github.io/Logging_2313/klagomål/A 69641-2020 FSC-klagomål.docx", "A 69641-2020")</f>
        <v/>
      </c>
      <c r="W546">
        <f>HYPERLINK("https://klasma.github.io/Logging_2313/klagomålsmail/A 69641-2020 FSC-klagomål mail.docx", "A 69641-2020")</f>
        <v/>
      </c>
      <c r="X546">
        <f>HYPERLINK("https://klasma.github.io/Logging_2313/tillsyn/A 69641-2020 tillsynsbegäran.docx", "A 69641-2020")</f>
        <v/>
      </c>
      <c r="Y546">
        <f>HYPERLINK("https://klasma.github.io/Logging_2313/tillsynsmail/A 69641-2020 tillsynsbegäran mail.docx", "A 69641-2020")</f>
        <v/>
      </c>
    </row>
    <row r="547" ht="15" customHeight="1">
      <c r="A547" t="inlineStr">
        <is>
          <t>A 6236-2021</t>
        </is>
      </c>
      <c r="B547" s="1" t="n">
        <v>44231</v>
      </c>
      <c r="C547" s="1" t="n">
        <v>45363</v>
      </c>
      <c r="D547" t="inlineStr">
        <is>
          <t>JÄMTLANDS LÄN</t>
        </is>
      </c>
      <c r="E547" t="inlineStr">
        <is>
          <t>ÅRE</t>
        </is>
      </c>
      <c r="G547" t="n">
        <v>39.1</v>
      </c>
      <c r="H547" t="n">
        <v>0</v>
      </c>
      <c r="I547" t="n">
        <v>3</v>
      </c>
      <c r="J547" t="n">
        <v>1</v>
      </c>
      <c r="K547" t="n">
        <v>0</v>
      </c>
      <c r="L547" t="n">
        <v>0</v>
      </c>
      <c r="M547" t="n">
        <v>0</v>
      </c>
      <c r="N547" t="n">
        <v>0</v>
      </c>
      <c r="O547" t="n">
        <v>1</v>
      </c>
      <c r="P547" t="n">
        <v>0</v>
      </c>
      <c r="Q547" t="n">
        <v>4</v>
      </c>
      <c r="R547" s="2" t="inlineStr">
        <is>
          <t>Garnlav
Bårdlav
Gytterlav
Stuplav</t>
        </is>
      </c>
      <c r="S547">
        <f>HYPERLINK("https://klasma.github.io/Logging_2321/artfynd/A 6236-2021 artfynd.xlsx", "A 6236-2021")</f>
        <v/>
      </c>
      <c r="T547">
        <f>HYPERLINK("https://klasma.github.io/Logging_2321/kartor/A 6236-2021 karta.png", "A 6236-2021")</f>
        <v/>
      </c>
      <c r="V547">
        <f>HYPERLINK("https://klasma.github.io/Logging_2321/klagomål/A 6236-2021 FSC-klagomål.docx", "A 6236-2021")</f>
        <v/>
      </c>
      <c r="W547">
        <f>HYPERLINK("https://klasma.github.io/Logging_2321/klagomålsmail/A 6236-2021 FSC-klagomål mail.docx", "A 6236-2021")</f>
        <v/>
      </c>
      <c r="X547">
        <f>HYPERLINK("https://klasma.github.io/Logging_2321/tillsyn/A 6236-2021 tillsynsbegäran.docx", "A 6236-2021")</f>
        <v/>
      </c>
      <c r="Y547">
        <f>HYPERLINK("https://klasma.github.io/Logging_2321/tillsynsmail/A 6236-2021 tillsynsbegäran mail.docx", "A 6236-2021")</f>
        <v/>
      </c>
    </row>
    <row r="548" ht="15" customHeight="1">
      <c r="A548" t="inlineStr">
        <is>
          <t>A 8636-2021</t>
        </is>
      </c>
      <c r="B548" s="1" t="n">
        <v>44245</v>
      </c>
      <c r="C548" s="1" t="n">
        <v>45363</v>
      </c>
      <c r="D548" t="inlineStr">
        <is>
          <t>JÄMTLANDS LÄN</t>
        </is>
      </c>
      <c r="E548" t="inlineStr">
        <is>
          <t>RAGUNDA</t>
        </is>
      </c>
      <c r="F548" t="inlineStr">
        <is>
          <t>SCA</t>
        </is>
      </c>
      <c r="G548" t="n">
        <v>6.9</v>
      </c>
      <c r="H548" t="n">
        <v>0</v>
      </c>
      <c r="I548" t="n">
        <v>3</v>
      </c>
      <c r="J548" t="n">
        <v>1</v>
      </c>
      <c r="K548" t="n">
        <v>0</v>
      </c>
      <c r="L548" t="n">
        <v>0</v>
      </c>
      <c r="M548" t="n">
        <v>0</v>
      </c>
      <c r="N548" t="n">
        <v>0</v>
      </c>
      <c r="O548" t="n">
        <v>1</v>
      </c>
      <c r="P548" t="n">
        <v>0</v>
      </c>
      <c r="Q548" t="n">
        <v>4</v>
      </c>
      <c r="R548" s="2" t="inlineStr">
        <is>
          <t>Lunglav
Luddlav
Skinnlav
Stuplav</t>
        </is>
      </c>
      <c r="S548">
        <f>HYPERLINK("https://klasma.github.io/Logging_2303/artfynd/A 8636-2021 artfynd.xlsx", "A 8636-2021")</f>
        <v/>
      </c>
      <c r="T548">
        <f>HYPERLINK("https://klasma.github.io/Logging_2303/kartor/A 8636-2021 karta.png", "A 8636-2021")</f>
        <v/>
      </c>
      <c r="V548">
        <f>HYPERLINK("https://klasma.github.io/Logging_2303/klagomål/A 8636-2021 FSC-klagomål.docx", "A 8636-2021")</f>
        <v/>
      </c>
      <c r="W548">
        <f>HYPERLINK("https://klasma.github.io/Logging_2303/klagomålsmail/A 8636-2021 FSC-klagomål mail.docx", "A 8636-2021")</f>
        <v/>
      </c>
      <c r="X548">
        <f>HYPERLINK("https://klasma.github.io/Logging_2303/tillsyn/A 8636-2021 tillsynsbegäran.docx", "A 8636-2021")</f>
        <v/>
      </c>
      <c r="Y548">
        <f>HYPERLINK("https://klasma.github.io/Logging_2303/tillsynsmail/A 8636-2021 tillsynsbegäran mail.docx", "A 8636-2021")</f>
        <v/>
      </c>
    </row>
    <row r="549" ht="15" customHeight="1">
      <c r="A549" t="inlineStr">
        <is>
          <t>A 16680-2021</t>
        </is>
      </c>
      <c r="B549" s="1" t="n">
        <v>44294</v>
      </c>
      <c r="C549" s="1" t="n">
        <v>45363</v>
      </c>
      <c r="D549" t="inlineStr">
        <is>
          <t>JÄMTLANDS LÄN</t>
        </is>
      </c>
      <c r="E549" t="inlineStr">
        <is>
          <t>HÄRJEDALEN</t>
        </is>
      </c>
      <c r="G549" t="n">
        <v>5.7</v>
      </c>
      <c r="H549" t="n">
        <v>0</v>
      </c>
      <c r="I549" t="n">
        <v>3</v>
      </c>
      <c r="J549" t="n">
        <v>1</v>
      </c>
      <c r="K549" t="n">
        <v>0</v>
      </c>
      <c r="L549" t="n">
        <v>0</v>
      </c>
      <c r="M549" t="n">
        <v>0</v>
      </c>
      <c r="N549" t="n">
        <v>0</v>
      </c>
      <c r="O549" t="n">
        <v>1</v>
      </c>
      <c r="P549" t="n">
        <v>0</v>
      </c>
      <c r="Q549" t="n">
        <v>4</v>
      </c>
      <c r="R549" s="2" t="inlineStr">
        <is>
          <t>Vitgrynig nållav
Bronshjon
Bårdlav
Stuplav</t>
        </is>
      </c>
      <c r="S549">
        <f>HYPERLINK("https://klasma.github.io/Logging_2361/artfynd/A 16680-2021 artfynd.xlsx", "A 16680-2021")</f>
        <v/>
      </c>
      <c r="T549">
        <f>HYPERLINK("https://klasma.github.io/Logging_2361/kartor/A 16680-2021 karta.png", "A 16680-2021")</f>
        <v/>
      </c>
      <c r="V549">
        <f>HYPERLINK("https://klasma.github.io/Logging_2361/klagomål/A 16680-2021 FSC-klagomål.docx", "A 16680-2021")</f>
        <v/>
      </c>
      <c r="W549">
        <f>HYPERLINK("https://klasma.github.io/Logging_2361/klagomålsmail/A 16680-2021 FSC-klagomål mail.docx", "A 16680-2021")</f>
        <v/>
      </c>
      <c r="X549">
        <f>HYPERLINK("https://klasma.github.io/Logging_2361/tillsyn/A 16680-2021 tillsynsbegäran.docx", "A 16680-2021")</f>
        <v/>
      </c>
      <c r="Y549">
        <f>HYPERLINK("https://klasma.github.io/Logging_2361/tillsynsmail/A 16680-2021 tillsynsbegäran mail.docx", "A 16680-2021")</f>
        <v/>
      </c>
    </row>
    <row r="550" ht="15" customHeight="1">
      <c r="A550" t="inlineStr">
        <is>
          <t>A 16691-2021</t>
        </is>
      </c>
      <c r="B550" s="1" t="n">
        <v>44294</v>
      </c>
      <c r="C550" s="1" t="n">
        <v>45363</v>
      </c>
      <c r="D550" t="inlineStr">
        <is>
          <t>JÄMTLANDS LÄN</t>
        </is>
      </c>
      <c r="E550" t="inlineStr">
        <is>
          <t>HÄRJEDALEN</t>
        </is>
      </c>
      <c r="G550" t="n">
        <v>4.2</v>
      </c>
      <c r="H550" t="n">
        <v>0</v>
      </c>
      <c r="I550" t="n">
        <v>1</v>
      </c>
      <c r="J550" t="n">
        <v>3</v>
      </c>
      <c r="K550" t="n">
        <v>0</v>
      </c>
      <c r="L550" t="n">
        <v>0</v>
      </c>
      <c r="M550" t="n">
        <v>0</v>
      </c>
      <c r="N550" t="n">
        <v>0</v>
      </c>
      <c r="O550" t="n">
        <v>3</v>
      </c>
      <c r="P550" t="n">
        <v>0</v>
      </c>
      <c r="Q550" t="n">
        <v>4</v>
      </c>
      <c r="R550" s="2" t="inlineStr">
        <is>
          <t>Granticka
Knottrig blåslav
Vitgrynig nållav
Kornig nållav</t>
        </is>
      </c>
      <c r="S550">
        <f>HYPERLINK("https://klasma.github.io/Logging_2361/artfynd/A 16691-2021 artfynd.xlsx", "A 16691-2021")</f>
        <v/>
      </c>
      <c r="T550">
        <f>HYPERLINK("https://klasma.github.io/Logging_2361/kartor/A 16691-2021 karta.png", "A 16691-2021")</f>
        <v/>
      </c>
      <c r="V550">
        <f>HYPERLINK("https://klasma.github.io/Logging_2361/klagomål/A 16691-2021 FSC-klagomål.docx", "A 16691-2021")</f>
        <v/>
      </c>
      <c r="W550">
        <f>HYPERLINK("https://klasma.github.io/Logging_2361/klagomålsmail/A 16691-2021 FSC-klagomål mail.docx", "A 16691-2021")</f>
        <v/>
      </c>
      <c r="X550">
        <f>HYPERLINK("https://klasma.github.io/Logging_2361/tillsyn/A 16691-2021 tillsynsbegäran.docx", "A 16691-2021")</f>
        <v/>
      </c>
      <c r="Y550">
        <f>HYPERLINK("https://klasma.github.io/Logging_2361/tillsynsmail/A 16691-2021 tillsynsbegäran mail.docx", "A 16691-2021")</f>
        <v/>
      </c>
    </row>
    <row r="551" ht="15" customHeight="1">
      <c r="A551" t="inlineStr">
        <is>
          <t>A 19277-2021</t>
        </is>
      </c>
      <c r="B551" s="1" t="n">
        <v>44309</v>
      </c>
      <c r="C551" s="1" t="n">
        <v>45363</v>
      </c>
      <c r="D551" t="inlineStr">
        <is>
          <t>JÄMTLANDS LÄN</t>
        </is>
      </c>
      <c r="E551" t="inlineStr">
        <is>
          <t>ÅRE</t>
        </is>
      </c>
      <c r="G551" t="n">
        <v>3.2</v>
      </c>
      <c r="H551" t="n">
        <v>0</v>
      </c>
      <c r="I551" t="n">
        <v>2</v>
      </c>
      <c r="J551" t="n">
        <v>2</v>
      </c>
      <c r="K551" t="n">
        <v>0</v>
      </c>
      <c r="L551" t="n">
        <v>0</v>
      </c>
      <c r="M551" t="n">
        <v>0</v>
      </c>
      <c r="N551" t="n">
        <v>0</v>
      </c>
      <c r="O551" t="n">
        <v>2</v>
      </c>
      <c r="P551" t="n">
        <v>0</v>
      </c>
      <c r="Q551" t="n">
        <v>4</v>
      </c>
      <c r="R551" s="2" t="inlineStr">
        <is>
          <t>Garnlav
Gränsticka
Korallblylav
Stuplav</t>
        </is>
      </c>
      <c r="S551">
        <f>HYPERLINK("https://klasma.github.io/Logging_2321/artfynd/A 19277-2021 artfynd.xlsx", "A 19277-2021")</f>
        <v/>
      </c>
      <c r="T551">
        <f>HYPERLINK("https://klasma.github.io/Logging_2321/kartor/A 19277-2021 karta.png", "A 19277-2021")</f>
        <v/>
      </c>
      <c r="V551">
        <f>HYPERLINK("https://klasma.github.io/Logging_2321/klagomål/A 19277-2021 FSC-klagomål.docx", "A 19277-2021")</f>
        <v/>
      </c>
      <c r="W551">
        <f>HYPERLINK("https://klasma.github.io/Logging_2321/klagomålsmail/A 19277-2021 FSC-klagomål mail.docx", "A 19277-2021")</f>
        <v/>
      </c>
      <c r="X551">
        <f>HYPERLINK("https://klasma.github.io/Logging_2321/tillsyn/A 19277-2021 tillsynsbegäran.docx", "A 19277-2021")</f>
        <v/>
      </c>
      <c r="Y551">
        <f>HYPERLINK("https://klasma.github.io/Logging_2321/tillsynsmail/A 19277-2021 tillsynsbegäran mail.docx", "A 19277-2021")</f>
        <v/>
      </c>
    </row>
    <row r="552" ht="15" customHeight="1">
      <c r="A552" t="inlineStr">
        <is>
          <t>A 23682-2021</t>
        </is>
      </c>
      <c r="B552" s="1" t="n">
        <v>44334</v>
      </c>
      <c r="C552" s="1" t="n">
        <v>45363</v>
      </c>
      <c r="D552" t="inlineStr">
        <is>
          <t>JÄMTLANDS LÄN</t>
        </is>
      </c>
      <c r="E552" t="inlineStr">
        <is>
          <t>RAGUNDA</t>
        </is>
      </c>
      <c r="G552" t="n">
        <v>9.199999999999999</v>
      </c>
      <c r="H552" t="n">
        <v>1</v>
      </c>
      <c r="I552" t="n">
        <v>0</v>
      </c>
      <c r="J552" t="n">
        <v>3</v>
      </c>
      <c r="K552" t="n">
        <v>1</v>
      </c>
      <c r="L552" t="n">
        <v>0</v>
      </c>
      <c r="M552" t="n">
        <v>0</v>
      </c>
      <c r="N552" t="n">
        <v>0</v>
      </c>
      <c r="O552" t="n">
        <v>4</v>
      </c>
      <c r="P552" t="n">
        <v>1</v>
      </c>
      <c r="Q552" t="n">
        <v>4</v>
      </c>
      <c r="R552" s="2" t="inlineStr">
        <is>
          <t>Knärot
Garnlav
Lunglav
Rosenticka</t>
        </is>
      </c>
      <c r="S552">
        <f>HYPERLINK("https://klasma.github.io/Logging_2303/artfynd/A 23682-2021 artfynd.xlsx", "A 23682-2021")</f>
        <v/>
      </c>
      <c r="T552">
        <f>HYPERLINK("https://klasma.github.io/Logging_2303/kartor/A 23682-2021 karta.png", "A 23682-2021")</f>
        <v/>
      </c>
      <c r="U552">
        <f>HYPERLINK("https://klasma.github.io/Logging_2303/knärot/A 23682-2021 karta knärot.png", "A 23682-2021")</f>
        <v/>
      </c>
      <c r="V552">
        <f>HYPERLINK("https://klasma.github.io/Logging_2303/klagomål/A 23682-2021 FSC-klagomål.docx", "A 23682-2021")</f>
        <v/>
      </c>
      <c r="W552">
        <f>HYPERLINK("https://klasma.github.io/Logging_2303/klagomålsmail/A 23682-2021 FSC-klagomål mail.docx", "A 23682-2021")</f>
        <v/>
      </c>
      <c r="X552">
        <f>HYPERLINK("https://klasma.github.io/Logging_2303/tillsyn/A 23682-2021 tillsynsbegäran.docx", "A 23682-2021")</f>
        <v/>
      </c>
      <c r="Y552">
        <f>HYPERLINK("https://klasma.github.io/Logging_2303/tillsynsmail/A 23682-2021 tillsynsbegäran mail.docx", "A 23682-2021")</f>
        <v/>
      </c>
    </row>
    <row r="553" ht="15" customHeight="1">
      <c r="A553" t="inlineStr">
        <is>
          <t>A 23676-2021</t>
        </is>
      </c>
      <c r="B553" s="1" t="n">
        <v>44334</v>
      </c>
      <c r="C553" s="1" t="n">
        <v>45363</v>
      </c>
      <c r="D553" t="inlineStr">
        <is>
          <t>JÄMTLANDS LÄN</t>
        </is>
      </c>
      <c r="E553" t="inlineStr">
        <is>
          <t>RAGUNDA</t>
        </is>
      </c>
      <c r="G553" t="n">
        <v>8.5</v>
      </c>
      <c r="H553" t="n">
        <v>1</v>
      </c>
      <c r="I553" t="n">
        <v>1</v>
      </c>
      <c r="J553" t="n">
        <v>3</v>
      </c>
      <c r="K553" t="n">
        <v>0</v>
      </c>
      <c r="L553" t="n">
        <v>0</v>
      </c>
      <c r="M553" t="n">
        <v>0</v>
      </c>
      <c r="N553" t="n">
        <v>0</v>
      </c>
      <c r="O553" t="n">
        <v>3</v>
      </c>
      <c r="P553" t="n">
        <v>0</v>
      </c>
      <c r="Q553" t="n">
        <v>4</v>
      </c>
      <c r="R553" s="2" t="inlineStr">
        <is>
          <t>Lunglav
Rosenticka
Tretåig hackspett
Strutbräken</t>
        </is>
      </c>
      <c r="S553">
        <f>HYPERLINK("https://klasma.github.io/Logging_2303/artfynd/A 23676-2021 artfynd.xlsx", "A 23676-2021")</f>
        <v/>
      </c>
      <c r="T553">
        <f>HYPERLINK("https://klasma.github.io/Logging_2303/kartor/A 23676-2021 karta.png", "A 23676-2021")</f>
        <v/>
      </c>
      <c r="V553">
        <f>HYPERLINK("https://klasma.github.io/Logging_2303/klagomål/A 23676-2021 FSC-klagomål.docx", "A 23676-2021")</f>
        <v/>
      </c>
      <c r="W553">
        <f>HYPERLINK("https://klasma.github.io/Logging_2303/klagomålsmail/A 23676-2021 FSC-klagomål mail.docx", "A 23676-2021")</f>
        <v/>
      </c>
      <c r="X553">
        <f>HYPERLINK("https://klasma.github.io/Logging_2303/tillsyn/A 23676-2021 tillsynsbegäran.docx", "A 23676-2021")</f>
        <v/>
      </c>
      <c r="Y553">
        <f>HYPERLINK("https://klasma.github.io/Logging_2303/tillsynsmail/A 23676-2021 tillsynsbegäran mail.docx", "A 23676-2021")</f>
        <v/>
      </c>
      <c r="Z553">
        <f>HYPERLINK("https://klasma.github.io/Logging_2303/fåglar/A 23676-2021 prioriterade fågelarter.docx", "A 23676-2021")</f>
        <v/>
      </c>
    </row>
    <row r="554" ht="15" customHeight="1">
      <c r="A554" t="inlineStr">
        <is>
          <t>A 23663-2021</t>
        </is>
      </c>
      <c r="B554" s="1" t="n">
        <v>44334</v>
      </c>
      <c r="C554" s="1" t="n">
        <v>45363</v>
      </c>
      <c r="D554" t="inlineStr">
        <is>
          <t>JÄMTLANDS LÄN</t>
        </is>
      </c>
      <c r="E554" t="inlineStr">
        <is>
          <t>RAGUNDA</t>
        </is>
      </c>
      <c r="G554" t="n">
        <v>9.199999999999999</v>
      </c>
      <c r="H554" t="n">
        <v>1</v>
      </c>
      <c r="I554" t="n">
        <v>0</v>
      </c>
      <c r="J554" t="n">
        <v>3</v>
      </c>
      <c r="K554" t="n">
        <v>1</v>
      </c>
      <c r="L554" t="n">
        <v>0</v>
      </c>
      <c r="M554" t="n">
        <v>0</v>
      </c>
      <c r="N554" t="n">
        <v>0</v>
      </c>
      <c r="O554" t="n">
        <v>4</v>
      </c>
      <c r="P554" t="n">
        <v>1</v>
      </c>
      <c r="Q554" t="n">
        <v>4</v>
      </c>
      <c r="R554" s="2" t="inlineStr">
        <is>
          <t>Knärot
Garnlav
Lunglav
Rosenticka</t>
        </is>
      </c>
      <c r="S554">
        <f>HYPERLINK("https://klasma.github.io/Logging_2303/artfynd/A 23663-2021 artfynd.xlsx", "A 23663-2021")</f>
        <v/>
      </c>
      <c r="T554">
        <f>HYPERLINK("https://klasma.github.io/Logging_2303/kartor/A 23663-2021 karta.png", "A 23663-2021")</f>
        <v/>
      </c>
      <c r="U554">
        <f>HYPERLINK("https://klasma.github.io/Logging_2303/knärot/A 23663-2021 karta knärot.png", "A 23663-2021")</f>
        <v/>
      </c>
      <c r="V554">
        <f>HYPERLINK("https://klasma.github.io/Logging_2303/klagomål/A 23663-2021 FSC-klagomål.docx", "A 23663-2021")</f>
        <v/>
      </c>
      <c r="W554">
        <f>HYPERLINK("https://klasma.github.io/Logging_2303/klagomålsmail/A 23663-2021 FSC-klagomål mail.docx", "A 23663-2021")</f>
        <v/>
      </c>
      <c r="X554">
        <f>HYPERLINK("https://klasma.github.io/Logging_2303/tillsyn/A 23663-2021 tillsynsbegäran.docx", "A 23663-2021")</f>
        <v/>
      </c>
      <c r="Y554">
        <f>HYPERLINK("https://klasma.github.io/Logging_2303/tillsynsmail/A 23663-2021 tillsynsbegäran mail.docx", "A 23663-2021")</f>
        <v/>
      </c>
    </row>
    <row r="555" ht="15" customHeight="1">
      <c r="A555" t="inlineStr">
        <is>
          <t>A 26126-2021</t>
        </is>
      </c>
      <c r="B555" s="1" t="n">
        <v>44345</v>
      </c>
      <c r="C555" s="1" t="n">
        <v>45363</v>
      </c>
      <c r="D555" t="inlineStr">
        <is>
          <t>JÄMTLANDS LÄN</t>
        </is>
      </c>
      <c r="E555" t="inlineStr">
        <is>
          <t>STRÖMSUND</t>
        </is>
      </c>
      <c r="F555" t="inlineStr">
        <is>
          <t>SCA</t>
        </is>
      </c>
      <c r="G555" t="n">
        <v>2.4</v>
      </c>
      <c r="H555" t="n">
        <v>0</v>
      </c>
      <c r="I555" t="n">
        <v>3</v>
      </c>
      <c r="J555" t="n">
        <v>1</v>
      </c>
      <c r="K555" t="n">
        <v>0</v>
      </c>
      <c r="L555" t="n">
        <v>0</v>
      </c>
      <c r="M555" t="n">
        <v>0</v>
      </c>
      <c r="N555" t="n">
        <v>0</v>
      </c>
      <c r="O555" t="n">
        <v>1</v>
      </c>
      <c r="P555" t="n">
        <v>0</v>
      </c>
      <c r="Q555" t="n">
        <v>4</v>
      </c>
      <c r="R555" s="2" t="inlineStr">
        <is>
          <t>Violettgrå tagellav
Skinnlav
Stuplav
Vedticka</t>
        </is>
      </c>
      <c r="S555">
        <f>HYPERLINK("https://klasma.github.io/Logging_2313/artfynd/A 26126-2021 artfynd.xlsx", "A 26126-2021")</f>
        <v/>
      </c>
      <c r="T555">
        <f>HYPERLINK("https://klasma.github.io/Logging_2313/kartor/A 26126-2021 karta.png", "A 26126-2021")</f>
        <v/>
      </c>
      <c r="V555">
        <f>HYPERLINK("https://klasma.github.io/Logging_2313/klagomål/A 26126-2021 FSC-klagomål.docx", "A 26126-2021")</f>
        <v/>
      </c>
      <c r="W555">
        <f>HYPERLINK("https://klasma.github.io/Logging_2313/klagomålsmail/A 26126-2021 FSC-klagomål mail.docx", "A 26126-2021")</f>
        <v/>
      </c>
      <c r="X555">
        <f>HYPERLINK("https://klasma.github.io/Logging_2313/tillsyn/A 26126-2021 tillsynsbegäran.docx", "A 26126-2021")</f>
        <v/>
      </c>
      <c r="Y555">
        <f>HYPERLINK("https://klasma.github.io/Logging_2313/tillsynsmail/A 26126-2021 tillsynsbegäran mail.docx", "A 26126-2021")</f>
        <v/>
      </c>
    </row>
    <row r="556" ht="15" customHeight="1">
      <c r="A556" t="inlineStr">
        <is>
          <t>A 26672-2021</t>
        </is>
      </c>
      <c r="B556" s="1" t="n">
        <v>44348</v>
      </c>
      <c r="C556" s="1" t="n">
        <v>45363</v>
      </c>
      <c r="D556" t="inlineStr">
        <is>
          <t>JÄMTLANDS LÄN</t>
        </is>
      </c>
      <c r="E556" t="inlineStr">
        <is>
          <t>BRÄCKE</t>
        </is>
      </c>
      <c r="F556" t="inlineStr">
        <is>
          <t>SCA</t>
        </is>
      </c>
      <c r="G556" t="n">
        <v>9.4</v>
      </c>
      <c r="H556" t="n">
        <v>1</v>
      </c>
      <c r="I556" t="n">
        <v>1</v>
      </c>
      <c r="J556" t="n">
        <v>2</v>
      </c>
      <c r="K556" t="n">
        <v>0</v>
      </c>
      <c r="L556" t="n">
        <v>0</v>
      </c>
      <c r="M556" t="n">
        <v>0</v>
      </c>
      <c r="N556" t="n">
        <v>0</v>
      </c>
      <c r="O556" t="n">
        <v>2</v>
      </c>
      <c r="P556" t="n">
        <v>0</v>
      </c>
      <c r="Q556" t="n">
        <v>4</v>
      </c>
      <c r="R556" s="2" t="inlineStr">
        <is>
          <t>Lunglav
Vedtrappmossa
Stuplav
Revlummer</t>
        </is>
      </c>
      <c r="S556">
        <f>HYPERLINK("https://klasma.github.io/Logging_2305/artfynd/A 26672-2021 artfynd.xlsx", "A 26672-2021")</f>
        <v/>
      </c>
      <c r="T556">
        <f>HYPERLINK("https://klasma.github.io/Logging_2305/kartor/A 26672-2021 karta.png", "A 26672-2021")</f>
        <v/>
      </c>
      <c r="V556">
        <f>HYPERLINK("https://klasma.github.io/Logging_2305/klagomål/A 26672-2021 FSC-klagomål.docx", "A 26672-2021")</f>
        <v/>
      </c>
      <c r="W556">
        <f>HYPERLINK("https://klasma.github.io/Logging_2305/klagomålsmail/A 26672-2021 FSC-klagomål mail.docx", "A 26672-2021")</f>
        <v/>
      </c>
      <c r="X556">
        <f>HYPERLINK("https://klasma.github.io/Logging_2305/tillsyn/A 26672-2021 tillsynsbegäran.docx", "A 26672-2021")</f>
        <v/>
      </c>
      <c r="Y556">
        <f>HYPERLINK("https://klasma.github.io/Logging_2305/tillsynsmail/A 26672-2021 tillsynsbegäran mail.docx", "A 26672-2021")</f>
        <v/>
      </c>
    </row>
    <row r="557" ht="15" customHeight="1">
      <c r="A557" t="inlineStr">
        <is>
          <t>A 32277-2021</t>
        </is>
      </c>
      <c r="B557" s="1" t="n">
        <v>44371</v>
      </c>
      <c r="C557" s="1" t="n">
        <v>45363</v>
      </c>
      <c r="D557" t="inlineStr">
        <is>
          <t>JÄMTLANDS LÄN</t>
        </is>
      </c>
      <c r="E557" t="inlineStr">
        <is>
          <t>STRÖMSUND</t>
        </is>
      </c>
      <c r="F557" t="inlineStr">
        <is>
          <t>SCA</t>
        </is>
      </c>
      <c r="G557" t="n">
        <v>17.6</v>
      </c>
      <c r="H557" t="n">
        <v>0</v>
      </c>
      <c r="I557" t="n">
        <v>0</v>
      </c>
      <c r="J557" t="n">
        <v>3</v>
      </c>
      <c r="K557" t="n">
        <v>1</v>
      </c>
      <c r="L557" t="n">
        <v>0</v>
      </c>
      <c r="M557" t="n">
        <v>0</v>
      </c>
      <c r="N557" t="n">
        <v>0</v>
      </c>
      <c r="O557" t="n">
        <v>4</v>
      </c>
      <c r="P557" t="n">
        <v>1</v>
      </c>
      <c r="Q557" t="n">
        <v>4</v>
      </c>
      <c r="R557" s="2" t="inlineStr">
        <is>
          <t>Norsk näverlav
Gränsticka
Harticka
Stjärntagging</t>
        </is>
      </c>
      <c r="S557">
        <f>HYPERLINK("https://klasma.github.io/Logging_2313/artfynd/A 32277-2021 artfynd.xlsx", "A 32277-2021")</f>
        <v/>
      </c>
      <c r="T557">
        <f>HYPERLINK("https://klasma.github.io/Logging_2313/kartor/A 32277-2021 karta.png", "A 32277-2021")</f>
        <v/>
      </c>
      <c r="V557">
        <f>HYPERLINK("https://klasma.github.io/Logging_2313/klagomål/A 32277-2021 FSC-klagomål.docx", "A 32277-2021")</f>
        <v/>
      </c>
      <c r="W557">
        <f>HYPERLINK("https://klasma.github.io/Logging_2313/klagomålsmail/A 32277-2021 FSC-klagomål mail.docx", "A 32277-2021")</f>
        <v/>
      </c>
      <c r="X557">
        <f>HYPERLINK("https://klasma.github.io/Logging_2313/tillsyn/A 32277-2021 tillsynsbegäran.docx", "A 32277-2021")</f>
        <v/>
      </c>
      <c r="Y557">
        <f>HYPERLINK("https://klasma.github.io/Logging_2313/tillsynsmail/A 32277-2021 tillsynsbegäran mail.docx", "A 32277-2021")</f>
        <v/>
      </c>
    </row>
    <row r="558" ht="15" customHeight="1">
      <c r="A558" t="inlineStr">
        <is>
          <t>A 32968-2021</t>
        </is>
      </c>
      <c r="B558" s="1" t="n">
        <v>44376</v>
      </c>
      <c r="C558" s="1" t="n">
        <v>45363</v>
      </c>
      <c r="D558" t="inlineStr">
        <is>
          <t>JÄMTLANDS LÄN</t>
        </is>
      </c>
      <c r="E558" t="inlineStr">
        <is>
          <t>STRÖMSUND</t>
        </is>
      </c>
      <c r="F558" t="inlineStr">
        <is>
          <t>SCA</t>
        </is>
      </c>
      <c r="G558" t="n">
        <v>34.3</v>
      </c>
      <c r="H558" t="n">
        <v>1</v>
      </c>
      <c r="I558" t="n">
        <v>0</v>
      </c>
      <c r="J558" t="n">
        <v>4</v>
      </c>
      <c r="K558" t="n">
        <v>0</v>
      </c>
      <c r="L558" t="n">
        <v>0</v>
      </c>
      <c r="M558" t="n">
        <v>0</v>
      </c>
      <c r="N558" t="n">
        <v>0</v>
      </c>
      <c r="O558" t="n">
        <v>4</v>
      </c>
      <c r="P558" t="n">
        <v>0</v>
      </c>
      <c r="Q558" t="n">
        <v>4</v>
      </c>
      <c r="R558" s="2" t="inlineStr">
        <is>
          <t>Granticka
Lunglav
Skrovellav
Tretåig hackspett</t>
        </is>
      </c>
      <c r="S558">
        <f>HYPERLINK("https://klasma.github.io/Logging_2313/artfynd/A 32968-2021 artfynd.xlsx", "A 32968-2021")</f>
        <v/>
      </c>
      <c r="T558">
        <f>HYPERLINK("https://klasma.github.io/Logging_2313/kartor/A 32968-2021 karta.png", "A 32968-2021")</f>
        <v/>
      </c>
      <c r="V558">
        <f>HYPERLINK("https://klasma.github.io/Logging_2313/klagomål/A 32968-2021 FSC-klagomål.docx", "A 32968-2021")</f>
        <v/>
      </c>
      <c r="W558">
        <f>HYPERLINK("https://klasma.github.io/Logging_2313/klagomålsmail/A 32968-2021 FSC-klagomål mail.docx", "A 32968-2021")</f>
        <v/>
      </c>
      <c r="X558">
        <f>HYPERLINK("https://klasma.github.io/Logging_2313/tillsyn/A 32968-2021 tillsynsbegäran.docx", "A 32968-2021")</f>
        <v/>
      </c>
      <c r="Y558">
        <f>HYPERLINK("https://klasma.github.io/Logging_2313/tillsynsmail/A 32968-2021 tillsynsbegäran mail.docx", "A 32968-2021")</f>
        <v/>
      </c>
      <c r="Z558">
        <f>HYPERLINK("https://klasma.github.io/Logging_2313/fåglar/A 32968-2021 prioriterade fågelarter.docx", "A 32968-2021")</f>
        <v/>
      </c>
    </row>
    <row r="559" ht="15" customHeight="1">
      <c r="A559" t="inlineStr">
        <is>
          <t>A 33543-2021</t>
        </is>
      </c>
      <c r="B559" s="1" t="n">
        <v>44378</v>
      </c>
      <c r="C559" s="1" t="n">
        <v>45363</v>
      </c>
      <c r="D559" t="inlineStr">
        <is>
          <t>JÄMTLANDS LÄN</t>
        </is>
      </c>
      <c r="E559" t="inlineStr">
        <is>
          <t>STRÖMSUND</t>
        </is>
      </c>
      <c r="G559" t="n">
        <v>4.5</v>
      </c>
      <c r="H559" t="n">
        <v>0</v>
      </c>
      <c r="I559" t="n">
        <v>1</v>
      </c>
      <c r="J559" t="n">
        <v>3</v>
      </c>
      <c r="K559" t="n">
        <v>0</v>
      </c>
      <c r="L559" t="n">
        <v>0</v>
      </c>
      <c r="M559" t="n">
        <v>0</v>
      </c>
      <c r="N559" t="n">
        <v>0</v>
      </c>
      <c r="O559" t="n">
        <v>3</v>
      </c>
      <c r="P559" t="n">
        <v>0</v>
      </c>
      <c r="Q559" t="n">
        <v>4</v>
      </c>
      <c r="R559" s="2" t="inlineStr">
        <is>
          <t>Garnlav
Lunglav
Vitgrynig nållav
Dvärgtufs</t>
        </is>
      </c>
      <c r="S559">
        <f>HYPERLINK("https://klasma.github.io/Logging_2313/artfynd/A 33543-2021 artfynd.xlsx", "A 33543-2021")</f>
        <v/>
      </c>
      <c r="T559">
        <f>HYPERLINK("https://klasma.github.io/Logging_2313/kartor/A 33543-2021 karta.png", "A 33543-2021")</f>
        <v/>
      </c>
      <c r="V559">
        <f>HYPERLINK("https://klasma.github.io/Logging_2313/klagomål/A 33543-2021 FSC-klagomål.docx", "A 33543-2021")</f>
        <v/>
      </c>
      <c r="W559">
        <f>HYPERLINK("https://klasma.github.io/Logging_2313/klagomålsmail/A 33543-2021 FSC-klagomål mail.docx", "A 33543-2021")</f>
        <v/>
      </c>
      <c r="X559">
        <f>HYPERLINK("https://klasma.github.io/Logging_2313/tillsyn/A 33543-2021 tillsynsbegäran.docx", "A 33543-2021")</f>
        <v/>
      </c>
      <c r="Y559">
        <f>HYPERLINK("https://klasma.github.io/Logging_2313/tillsynsmail/A 33543-2021 tillsynsbegäran mail.docx", "A 33543-2021")</f>
        <v/>
      </c>
    </row>
    <row r="560" ht="15" customHeight="1">
      <c r="A560" t="inlineStr">
        <is>
          <t>A 36820-2021</t>
        </is>
      </c>
      <c r="B560" s="1" t="n">
        <v>44392</v>
      </c>
      <c r="C560" s="1" t="n">
        <v>45363</v>
      </c>
      <c r="D560" t="inlineStr">
        <is>
          <t>JÄMTLANDS LÄN</t>
        </is>
      </c>
      <c r="E560" t="inlineStr">
        <is>
          <t>BRÄCKE</t>
        </is>
      </c>
      <c r="F560" t="inlineStr">
        <is>
          <t>SCA</t>
        </is>
      </c>
      <c r="G560" t="n">
        <v>2.4</v>
      </c>
      <c r="H560" t="n">
        <v>1</v>
      </c>
      <c r="I560" t="n">
        <v>0</v>
      </c>
      <c r="J560" t="n">
        <v>3</v>
      </c>
      <c r="K560" t="n">
        <v>1</v>
      </c>
      <c r="L560" t="n">
        <v>0</v>
      </c>
      <c r="M560" t="n">
        <v>0</v>
      </c>
      <c r="N560" t="n">
        <v>0</v>
      </c>
      <c r="O560" t="n">
        <v>4</v>
      </c>
      <c r="P560" t="n">
        <v>1</v>
      </c>
      <c r="Q560" t="n">
        <v>4</v>
      </c>
      <c r="R560" s="2" t="inlineStr">
        <is>
          <t>Knärot
Lunglav
Skrovellav
Vitgrynig nållav</t>
        </is>
      </c>
      <c r="S560">
        <f>HYPERLINK("https://klasma.github.io/Logging_2305/artfynd/A 36820-2021 artfynd.xlsx", "A 36820-2021")</f>
        <v/>
      </c>
      <c r="T560">
        <f>HYPERLINK("https://klasma.github.io/Logging_2305/kartor/A 36820-2021 karta.png", "A 36820-2021")</f>
        <v/>
      </c>
      <c r="U560">
        <f>HYPERLINK("https://klasma.github.io/Logging_2305/knärot/A 36820-2021 karta knärot.png", "A 36820-2021")</f>
        <v/>
      </c>
      <c r="V560">
        <f>HYPERLINK("https://klasma.github.io/Logging_2305/klagomål/A 36820-2021 FSC-klagomål.docx", "A 36820-2021")</f>
        <v/>
      </c>
      <c r="W560">
        <f>HYPERLINK("https://klasma.github.io/Logging_2305/klagomålsmail/A 36820-2021 FSC-klagomål mail.docx", "A 36820-2021")</f>
        <v/>
      </c>
      <c r="X560">
        <f>HYPERLINK("https://klasma.github.io/Logging_2305/tillsyn/A 36820-2021 tillsynsbegäran.docx", "A 36820-2021")</f>
        <v/>
      </c>
      <c r="Y560">
        <f>HYPERLINK("https://klasma.github.io/Logging_2305/tillsynsmail/A 36820-2021 tillsynsbegäran mail.docx", "A 36820-2021")</f>
        <v/>
      </c>
    </row>
    <row r="561" ht="15" customHeight="1">
      <c r="A561" t="inlineStr">
        <is>
          <t>A 37958-2021</t>
        </is>
      </c>
      <c r="B561" s="1" t="n">
        <v>44403</v>
      </c>
      <c r="C561" s="1" t="n">
        <v>45363</v>
      </c>
      <c r="D561" t="inlineStr">
        <is>
          <t>JÄMTLANDS LÄN</t>
        </is>
      </c>
      <c r="E561" t="inlineStr">
        <is>
          <t>BRÄCKE</t>
        </is>
      </c>
      <c r="F561" t="inlineStr">
        <is>
          <t>SCA</t>
        </is>
      </c>
      <c r="G561" t="n">
        <v>3.5</v>
      </c>
      <c r="H561" t="n">
        <v>0</v>
      </c>
      <c r="I561" t="n">
        <v>0</v>
      </c>
      <c r="J561" t="n">
        <v>4</v>
      </c>
      <c r="K561" t="n">
        <v>0</v>
      </c>
      <c r="L561" t="n">
        <v>0</v>
      </c>
      <c r="M561" t="n">
        <v>0</v>
      </c>
      <c r="N561" t="n">
        <v>0</v>
      </c>
      <c r="O561" t="n">
        <v>4</v>
      </c>
      <c r="P561" t="n">
        <v>0</v>
      </c>
      <c r="Q561" t="n">
        <v>4</v>
      </c>
      <c r="R561" s="2" t="inlineStr">
        <is>
          <t>Dvärgbägarlav
Kolflarnlav
Lunglav
Vedtrappmossa</t>
        </is>
      </c>
      <c r="S561">
        <f>HYPERLINK("https://klasma.github.io/Logging_2305/artfynd/A 37958-2021 artfynd.xlsx", "A 37958-2021")</f>
        <v/>
      </c>
      <c r="T561">
        <f>HYPERLINK("https://klasma.github.io/Logging_2305/kartor/A 37958-2021 karta.png", "A 37958-2021")</f>
        <v/>
      </c>
      <c r="V561">
        <f>HYPERLINK("https://klasma.github.io/Logging_2305/klagomål/A 37958-2021 FSC-klagomål.docx", "A 37958-2021")</f>
        <v/>
      </c>
      <c r="W561">
        <f>HYPERLINK("https://klasma.github.io/Logging_2305/klagomålsmail/A 37958-2021 FSC-klagomål mail.docx", "A 37958-2021")</f>
        <v/>
      </c>
      <c r="X561">
        <f>HYPERLINK("https://klasma.github.io/Logging_2305/tillsyn/A 37958-2021 tillsynsbegäran.docx", "A 37958-2021")</f>
        <v/>
      </c>
      <c r="Y561">
        <f>HYPERLINK("https://klasma.github.io/Logging_2305/tillsynsmail/A 37958-2021 tillsynsbegäran mail.docx", "A 37958-2021")</f>
        <v/>
      </c>
    </row>
    <row r="562" ht="15" customHeight="1">
      <c r="A562" t="inlineStr">
        <is>
          <t>A 38588-2021</t>
        </is>
      </c>
      <c r="B562" s="1" t="n">
        <v>44407</v>
      </c>
      <c r="C562" s="1" t="n">
        <v>45363</v>
      </c>
      <c r="D562" t="inlineStr">
        <is>
          <t>JÄMTLANDS LÄN</t>
        </is>
      </c>
      <c r="E562" t="inlineStr">
        <is>
          <t>STRÖMSUND</t>
        </is>
      </c>
      <c r="F562" t="inlineStr">
        <is>
          <t>SCA</t>
        </is>
      </c>
      <c r="G562" t="n">
        <v>7.4</v>
      </c>
      <c r="H562" t="n">
        <v>0</v>
      </c>
      <c r="I562" t="n">
        <v>0</v>
      </c>
      <c r="J562" t="n">
        <v>4</v>
      </c>
      <c r="K562" t="n">
        <v>0</v>
      </c>
      <c r="L562" t="n">
        <v>0</v>
      </c>
      <c r="M562" t="n">
        <v>0</v>
      </c>
      <c r="N562" t="n">
        <v>0</v>
      </c>
      <c r="O562" t="n">
        <v>4</v>
      </c>
      <c r="P562" t="n">
        <v>0</v>
      </c>
      <c r="Q562" t="n">
        <v>4</v>
      </c>
      <c r="R562" s="2" t="inlineStr">
        <is>
          <t>Gammelgransskål
Garnlav
Harticka
Vitgrynig nållav</t>
        </is>
      </c>
      <c r="S562">
        <f>HYPERLINK("https://klasma.github.io/Logging_2313/artfynd/A 38588-2021 artfynd.xlsx", "A 38588-2021")</f>
        <v/>
      </c>
      <c r="T562">
        <f>HYPERLINK("https://klasma.github.io/Logging_2313/kartor/A 38588-2021 karta.png", "A 38588-2021")</f>
        <v/>
      </c>
      <c r="V562">
        <f>HYPERLINK("https://klasma.github.io/Logging_2313/klagomål/A 38588-2021 FSC-klagomål.docx", "A 38588-2021")</f>
        <v/>
      </c>
      <c r="W562">
        <f>HYPERLINK("https://klasma.github.io/Logging_2313/klagomålsmail/A 38588-2021 FSC-klagomål mail.docx", "A 38588-2021")</f>
        <v/>
      </c>
      <c r="X562">
        <f>HYPERLINK("https://klasma.github.io/Logging_2313/tillsyn/A 38588-2021 tillsynsbegäran.docx", "A 38588-2021")</f>
        <v/>
      </c>
      <c r="Y562">
        <f>HYPERLINK("https://klasma.github.io/Logging_2313/tillsynsmail/A 38588-2021 tillsynsbegäran mail.docx", "A 38588-2021")</f>
        <v/>
      </c>
    </row>
    <row r="563" ht="15" customHeight="1">
      <c r="A563" t="inlineStr">
        <is>
          <t>A 44601-2021</t>
        </is>
      </c>
      <c r="B563" s="1" t="n">
        <v>44435</v>
      </c>
      <c r="C563" s="1" t="n">
        <v>45363</v>
      </c>
      <c r="D563" t="inlineStr">
        <is>
          <t>JÄMTLANDS LÄN</t>
        </is>
      </c>
      <c r="E563" t="inlineStr">
        <is>
          <t>STRÖMSUND</t>
        </is>
      </c>
      <c r="F563" t="inlineStr">
        <is>
          <t>SCA</t>
        </is>
      </c>
      <c r="G563" t="n">
        <v>10.7</v>
      </c>
      <c r="H563" t="n">
        <v>0</v>
      </c>
      <c r="I563" t="n">
        <v>1</v>
      </c>
      <c r="J563" t="n">
        <v>3</v>
      </c>
      <c r="K563" t="n">
        <v>0</v>
      </c>
      <c r="L563" t="n">
        <v>0</v>
      </c>
      <c r="M563" t="n">
        <v>0</v>
      </c>
      <c r="N563" t="n">
        <v>0</v>
      </c>
      <c r="O563" t="n">
        <v>3</v>
      </c>
      <c r="P563" t="n">
        <v>0</v>
      </c>
      <c r="Q563" t="n">
        <v>4</v>
      </c>
      <c r="R563" s="2" t="inlineStr">
        <is>
          <t>Garnlav
Granticka
Lunglav
Stuplav</t>
        </is>
      </c>
      <c r="S563">
        <f>HYPERLINK("https://klasma.github.io/Logging_2313/artfynd/A 44601-2021 artfynd.xlsx", "A 44601-2021")</f>
        <v/>
      </c>
      <c r="T563">
        <f>HYPERLINK("https://klasma.github.io/Logging_2313/kartor/A 44601-2021 karta.png", "A 44601-2021")</f>
        <v/>
      </c>
      <c r="V563">
        <f>HYPERLINK("https://klasma.github.io/Logging_2313/klagomål/A 44601-2021 FSC-klagomål.docx", "A 44601-2021")</f>
        <v/>
      </c>
      <c r="W563">
        <f>HYPERLINK("https://klasma.github.io/Logging_2313/klagomålsmail/A 44601-2021 FSC-klagomål mail.docx", "A 44601-2021")</f>
        <v/>
      </c>
      <c r="X563">
        <f>HYPERLINK("https://klasma.github.io/Logging_2313/tillsyn/A 44601-2021 tillsynsbegäran.docx", "A 44601-2021")</f>
        <v/>
      </c>
      <c r="Y563">
        <f>HYPERLINK("https://klasma.github.io/Logging_2313/tillsynsmail/A 44601-2021 tillsynsbegäran mail.docx", "A 44601-2021")</f>
        <v/>
      </c>
    </row>
    <row r="564" ht="15" customHeight="1">
      <c r="A564" t="inlineStr">
        <is>
          <t>A 47165-2021</t>
        </is>
      </c>
      <c r="B564" s="1" t="n">
        <v>44446</v>
      </c>
      <c r="C564" s="1" t="n">
        <v>45363</v>
      </c>
      <c r="D564" t="inlineStr">
        <is>
          <t>JÄMTLANDS LÄN</t>
        </is>
      </c>
      <c r="E564" t="inlineStr">
        <is>
          <t>RAGUNDA</t>
        </is>
      </c>
      <c r="F564" t="inlineStr">
        <is>
          <t>SCA</t>
        </is>
      </c>
      <c r="G564" t="n">
        <v>1.8</v>
      </c>
      <c r="H564" t="n">
        <v>0</v>
      </c>
      <c r="I564" t="n">
        <v>0</v>
      </c>
      <c r="J564" t="n">
        <v>4</v>
      </c>
      <c r="K564" t="n">
        <v>0</v>
      </c>
      <c r="L564" t="n">
        <v>0</v>
      </c>
      <c r="M564" t="n">
        <v>0</v>
      </c>
      <c r="N564" t="n">
        <v>0</v>
      </c>
      <c r="O564" t="n">
        <v>4</v>
      </c>
      <c r="P564" t="n">
        <v>0</v>
      </c>
      <c r="Q564" t="n">
        <v>4</v>
      </c>
      <c r="R564" s="2" t="inlineStr">
        <is>
          <t>Garnlav
Lunglav
Mörk kolflarnlav
Ullticka</t>
        </is>
      </c>
      <c r="S564">
        <f>HYPERLINK("https://klasma.github.io/Logging_2303/artfynd/A 47165-2021 artfynd.xlsx", "A 47165-2021")</f>
        <v/>
      </c>
      <c r="T564">
        <f>HYPERLINK("https://klasma.github.io/Logging_2303/kartor/A 47165-2021 karta.png", "A 47165-2021")</f>
        <v/>
      </c>
      <c r="V564">
        <f>HYPERLINK("https://klasma.github.io/Logging_2303/klagomål/A 47165-2021 FSC-klagomål.docx", "A 47165-2021")</f>
        <v/>
      </c>
      <c r="W564">
        <f>HYPERLINK("https://klasma.github.io/Logging_2303/klagomålsmail/A 47165-2021 FSC-klagomål mail.docx", "A 47165-2021")</f>
        <v/>
      </c>
      <c r="X564">
        <f>HYPERLINK("https://klasma.github.io/Logging_2303/tillsyn/A 47165-2021 tillsynsbegäran.docx", "A 47165-2021")</f>
        <v/>
      </c>
      <c r="Y564">
        <f>HYPERLINK("https://klasma.github.io/Logging_2303/tillsynsmail/A 47165-2021 tillsynsbegäran mail.docx", "A 47165-2021")</f>
        <v/>
      </c>
    </row>
    <row r="565" ht="15" customHeight="1">
      <c r="A565" t="inlineStr">
        <is>
          <t>A 54979-2021</t>
        </is>
      </c>
      <c r="B565" s="1" t="n">
        <v>44474</v>
      </c>
      <c r="C565" s="1" t="n">
        <v>45363</v>
      </c>
      <c r="D565" t="inlineStr">
        <is>
          <t>JÄMTLANDS LÄN</t>
        </is>
      </c>
      <c r="E565" t="inlineStr">
        <is>
          <t>BERG</t>
        </is>
      </c>
      <c r="G565" t="n">
        <v>13.5</v>
      </c>
      <c r="H565" t="n">
        <v>0</v>
      </c>
      <c r="I565" t="n">
        <v>1</v>
      </c>
      <c r="J565" t="n">
        <v>3</v>
      </c>
      <c r="K565" t="n">
        <v>0</v>
      </c>
      <c r="L565" t="n">
        <v>0</v>
      </c>
      <c r="M565" t="n">
        <v>0</v>
      </c>
      <c r="N565" t="n">
        <v>0</v>
      </c>
      <c r="O565" t="n">
        <v>3</v>
      </c>
      <c r="P565" t="n">
        <v>0</v>
      </c>
      <c r="Q565" t="n">
        <v>4</v>
      </c>
      <c r="R565" s="2" t="inlineStr">
        <is>
          <t>Garnlav
Lunglav
Skrovellav
Luddlav</t>
        </is>
      </c>
      <c r="S565">
        <f>HYPERLINK("https://klasma.github.io/Logging_2326/artfynd/A 54979-2021 artfynd.xlsx", "A 54979-2021")</f>
        <v/>
      </c>
      <c r="T565">
        <f>HYPERLINK("https://klasma.github.io/Logging_2326/kartor/A 54979-2021 karta.png", "A 54979-2021")</f>
        <v/>
      </c>
      <c r="V565">
        <f>HYPERLINK("https://klasma.github.io/Logging_2326/klagomål/A 54979-2021 FSC-klagomål.docx", "A 54979-2021")</f>
        <v/>
      </c>
      <c r="W565">
        <f>HYPERLINK("https://klasma.github.io/Logging_2326/klagomålsmail/A 54979-2021 FSC-klagomål mail.docx", "A 54979-2021")</f>
        <v/>
      </c>
      <c r="X565">
        <f>HYPERLINK("https://klasma.github.io/Logging_2326/tillsyn/A 54979-2021 tillsynsbegäran.docx", "A 54979-2021")</f>
        <v/>
      </c>
      <c r="Y565">
        <f>HYPERLINK("https://klasma.github.io/Logging_2326/tillsynsmail/A 54979-2021 tillsynsbegäran mail.docx", "A 54979-2021")</f>
        <v/>
      </c>
    </row>
    <row r="566" ht="15" customHeight="1">
      <c r="A566" t="inlineStr">
        <is>
          <t>A 64302-2021</t>
        </is>
      </c>
      <c r="B566" s="1" t="n">
        <v>44510</v>
      </c>
      <c r="C566" s="1" t="n">
        <v>45363</v>
      </c>
      <c r="D566" t="inlineStr">
        <is>
          <t>JÄMTLANDS LÄN</t>
        </is>
      </c>
      <c r="E566" t="inlineStr">
        <is>
          <t>KROKOM</t>
        </is>
      </c>
      <c r="G566" t="n">
        <v>2.4</v>
      </c>
      <c r="H566" t="n">
        <v>1</v>
      </c>
      <c r="I566" t="n">
        <v>0</v>
      </c>
      <c r="J566" t="n">
        <v>4</v>
      </c>
      <c r="K566" t="n">
        <v>0</v>
      </c>
      <c r="L566" t="n">
        <v>0</v>
      </c>
      <c r="M566" t="n">
        <v>0</v>
      </c>
      <c r="N566" t="n">
        <v>0</v>
      </c>
      <c r="O566" t="n">
        <v>4</v>
      </c>
      <c r="P566" t="n">
        <v>0</v>
      </c>
      <c r="Q566" t="n">
        <v>4</v>
      </c>
      <c r="R566" s="2" t="inlineStr">
        <is>
          <t>Garnlav
Lunglav
Skrovellav
Tretåig hackspett</t>
        </is>
      </c>
      <c r="S566">
        <f>HYPERLINK("https://klasma.github.io/Logging_2309/artfynd/A 64302-2021 artfynd.xlsx", "A 64302-2021")</f>
        <v/>
      </c>
      <c r="T566">
        <f>HYPERLINK("https://klasma.github.io/Logging_2309/kartor/A 64302-2021 karta.png", "A 64302-2021")</f>
        <v/>
      </c>
      <c r="V566">
        <f>HYPERLINK("https://klasma.github.io/Logging_2309/klagomål/A 64302-2021 FSC-klagomål.docx", "A 64302-2021")</f>
        <v/>
      </c>
      <c r="W566">
        <f>HYPERLINK("https://klasma.github.io/Logging_2309/klagomålsmail/A 64302-2021 FSC-klagomål mail.docx", "A 64302-2021")</f>
        <v/>
      </c>
      <c r="X566">
        <f>HYPERLINK("https://klasma.github.io/Logging_2309/tillsyn/A 64302-2021 tillsynsbegäran.docx", "A 64302-2021")</f>
        <v/>
      </c>
      <c r="Y566">
        <f>HYPERLINK("https://klasma.github.io/Logging_2309/tillsynsmail/A 64302-2021 tillsynsbegäran mail.docx", "A 64302-2021")</f>
        <v/>
      </c>
      <c r="Z566">
        <f>HYPERLINK("https://klasma.github.io/Logging_2309/fåglar/A 64302-2021 prioriterade fågelarter.docx", "A 64302-2021")</f>
        <v/>
      </c>
    </row>
    <row r="567" ht="15" customHeight="1">
      <c r="A567" t="inlineStr">
        <is>
          <t>A 73935-2021</t>
        </is>
      </c>
      <c r="B567" s="1" t="n">
        <v>44553</v>
      </c>
      <c r="C567" s="1" t="n">
        <v>45363</v>
      </c>
      <c r="D567" t="inlineStr">
        <is>
          <t>JÄMTLANDS LÄN</t>
        </is>
      </c>
      <c r="E567" t="inlineStr">
        <is>
          <t>KROKOM</t>
        </is>
      </c>
      <c r="G567" t="n">
        <v>391.3</v>
      </c>
      <c r="H567" t="n">
        <v>3</v>
      </c>
      <c r="I567" t="n">
        <v>0</v>
      </c>
      <c r="J567" t="n">
        <v>2</v>
      </c>
      <c r="K567" t="n">
        <v>0</v>
      </c>
      <c r="L567" t="n">
        <v>0</v>
      </c>
      <c r="M567" t="n">
        <v>0</v>
      </c>
      <c r="N567" t="n">
        <v>0</v>
      </c>
      <c r="O567" t="n">
        <v>2</v>
      </c>
      <c r="P567" t="n">
        <v>0</v>
      </c>
      <c r="Q567" t="n">
        <v>4</v>
      </c>
      <c r="R567" s="2" t="inlineStr">
        <is>
          <t>Doftskinn
Tretåig hackspett
Nattviol
Revlummer</t>
        </is>
      </c>
      <c r="S567">
        <f>HYPERLINK("https://klasma.github.io/Logging_2309/artfynd/A 73935-2021 artfynd.xlsx", "A 73935-2021")</f>
        <v/>
      </c>
      <c r="T567">
        <f>HYPERLINK("https://klasma.github.io/Logging_2309/kartor/A 73935-2021 karta.png", "A 73935-2021")</f>
        <v/>
      </c>
      <c r="V567">
        <f>HYPERLINK("https://klasma.github.io/Logging_2309/klagomål/A 73935-2021 FSC-klagomål.docx", "A 73935-2021")</f>
        <v/>
      </c>
      <c r="W567">
        <f>HYPERLINK("https://klasma.github.io/Logging_2309/klagomålsmail/A 73935-2021 FSC-klagomål mail.docx", "A 73935-2021")</f>
        <v/>
      </c>
      <c r="X567">
        <f>HYPERLINK("https://klasma.github.io/Logging_2309/tillsyn/A 73935-2021 tillsynsbegäran.docx", "A 73935-2021")</f>
        <v/>
      </c>
      <c r="Y567">
        <f>HYPERLINK("https://klasma.github.io/Logging_2309/tillsynsmail/A 73935-2021 tillsynsbegäran mail.docx", "A 73935-2021")</f>
        <v/>
      </c>
      <c r="Z567">
        <f>HYPERLINK("https://klasma.github.io/Logging_2309/fåglar/A 73935-2021 prioriterade fågelarter.docx", "A 73935-2021")</f>
        <v/>
      </c>
    </row>
    <row r="568" ht="15" customHeight="1">
      <c r="A568" t="inlineStr">
        <is>
          <t>A 3540-2022</t>
        </is>
      </c>
      <c r="B568" s="1" t="n">
        <v>44585</v>
      </c>
      <c r="C568" s="1" t="n">
        <v>45363</v>
      </c>
      <c r="D568" t="inlineStr">
        <is>
          <t>JÄMTLANDS LÄN</t>
        </is>
      </c>
      <c r="E568" t="inlineStr">
        <is>
          <t>STRÖMSUND</t>
        </is>
      </c>
      <c r="F568" t="inlineStr">
        <is>
          <t>SCA</t>
        </is>
      </c>
      <c r="G568" t="n">
        <v>10.3</v>
      </c>
      <c r="H568" t="n">
        <v>0</v>
      </c>
      <c r="I568" t="n">
        <v>0</v>
      </c>
      <c r="J568" t="n">
        <v>3</v>
      </c>
      <c r="K568" t="n">
        <v>1</v>
      </c>
      <c r="L568" t="n">
        <v>0</v>
      </c>
      <c r="M568" t="n">
        <v>0</v>
      </c>
      <c r="N568" t="n">
        <v>0</v>
      </c>
      <c r="O568" t="n">
        <v>4</v>
      </c>
      <c r="P568" t="n">
        <v>1</v>
      </c>
      <c r="Q568" t="n">
        <v>4</v>
      </c>
      <c r="R568" s="2" t="inlineStr">
        <is>
          <t>Rynkskinn
Granticka
Harticka
Skrovellav</t>
        </is>
      </c>
      <c r="S568">
        <f>HYPERLINK("https://klasma.github.io/Logging_2313/artfynd/A 3540-2022 artfynd.xlsx", "A 3540-2022")</f>
        <v/>
      </c>
      <c r="T568">
        <f>HYPERLINK("https://klasma.github.io/Logging_2313/kartor/A 3540-2022 karta.png", "A 3540-2022")</f>
        <v/>
      </c>
      <c r="V568">
        <f>HYPERLINK("https://klasma.github.io/Logging_2313/klagomål/A 3540-2022 FSC-klagomål.docx", "A 3540-2022")</f>
        <v/>
      </c>
      <c r="W568">
        <f>HYPERLINK("https://klasma.github.io/Logging_2313/klagomålsmail/A 3540-2022 FSC-klagomål mail.docx", "A 3540-2022")</f>
        <v/>
      </c>
      <c r="X568">
        <f>HYPERLINK("https://klasma.github.io/Logging_2313/tillsyn/A 3540-2022 tillsynsbegäran.docx", "A 3540-2022")</f>
        <v/>
      </c>
      <c r="Y568">
        <f>HYPERLINK("https://klasma.github.io/Logging_2313/tillsynsmail/A 3540-2022 tillsynsbegäran mail.docx", "A 3540-2022")</f>
        <v/>
      </c>
    </row>
    <row r="569" ht="15" customHeight="1">
      <c r="A569" t="inlineStr">
        <is>
          <t>A 7891-2022</t>
        </is>
      </c>
      <c r="B569" s="1" t="n">
        <v>44607</v>
      </c>
      <c r="C569" s="1" t="n">
        <v>45363</v>
      </c>
      <c r="D569" t="inlineStr">
        <is>
          <t>JÄMTLANDS LÄN</t>
        </is>
      </c>
      <c r="E569" t="inlineStr">
        <is>
          <t>BERG</t>
        </is>
      </c>
      <c r="G569" t="n">
        <v>2.5</v>
      </c>
      <c r="H569" t="n">
        <v>3</v>
      </c>
      <c r="I569" t="n">
        <v>0</v>
      </c>
      <c r="J569" t="n">
        <v>1</v>
      </c>
      <c r="K569" t="n">
        <v>1</v>
      </c>
      <c r="L569" t="n">
        <v>0</v>
      </c>
      <c r="M569" t="n">
        <v>0</v>
      </c>
      <c r="N569" t="n">
        <v>0</v>
      </c>
      <c r="O569" t="n">
        <v>2</v>
      </c>
      <c r="P569" t="n">
        <v>1</v>
      </c>
      <c r="Q569" t="n">
        <v>4</v>
      </c>
      <c r="R569" s="2" t="inlineStr">
        <is>
          <t>Knärot
Ullticka
Blåsippa
Revlummer</t>
        </is>
      </c>
      <c r="S569">
        <f>HYPERLINK("https://klasma.github.io/Logging_2326/artfynd/A 7891-2022 artfynd.xlsx", "A 7891-2022")</f>
        <v/>
      </c>
      <c r="T569">
        <f>HYPERLINK("https://klasma.github.io/Logging_2326/kartor/A 7891-2022 karta.png", "A 7891-2022")</f>
        <v/>
      </c>
      <c r="U569">
        <f>HYPERLINK("https://klasma.github.io/Logging_2326/knärot/A 7891-2022 karta knärot.png", "A 7891-2022")</f>
        <v/>
      </c>
      <c r="V569">
        <f>HYPERLINK("https://klasma.github.io/Logging_2326/klagomål/A 7891-2022 FSC-klagomål.docx", "A 7891-2022")</f>
        <v/>
      </c>
      <c r="W569">
        <f>HYPERLINK("https://klasma.github.io/Logging_2326/klagomålsmail/A 7891-2022 FSC-klagomål mail.docx", "A 7891-2022")</f>
        <v/>
      </c>
      <c r="X569">
        <f>HYPERLINK("https://klasma.github.io/Logging_2326/tillsyn/A 7891-2022 tillsynsbegäran.docx", "A 7891-2022")</f>
        <v/>
      </c>
      <c r="Y569">
        <f>HYPERLINK("https://klasma.github.io/Logging_2326/tillsynsmail/A 7891-2022 tillsynsbegäran mail.docx", "A 7891-2022")</f>
        <v/>
      </c>
    </row>
    <row r="570" ht="15" customHeight="1">
      <c r="A570" t="inlineStr">
        <is>
          <t>A 8413-2022</t>
        </is>
      </c>
      <c r="B570" s="1" t="n">
        <v>44610</v>
      </c>
      <c r="C570" s="1" t="n">
        <v>45363</v>
      </c>
      <c r="D570" t="inlineStr">
        <is>
          <t>JÄMTLANDS LÄN</t>
        </is>
      </c>
      <c r="E570" t="inlineStr">
        <is>
          <t>RAGUNDA</t>
        </is>
      </c>
      <c r="F570" t="inlineStr">
        <is>
          <t>SCA</t>
        </is>
      </c>
      <c r="G570" t="n">
        <v>2.2</v>
      </c>
      <c r="H570" t="n">
        <v>0</v>
      </c>
      <c r="I570" t="n">
        <v>1</v>
      </c>
      <c r="J570" t="n">
        <v>3</v>
      </c>
      <c r="K570" t="n">
        <v>0</v>
      </c>
      <c r="L570" t="n">
        <v>0</v>
      </c>
      <c r="M570" t="n">
        <v>0</v>
      </c>
      <c r="N570" t="n">
        <v>0</v>
      </c>
      <c r="O570" t="n">
        <v>3</v>
      </c>
      <c r="P570" t="n">
        <v>0</v>
      </c>
      <c r="Q570" t="n">
        <v>4</v>
      </c>
      <c r="R570" s="2" t="inlineStr">
        <is>
          <t>Garnlav
Kolflarnlav
Lunglav
Källmossor</t>
        </is>
      </c>
      <c r="S570">
        <f>HYPERLINK("https://klasma.github.io/Logging_2303/artfynd/A 8413-2022 artfynd.xlsx", "A 8413-2022")</f>
        <v/>
      </c>
      <c r="T570">
        <f>HYPERLINK("https://klasma.github.io/Logging_2303/kartor/A 8413-2022 karta.png", "A 8413-2022")</f>
        <v/>
      </c>
      <c r="V570">
        <f>HYPERLINK("https://klasma.github.io/Logging_2303/klagomål/A 8413-2022 FSC-klagomål.docx", "A 8413-2022")</f>
        <v/>
      </c>
      <c r="W570">
        <f>HYPERLINK("https://klasma.github.io/Logging_2303/klagomålsmail/A 8413-2022 FSC-klagomål mail.docx", "A 8413-2022")</f>
        <v/>
      </c>
      <c r="X570">
        <f>HYPERLINK("https://klasma.github.io/Logging_2303/tillsyn/A 8413-2022 tillsynsbegäran.docx", "A 8413-2022")</f>
        <v/>
      </c>
      <c r="Y570">
        <f>HYPERLINK("https://klasma.github.io/Logging_2303/tillsynsmail/A 8413-2022 tillsynsbegäran mail.docx", "A 8413-2022")</f>
        <v/>
      </c>
    </row>
    <row r="571" ht="15" customHeight="1">
      <c r="A571" t="inlineStr">
        <is>
          <t>A 10697-2022</t>
        </is>
      </c>
      <c r="B571" s="1" t="n">
        <v>44624</v>
      </c>
      <c r="C571" s="1" t="n">
        <v>45363</v>
      </c>
      <c r="D571" t="inlineStr">
        <is>
          <t>JÄMTLANDS LÄN</t>
        </is>
      </c>
      <c r="E571" t="inlineStr">
        <is>
          <t>RAGUNDA</t>
        </is>
      </c>
      <c r="F571" t="inlineStr">
        <is>
          <t>SCA</t>
        </is>
      </c>
      <c r="G571" t="n">
        <v>3.9</v>
      </c>
      <c r="H571" t="n">
        <v>0</v>
      </c>
      <c r="I571" t="n">
        <v>2</v>
      </c>
      <c r="J571" t="n">
        <v>2</v>
      </c>
      <c r="K571" t="n">
        <v>0</v>
      </c>
      <c r="L571" t="n">
        <v>0</v>
      </c>
      <c r="M571" t="n">
        <v>0</v>
      </c>
      <c r="N571" t="n">
        <v>0</v>
      </c>
      <c r="O571" t="n">
        <v>2</v>
      </c>
      <c r="P571" t="n">
        <v>0</v>
      </c>
      <c r="Q571" t="n">
        <v>4</v>
      </c>
      <c r="R571" s="2" t="inlineStr">
        <is>
          <t>Garnlav
Lunglav
Källmossa
Stuplav</t>
        </is>
      </c>
      <c r="S571">
        <f>HYPERLINK("https://klasma.github.io/Logging_2303/artfynd/A 10697-2022 artfynd.xlsx", "A 10697-2022")</f>
        <v/>
      </c>
      <c r="T571">
        <f>HYPERLINK("https://klasma.github.io/Logging_2303/kartor/A 10697-2022 karta.png", "A 10697-2022")</f>
        <v/>
      </c>
      <c r="V571">
        <f>HYPERLINK("https://klasma.github.io/Logging_2303/klagomål/A 10697-2022 FSC-klagomål.docx", "A 10697-2022")</f>
        <v/>
      </c>
      <c r="W571">
        <f>HYPERLINK("https://klasma.github.io/Logging_2303/klagomålsmail/A 10697-2022 FSC-klagomål mail.docx", "A 10697-2022")</f>
        <v/>
      </c>
      <c r="X571">
        <f>HYPERLINK("https://klasma.github.io/Logging_2303/tillsyn/A 10697-2022 tillsynsbegäran.docx", "A 10697-2022")</f>
        <v/>
      </c>
      <c r="Y571">
        <f>HYPERLINK("https://klasma.github.io/Logging_2303/tillsynsmail/A 10697-2022 tillsynsbegäran mail.docx", "A 10697-2022")</f>
        <v/>
      </c>
    </row>
    <row r="572" ht="15" customHeight="1">
      <c r="A572" t="inlineStr">
        <is>
          <t>A 12271-2022</t>
        </is>
      </c>
      <c r="B572" s="1" t="n">
        <v>44637</v>
      </c>
      <c r="C572" s="1" t="n">
        <v>45363</v>
      </c>
      <c r="D572" t="inlineStr">
        <is>
          <t>JÄMTLANDS LÄN</t>
        </is>
      </c>
      <c r="E572" t="inlineStr">
        <is>
          <t>ÅRE</t>
        </is>
      </c>
      <c r="G572" t="n">
        <v>19.9</v>
      </c>
      <c r="H572" t="n">
        <v>0</v>
      </c>
      <c r="I572" t="n">
        <v>1</v>
      </c>
      <c r="J572" t="n">
        <v>3</v>
      </c>
      <c r="K572" t="n">
        <v>0</v>
      </c>
      <c r="L572" t="n">
        <v>0</v>
      </c>
      <c r="M572" t="n">
        <v>0</v>
      </c>
      <c r="N572" t="n">
        <v>0</v>
      </c>
      <c r="O572" t="n">
        <v>3</v>
      </c>
      <c r="P572" t="n">
        <v>0</v>
      </c>
      <c r="Q572" t="n">
        <v>4</v>
      </c>
      <c r="R572" s="2" t="inlineStr">
        <is>
          <t>Granticka
Gränsticka
Skrovellav
Stuplav</t>
        </is>
      </c>
      <c r="S572">
        <f>HYPERLINK("https://klasma.github.io/Logging_2321/artfynd/A 12271-2022 artfynd.xlsx", "A 12271-2022")</f>
        <v/>
      </c>
      <c r="T572">
        <f>HYPERLINK("https://klasma.github.io/Logging_2321/kartor/A 12271-2022 karta.png", "A 12271-2022")</f>
        <v/>
      </c>
      <c r="V572">
        <f>HYPERLINK("https://klasma.github.io/Logging_2321/klagomål/A 12271-2022 FSC-klagomål.docx", "A 12271-2022")</f>
        <v/>
      </c>
      <c r="W572">
        <f>HYPERLINK("https://klasma.github.io/Logging_2321/klagomålsmail/A 12271-2022 FSC-klagomål mail.docx", "A 12271-2022")</f>
        <v/>
      </c>
      <c r="X572">
        <f>HYPERLINK("https://klasma.github.io/Logging_2321/tillsyn/A 12271-2022 tillsynsbegäran.docx", "A 12271-2022")</f>
        <v/>
      </c>
      <c r="Y572">
        <f>HYPERLINK("https://klasma.github.io/Logging_2321/tillsynsmail/A 12271-2022 tillsynsbegäran mail.docx", "A 12271-2022")</f>
        <v/>
      </c>
    </row>
    <row r="573" ht="15" customHeight="1">
      <c r="A573" t="inlineStr">
        <is>
          <t>A 15667-2022</t>
        </is>
      </c>
      <c r="B573" s="1" t="n">
        <v>44662</v>
      </c>
      <c r="C573" s="1" t="n">
        <v>45363</v>
      </c>
      <c r="D573" t="inlineStr">
        <is>
          <t>JÄMTLANDS LÄN</t>
        </is>
      </c>
      <c r="E573" t="inlineStr">
        <is>
          <t>RAGUNDA</t>
        </is>
      </c>
      <c r="F573" t="inlineStr">
        <is>
          <t>SCA</t>
        </is>
      </c>
      <c r="G573" t="n">
        <v>2.9</v>
      </c>
      <c r="H573" t="n">
        <v>0</v>
      </c>
      <c r="I573" t="n">
        <v>2</v>
      </c>
      <c r="J573" t="n">
        <v>2</v>
      </c>
      <c r="K573" t="n">
        <v>0</v>
      </c>
      <c r="L573" t="n">
        <v>0</v>
      </c>
      <c r="M573" t="n">
        <v>0</v>
      </c>
      <c r="N573" t="n">
        <v>0</v>
      </c>
      <c r="O573" t="n">
        <v>2</v>
      </c>
      <c r="P573" t="n">
        <v>0</v>
      </c>
      <c r="Q573" t="n">
        <v>4</v>
      </c>
      <c r="R573" s="2" t="inlineStr">
        <is>
          <t>Garnlav
Lunglav
Källmossa
Ögonpyrola</t>
        </is>
      </c>
      <c r="S573">
        <f>HYPERLINK("https://klasma.github.io/Logging_2303/artfynd/A 15667-2022 artfynd.xlsx", "A 15667-2022")</f>
        <v/>
      </c>
      <c r="T573">
        <f>HYPERLINK("https://klasma.github.io/Logging_2303/kartor/A 15667-2022 karta.png", "A 15667-2022")</f>
        <v/>
      </c>
      <c r="V573">
        <f>HYPERLINK("https://klasma.github.io/Logging_2303/klagomål/A 15667-2022 FSC-klagomål.docx", "A 15667-2022")</f>
        <v/>
      </c>
      <c r="W573">
        <f>HYPERLINK("https://klasma.github.io/Logging_2303/klagomålsmail/A 15667-2022 FSC-klagomål mail.docx", "A 15667-2022")</f>
        <v/>
      </c>
      <c r="X573">
        <f>HYPERLINK("https://klasma.github.io/Logging_2303/tillsyn/A 15667-2022 tillsynsbegäran.docx", "A 15667-2022")</f>
        <v/>
      </c>
      <c r="Y573">
        <f>HYPERLINK("https://klasma.github.io/Logging_2303/tillsynsmail/A 15667-2022 tillsynsbegäran mail.docx", "A 15667-2022")</f>
        <v/>
      </c>
    </row>
    <row r="574" ht="15" customHeight="1">
      <c r="A574" t="inlineStr">
        <is>
          <t>A 17092-2022</t>
        </is>
      </c>
      <c r="B574" s="1" t="n">
        <v>44677</v>
      </c>
      <c r="C574" s="1" t="n">
        <v>45363</v>
      </c>
      <c r="D574" t="inlineStr">
        <is>
          <t>JÄMTLANDS LÄN</t>
        </is>
      </c>
      <c r="E574" t="inlineStr">
        <is>
          <t>RAGUNDA</t>
        </is>
      </c>
      <c r="G574" t="n">
        <v>21.2</v>
      </c>
      <c r="H574" t="n">
        <v>1</v>
      </c>
      <c r="I574" t="n">
        <v>0</v>
      </c>
      <c r="J574" t="n">
        <v>3</v>
      </c>
      <c r="K574" t="n">
        <v>1</v>
      </c>
      <c r="L574" t="n">
        <v>0</v>
      </c>
      <c r="M574" t="n">
        <v>0</v>
      </c>
      <c r="N574" t="n">
        <v>0</v>
      </c>
      <c r="O574" t="n">
        <v>4</v>
      </c>
      <c r="P574" t="n">
        <v>1</v>
      </c>
      <c r="Q574" t="n">
        <v>4</v>
      </c>
      <c r="R574" s="2" t="inlineStr">
        <is>
          <t>Knärot
Garnlav
Lunglav
Ullticka</t>
        </is>
      </c>
      <c r="S574">
        <f>HYPERLINK("https://klasma.github.io/Logging_2303/artfynd/A 17092-2022 artfynd.xlsx", "A 17092-2022")</f>
        <v/>
      </c>
      <c r="T574">
        <f>HYPERLINK("https://klasma.github.io/Logging_2303/kartor/A 17092-2022 karta.png", "A 17092-2022")</f>
        <v/>
      </c>
      <c r="U574">
        <f>HYPERLINK("https://klasma.github.io/Logging_2303/knärot/A 17092-2022 karta knärot.png", "A 17092-2022")</f>
        <v/>
      </c>
      <c r="V574">
        <f>HYPERLINK("https://klasma.github.io/Logging_2303/klagomål/A 17092-2022 FSC-klagomål.docx", "A 17092-2022")</f>
        <v/>
      </c>
      <c r="W574">
        <f>HYPERLINK("https://klasma.github.io/Logging_2303/klagomålsmail/A 17092-2022 FSC-klagomål mail.docx", "A 17092-2022")</f>
        <v/>
      </c>
      <c r="X574">
        <f>HYPERLINK("https://klasma.github.io/Logging_2303/tillsyn/A 17092-2022 tillsynsbegäran.docx", "A 17092-2022")</f>
        <v/>
      </c>
      <c r="Y574">
        <f>HYPERLINK("https://klasma.github.io/Logging_2303/tillsynsmail/A 17092-2022 tillsynsbegäran mail.docx", "A 17092-2022")</f>
        <v/>
      </c>
    </row>
    <row r="575" ht="15" customHeight="1">
      <c r="A575" t="inlineStr">
        <is>
          <t>A 19851-2022</t>
        </is>
      </c>
      <c r="B575" s="1" t="n">
        <v>44696</v>
      </c>
      <c r="C575" s="1" t="n">
        <v>45363</v>
      </c>
      <c r="D575" t="inlineStr">
        <is>
          <t>JÄMTLANDS LÄN</t>
        </is>
      </c>
      <c r="E575" t="inlineStr">
        <is>
          <t>RAGUNDA</t>
        </is>
      </c>
      <c r="F575" t="inlineStr">
        <is>
          <t>SCA</t>
        </is>
      </c>
      <c r="G575" t="n">
        <v>3</v>
      </c>
      <c r="H575" t="n">
        <v>2</v>
      </c>
      <c r="I575" t="n">
        <v>0</v>
      </c>
      <c r="J575" t="n">
        <v>3</v>
      </c>
      <c r="K575" t="n">
        <v>0</v>
      </c>
      <c r="L575" t="n">
        <v>0</v>
      </c>
      <c r="M575" t="n">
        <v>0</v>
      </c>
      <c r="N575" t="n">
        <v>0</v>
      </c>
      <c r="O575" t="n">
        <v>3</v>
      </c>
      <c r="P575" t="n">
        <v>0</v>
      </c>
      <c r="Q575" t="n">
        <v>4</v>
      </c>
      <c r="R575" s="2" t="inlineStr">
        <is>
          <t>Garnlav
Talltita
Ullticka
Revlummer</t>
        </is>
      </c>
      <c r="S575">
        <f>HYPERLINK("https://klasma.github.io/Logging_2303/artfynd/A 19851-2022 artfynd.xlsx", "A 19851-2022")</f>
        <v/>
      </c>
      <c r="T575">
        <f>HYPERLINK("https://klasma.github.io/Logging_2303/kartor/A 19851-2022 karta.png", "A 19851-2022")</f>
        <v/>
      </c>
      <c r="V575">
        <f>HYPERLINK("https://klasma.github.io/Logging_2303/klagomål/A 19851-2022 FSC-klagomål.docx", "A 19851-2022")</f>
        <v/>
      </c>
      <c r="W575">
        <f>HYPERLINK("https://klasma.github.io/Logging_2303/klagomålsmail/A 19851-2022 FSC-klagomål mail.docx", "A 19851-2022")</f>
        <v/>
      </c>
      <c r="X575">
        <f>HYPERLINK("https://klasma.github.io/Logging_2303/tillsyn/A 19851-2022 tillsynsbegäran.docx", "A 19851-2022")</f>
        <v/>
      </c>
      <c r="Y575">
        <f>HYPERLINK("https://klasma.github.io/Logging_2303/tillsynsmail/A 19851-2022 tillsynsbegäran mail.docx", "A 19851-2022")</f>
        <v/>
      </c>
      <c r="Z575">
        <f>HYPERLINK("https://klasma.github.io/Logging_2303/fåglar/A 19851-2022 prioriterade fågelarter.docx", "A 19851-2022")</f>
        <v/>
      </c>
    </row>
    <row r="576" ht="15" customHeight="1">
      <c r="A576" t="inlineStr">
        <is>
          <t>A 21091-2022</t>
        </is>
      </c>
      <c r="B576" s="1" t="n">
        <v>44699</v>
      </c>
      <c r="C576" s="1" t="n">
        <v>45363</v>
      </c>
      <c r="D576" t="inlineStr">
        <is>
          <t>JÄMTLANDS LÄN</t>
        </is>
      </c>
      <c r="E576" t="inlineStr">
        <is>
          <t>STRÖMSUND</t>
        </is>
      </c>
      <c r="F576" t="inlineStr">
        <is>
          <t>SCA</t>
        </is>
      </c>
      <c r="G576" t="n">
        <v>26.9</v>
      </c>
      <c r="H576" t="n">
        <v>2</v>
      </c>
      <c r="I576" t="n">
        <v>2</v>
      </c>
      <c r="J576" t="n">
        <v>0</v>
      </c>
      <c r="K576" t="n">
        <v>0</v>
      </c>
      <c r="L576" t="n">
        <v>0</v>
      </c>
      <c r="M576" t="n">
        <v>0</v>
      </c>
      <c r="N576" t="n">
        <v>0</v>
      </c>
      <c r="O576" t="n">
        <v>0</v>
      </c>
      <c r="P576" t="n">
        <v>0</v>
      </c>
      <c r="Q576" t="n">
        <v>4</v>
      </c>
      <c r="R576" s="2" t="inlineStr">
        <is>
          <t>Kransrams
Strutbräken
Skogsrör
Mattlummer</t>
        </is>
      </c>
      <c r="S576">
        <f>HYPERLINK("https://klasma.github.io/Logging_2313/artfynd/A 21091-2022 artfynd.xlsx", "A 21091-2022")</f>
        <v/>
      </c>
      <c r="T576">
        <f>HYPERLINK("https://klasma.github.io/Logging_2313/kartor/A 21091-2022 karta.png", "A 21091-2022")</f>
        <v/>
      </c>
      <c r="V576">
        <f>HYPERLINK("https://klasma.github.io/Logging_2313/klagomål/A 21091-2022 FSC-klagomål.docx", "A 21091-2022")</f>
        <v/>
      </c>
      <c r="W576">
        <f>HYPERLINK("https://klasma.github.io/Logging_2313/klagomålsmail/A 21091-2022 FSC-klagomål mail.docx", "A 21091-2022")</f>
        <v/>
      </c>
      <c r="X576">
        <f>HYPERLINK("https://klasma.github.io/Logging_2313/tillsyn/A 21091-2022 tillsynsbegäran.docx", "A 21091-2022")</f>
        <v/>
      </c>
      <c r="Y576">
        <f>HYPERLINK("https://klasma.github.io/Logging_2313/tillsynsmail/A 21091-2022 tillsynsbegäran mail.docx", "A 21091-2022")</f>
        <v/>
      </c>
    </row>
    <row r="577" ht="15" customHeight="1">
      <c r="A577" t="inlineStr">
        <is>
          <t>A 22333-2022</t>
        </is>
      </c>
      <c r="B577" s="1" t="n">
        <v>44712</v>
      </c>
      <c r="C577" s="1" t="n">
        <v>45363</v>
      </c>
      <c r="D577" t="inlineStr">
        <is>
          <t>JÄMTLANDS LÄN</t>
        </is>
      </c>
      <c r="E577" t="inlineStr">
        <is>
          <t>BERG</t>
        </is>
      </c>
      <c r="F577" t="inlineStr">
        <is>
          <t>SCA</t>
        </is>
      </c>
      <c r="G577" t="n">
        <v>5.5</v>
      </c>
      <c r="H577" t="n">
        <v>1</v>
      </c>
      <c r="I577" t="n">
        <v>0</v>
      </c>
      <c r="J577" t="n">
        <v>3</v>
      </c>
      <c r="K577" t="n">
        <v>1</v>
      </c>
      <c r="L577" t="n">
        <v>0</v>
      </c>
      <c r="M577" t="n">
        <v>0</v>
      </c>
      <c r="N577" t="n">
        <v>0</v>
      </c>
      <c r="O577" t="n">
        <v>4</v>
      </c>
      <c r="P577" t="n">
        <v>1</v>
      </c>
      <c r="Q577" t="n">
        <v>4</v>
      </c>
      <c r="R577" s="2" t="inlineStr">
        <is>
          <t>Knärot
Gränsticka
Rosenticka
Ullticka</t>
        </is>
      </c>
      <c r="S577">
        <f>HYPERLINK("https://klasma.github.io/Logging_2326/artfynd/A 22333-2022 artfynd.xlsx", "A 22333-2022")</f>
        <v/>
      </c>
      <c r="T577">
        <f>HYPERLINK("https://klasma.github.io/Logging_2326/kartor/A 22333-2022 karta.png", "A 22333-2022")</f>
        <v/>
      </c>
      <c r="U577">
        <f>HYPERLINK("https://klasma.github.io/Logging_2326/knärot/A 22333-2022 karta knärot.png", "A 22333-2022")</f>
        <v/>
      </c>
      <c r="V577">
        <f>HYPERLINK("https://klasma.github.io/Logging_2326/klagomål/A 22333-2022 FSC-klagomål.docx", "A 22333-2022")</f>
        <v/>
      </c>
      <c r="W577">
        <f>HYPERLINK("https://klasma.github.io/Logging_2326/klagomålsmail/A 22333-2022 FSC-klagomål mail.docx", "A 22333-2022")</f>
        <v/>
      </c>
      <c r="X577">
        <f>HYPERLINK("https://klasma.github.io/Logging_2326/tillsyn/A 22333-2022 tillsynsbegäran.docx", "A 22333-2022")</f>
        <v/>
      </c>
      <c r="Y577">
        <f>HYPERLINK("https://klasma.github.io/Logging_2326/tillsynsmail/A 22333-2022 tillsynsbegäran mail.docx", "A 22333-2022")</f>
        <v/>
      </c>
    </row>
    <row r="578" ht="15" customHeight="1">
      <c r="A578" t="inlineStr">
        <is>
          <t>A 23207-2022</t>
        </is>
      </c>
      <c r="B578" s="1" t="n">
        <v>44719</v>
      </c>
      <c r="C578" s="1" t="n">
        <v>45363</v>
      </c>
      <c r="D578" t="inlineStr">
        <is>
          <t>JÄMTLANDS LÄN</t>
        </is>
      </c>
      <c r="E578" t="inlineStr">
        <is>
          <t>STRÖMSUND</t>
        </is>
      </c>
      <c r="F578" t="inlineStr">
        <is>
          <t>SCA</t>
        </is>
      </c>
      <c r="G578" t="n">
        <v>1.6</v>
      </c>
      <c r="H578" t="n">
        <v>1</v>
      </c>
      <c r="I578" t="n">
        <v>1</v>
      </c>
      <c r="J578" t="n">
        <v>2</v>
      </c>
      <c r="K578" t="n">
        <v>1</v>
      </c>
      <c r="L578" t="n">
        <v>0</v>
      </c>
      <c r="M578" t="n">
        <v>0</v>
      </c>
      <c r="N578" t="n">
        <v>0</v>
      </c>
      <c r="O578" t="n">
        <v>3</v>
      </c>
      <c r="P578" t="n">
        <v>1</v>
      </c>
      <c r="Q578" t="n">
        <v>4</v>
      </c>
      <c r="R578" s="2" t="inlineStr">
        <is>
          <t>Doftticka
Garnlav
Lunglav
Stuplav</t>
        </is>
      </c>
      <c r="S578">
        <f>HYPERLINK("https://klasma.github.io/Logging_2313/artfynd/A 23207-2022 artfynd.xlsx", "A 23207-2022")</f>
        <v/>
      </c>
      <c r="T578">
        <f>HYPERLINK("https://klasma.github.io/Logging_2313/kartor/A 23207-2022 karta.png", "A 23207-2022")</f>
        <v/>
      </c>
      <c r="V578">
        <f>HYPERLINK("https://klasma.github.io/Logging_2313/klagomål/A 23207-2022 FSC-klagomål.docx", "A 23207-2022")</f>
        <v/>
      </c>
      <c r="W578">
        <f>HYPERLINK("https://klasma.github.io/Logging_2313/klagomålsmail/A 23207-2022 FSC-klagomål mail.docx", "A 23207-2022")</f>
        <v/>
      </c>
      <c r="X578">
        <f>HYPERLINK("https://klasma.github.io/Logging_2313/tillsyn/A 23207-2022 tillsynsbegäran.docx", "A 23207-2022")</f>
        <v/>
      </c>
      <c r="Y578">
        <f>HYPERLINK("https://klasma.github.io/Logging_2313/tillsynsmail/A 23207-2022 tillsynsbegäran mail.docx", "A 23207-2022")</f>
        <v/>
      </c>
    </row>
    <row r="579" ht="15" customHeight="1">
      <c r="A579" t="inlineStr">
        <is>
          <t>A 23994-2022</t>
        </is>
      </c>
      <c r="B579" s="1" t="n">
        <v>44722</v>
      </c>
      <c r="C579" s="1" t="n">
        <v>45363</v>
      </c>
      <c r="D579" t="inlineStr">
        <is>
          <t>JÄMTLANDS LÄN</t>
        </is>
      </c>
      <c r="E579" t="inlineStr">
        <is>
          <t>KROKOM</t>
        </is>
      </c>
      <c r="F579" t="inlineStr">
        <is>
          <t>SCA</t>
        </is>
      </c>
      <c r="G579" t="n">
        <v>13.4</v>
      </c>
      <c r="H579" t="n">
        <v>0</v>
      </c>
      <c r="I579" t="n">
        <v>1</v>
      </c>
      <c r="J579" t="n">
        <v>3</v>
      </c>
      <c r="K579" t="n">
        <v>0</v>
      </c>
      <c r="L579" t="n">
        <v>0</v>
      </c>
      <c r="M579" t="n">
        <v>0</v>
      </c>
      <c r="N579" t="n">
        <v>0</v>
      </c>
      <c r="O579" t="n">
        <v>3</v>
      </c>
      <c r="P579" t="n">
        <v>0</v>
      </c>
      <c r="Q579" t="n">
        <v>4</v>
      </c>
      <c r="R579" s="2" t="inlineStr">
        <is>
          <t>Garnlav
Lunglav
Skrovellav
Korallblylav</t>
        </is>
      </c>
      <c r="S579">
        <f>HYPERLINK("https://klasma.github.io/Logging_2309/artfynd/A 23994-2022 artfynd.xlsx", "A 23994-2022")</f>
        <v/>
      </c>
      <c r="T579">
        <f>HYPERLINK("https://klasma.github.io/Logging_2309/kartor/A 23994-2022 karta.png", "A 23994-2022")</f>
        <v/>
      </c>
      <c r="V579">
        <f>HYPERLINK("https://klasma.github.io/Logging_2309/klagomål/A 23994-2022 FSC-klagomål.docx", "A 23994-2022")</f>
        <v/>
      </c>
      <c r="W579">
        <f>HYPERLINK("https://klasma.github.io/Logging_2309/klagomålsmail/A 23994-2022 FSC-klagomål mail.docx", "A 23994-2022")</f>
        <v/>
      </c>
      <c r="X579">
        <f>HYPERLINK("https://klasma.github.io/Logging_2309/tillsyn/A 23994-2022 tillsynsbegäran.docx", "A 23994-2022")</f>
        <v/>
      </c>
      <c r="Y579">
        <f>HYPERLINK("https://klasma.github.io/Logging_2309/tillsynsmail/A 23994-2022 tillsynsbegäran mail.docx", "A 23994-2022")</f>
        <v/>
      </c>
    </row>
    <row r="580" ht="15" customHeight="1">
      <c r="A580" t="inlineStr">
        <is>
          <t>A 23991-2022</t>
        </is>
      </c>
      <c r="B580" s="1" t="n">
        <v>44722</v>
      </c>
      <c r="C580" s="1" t="n">
        <v>45363</v>
      </c>
      <c r="D580" t="inlineStr">
        <is>
          <t>JÄMTLANDS LÄN</t>
        </is>
      </c>
      <c r="E580" t="inlineStr">
        <is>
          <t>KROKOM</t>
        </is>
      </c>
      <c r="F580" t="inlineStr">
        <is>
          <t>SCA</t>
        </is>
      </c>
      <c r="G580" t="n">
        <v>9</v>
      </c>
      <c r="H580" t="n">
        <v>1</v>
      </c>
      <c r="I580" t="n">
        <v>1</v>
      </c>
      <c r="J580" t="n">
        <v>2</v>
      </c>
      <c r="K580" t="n">
        <v>1</v>
      </c>
      <c r="L580" t="n">
        <v>0</v>
      </c>
      <c r="M580" t="n">
        <v>0</v>
      </c>
      <c r="N580" t="n">
        <v>0</v>
      </c>
      <c r="O580" t="n">
        <v>3</v>
      </c>
      <c r="P580" t="n">
        <v>1</v>
      </c>
      <c r="Q580" t="n">
        <v>4</v>
      </c>
      <c r="R580" s="2" t="inlineStr">
        <is>
          <t>Knärot
Gammelgransskål
Granticka
Kransrams</t>
        </is>
      </c>
      <c r="S580">
        <f>HYPERLINK("https://klasma.github.io/Logging_2309/artfynd/A 23991-2022 artfynd.xlsx", "A 23991-2022")</f>
        <v/>
      </c>
      <c r="T580">
        <f>HYPERLINK("https://klasma.github.io/Logging_2309/kartor/A 23991-2022 karta.png", "A 23991-2022")</f>
        <v/>
      </c>
      <c r="U580">
        <f>HYPERLINK("https://klasma.github.io/Logging_2309/knärot/A 23991-2022 karta knärot.png", "A 23991-2022")</f>
        <v/>
      </c>
      <c r="V580">
        <f>HYPERLINK("https://klasma.github.io/Logging_2309/klagomål/A 23991-2022 FSC-klagomål.docx", "A 23991-2022")</f>
        <v/>
      </c>
      <c r="W580">
        <f>HYPERLINK("https://klasma.github.io/Logging_2309/klagomålsmail/A 23991-2022 FSC-klagomål mail.docx", "A 23991-2022")</f>
        <v/>
      </c>
      <c r="X580">
        <f>HYPERLINK("https://klasma.github.io/Logging_2309/tillsyn/A 23991-2022 tillsynsbegäran.docx", "A 23991-2022")</f>
        <v/>
      </c>
      <c r="Y580">
        <f>HYPERLINK("https://klasma.github.io/Logging_2309/tillsynsmail/A 23991-2022 tillsynsbegäran mail.docx", "A 23991-2022")</f>
        <v/>
      </c>
    </row>
    <row r="581" ht="15" customHeight="1">
      <c r="A581" t="inlineStr">
        <is>
          <t>A 25029-2022</t>
        </is>
      </c>
      <c r="B581" s="1" t="n">
        <v>44728</v>
      </c>
      <c r="C581" s="1" t="n">
        <v>45363</v>
      </c>
      <c r="D581" t="inlineStr">
        <is>
          <t>JÄMTLANDS LÄN</t>
        </is>
      </c>
      <c r="E581" t="inlineStr">
        <is>
          <t>KROKOM</t>
        </is>
      </c>
      <c r="F581" t="inlineStr">
        <is>
          <t>SCA</t>
        </is>
      </c>
      <c r="G581" t="n">
        <v>41.5</v>
      </c>
      <c r="H581" t="n">
        <v>3</v>
      </c>
      <c r="I581" t="n">
        <v>0</v>
      </c>
      <c r="J581" t="n">
        <v>2</v>
      </c>
      <c r="K581" t="n">
        <v>1</v>
      </c>
      <c r="L581" t="n">
        <v>0</v>
      </c>
      <c r="M581" t="n">
        <v>0</v>
      </c>
      <c r="N581" t="n">
        <v>0</v>
      </c>
      <c r="O581" t="n">
        <v>3</v>
      </c>
      <c r="P581" t="n">
        <v>1</v>
      </c>
      <c r="Q581" t="n">
        <v>4</v>
      </c>
      <c r="R581" s="2" t="inlineStr">
        <is>
          <t>Knärot
Skrovellav
Spillkråka
Fläcknycklar</t>
        </is>
      </c>
      <c r="S581">
        <f>HYPERLINK("https://klasma.github.io/Logging_2309/artfynd/A 25029-2022 artfynd.xlsx", "A 25029-2022")</f>
        <v/>
      </c>
      <c r="T581">
        <f>HYPERLINK("https://klasma.github.io/Logging_2309/kartor/A 25029-2022 karta.png", "A 25029-2022")</f>
        <v/>
      </c>
      <c r="U581">
        <f>HYPERLINK("https://klasma.github.io/Logging_2309/knärot/A 25029-2022 karta knärot.png", "A 25029-2022")</f>
        <v/>
      </c>
      <c r="V581">
        <f>HYPERLINK("https://klasma.github.io/Logging_2309/klagomål/A 25029-2022 FSC-klagomål.docx", "A 25029-2022")</f>
        <v/>
      </c>
      <c r="W581">
        <f>HYPERLINK("https://klasma.github.io/Logging_2309/klagomålsmail/A 25029-2022 FSC-klagomål mail.docx", "A 25029-2022")</f>
        <v/>
      </c>
      <c r="X581">
        <f>HYPERLINK("https://klasma.github.io/Logging_2309/tillsyn/A 25029-2022 tillsynsbegäran.docx", "A 25029-2022")</f>
        <v/>
      </c>
      <c r="Y581">
        <f>HYPERLINK("https://klasma.github.io/Logging_2309/tillsynsmail/A 25029-2022 tillsynsbegäran mail.docx", "A 25029-2022")</f>
        <v/>
      </c>
      <c r="Z581">
        <f>HYPERLINK("https://klasma.github.io/Logging_2309/fåglar/A 25029-2022 prioriterade fågelarter.docx", "A 25029-2022")</f>
        <v/>
      </c>
    </row>
    <row r="582" ht="15" customHeight="1">
      <c r="A582" t="inlineStr">
        <is>
          <t>A 25649-2022</t>
        </is>
      </c>
      <c r="B582" s="1" t="n">
        <v>44732</v>
      </c>
      <c r="C582" s="1" t="n">
        <v>45363</v>
      </c>
      <c r="D582" t="inlineStr">
        <is>
          <t>JÄMTLANDS LÄN</t>
        </is>
      </c>
      <c r="E582" t="inlineStr">
        <is>
          <t>RAGUNDA</t>
        </is>
      </c>
      <c r="F582" t="inlineStr">
        <is>
          <t>SCA</t>
        </is>
      </c>
      <c r="G582" t="n">
        <v>2.9</v>
      </c>
      <c r="H582" t="n">
        <v>2</v>
      </c>
      <c r="I582" t="n">
        <v>1</v>
      </c>
      <c r="J582" t="n">
        <v>2</v>
      </c>
      <c r="K582" t="n">
        <v>1</v>
      </c>
      <c r="L582" t="n">
        <v>0</v>
      </c>
      <c r="M582" t="n">
        <v>0</v>
      </c>
      <c r="N582" t="n">
        <v>0</v>
      </c>
      <c r="O582" t="n">
        <v>3</v>
      </c>
      <c r="P582" t="n">
        <v>1</v>
      </c>
      <c r="Q582" t="n">
        <v>4</v>
      </c>
      <c r="R582" s="2" t="inlineStr">
        <is>
          <t>Knärot
Garnlav
Talltita
Dropptaggsvamp</t>
        </is>
      </c>
      <c r="S582">
        <f>HYPERLINK("https://klasma.github.io/Logging_2303/artfynd/A 25649-2022 artfynd.xlsx", "A 25649-2022")</f>
        <v/>
      </c>
      <c r="T582">
        <f>HYPERLINK("https://klasma.github.io/Logging_2303/kartor/A 25649-2022 karta.png", "A 25649-2022")</f>
        <v/>
      </c>
      <c r="U582">
        <f>HYPERLINK("https://klasma.github.io/Logging_2303/knärot/A 25649-2022 karta knärot.png", "A 25649-2022")</f>
        <v/>
      </c>
      <c r="V582">
        <f>HYPERLINK("https://klasma.github.io/Logging_2303/klagomål/A 25649-2022 FSC-klagomål.docx", "A 25649-2022")</f>
        <v/>
      </c>
      <c r="W582">
        <f>HYPERLINK("https://klasma.github.io/Logging_2303/klagomålsmail/A 25649-2022 FSC-klagomål mail.docx", "A 25649-2022")</f>
        <v/>
      </c>
      <c r="X582">
        <f>HYPERLINK("https://klasma.github.io/Logging_2303/tillsyn/A 25649-2022 tillsynsbegäran.docx", "A 25649-2022")</f>
        <v/>
      </c>
      <c r="Y582">
        <f>HYPERLINK("https://klasma.github.io/Logging_2303/tillsynsmail/A 25649-2022 tillsynsbegäran mail.docx", "A 25649-2022")</f>
        <v/>
      </c>
      <c r="Z582">
        <f>HYPERLINK("https://klasma.github.io/Logging_2303/fåglar/A 25649-2022 prioriterade fågelarter.docx", "A 25649-2022")</f>
        <v/>
      </c>
    </row>
    <row r="583" ht="15" customHeight="1">
      <c r="A583" t="inlineStr">
        <is>
          <t>A 27569-2022</t>
        </is>
      </c>
      <c r="B583" s="1" t="n">
        <v>44742</v>
      </c>
      <c r="C583" s="1" t="n">
        <v>45363</v>
      </c>
      <c r="D583" t="inlineStr">
        <is>
          <t>JÄMTLANDS LÄN</t>
        </is>
      </c>
      <c r="E583" t="inlineStr">
        <is>
          <t>STRÖMSUND</t>
        </is>
      </c>
      <c r="F583" t="inlineStr">
        <is>
          <t>SCA</t>
        </is>
      </c>
      <c r="G583" t="n">
        <v>7.2</v>
      </c>
      <c r="H583" t="n">
        <v>0</v>
      </c>
      <c r="I583" t="n">
        <v>2</v>
      </c>
      <c r="J583" t="n">
        <v>2</v>
      </c>
      <c r="K583" t="n">
        <v>0</v>
      </c>
      <c r="L583" t="n">
        <v>0</v>
      </c>
      <c r="M583" t="n">
        <v>0</v>
      </c>
      <c r="N583" t="n">
        <v>0</v>
      </c>
      <c r="O583" t="n">
        <v>2</v>
      </c>
      <c r="P583" t="n">
        <v>0</v>
      </c>
      <c r="Q583" t="n">
        <v>4</v>
      </c>
      <c r="R583" s="2" t="inlineStr">
        <is>
          <t>Lunglav
Skrovellav
Stuplav
Vedticka</t>
        </is>
      </c>
      <c r="S583">
        <f>HYPERLINK("https://klasma.github.io/Logging_2313/artfynd/A 27569-2022 artfynd.xlsx", "A 27569-2022")</f>
        <v/>
      </c>
      <c r="T583">
        <f>HYPERLINK("https://klasma.github.io/Logging_2313/kartor/A 27569-2022 karta.png", "A 27569-2022")</f>
        <v/>
      </c>
      <c r="V583">
        <f>HYPERLINK("https://klasma.github.io/Logging_2313/klagomål/A 27569-2022 FSC-klagomål.docx", "A 27569-2022")</f>
        <v/>
      </c>
      <c r="W583">
        <f>HYPERLINK("https://klasma.github.io/Logging_2313/klagomålsmail/A 27569-2022 FSC-klagomål mail.docx", "A 27569-2022")</f>
        <v/>
      </c>
      <c r="X583">
        <f>HYPERLINK("https://klasma.github.io/Logging_2313/tillsyn/A 27569-2022 tillsynsbegäran.docx", "A 27569-2022")</f>
        <v/>
      </c>
      <c r="Y583">
        <f>HYPERLINK("https://klasma.github.io/Logging_2313/tillsynsmail/A 27569-2022 tillsynsbegäran mail.docx", "A 27569-2022")</f>
        <v/>
      </c>
    </row>
    <row r="584" ht="15" customHeight="1">
      <c r="A584" t="inlineStr">
        <is>
          <t>A 29135-2022</t>
        </is>
      </c>
      <c r="B584" s="1" t="n">
        <v>44750</v>
      </c>
      <c r="C584" s="1" t="n">
        <v>45363</v>
      </c>
      <c r="D584" t="inlineStr">
        <is>
          <t>JÄMTLANDS LÄN</t>
        </is>
      </c>
      <c r="E584" t="inlineStr">
        <is>
          <t>ÖSTERSUND</t>
        </is>
      </c>
      <c r="G584" t="n">
        <v>2.3</v>
      </c>
      <c r="H584" t="n">
        <v>3</v>
      </c>
      <c r="I584" t="n">
        <v>2</v>
      </c>
      <c r="J584" t="n">
        <v>0</v>
      </c>
      <c r="K584" t="n">
        <v>0</v>
      </c>
      <c r="L584" t="n">
        <v>0</v>
      </c>
      <c r="M584" t="n">
        <v>0</v>
      </c>
      <c r="N584" t="n">
        <v>0</v>
      </c>
      <c r="O584" t="n">
        <v>0</v>
      </c>
      <c r="P584" t="n">
        <v>0</v>
      </c>
      <c r="Q584" t="n">
        <v>4</v>
      </c>
      <c r="R584" s="2" t="inlineStr">
        <is>
          <t>Finbräken
Grönkulla
Fläcknycklar
Blåsippa</t>
        </is>
      </c>
      <c r="S584">
        <f>HYPERLINK("https://klasma.github.io/Logging_2380/artfynd/A 29135-2022 artfynd.xlsx", "A 29135-2022")</f>
        <v/>
      </c>
      <c r="T584">
        <f>HYPERLINK("https://klasma.github.io/Logging_2380/kartor/A 29135-2022 karta.png", "A 29135-2022")</f>
        <v/>
      </c>
      <c r="V584">
        <f>HYPERLINK("https://klasma.github.io/Logging_2380/klagomål/A 29135-2022 FSC-klagomål.docx", "A 29135-2022")</f>
        <v/>
      </c>
      <c r="W584">
        <f>HYPERLINK("https://klasma.github.io/Logging_2380/klagomålsmail/A 29135-2022 FSC-klagomål mail.docx", "A 29135-2022")</f>
        <v/>
      </c>
      <c r="X584">
        <f>HYPERLINK("https://klasma.github.io/Logging_2380/tillsyn/A 29135-2022 tillsynsbegäran.docx", "A 29135-2022")</f>
        <v/>
      </c>
      <c r="Y584">
        <f>HYPERLINK("https://klasma.github.io/Logging_2380/tillsynsmail/A 29135-2022 tillsynsbegäran mail.docx", "A 29135-2022")</f>
        <v/>
      </c>
    </row>
    <row r="585" ht="15" customHeight="1">
      <c r="A585" t="inlineStr">
        <is>
          <t>A 30035-2022</t>
        </is>
      </c>
      <c r="B585" s="1" t="n">
        <v>44756</v>
      </c>
      <c r="C585" s="1" t="n">
        <v>45363</v>
      </c>
      <c r="D585" t="inlineStr">
        <is>
          <t>JÄMTLANDS LÄN</t>
        </is>
      </c>
      <c r="E585" t="inlineStr">
        <is>
          <t>STRÖMSUND</t>
        </is>
      </c>
      <c r="F585" t="inlineStr">
        <is>
          <t>SCA</t>
        </is>
      </c>
      <c r="G585" t="n">
        <v>6.2</v>
      </c>
      <c r="H585" t="n">
        <v>0</v>
      </c>
      <c r="I585" t="n">
        <v>1</v>
      </c>
      <c r="J585" t="n">
        <v>2</v>
      </c>
      <c r="K585" t="n">
        <v>1</v>
      </c>
      <c r="L585" t="n">
        <v>0</v>
      </c>
      <c r="M585" t="n">
        <v>0</v>
      </c>
      <c r="N585" t="n">
        <v>0</v>
      </c>
      <c r="O585" t="n">
        <v>3</v>
      </c>
      <c r="P585" t="n">
        <v>1</v>
      </c>
      <c r="Q585" t="n">
        <v>4</v>
      </c>
      <c r="R585" s="2" t="inlineStr">
        <is>
          <t>Rynkskinn
Harticka
Skrovellav
Trådticka</t>
        </is>
      </c>
      <c r="S585">
        <f>HYPERLINK("https://klasma.github.io/Logging_2313/artfynd/A 30035-2022 artfynd.xlsx", "A 30035-2022")</f>
        <v/>
      </c>
      <c r="T585">
        <f>HYPERLINK("https://klasma.github.io/Logging_2313/kartor/A 30035-2022 karta.png", "A 30035-2022")</f>
        <v/>
      </c>
      <c r="V585">
        <f>HYPERLINK("https://klasma.github.io/Logging_2313/klagomål/A 30035-2022 FSC-klagomål.docx", "A 30035-2022")</f>
        <v/>
      </c>
      <c r="W585">
        <f>HYPERLINK("https://klasma.github.io/Logging_2313/klagomålsmail/A 30035-2022 FSC-klagomål mail.docx", "A 30035-2022")</f>
        <v/>
      </c>
      <c r="X585">
        <f>HYPERLINK("https://klasma.github.io/Logging_2313/tillsyn/A 30035-2022 tillsynsbegäran.docx", "A 30035-2022")</f>
        <v/>
      </c>
      <c r="Y585">
        <f>HYPERLINK("https://klasma.github.io/Logging_2313/tillsynsmail/A 30035-2022 tillsynsbegäran mail.docx", "A 30035-2022")</f>
        <v/>
      </c>
    </row>
    <row r="586" ht="15" customHeight="1">
      <c r="A586" t="inlineStr">
        <is>
          <t>A 30228-2022</t>
        </is>
      </c>
      <c r="B586" s="1" t="n">
        <v>44757</v>
      </c>
      <c r="C586" s="1" t="n">
        <v>45363</v>
      </c>
      <c r="D586" t="inlineStr">
        <is>
          <t>JÄMTLANDS LÄN</t>
        </is>
      </c>
      <c r="E586" t="inlineStr">
        <is>
          <t>STRÖMSUND</t>
        </is>
      </c>
      <c r="F586" t="inlineStr">
        <is>
          <t>SCA</t>
        </is>
      </c>
      <c r="G586" t="n">
        <v>12</v>
      </c>
      <c r="H586" t="n">
        <v>0</v>
      </c>
      <c r="I586" t="n">
        <v>2</v>
      </c>
      <c r="J586" t="n">
        <v>2</v>
      </c>
      <c r="K586" t="n">
        <v>0</v>
      </c>
      <c r="L586" t="n">
        <v>0</v>
      </c>
      <c r="M586" t="n">
        <v>0</v>
      </c>
      <c r="N586" t="n">
        <v>0</v>
      </c>
      <c r="O586" t="n">
        <v>2</v>
      </c>
      <c r="P586" t="n">
        <v>0</v>
      </c>
      <c r="Q586" t="n">
        <v>4</v>
      </c>
      <c r="R586" s="2" t="inlineStr">
        <is>
          <t>Lunglav
Skrovellav
Bårdlav
Gytterlav</t>
        </is>
      </c>
      <c r="S586">
        <f>HYPERLINK("https://klasma.github.io/Logging_2313/artfynd/A 30228-2022 artfynd.xlsx", "A 30228-2022")</f>
        <v/>
      </c>
      <c r="T586">
        <f>HYPERLINK("https://klasma.github.io/Logging_2313/kartor/A 30228-2022 karta.png", "A 30228-2022")</f>
        <v/>
      </c>
      <c r="V586">
        <f>HYPERLINK("https://klasma.github.io/Logging_2313/klagomål/A 30228-2022 FSC-klagomål.docx", "A 30228-2022")</f>
        <v/>
      </c>
      <c r="W586">
        <f>HYPERLINK("https://klasma.github.io/Logging_2313/klagomålsmail/A 30228-2022 FSC-klagomål mail.docx", "A 30228-2022")</f>
        <v/>
      </c>
      <c r="X586">
        <f>HYPERLINK("https://klasma.github.io/Logging_2313/tillsyn/A 30228-2022 tillsynsbegäran.docx", "A 30228-2022")</f>
        <v/>
      </c>
      <c r="Y586">
        <f>HYPERLINK("https://klasma.github.io/Logging_2313/tillsynsmail/A 30228-2022 tillsynsbegäran mail.docx", "A 30228-2022")</f>
        <v/>
      </c>
    </row>
    <row r="587" ht="15" customHeight="1">
      <c r="A587" t="inlineStr">
        <is>
          <t>A 33928-2022</t>
        </is>
      </c>
      <c r="B587" s="1" t="n">
        <v>44790</v>
      </c>
      <c r="C587" s="1" t="n">
        <v>45363</v>
      </c>
      <c r="D587" t="inlineStr">
        <is>
          <t>JÄMTLANDS LÄN</t>
        </is>
      </c>
      <c r="E587" t="inlineStr">
        <is>
          <t>BRÄCKE</t>
        </is>
      </c>
      <c r="G587" t="n">
        <v>5.3</v>
      </c>
      <c r="H587" t="n">
        <v>3</v>
      </c>
      <c r="I587" t="n">
        <v>3</v>
      </c>
      <c r="J587" t="n">
        <v>0</v>
      </c>
      <c r="K587" t="n">
        <v>0</v>
      </c>
      <c r="L587" t="n">
        <v>0</v>
      </c>
      <c r="M587" t="n">
        <v>0</v>
      </c>
      <c r="N587" t="n">
        <v>0</v>
      </c>
      <c r="O587" t="n">
        <v>0</v>
      </c>
      <c r="P587" t="n">
        <v>0</v>
      </c>
      <c r="Q587" t="n">
        <v>4</v>
      </c>
      <c r="R587" s="2" t="inlineStr">
        <is>
          <t>Gräsull
Korallrot
Tvåblad
Dactylorhiza incarnata subsp. incarnata</t>
        </is>
      </c>
      <c r="S587">
        <f>HYPERLINK("https://klasma.github.io/Logging_2305/artfynd/A 33928-2022 artfynd.xlsx", "A 33928-2022")</f>
        <v/>
      </c>
      <c r="T587">
        <f>HYPERLINK("https://klasma.github.io/Logging_2305/kartor/A 33928-2022 karta.png", "A 33928-2022")</f>
        <v/>
      </c>
      <c r="V587">
        <f>HYPERLINK("https://klasma.github.io/Logging_2305/klagomål/A 33928-2022 FSC-klagomål.docx", "A 33928-2022")</f>
        <v/>
      </c>
      <c r="W587">
        <f>HYPERLINK("https://klasma.github.io/Logging_2305/klagomålsmail/A 33928-2022 FSC-klagomål mail.docx", "A 33928-2022")</f>
        <v/>
      </c>
      <c r="X587">
        <f>HYPERLINK("https://klasma.github.io/Logging_2305/tillsyn/A 33928-2022 tillsynsbegäran.docx", "A 33928-2022")</f>
        <v/>
      </c>
      <c r="Y587">
        <f>HYPERLINK("https://klasma.github.io/Logging_2305/tillsynsmail/A 33928-2022 tillsynsbegäran mail.docx", "A 33928-2022")</f>
        <v/>
      </c>
    </row>
    <row r="588" ht="15" customHeight="1">
      <c r="A588" t="inlineStr">
        <is>
          <t>A 35742-2022</t>
        </is>
      </c>
      <c r="B588" s="1" t="n">
        <v>44799</v>
      </c>
      <c r="C588" s="1" t="n">
        <v>45363</v>
      </c>
      <c r="D588" t="inlineStr">
        <is>
          <t>JÄMTLANDS LÄN</t>
        </is>
      </c>
      <c r="E588" t="inlineStr">
        <is>
          <t>BERG</t>
        </is>
      </c>
      <c r="F588" t="inlineStr">
        <is>
          <t>SCA</t>
        </is>
      </c>
      <c r="G588" t="n">
        <v>16.6</v>
      </c>
      <c r="H588" t="n">
        <v>1</v>
      </c>
      <c r="I588" t="n">
        <v>1</v>
      </c>
      <c r="J588" t="n">
        <v>3</v>
      </c>
      <c r="K588" t="n">
        <v>0</v>
      </c>
      <c r="L588" t="n">
        <v>0</v>
      </c>
      <c r="M588" t="n">
        <v>0</v>
      </c>
      <c r="N588" t="n">
        <v>0</v>
      </c>
      <c r="O588" t="n">
        <v>3</v>
      </c>
      <c r="P588" t="n">
        <v>0</v>
      </c>
      <c r="Q588" t="n">
        <v>4</v>
      </c>
      <c r="R588" s="2" t="inlineStr">
        <is>
          <t>Dvärgbägarlav
Vedflamlav
Vedskivlav
Plattlummer</t>
        </is>
      </c>
      <c r="S588">
        <f>HYPERLINK("https://klasma.github.io/Logging_2326/artfynd/A 35742-2022 artfynd.xlsx", "A 35742-2022")</f>
        <v/>
      </c>
      <c r="T588">
        <f>HYPERLINK("https://klasma.github.io/Logging_2326/kartor/A 35742-2022 karta.png", "A 35742-2022")</f>
        <v/>
      </c>
      <c r="V588">
        <f>HYPERLINK("https://klasma.github.io/Logging_2326/klagomål/A 35742-2022 FSC-klagomål.docx", "A 35742-2022")</f>
        <v/>
      </c>
      <c r="W588">
        <f>HYPERLINK("https://klasma.github.io/Logging_2326/klagomålsmail/A 35742-2022 FSC-klagomål mail.docx", "A 35742-2022")</f>
        <v/>
      </c>
      <c r="X588">
        <f>HYPERLINK("https://klasma.github.io/Logging_2326/tillsyn/A 35742-2022 tillsynsbegäran.docx", "A 35742-2022")</f>
        <v/>
      </c>
      <c r="Y588">
        <f>HYPERLINK("https://klasma.github.io/Logging_2326/tillsynsmail/A 35742-2022 tillsynsbegäran mail.docx", "A 35742-2022")</f>
        <v/>
      </c>
    </row>
    <row r="589" ht="15" customHeight="1">
      <c r="A589" t="inlineStr">
        <is>
          <t>A 36252-2022</t>
        </is>
      </c>
      <c r="B589" s="1" t="n">
        <v>44803</v>
      </c>
      <c r="C589" s="1" t="n">
        <v>45363</v>
      </c>
      <c r="D589" t="inlineStr">
        <is>
          <t>JÄMTLANDS LÄN</t>
        </is>
      </c>
      <c r="E589" t="inlineStr">
        <is>
          <t>STRÖMSUND</t>
        </is>
      </c>
      <c r="F589" t="inlineStr">
        <is>
          <t>Holmen skog AB</t>
        </is>
      </c>
      <c r="G589" t="n">
        <v>5.4</v>
      </c>
      <c r="H589" t="n">
        <v>0</v>
      </c>
      <c r="I589" t="n">
        <v>0</v>
      </c>
      <c r="J589" t="n">
        <v>4</v>
      </c>
      <c r="K589" t="n">
        <v>0</v>
      </c>
      <c r="L589" t="n">
        <v>0</v>
      </c>
      <c r="M589" t="n">
        <v>0</v>
      </c>
      <c r="N589" t="n">
        <v>0</v>
      </c>
      <c r="O589" t="n">
        <v>4</v>
      </c>
      <c r="P589" t="n">
        <v>0</v>
      </c>
      <c r="Q589" t="n">
        <v>4</v>
      </c>
      <c r="R589" s="2" t="inlineStr">
        <is>
          <t>Gammelgransskål
Garnlav
Kolflarnlav
Ullticka</t>
        </is>
      </c>
      <c r="S589">
        <f>HYPERLINK("https://klasma.github.io/Logging_2313/artfynd/A 36252-2022 artfynd.xlsx", "A 36252-2022")</f>
        <v/>
      </c>
      <c r="T589">
        <f>HYPERLINK("https://klasma.github.io/Logging_2313/kartor/A 36252-2022 karta.png", "A 36252-2022")</f>
        <v/>
      </c>
      <c r="V589">
        <f>HYPERLINK("https://klasma.github.io/Logging_2313/klagomål/A 36252-2022 FSC-klagomål.docx", "A 36252-2022")</f>
        <v/>
      </c>
      <c r="W589">
        <f>HYPERLINK("https://klasma.github.io/Logging_2313/klagomålsmail/A 36252-2022 FSC-klagomål mail.docx", "A 36252-2022")</f>
        <v/>
      </c>
      <c r="X589">
        <f>HYPERLINK("https://klasma.github.io/Logging_2313/tillsyn/A 36252-2022 tillsynsbegäran.docx", "A 36252-2022")</f>
        <v/>
      </c>
      <c r="Y589">
        <f>HYPERLINK("https://klasma.github.io/Logging_2313/tillsynsmail/A 36252-2022 tillsynsbegäran mail.docx", "A 36252-2022")</f>
        <v/>
      </c>
    </row>
    <row r="590" ht="15" customHeight="1">
      <c r="A590" t="inlineStr">
        <is>
          <t>A 36791-2022</t>
        </is>
      </c>
      <c r="B590" s="1" t="n">
        <v>44805</v>
      </c>
      <c r="C590" s="1" t="n">
        <v>45363</v>
      </c>
      <c r="D590" t="inlineStr">
        <is>
          <t>JÄMTLANDS LÄN</t>
        </is>
      </c>
      <c r="E590" t="inlineStr">
        <is>
          <t>STRÖMSUND</t>
        </is>
      </c>
      <c r="G590" t="n">
        <v>9.300000000000001</v>
      </c>
      <c r="H590" t="n">
        <v>0</v>
      </c>
      <c r="I590" t="n">
        <v>1</v>
      </c>
      <c r="J590" t="n">
        <v>3</v>
      </c>
      <c r="K590" t="n">
        <v>0</v>
      </c>
      <c r="L590" t="n">
        <v>0</v>
      </c>
      <c r="M590" t="n">
        <v>0</v>
      </c>
      <c r="N590" t="n">
        <v>0</v>
      </c>
      <c r="O590" t="n">
        <v>3</v>
      </c>
      <c r="P590" t="n">
        <v>0</v>
      </c>
      <c r="Q590" t="n">
        <v>4</v>
      </c>
      <c r="R590" s="2" t="inlineStr">
        <is>
          <t>Doftskinn
Granticka
Vitgrynig nållav
Stuplav</t>
        </is>
      </c>
      <c r="S590">
        <f>HYPERLINK("https://klasma.github.io/Logging_2313/artfynd/A 36791-2022 artfynd.xlsx", "A 36791-2022")</f>
        <v/>
      </c>
      <c r="T590">
        <f>HYPERLINK("https://klasma.github.io/Logging_2313/kartor/A 36791-2022 karta.png", "A 36791-2022")</f>
        <v/>
      </c>
      <c r="V590">
        <f>HYPERLINK("https://klasma.github.io/Logging_2313/klagomål/A 36791-2022 FSC-klagomål.docx", "A 36791-2022")</f>
        <v/>
      </c>
      <c r="W590">
        <f>HYPERLINK("https://klasma.github.io/Logging_2313/klagomålsmail/A 36791-2022 FSC-klagomål mail.docx", "A 36791-2022")</f>
        <v/>
      </c>
      <c r="X590">
        <f>HYPERLINK("https://klasma.github.io/Logging_2313/tillsyn/A 36791-2022 tillsynsbegäran.docx", "A 36791-2022")</f>
        <v/>
      </c>
      <c r="Y590">
        <f>HYPERLINK("https://klasma.github.io/Logging_2313/tillsynsmail/A 36791-2022 tillsynsbegäran mail.docx", "A 36791-2022")</f>
        <v/>
      </c>
    </row>
    <row r="591" ht="15" customHeight="1">
      <c r="A591" t="inlineStr">
        <is>
          <t>A 37381-2022</t>
        </is>
      </c>
      <c r="B591" s="1" t="n">
        <v>44806</v>
      </c>
      <c r="C591" s="1" t="n">
        <v>45363</v>
      </c>
      <c r="D591" t="inlineStr">
        <is>
          <t>JÄMTLANDS LÄN</t>
        </is>
      </c>
      <c r="E591" t="inlineStr">
        <is>
          <t>BERG</t>
        </is>
      </c>
      <c r="G591" t="n">
        <v>29</v>
      </c>
      <c r="H591" t="n">
        <v>1</v>
      </c>
      <c r="I591" t="n">
        <v>0</v>
      </c>
      <c r="J591" t="n">
        <v>4</v>
      </c>
      <c r="K591" t="n">
        <v>0</v>
      </c>
      <c r="L591" t="n">
        <v>0</v>
      </c>
      <c r="M591" t="n">
        <v>0</v>
      </c>
      <c r="N591" t="n">
        <v>0</v>
      </c>
      <c r="O591" t="n">
        <v>4</v>
      </c>
      <c r="P591" t="n">
        <v>0</v>
      </c>
      <c r="Q591" t="n">
        <v>4</v>
      </c>
      <c r="R591" s="2" t="inlineStr">
        <is>
          <t>Garnlav
Granticka
Harticka
Tretåig hackspett</t>
        </is>
      </c>
      <c r="S591">
        <f>HYPERLINK("https://klasma.github.io/Logging_2326/artfynd/A 37381-2022 artfynd.xlsx", "A 37381-2022")</f>
        <v/>
      </c>
      <c r="T591">
        <f>HYPERLINK("https://klasma.github.io/Logging_2326/kartor/A 37381-2022 karta.png", "A 37381-2022")</f>
        <v/>
      </c>
      <c r="V591">
        <f>HYPERLINK("https://klasma.github.io/Logging_2326/klagomål/A 37381-2022 FSC-klagomål.docx", "A 37381-2022")</f>
        <v/>
      </c>
      <c r="W591">
        <f>HYPERLINK("https://klasma.github.io/Logging_2326/klagomålsmail/A 37381-2022 FSC-klagomål mail.docx", "A 37381-2022")</f>
        <v/>
      </c>
      <c r="X591">
        <f>HYPERLINK("https://klasma.github.io/Logging_2326/tillsyn/A 37381-2022 tillsynsbegäran.docx", "A 37381-2022")</f>
        <v/>
      </c>
      <c r="Y591">
        <f>HYPERLINK("https://klasma.github.io/Logging_2326/tillsynsmail/A 37381-2022 tillsynsbegäran mail.docx", "A 37381-2022")</f>
        <v/>
      </c>
      <c r="Z591">
        <f>HYPERLINK("https://klasma.github.io/Logging_2326/fåglar/A 37381-2022 prioriterade fågelarter.docx", "A 37381-2022")</f>
        <v/>
      </c>
    </row>
    <row r="592" ht="15" customHeight="1">
      <c r="A592" t="inlineStr">
        <is>
          <t>A 52464-2022</t>
        </is>
      </c>
      <c r="B592" s="1" t="n">
        <v>44874</v>
      </c>
      <c r="C592" s="1" t="n">
        <v>45363</v>
      </c>
      <c r="D592" t="inlineStr">
        <is>
          <t>JÄMTLANDS LÄN</t>
        </is>
      </c>
      <c r="E592" t="inlineStr">
        <is>
          <t>ÅRE</t>
        </is>
      </c>
      <c r="G592" t="n">
        <v>6.5</v>
      </c>
      <c r="H592" t="n">
        <v>1</v>
      </c>
      <c r="I592" t="n">
        <v>0</v>
      </c>
      <c r="J592" t="n">
        <v>4</v>
      </c>
      <c r="K592" t="n">
        <v>0</v>
      </c>
      <c r="L592" t="n">
        <v>0</v>
      </c>
      <c r="M592" t="n">
        <v>0</v>
      </c>
      <c r="N592" t="n">
        <v>0</v>
      </c>
      <c r="O592" t="n">
        <v>4</v>
      </c>
      <c r="P592" t="n">
        <v>0</v>
      </c>
      <c r="Q592" t="n">
        <v>4</v>
      </c>
      <c r="R592" s="2" t="inlineStr">
        <is>
          <t>Garnlav
Liten svartspik
Tretåig hackspett
Vitgrynig nållav</t>
        </is>
      </c>
      <c r="S592">
        <f>HYPERLINK("https://klasma.github.io/Logging_2321/artfynd/A 52464-2022 artfynd.xlsx", "A 52464-2022")</f>
        <v/>
      </c>
      <c r="T592">
        <f>HYPERLINK("https://klasma.github.io/Logging_2321/kartor/A 52464-2022 karta.png", "A 52464-2022")</f>
        <v/>
      </c>
      <c r="V592">
        <f>HYPERLINK("https://klasma.github.io/Logging_2321/klagomål/A 52464-2022 FSC-klagomål.docx", "A 52464-2022")</f>
        <v/>
      </c>
      <c r="W592">
        <f>HYPERLINK("https://klasma.github.io/Logging_2321/klagomålsmail/A 52464-2022 FSC-klagomål mail.docx", "A 52464-2022")</f>
        <v/>
      </c>
      <c r="X592">
        <f>HYPERLINK("https://klasma.github.io/Logging_2321/tillsyn/A 52464-2022 tillsynsbegäran.docx", "A 52464-2022")</f>
        <v/>
      </c>
      <c r="Y592">
        <f>HYPERLINK("https://klasma.github.io/Logging_2321/tillsynsmail/A 52464-2022 tillsynsbegäran mail.docx", "A 52464-2022")</f>
        <v/>
      </c>
      <c r="Z592">
        <f>HYPERLINK("https://klasma.github.io/Logging_2321/fåglar/A 52464-2022 prioriterade fågelarter.docx", "A 52464-2022")</f>
        <v/>
      </c>
    </row>
    <row r="593" ht="15" customHeight="1">
      <c r="A593" t="inlineStr">
        <is>
          <t>A 53363-2022</t>
        </is>
      </c>
      <c r="B593" s="1" t="n">
        <v>44879</v>
      </c>
      <c r="C593" s="1" t="n">
        <v>45363</v>
      </c>
      <c r="D593" t="inlineStr">
        <is>
          <t>JÄMTLANDS LÄN</t>
        </is>
      </c>
      <c r="E593" t="inlineStr">
        <is>
          <t>KROKOM</t>
        </is>
      </c>
      <c r="F593" t="inlineStr">
        <is>
          <t>Kyrkan</t>
        </is>
      </c>
      <c r="G593" t="n">
        <v>13.3</v>
      </c>
      <c r="H593" t="n">
        <v>1</v>
      </c>
      <c r="I593" t="n">
        <v>0</v>
      </c>
      <c r="J593" t="n">
        <v>4</v>
      </c>
      <c r="K593" t="n">
        <v>0</v>
      </c>
      <c r="L593" t="n">
        <v>0</v>
      </c>
      <c r="M593" t="n">
        <v>0</v>
      </c>
      <c r="N593" t="n">
        <v>0</v>
      </c>
      <c r="O593" t="n">
        <v>4</v>
      </c>
      <c r="P593" t="n">
        <v>0</v>
      </c>
      <c r="Q593" t="n">
        <v>4</v>
      </c>
      <c r="R593" s="2" t="inlineStr">
        <is>
          <t>Garnlav
Lunglav
Skrovellav
Tretåig hackspett</t>
        </is>
      </c>
      <c r="S593">
        <f>HYPERLINK("https://klasma.github.io/Logging_2309/artfynd/A 53363-2022 artfynd.xlsx", "A 53363-2022")</f>
        <v/>
      </c>
      <c r="T593">
        <f>HYPERLINK("https://klasma.github.io/Logging_2309/kartor/A 53363-2022 karta.png", "A 53363-2022")</f>
        <v/>
      </c>
      <c r="V593">
        <f>HYPERLINK("https://klasma.github.io/Logging_2309/klagomål/A 53363-2022 FSC-klagomål.docx", "A 53363-2022")</f>
        <v/>
      </c>
      <c r="W593">
        <f>HYPERLINK("https://klasma.github.io/Logging_2309/klagomålsmail/A 53363-2022 FSC-klagomål mail.docx", "A 53363-2022")</f>
        <v/>
      </c>
      <c r="X593">
        <f>HYPERLINK("https://klasma.github.io/Logging_2309/tillsyn/A 53363-2022 tillsynsbegäran.docx", "A 53363-2022")</f>
        <v/>
      </c>
      <c r="Y593">
        <f>HYPERLINK("https://klasma.github.io/Logging_2309/tillsynsmail/A 53363-2022 tillsynsbegäran mail.docx", "A 53363-2022")</f>
        <v/>
      </c>
      <c r="Z593">
        <f>HYPERLINK("https://klasma.github.io/Logging_2309/fåglar/A 53363-2022 prioriterade fågelarter.docx", "A 53363-2022")</f>
        <v/>
      </c>
    </row>
    <row r="594" ht="15" customHeight="1">
      <c r="A594" t="inlineStr">
        <is>
          <t>A 56183-2022</t>
        </is>
      </c>
      <c r="B594" s="1" t="n">
        <v>44889</v>
      </c>
      <c r="C594" s="1" t="n">
        <v>45363</v>
      </c>
      <c r="D594" t="inlineStr">
        <is>
          <t>JÄMTLANDS LÄN</t>
        </is>
      </c>
      <c r="E594" t="inlineStr">
        <is>
          <t>ÅRE</t>
        </is>
      </c>
      <c r="G594" t="n">
        <v>29.8</v>
      </c>
      <c r="H594" t="n">
        <v>1</v>
      </c>
      <c r="I594" t="n">
        <v>0</v>
      </c>
      <c r="J594" t="n">
        <v>4</v>
      </c>
      <c r="K594" t="n">
        <v>0</v>
      </c>
      <c r="L594" t="n">
        <v>0</v>
      </c>
      <c r="M594" t="n">
        <v>0</v>
      </c>
      <c r="N594" t="n">
        <v>0</v>
      </c>
      <c r="O594" t="n">
        <v>4</v>
      </c>
      <c r="P594" t="n">
        <v>0</v>
      </c>
      <c r="Q594" t="n">
        <v>4</v>
      </c>
      <c r="R594" s="2" t="inlineStr">
        <is>
          <t>Gammelgransskål
Granticka
Skrovellav
Tretåig hackspett</t>
        </is>
      </c>
      <c r="S594">
        <f>HYPERLINK("https://klasma.github.io/Logging_2321/artfynd/A 56183-2022 artfynd.xlsx", "A 56183-2022")</f>
        <v/>
      </c>
      <c r="T594">
        <f>HYPERLINK("https://klasma.github.io/Logging_2321/kartor/A 56183-2022 karta.png", "A 56183-2022")</f>
        <v/>
      </c>
      <c r="V594">
        <f>HYPERLINK("https://klasma.github.io/Logging_2321/klagomål/A 56183-2022 FSC-klagomål.docx", "A 56183-2022")</f>
        <v/>
      </c>
      <c r="W594">
        <f>HYPERLINK("https://klasma.github.io/Logging_2321/klagomålsmail/A 56183-2022 FSC-klagomål mail.docx", "A 56183-2022")</f>
        <v/>
      </c>
      <c r="X594">
        <f>HYPERLINK("https://klasma.github.io/Logging_2321/tillsyn/A 56183-2022 tillsynsbegäran.docx", "A 56183-2022")</f>
        <v/>
      </c>
      <c r="Y594">
        <f>HYPERLINK("https://klasma.github.io/Logging_2321/tillsynsmail/A 56183-2022 tillsynsbegäran mail.docx", "A 56183-2022")</f>
        <v/>
      </c>
      <c r="Z594">
        <f>HYPERLINK("https://klasma.github.io/Logging_2321/fåglar/A 56183-2022 prioriterade fågelarter.docx", "A 56183-2022")</f>
        <v/>
      </c>
    </row>
    <row r="595" ht="15" customHeight="1">
      <c r="A595" t="inlineStr">
        <is>
          <t>A 57295-2022</t>
        </is>
      </c>
      <c r="B595" s="1" t="n">
        <v>44895</v>
      </c>
      <c r="C595" s="1" t="n">
        <v>45363</v>
      </c>
      <c r="D595" t="inlineStr">
        <is>
          <t>JÄMTLANDS LÄN</t>
        </is>
      </c>
      <c r="E595" t="inlineStr">
        <is>
          <t>KROKOM</t>
        </is>
      </c>
      <c r="G595" t="n">
        <v>36.3</v>
      </c>
      <c r="H595" t="n">
        <v>2</v>
      </c>
      <c r="I595" t="n">
        <v>0</v>
      </c>
      <c r="J595" t="n">
        <v>3</v>
      </c>
      <c r="K595" t="n">
        <v>1</v>
      </c>
      <c r="L595" t="n">
        <v>0</v>
      </c>
      <c r="M595" t="n">
        <v>0</v>
      </c>
      <c r="N595" t="n">
        <v>0</v>
      </c>
      <c r="O595" t="n">
        <v>4</v>
      </c>
      <c r="P595" t="n">
        <v>1</v>
      </c>
      <c r="Q595" t="n">
        <v>4</v>
      </c>
      <c r="R595" s="2" t="inlineStr">
        <is>
          <t>Doftticka
Garnlav
Lunglav
Tretåig hackspett</t>
        </is>
      </c>
      <c r="S595">
        <f>HYPERLINK("https://klasma.github.io/Logging_2309/artfynd/A 57295-2022 artfynd.xlsx", "A 57295-2022")</f>
        <v/>
      </c>
      <c r="T595">
        <f>HYPERLINK("https://klasma.github.io/Logging_2309/kartor/A 57295-2022 karta.png", "A 57295-2022")</f>
        <v/>
      </c>
      <c r="V595">
        <f>HYPERLINK("https://klasma.github.io/Logging_2309/klagomål/A 57295-2022 FSC-klagomål.docx", "A 57295-2022")</f>
        <v/>
      </c>
      <c r="W595">
        <f>HYPERLINK("https://klasma.github.io/Logging_2309/klagomålsmail/A 57295-2022 FSC-klagomål mail.docx", "A 57295-2022")</f>
        <v/>
      </c>
      <c r="X595">
        <f>HYPERLINK("https://klasma.github.io/Logging_2309/tillsyn/A 57295-2022 tillsynsbegäran.docx", "A 57295-2022")</f>
        <v/>
      </c>
      <c r="Y595">
        <f>HYPERLINK("https://klasma.github.io/Logging_2309/tillsynsmail/A 57295-2022 tillsynsbegäran mail.docx", "A 57295-2022")</f>
        <v/>
      </c>
      <c r="Z595">
        <f>HYPERLINK("https://klasma.github.io/Logging_2309/fåglar/A 57295-2022 prioriterade fågelarter.docx", "A 57295-2022")</f>
        <v/>
      </c>
    </row>
    <row r="596" ht="15" customHeight="1">
      <c r="A596" t="inlineStr">
        <is>
          <t>A 57279-2022</t>
        </is>
      </c>
      <c r="B596" s="1" t="n">
        <v>44895</v>
      </c>
      <c r="C596" s="1" t="n">
        <v>45363</v>
      </c>
      <c r="D596" t="inlineStr">
        <is>
          <t>JÄMTLANDS LÄN</t>
        </is>
      </c>
      <c r="E596" t="inlineStr">
        <is>
          <t>STRÖMSUND</t>
        </is>
      </c>
      <c r="F596" t="inlineStr">
        <is>
          <t>SCA</t>
        </is>
      </c>
      <c r="G596" t="n">
        <v>11</v>
      </c>
      <c r="H596" t="n">
        <v>0</v>
      </c>
      <c r="I596" t="n">
        <v>0</v>
      </c>
      <c r="J596" t="n">
        <v>3</v>
      </c>
      <c r="K596" t="n">
        <v>1</v>
      </c>
      <c r="L596" t="n">
        <v>0</v>
      </c>
      <c r="M596" t="n">
        <v>0</v>
      </c>
      <c r="N596" t="n">
        <v>0</v>
      </c>
      <c r="O596" t="n">
        <v>4</v>
      </c>
      <c r="P596" t="n">
        <v>1</v>
      </c>
      <c r="Q596" t="n">
        <v>4</v>
      </c>
      <c r="R596" s="2" t="inlineStr">
        <is>
          <t>Rynkskinn
Koralltaggsvamp
Lunglav
Skrovellav</t>
        </is>
      </c>
      <c r="S596">
        <f>HYPERLINK("https://klasma.github.io/Logging_2313/artfynd/A 57279-2022 artfynd.xlsx", "A 57279-2022")</f>
        <v/>
      </c>
      <c r="T596">
        <f>HYPERLINK("https://klasma.github.io/Logging_2313/kartor/A 57279-2022 karta.png", "A 57279-2022")</f>
        <v/>
      </c>
      <c r="V596">
        <f>HYPERLINK("https://klasma.github.io/Logging_2313/klagomål/A 57279-2022 FSC-klagomål.docx", "A 57279-2022")</f>
        <v/>
      </c>
      <c r="W596">
        <f>HYPERLINK("https://klasma.github.io/Logging_2313/klagomålsmail/A 57279-2022 FSC-klagomål mail.docx", "A 57279-2022")</f>
        <v/>
      </c>
      <c r="X596">
        <f>HYPERLINK("https://klasma.github.io/Logging_2313/tillsyn/A 57279-2022 tillsynsbegäran.docx", "A 57279-2022")</f>
        <v/>
      </c>
      <c r="Y596">
        <f>HYPERLINK("https://klasma.github.io/Logging_2313/tillsynsmail/A 57279-2022 tillsynsbegäran mail.docx", "A 57279-2022")</f>
        <v/>
      </c>
    </row>
    <row r="597" ht="15" customHeight="1">
      <c r="A597" t="inlineStr">
        <is>
          <t>A 59039-2022</t>
        </is>
      </c>
      <c r="B597" s="1" t="n">
        <v>44903</v>
      </c>
      <c r="C597" s="1" t="n">
        <v>45363</v>
      </c>
      <c r="D597" t="inlineStr">
        <is>
          <t>JÄMTLANDS LÄN</t>
        </is>
      </c>
      <c r="E597" t="inlineStr">
        <is>
          <t>KROKOM</t>
        </is>
      </c>
      <c r="F597" t="inlineStr">
        <is>
          <t>SCA</t>
        </is>
      </c>
      <c r="G597" t="n">
        <v>2.5</v>
      </c>
      <c r="H597" t="n">
        <v>0</v>
      </c>
      <c r="I597" t="n">
        <v>0</v>
      </c>
      <c r="J597" t="n">
        <v>4</v>
      </c>
      <c r="K597" t="n">
        <v>0</v>
      </c>
      <c r="L597" t="n">
        <v>0</v>
      </c>
      <c r="M597" t="n">
        <v>0</v>
      </c>
      <c r="N597" t="n">
        <v>0</v>
      </c>
      <c r="O597" t="n">
        <v>4</v>
      </c>
      <c r="P597" t="n">
        <v>0</v>
      </c>
      <c r="Q597" t="n">
        <v>4</v>
      </c>
      <c r="R597" s="2" t="inlineStr">
        <is>
          <t>Garnlav
Lunglav
Skrovellav
Tallticka</t>
        </is>
      </c>
      <c r="S597">
        <f>HYPERLINK("https://klasma.github.io/Logging_2309/artfynd/A 59039-2022 artfynd.xlsx", "A 59039-2022")</f>
        <v/>
      </c>
      <c r="T597">
        <f>HYPERLINK("https://klasma.github.io/Logging_2309/kartor/A 59039-2022 karta.png", "A 59039-2022")</f>
        <v/>
      </c>
      <c r="V597">
        <f>HYPERLINK("https://klasma.github.io/Logging_2309/klagomål/A 59039-2022 FSC-klagomål.docx", "A 59039-2022")</f>
        <v/>
      </c>
      <c r="W597">
        <f>HYPERLINK("https://klasma.github.io/Logging_2309/klagomålsmail/A 59039-2022 FSC-klagomål mail.docx", "A 59039-2022")</f>
        <v/>
      </c>
      <c r="X597">
        <f>HYPERLINK("https://klasma.github.io/Logging_2309/tillsyn/A 59039-2022 tillsynsbegäran.docx", "A 59039-2022")</f>
        <v/>
      </c>
      <c r="Y597">
        <f>HYPERLINK("https://klasma.github.io/Logging_2309/tillsynsmail/A 59039-2022 tillsynsbegäran mail.docx", "A 59039-2022")</f>
        <v/>
      </c>
    </row>
    <row r="598" ht="15" customHeight="1">
      <c r="A598" t="inlineStr">
        <is>
          <t>A 59291-2022</t>
        </is>
      </c>
      <c r="B598" s="1" t="n">
        <v>44904</v>
      </c>
      <c r="C598" s="1" t="n">
        <v>45363</v>
      </c>
      <c r="D598" t="inlineStr">
        <is>
          <t>JÄMTLANDS LÄN</t>
        </is>
      </c>
      <c r="E598" t="inlineStr">
        <is>
          <t>ÖSTERSUND</t>
        </is>
      </c>
      <c r="G598" t="n">
        <v>9.199999999999999</v>
      </c>
      <c r="H598" t="n">
        <v>1</v>
      </c>
      <c r="I598" t="n">
        <v>0</v>
      </c>
      <c r="J598" t="n">
        <v>3</v>
      </c>
      <c r="K598" t="n">
        <v>0</v>
      </c>
      <c r="L598" t="n">
        <v>0</v>
      </c>
      <c r="M598" t="n">
        <v>0</v>
      </c>
      <c r="N598" t="n">
        <v>0</v>
      </c>
      <c r="O598" t="n">
        <v>3</v>
      </c>
      <c r="P598" t="n">
        <v>0</v>
      </c>
      <c r="Q598" t="n">
        <v>4</v>
      </c>
      <c r="R598" s="2" t="inlineStr">
        <is>
          <t>Garnlav
Lunglav
Skrovellav
Revlummer</t>
        </is>
      </c>
      <c r="S598">
        <f>HYPERLINK("https://klasma.github.io/Logging_2380/artfynd/A 59291-2022 artfynd.xlsx", "A 59291-2022")</f>
        <v/>
      </c>
      <c r="T598">
        <f>HYPERLINK("https://klasma.github.io/Logging_2380/kartor/A 59291-2022 karta.png", "A 59291-2022")</f>
        <v/>
      </c>
      <c r="V598">
        <f>HYPERLINK("https://klasma.github.io/Logging_2380/klagomål/A 59291-2022 FSC-klagomål.docx", "A 59291-2022")</f>
        <v/>
      </c>
      <c r="W598">
        <f>HYPERLINK("https://klasma.github.io/Logging_2380/klagomålsmail/A 59291-2022 FSC-klagomål mail.docx", "A 59291-2022")</f>
        <v/>
      </c>
      <c r="X598">
        <f>HYPERLINK("https://klasma.github.io/Logging_2380/tillsyn/A 59291-2022 tillsynsbegäran.docx", "A 59291-2022")</f>
        <v/>
      </c>
      <c r="Y598">
        <f>HYPERLINK("https://klasma.github.io/Logging_2380/tillsynsmail/A 59291-2022 tillsynsbegäran mail.docx", "A 59291-2022")</f>
        <v/>
      </c>
    </row>
    <row r="599" ht="15" customHeight="1">
      <c r="A599" t="inlineStr">
        <is>
          <t>A 60566-2022</t>
        </is>
      </c>
      <c r="B599" s="1" t="n">
        <v>44904</v>
      </c>
      <c r="C599" s="1" t="n">
        <v>45363</v>
      </c>
      <c r="D599" t="inlineStr">
        <is>
          <t>JÄMTLANDS LÄN</t>
        </is>
      </c>
      <c r="E599" t="inlineStr">
        <is>
          <t>KROKOM</t>
        </is>
      </c>
      <c r="G599" t="n">
        <v>7.1</v>
      </c>
      <c r="H599" t="n">
        <v>1</v>
      </c>
      <c r="I599" t="n">
        <v>0</v>
      </c>
      <c r="J599" t="n">
        <v>3</v>
      </c>
      <c r="K599" t="n">
        <v>1</v>
      </c>
      <c r="L599" t="n">
        <v>0</v>
      </c>
      <c r="M599" t="n">
        <v>0</v>
      </c>
      <c r="N599" t="n">
        <v>0</v>
      </c>
      <c r="O599" t="n">
        <v>4</v>
      </c>
      <c r="P599" t="n">
        <v>1</v>
      </c>
      <c r="Q599" t="n">
        <v>4</v>
      </c>
      <c r="R599" s="2" t="inlineStr">
        <is>
          <t>Fjällfotad fingersvamp
Lunglav
Småflikig brosklav
Talltita</t>
        </is>
      </c>
      <c r="S599">
        <f>HYPERLINK("https://klasma.github.io/Logging_2309/artfynd/A 60566-2022 artfynd.xlsx", "A 60566-2022")</f>
        <v/>
      </c>
      <c r="T599">
        <f>HYPERLINK("https://klasma.github.io/Logging_2309/kartor/A 60566-2022 karta.png", "A 60566-2022")</f>
        <v/>
      </c>
      <c r="V599">
        <f>HYPERLINK("https://klasma.github.io/Logging_2309/klagomål/A 60566-2022 FSC-klagomål.docx", "A 60566-2022")</f>
        <v/>
      </c>
      <c r="W599">
        <f>HYPERLINK("https://klasma.github.io/Logging_2309/klagomålsmail/A 60566-2022 FSC-klagomål mail.docx", "A 60566-2022")</f>
        <v/>
      </c>
      <c r="X599">
        <f>HYPERLINK("https://klasma.github.io/Logging_2309/tillsyn/A 60566-2022 tillsynsbegäran.docx", "A 60566-2022")</f>
        <v/>
      </c>
      <c r="Y599">
        <f>HYPERLINK("https://klasma.github.io/Logging_2309/tillsynsmail/A 60566-2022 tillsynsbegäran mail.docx", "A 60566-2022")</f>
        <v/>
      </c>
      <c r="Z599">
        <f>HYPERLINK("https://klasma.github.io/Logging_2309/fåglar/A 60566-2022 prioriterade fågelarter.docx", "A 60566-2022")</f>
        <v/>
      </c>
    </row>
    <row r="600" ht="15" customHeight="1">
      <c r="A600" t="inlineStr">
        <is>
          <t>A 60670-2022</t>
        </is>
      </c>
      <c r="B600" s="1" t="n">
        <v>44911</v>
      </c>
      <c r="C600" s="1" t="n">
        <v>45363</v>
      </c>
      <c r="D600" t="inlineStr">
        <is>
          <t>JÄMTLANDS LÄN</t>
        </is>
      </c>
      <c r="E600" t="inlineStr">
        <is>
          <t>RAGUNDA</t>
        </is>
      </c>
      <c r="F600" t="inlineStr">
        <is>
          <t>SCA</t>
        </is>
      </c>
      <c r="G600" t="n">
        <v>5.1</v>
      </c>
      <c r="H600" t="n">
        <v>0</v>
      </c>
      <c r="I600" t="n">
        <v>0</v>
      </c>
      <c r="J600" t="n">
        <v>4</v>
      </c>
      <c r="K600" t="n">
        <v>0</v>
      </c>
      <c r="L600" t="n">
        <v>0</v>
      </c>
      <c r="M600" t="n">
        <v>0</v>
      </c>
      <c r="N600" t="n">
        <v>0</v>
      </c>
      <c r="O600" t="n">
        <v>4</v>
      </c>
      <c r="P600" t="n">
        <v>0</v>
      </c>
      <c r="Q600" t="n">
        <v>4</v>
      </c>
      <c r="R600" s="2" t="inlineStr">
        <is>
          <t>Doftskinn
Gammelgransskål
Lunglav
Ullticka</t>
        </is>
      </c>
      <c r="S600">
        <f>HYPERLINK("https://klasma.github.io/Logging_2303/artfynd/A 60670-2022 artfynd.xlsx", "A 60670-2022")</f>
        <v/>
      </c>
      <c r="T600">
        <f>HYPERLINK("https://klasma.github.io/Logging_2303/kartor/A 60670-2022 karta.png", "A 60670-2022")</f>
        <v/>
      </c>
      <c r="V600">
        <f>HYPERLINK("https://klasma.github.io/Logging_2303/klagomål/A 60670-2022 FSC-klagomål.docx", "A 60670-2022")</f>
        <v/>
      </c>
      <c r="W600">
        <f>HYPERLINK("https://klasma.github.io/Logging_2303/klagomålsmail/A 60670-2022 FSC-klagomål mail.docx", "A 60670-2022")</f>
        <v/>
      </c>
      <c r="X600">
        <f>HYPERLINK("https://klasma.github.io/Logging_2303/tillsyn/A 60670-2022 tillsynsbegäran.docx", "A 60670-2022")</f>
        <v/>
      </c>
      <c r="Y600">
        <f>HYPERLINK("https://klasma.github.io/Logging_2303/tillsynsmail/A 60670-2022 tillsynsbegäran mail.docx", "A 60670-2022")</f>
        <v/>
      </c>
    </row>
    <row r="601" ht="15" customHeight="1">
      <c r="A601" t="inlineStr">
        <is>
          <t>A 2962-2023</t>
        </is>
      </c>
      <c r="B601" s="1" t="n">
        <v>44945</v>
      </c>
      <c r="C601" s="1" t="n">
        <v>45363</v>
      </c>
      <c r="D601" t="inlineStr">
        <is>
          <t>JÄMTLANDS LÄN</t>
        </is>
      </c>
      <c r="E601" t="inlineStr">
        <is>
          <t>ÖSTERSUND</t>
        </is>
      </c>
      <c r="F601" t="inlineStr">
        <is>
          <t>Övriga Aktiebolag</t>
        </is>
      </c>
      <c r="G601" t="n">
        <v>14.4</v>
      </c>
      <c r="H601" t="n">
        <v>2</v>
      </c>
      <c r="I601" t="n">
        <v>0</v>
      </c>
      <c r="J601" t="n">
        <v>3</v>
      </c>
      <c r="K601" t="n">
        <v>0</v>
      </c>
      <c r="L601" t="n">
        <v>0</v>
      </c>
      <c r="M601" t="n">
        <v>0</v>
      </c>
      <c r="N601" t="n">
        <v>0</v>
      </c>
      <c r="O601" t="n">
        <v>3</v>
      </c>
      <c r="P601" t="n">
        <v>0</v>
      </c>
      <c r="Q601" t="n">
        <v>4</v>
      </c>
      <c r="R601" s="2" t="inlineStr">
        <is>
          <t>Garnlav
Lunglav
Tretåig hackspett
Revlummer</t>
        </is>
      </c>
      <c r="S601">
        <f>HYPERLINK("https://klasma.github.io/Logging_2380/artfynd/A 2962-2023 artfynd.xlsx", "A 2962-2023")</f>
        <v/>
      </c>
      <c r="T601">
        <f>HYPERLINK("https://klasma.github.io/Logging_2380/kartor/A 2962-2023 karta.png", "A 2962-2023")</f>
        <v/>
      </c>
      <c r="V601">
        <f>HYPERLINK("https://klasma.github.io/Logging_2380/klagomål/A 2962-2023 FSC-klagomål.docx", "A 2962-2023")</f>
        <v/>
      </c>
      <c r="W601">
        <f>HYPERLINK("https://klasma.github.io/Logging_2380/klagomålsmail/A 2962-2023 FSC-klagomål mail.docx", "A 2962-2023")</f>
        <v/>
      </c>
      <c r="X601">
        <f>HYPERLINK("https://klasma.github.io/Logging_2380/tillsyn/A 2962-2023 tillsynsbegäran.docx", "A 2962-2023")</f>
        <v/>
      </c>
      <c r="Y601">
        <f>HYPERLINK("https://klasma.github.io/Logging_2380/tillsynsmail/A 2962-2023 tillsynsbegäran mail.docx", "A 2962-2023")</f>
        <v/>
      </c>
      <c r="Z601">
        <f>HYPERLINK("https://klasma.github.io/Logging_2380/fåglar/A 2962-2023 prioriterade fågelarter.docx", "A 2962-2023")</f>
        <v/>
      </c>
    </row>
    <row r="602" ht="15" customHeight="1">
      <c r="A602" t="inlineStr">
        <is>
          <t>A 4757-2023</t>
        </is>
      </c>
      <c r="B602" s="1" t="n">
        <v>44957</v>
      </c>
      <c r="C602" s="1" t="n">
        <v>45363</v>
      </c>
      <c r="D602" t="inlineStr">
        <is>
          <t>JÄMTLANDS LÄN</t>
        </is>
      </c>
      <c r="E602" t="inlineStr">
        <is>
          <t>HÄRJEDALEN</t>
        </is>
      </c>
      <c r="G602" t="n">
        <v>21.3</v>
      </c>
      <c r="H602" t="n">
        <v>1</v>
      </c>
      <c r="I602" t="n">
        <v>0</v>
      </c>
      <c r="J602" t="n">
        <v>3</v>
      </c>
      <c r="K602" t="n">
        <v>1</v>
      </c>
      <c r="L602" t="n">
        <v>0</v>
      </c>
      <c r="M602" t="n">
        <v>0</v>
      </c>
      <c r="N602" t="n">
        <v>0</v>
      </c>
      <c r="O602" t="n">
        <v>4</v>
      </c>
      <c r="P602" t="n">
        <v>1</v>
      </c>
      <c r="Q602" t="n">
        <v>4</v>
      </c>
      <c r="R602" s="2" t="inlineStr">
        <is>
          <t>Sprickporing
Garnlav
Granticka
Tretåig hackspett</t>
        </is>
      </c>
      <c r="S602">
        <f>HYPERLINK("https://klasma.github.io/Logging_2361/artfynd/A 4757-2023 artfynd.xlsx", "A 4757-2023")</f>
        <v/>
      </c>
      <c r="T602">
        <f>HYPERLINK("https://klasma.github.io/Logging_2361/kartor/A 4757-2023 karta.png", "A 4757-2023")</f>
        <v/>
      </c>
      <c r="V602">
        <f>HYPERLINK("https://klasma.github.io/Logging_2361/klagomål/A 4757-2023 FSC-klagomål.docx", "A 4757-2023")</f>
        <v/>
      </c>
      <c r="W602">
        <f>HYPERLINK("https://klasma.github.io/Logging_2361/klagomålsmail/A 4757-2023 FSC-klagomål mail.docx", "A 4757-2023")</f>
        <v/>
      </c>
      <c r="X602">
        <f>HYPERLINK("https://klasma.github.io/Logging_2361/tillsyn/A 4757-2023 tillsynsbegäran.docx", "A 4757-2023")</f>
        <v/>
      </c>
      <c r="Y602">
        <f>HYPERLINK("https://klasma.github.io/Logging_2361/tillsynsmail/A 4757-2023 tillsynsbegäran mail.docx", "A 4757-2023")</f>
        <v/>
      </c>
      <c r="Z602">
        <f>HYPERLINK("https://klasma.github.io/Logging_2361/fåglar/A 4757-2023 prioriterade fågelarter.docx", "A 4757-2023")</f>
        <v/>
      </c>
    </row>
    <row r="603" ht="15" customHeight="1">
      <c r="A603" t="inlineStr">
        <is>
          <t>A 6682-2023</t>
        </is>
      </c>
      <c r="B603" s="1" t="n">
        <v>44966</v>
      </c>
      <c r="C603" s="1" t="n">
        <v>45363</v>
      </c>
      <c r="D603" t="inlineStr">
        <is>
          <t>JÄMTLANDS LÄN</t>
        </is>
      </c>
      <c r="E603" t="inlineStr">
        <is>
          <t>KROKOM</t>
        </is>
      </c>
      <c r="G603" t="n">
        <v>22.8</v>
      </c>
      <c r="H603" t="n">
        <v>1</v>
      </c>
      <c r="I603" t="n">
        <v>0</v>
      </c>
      <c r="J603" t="n">
        <v>4</v>
      </c>
      <c r="K603" t="n">
        <v>0</v>
      </c>
      <c r="L603" t="n">
        <v>0</v>
      </c>
      <c r="M603" t="n">
        <v>0</v>
      </c>
      <c r="N603" t="n">
        <v>0</v>
      </c>
      <c r="O603" t="n">
        <v>4</v>
      </c>
      <c r="P603" t="n">
        <v>0</v>
      </c>
      <c r="Q603" t="n">
        <v>4</v>
      </c>
      <c r="R603" s="2" t="inlineStr">
        <is>
          <t>Garnlav
Granticka
Lunglav
Tretåig hackspett</t>
        </is>
      </c>
      <c r="S603">
        <f>HYPERLINK("https://klasma.github.io/Logging_2309/artfynd/A 6682-2023 artfynd.xlsx", "A 6682-2023")</f>
        <v/>
      </c>
      <c r="T603">
        <f>HYPERLINK("https://klasma.github.io/Logging_2309/kartor/A 6682-2023 karta.png", "A 6682-2023")</f>
        <v/>
      </c>
      <c r="V603">
        <f>HYPERLINK("https://klasma.github.io/Logging_2309/klagomål/A 6682-2023 FSC-klagomål.docx", "A 6682-2023")</f>
        <v/>
      </c>
      <c r="W603">
        <f>HYPERLINK("https://klasma.github.io/Logging_2309/klagomålsmail/A 6682-2023 FSC-klagomål mail.docx", "A 6682-2023")</f>
        <v/>
      </c>
      <c r="X603">
        <f>HYPERLINK("https://klasma.github.io/Logging_2309/tillsyn/A 6682-2023 tillsynsbegäran.docx", "A 6682-2023")</f>
        <v/>
      </c>
      <c r="Y603">
        <f>HYPERLINK("https://klasma.github.io/Logging_2309/tillsynsmail/A 6682-2023 tillsynsbegäran mail.docx", "A 6682-2023")</f>
        <v/>
      </c>
      <c r="Z603">
        <f>HYPERLINK("https://klasma.github.io/Logging_2309/fåglar/A 6682-2023 prioriterade fågelarter.docx", "A 6682-2023")</f>
        <v/>
      </c>
    </row>
    <row r="604" ht="15" customHeight="1">
      <c r="A604" t="inlineStr">
        <is>
          <t>A 7672-2023</t>
        </is>
      </c>
      <c r="B604" s="1" t="n">
        <v>44967</v>
      </c>
      <c r="C604" s="1" t="n">
        <v>45363</v>
      </c>
      <c r="D604" t="inlineStr">
        <is>
          <t>JÄMTLANDS LÄN</t>
        </is>
      </c>
      <c r="E604" t="inlineStr">
        <is>
          <t>BERG</t>
        </is>
      </c>
      <c r="G604" t="n">
        <v>13.1</v>
      </c>
      <c r="H604" t="n">
        <v>1</v>
      </c>
      <c r="I604" t="n">
        <v>0</v>
      </c>
      <c r="J604" t="n">
        <v>3</v>
      </c>
      <c r="K604" t="n">
        <v>1</v>
      </c>
      <c r="L604" t="n">
        <v>0</v>
      </c>
      <c r="M604" t="n">
        <v>0</v>
      </c>
      <c r="N604" t="n">
        <v>0</v>
      </c>
      <c r="O604" t="n">
        <v>4</v>
      </c>
      <c r="P604" t="n">
        <v>1</v>
      </c>
      <c r="Q604" t="n">
        <v>4</v>
      </c>
      <c r="R604" s="2" t="inlineStr">
        <is>
          <t>Knärot
Garnlav
Lunglav
Mörk kolflarnlav</t>
        </is>
      </c>
      <c r="S604">
        <f>HYPERLINK("https://klasma.github.io/Logging_2326/artfynd/A 7672-2023 artfynd.xlsx", "A 7672-2023")</f>
        <v/>
      </c>
      <c r="T604">
        <f>HYPERLINK("https://klasma.github.io/Logging_2326/kartor/A 7672-2023 karta.png", "A 7672-2023")</f>
        <v/>
      </c>
      <c r="U604">
        <f>HYPERLINK("https://klasma.github.io/Logging_2326/knärot/A 7672-2023 karta knärot.png", "A 7672-2023")</f>
        <v/>
      </c>
      <c r="V604">
        <f>HYPERLINK("https://klasma.github.io/Logging_2326/klagomål/A 7672-2023 FSC-klagomål.docx", "A 7672-2023")</f>
        <v/>
      </c>
      <c r="W604">
        <f>HYPERLINK("https://klasma.github.io/Logging_2326/klagomålsmail/A 7672-2023 FSC-klagomål mail.docx", "A 7672-2023")</f>
        <v/>
      </c>
      <c r="X604">
        <f>HYPERLINK("https://klasma.github.io/Logging_2326/tillsyn/A 7672-2023 tillsynsbegäran.docx", "A 7672-2023")</f>
        <v/>
      </c>
      <c r="Y604">
        <f>HYPERLINK("https://klasma.github.io/Logging_2326/tillsynsmail/A 7672-2023 tillsynsbegäran mail.docx", "A 7672-2023")</f>
        <v/>
      </c>
    </row>
    <row r="605" ht="15" customHeight="1">
      <c r="A605" t="inlineStr">
        <is>
          <t>A 8587-2023</t>
        </is>
      </c>
      <c r="B605" s="1" t="n">
        <v>44977</v>
      </c>
      <c r="C605" s="1" t="n">
        <v>45363</v>
      </c>
      <c r="D605" t="inlineStr">
        <is>
          <t>JÄMTLANDS LÄN</t>
        </is>
      </c>
      <c r="E605" t="inlineStr">
        <is>
          <t>HÄRJEDALEN</t>
        </is>
      </c>
      <c r="F605" t="inlineStr">
        <is>
          <t>Holmen skog AB</t>
        </is>
      </c>
      <c r="G605" t="n">
        <v>7.4</v>
      </c>
      <c r="H605" t="n">
        <v>2</v>
      </c>
      <c r="I605" t="n">
        <v>0</v>
      </c>
      <c r="J605" t="n">
        <v>2</v>
      </c>
      <c r="K605" t="n">
        <v>1</v>
      </c>
      <c r="L605" t="n">
        <v>0</v>
      </c>
      <c r="M605" t="n">
        <v>0</v>
      </c>
      <c r="N605" t="n">
        <v>0</v>
      </c>
      <c r="O605" t="n">
        <v>3</v>
      </c>
      <c r="P605" t="n">
        <v>1</v>
      </c>
      <c r="Q605" t="n">
        <v>4</v>
      </c>
      <c r="R605" s="2" t="inlineStr">
        <is>
          <t>Knärot
Knottrig blåslav
Violettgrå tagellav
Fläcknycklar</t>
        </is>
      </c>
      <c r="S605">
        <f>HYPERLINK("https://klasma.github.io/Logging_2361/artfynd/A 8587-2023 artfynd.xlsx", "A 8587-2023")</f>
        <v/>
      </c>
      <c r="T605">
        <f>HYPERLINK("https://klasma.github.io/Logging_2361/kartor/A 8587-2023 karta.png", "A 8587-2023")</f>
        <v/>
      </c>
      <c r="U605">
        <f>HYPERLINK("https://klasma.github.io/Logging_2361/knärot/A 8587-2023 karta knärot.png", "A 8587-2023")</f>
        <v/>
      </c>
      <c r="V605">
        <f>HYPERLINK("https://klasma.github.io/Logging_2361/klagomål/A 8587-2023 FSC-klagomål.docx", "A 8587-2023")</f>
        <v/>
      </c>
      <c r="W605">
        <f>HYPERLINK("https://klasma.github.io/Logging_2361/klagomålsmail/A 8587-2023 FSC-klagomål mail.docx", "A 8587-2023")</f>
        <v/>
      </c>
      <c r="X605">
        <f>HYPERLINK("https://klasma.github.io/Logging_2361/tillsyn/A 8587-2023 tillsynsbegäran.docx", "A 8587-2023")</f>
        <v/>
      </c>
      <c r="Y605">
        <f>HYPERLINK("https://klasma.github.io/Logging_2361/tillsynsmail/A 8587-2023 tillsynsbegäran mail.docx", "A 8587-2023")</f>
        <v/>
      </c>
    </row>
    <row r="606" ht="15" customHeight="1">
      <c r="A606" t="inlineStr">
        <is>
          <t>A 14059-2023</t>
        </is>
      </c>
      <c r="B606" s="1" t="n">
        <v>45007</v>
      </c>
      <c r="C606" s="1" t="n">
        <v>45363</v>
      </c>
      <c r="D606" t="inlineStr">
        <is>
          <t>JÄMTLANDS LÄN</t>
        </is>
      </c>
      <c r="E606" t="inlineStr">
        <is>
          <t>HÄRJEDALEN</t>
        </is>
      </c>
      <c r="F606" t="inlineStr">
        <is>
          <t>Bergvik skog väst AB</t>
        </is>
      </c>
      <c r="G606" t="n">
        <v>21.1</v>
      </c>
      <c r="H606" t="n">
        <v>0</v>
      </c>
      <c r="I606" t="n">
        <v>0</v>
      </c>
      <c r="J606" t="n">
        <v>2</v>
      </c>
      <c r="K606" t="n">
        <v>2</v>
      </c>
      <c r="L606" t="n">
        <v>0</v>
      </c>
      <c r="M606" t="n">
        <v>0</v>
      </c>
      <c r="N606" t="n">
        <v>0</v>
      </c>
      <c r="O606" t="n">
        <v>4</v>
      </c>
      <c r="P606" t="n">
        <v>2</v>
      </c>
      <c r="Q606" t="n">
        <v>4</v>
      </c>
      <c r="R606" s="2" t="inlineStr">
        <is>
          <t>Fläckporing
Gräddporing
Nordtagging
Skrovellav</t>
        </is>
      </c>
      <c r="S606">
        <f>HYPERLINK("https://klasma.github.io/Logging_2361/artfynd/A 14059-2023 artfynd.xlsx", "A 14059-2023")</f>
        <v/>
      </c>
      <c r="T606">
        <f>HYPERLINK("https://klasma.github.io/Logging_2361/kartor/A 14059-2023 karta.png", "A 14059-2023")</f>
        <v/>
      </c>
      <c r="V606">
        <f>HYPERLINK("https://klasma.github.io/Logging_2361/klagomål/A 14059-2023 FSC-klagomål.docx", "A 14059-2023")</f>
        <v/>
      </c>
      <c r="W606">
        <f>HYPERLINK("https://klasma.github.io/Logging_2361/klagomålsmail/A 14059-2023 FSC-klagomål mail.docx", "A 14059-2023")</f>
        <v/>
      </c>
      <c r="X606">
        <f>HYPERLINK("https://klasma.github.io/Logging_2361/tillsyn/A 14059-2023 tillsynsbegäran.docx", "A 14059-2023")</f>
        <v/>
      </c>
      <c r="Y606">
        <f>HYPERLINK("https://klasma.github.io/Logging_2361/tillsynsmail/A 14059-2023 tillsynsbegäran mail.docx", "A 14059-2023")</f>
        <v/>
      </c>
    </row>
    <row r="607" ht="15" customHeight="1">
      <c r="A607" t="inlineStr">
        <is>
          <t>A 17221-2023</t>
        </is>
      </c>
      <c r="B607" s="1" t="n">
        <v>45034</v>
      </c>
      <c r="C607" s="1" t="n">
        <v>45363</v>
      </c>
      <c r="D607" t="inlineStr">
        <is>
          <t>JÄMTLANDS LÄN</t>
        </is>
      </c>
      <c r="E607" t="inlineStr">
        <is>
          <t>RAGUNDA</t>
        </is>
      </c>
      <c r="F607" t="inlineStr">
        <is>
          <t>SCA</t>
        </is>
      </c>
      <c r="G607" t="n">
        <v>7.8</v>
      </c>
      <c r="H607" t="n">
        <v>0</v>
      </c>
      <c r="I607" t="n">
        <v>1</v>
      </c>
      <c r="J607" t="n">
        <v>3</v>
      </c>
      <c r="K607" t="n">
        <v>0</v>
      </c>
      <c r="L607" t="n">
        <v>0</v>
      </c>
      <c r="M607" t="n">
        <v>0</v>
      </c>
      <c r="N607" t="n">
        <v>0</v>
      </c>
      <c r="O607" t="n">
        <v>3</v>
      </c>
      <c r="P607" t="n">
        <v>0</v>
      </c>
      <c r="Q607" t="n">
        <v>4</v>
      </c>
      <c r="R607" s="2" t="inlineStr">
        <is>
          <t>Garnlav
Lunglav
Ullticka
Stuplav</t>
        </is>
      </c>
      <c r="S607">
        <f>HYPERLINK("https://klasma.github.io/Logging_2303/artfynd/A 17221-2023 artfynd.xlsx", "A 17221-2023")</f>
        <v/>
      </c>
      <c r="T607">
        <f>HYPERLINK("https://klasma.github.io/Logging_2303/kartor/A 17221-2023 karta.png", "A 17221-2023")</f>
        <v/>
      </c>
      <c r="V607">
        <f>HYPERLINK("https://klasma.github.io/Logging_2303/klagomål/A 17221-2023 FSC-klagomål.docx", "A 17221-2023")</f>
        <v/>
      </c>
      <c r="W607">
        <f>HYPERLINK("https://klasma.github.io/Logging_2303/klagomålsmail/A 17221-2023 FSC-klagomål mail.docx", "A 17221-2023")</f>
        <v/>
      </c>
      <c r="X607">
        <f>HYPERLINK("https://klasma.github.io/Logging_2303/tillsyn/A 17221-2023 tillsynsbegäran.docx", "A 17221-2023")</f>
        <v/>
      </c>
      <c r="Y607">
        <f>HYPERLINK("https://klasma.github.io/Logging_2303/tillsynsmail/A 17221-2023 tillsynsbegäran mail.docx", "A 17221-2023")</f>
        <v/>
      </c>
    </row>
    <row r="608" ht="15" customHeight="1">
      <c r="A608" t="inlineStr">
        <is>
          <t>A 19701-2023</t>
        </is>
      </c>
      <c r="B608" s="1" t="n">
        <v>45051</v>
      </c>
      <c r="C608" s="1" t="n">
        <v>45363</v>
      </c>
      <c r="D608" t="inlineStr">
        <is>
          <t>JÄMTLANDS LÄN</t>
        </is>
      </c>
      <c r="E608" t="inlineStr">
        <is>
          <t>ÅRE</t>
        </is>
      </c>
      <c r="G608" t="n">
        <v>9.800000000000001</v>
      </c>
      <c r="H608" t="n">
        <v>2</v>
      </c>
      <c r="I608" t="n">
        <v>2</v>
      </c>
      <c r="J608" t="n">
        <v>1</v>
      </c>
      <c r="K608" t="n">
        <v>0</v>
      </c>
      <c r="L608" t="n">
        <v>0</v>
      </c>
      <c r="M608" t="n">
        <v>0</v>
      </c>
      <c r="N608" t="n">
        <v>0</v>
      </c>
      <c r="O608" t="n">
        <v>1</v>
      </c>
      <c r="P608" t="n">
        <v>0</v>
      </c>
      <c r="Q608" t="n">
        <v>4</v>
      </c>
      <c r="R608" s="2" t="inlineStr">
        <is>
          <t>Granticka
Spindelblomster
Ögonpyrola
Revlummer</t>
        </is>
      </c>
      <c r="S608">
        <f>HYPERLINK("https://klasma.github.io/Logging_2321/artfynd/A 19701-2023 artfynd.xlsx", "A 19701-2023")</f>
        <v/>
      </c>
      <c r="T608">
        <f>HYPERLINK("https://klasma.github.io/Logging_2321/kartor/A 19701-2023 karta.png", "A 19701-2023")</f>
        <v/>
      </c>
      <c r="V608">
        <f>HYPERLINK("https://klasma.github.io/Logging_2321/klagomål/A 19701-2023 FSC-klagomål.docx", "A 19701-2023")</f>
        <v/>
      </c>
      <c r="W608">
        <f>HYPERLINK("https://klasma.github.io/Logging_2321/klagomålsmail/A 19701-2023 FSC-klagomål mail.docx", "A 19701-2023")</f>
        <v/>
      </c>
      <c r="X608">
        <f>HYPERLINK("https://klasma.github.io/Logging_2321/tillsyn/A 19701-2023 tillsynsbegäran.docx", "A 19701-2023")</f>
        <v/>
      </c>
      <c r="Y608">
        <f>HYPERLINK("https://klasma.github.io/Logging_2321/tillsynsmail/A 19701-2023 tillsynsbegäran mail.docx", "A 19701-2023")</f>
        <v/>
      </c>
    </row>
    <row r="609" ht="15" customHeight="1">
      <c r="A609" t="inlineStr">
        <is>
          <t>A 20874-2023</t>
        </is>
      </c>
      <c r="B609" s="1" t="n">
        <v>45058</v>
      </c>
      <c r="C609" s="1" t="n">
        <v>45363</v>
      </c>
      <c r="D609" t="inlineStr">
        <is>
          <t>JÄMTLANDS LÄN</t>
        </is>
      </c>
      <c r="E609" t="inlineStr">
        <is>
          <t>BERG</t>
        </is>
      </c>
      <c r="F609" t="inlineStr">
        <is>
          <t>SCA</t>
        </is>
      </c>
      <c r="G609" t="n">
        <v>2.6</v>
      </c>
      <c r="H609" t="n">
        <v>0</v>
      </c>
      <c r="I609" t="n">
        <v>1</v>
      </c>
      <c r="J609" t="n">
        <v>3</v>
      </c>
      <c r="K609" t="n">
        <v>0</v>
      </c>
      <c r="L609" t="n">
        <v>0</v>
      </c>
      <c r="M609" t="n">
        <v>0</v>
      </c>
      <c r="N609" t="n">
        <v>0</v>
      </c>
      <c r="O609" t="n">
        <v>3</v>
      </c>
      <c r="P609" t="n">
        <v>0</v>
      </c>
      <c r="Q609" t="n">
        <v>4</v>
      </c>
      <c r="R609" s="2" t="inlineStr">
        <is>
          <t>Kolflarnlav
Mörk kolflarnlav
Vedskivlav
Skinnlav</t>
        </is>
      </c>
      <c r="S609">
        <f>HYPERLINK("https://klasma.github.io/Logging_2326/artfynd/A 20874-2023 artfynd.xlsx", "A 20874-2023")</f>
        <v/>
      </c>
      <c r="T609">
        <f>HYPERLINK("https://klasma.github.io/Logging_2326/kartor/A 20874-2023 karta.png", "A 20874-2023")</f>
        <v/>
      </c>
      <c r="V609">
        <f>HYPERLINK("https://klasma.github.io/Logging_2326/klagomål/A 20874-2023 FSC-klagomål.docx", "A 20874-2023")</f>
        <v/>
      </c>
      <c r="W609">
        <f>HYPERLINK("https://klasma.github.io/Logging_2326/klagomålsmail/A 20874-2023 FSC-klagomål mail.docx", "A 20874-2023")</f>
        <v/>
      </c>
      <c r="X609">
        <f>HYPERLINK("https://klasma.github.io/Logging_2326/tillsyn/A 20874-2023 tillsynsbegäran.docx", "A 20874-2023")</f>
        <v/>
      </c>
      <c r="Y609">
        <f>HYPERLINK("https://klasma.github.io/Logging_2326/tillsynsmail/A 20874-2023 tillsynsbegäran mail.docx", "A 20874-2023")</f>
        <v/>
      </c>
    </row>
    <row r="610" ht="15" customHeight="1">
      <c r="A610" t="inlineStr">
        <is>
          <t>A 20886-2023</t>
        </is>
      </c>
      <c r="B610" s="1" t="n">
        <v>45058</v>
      </c>
      <c r="C610" s="1" t="n">
        <v>45363</v>
      </c>
      <c r="D610" t="inlineStr">
        <is>
          <t>JÄMTLANDS LÄN</t>
        </is>
      </c>
      <c r="E610" t="inlineStr">
        <is>
          <t>STRÖMSUND</t>
        </is>
      </c>
      <c r="F610" t="inlineStr">
        <is>
          <t>SCA</t>
        </is>
      </c>
      <c r="G610" t="n">
        <v>23.1</v>
      </c>
      <c r="H610" t="n">
        <v>0</v>
      </c>
      <c r="I610" t="n">
        <v>1</v>
      </c>
      <c r="J610" t="n">
        <v>3</v>
      </c>
      <c r="K610" t="n">
        <v>0</v>
      </c>
      <c r="L610" t="n">
        <v>0</v>
      </c>
      <c r="M610" t="n">
        <v>0</v>
      </c>
      <c r="N610" t="n">
        <v>0</v>
      </c>
      <c r="O610" t="n">
        <v>3</v>
      </c>
      <c r="P610" t="n">
        <v>0</v>
      </c>
      <c r="Q610" t="n">
        <v>4</v>
      </c>
      <c r="R610" s="2" t="inlineStr">
        <is>
          <t>Kolflarnlav
Skrovellav
Vedflamlav
Stuplav</t>
        </is>
      </c>
      <c r="S610">
        <f>HYPERLINK("https://klasma.github.io/Logging_2313/artfynd/A 20886-2023 artfynd.xlsx", "A 20886-2023")</f>
        <v/>
      </c>
      <c r="T610">
        <f>HYPERLINK("https://klasma.github.io/Logging_2313/kartor/A 20886-2023 karta.png", "A 20886-2023")</f>
        <v/>
      </c>
      <c r="V610">
        <f>HYPERLINK("https://klasma.github.io/Logging_2313/klagomål/A 20886-2023 FSC-klagomål.docx", "A 20886-2023")</f>
        <v/>
      </c>
      <c r="W610">
        <f>HYPERLINK("https://klasma.github.io/Logging_2313/klagomålsmail/A 20886-2023 FSC-klagomål mail.docx", "A 20886-2023")</f>
        <v/>
      </c>
      <c r="X610">
        <f>HYPERLINK("https://klasma.github.io/Logging_2313/tillsyn/A 20886-2023 tillsynsbegäran.docx", "A 20886-2023")</f>
        <v/>
      </c>
      <c r="Y610">
        <f>HYPERLINK("https://klasma.github.io/Logging_2313/tillsynsmail/A 20886-2023 tillsynsbegäran mail.docx", "A 20886-2023")</f>
        <v/>
      </c>
    </row>
    <row r="611" ht="15" customHeight="1">
      <c r="A611" t="inlineStr">
        <is>
          <t>A 20877-2023</t>
        </is>
      </c>
      <c r="B611" s="1" t="n">
        <v>45058</v>
      </c>
      <c r="C611" s="1" t="n">
        <v>45363</v>
      </c>
      <c r="D611" t="inlineStr">
        <is>
          <t>JÄMTLANDS LÄN</t>
        </is>
      </c>
      <c r="E611" t="inlineStr">
        <is>
          <t>STRÖMSUND</t>
        </is>
      </c>
      <c r="F611" t="inlineStr">
        <is>
          <t>SCA</t>
        </is>
      </c>
      <c r="G611" t="n">
        <v>8.5</v>
      </c>
      <c r="H611" t="n">
        <v>1</v>
      </c>
      <c r="I611" t="n">
        <v>2</v>
      </c>
      <c r="J611" t="n">
        <v>2</v>
      </c>
      <c r="K611" t="n">
        <v>0</v>
      </c>
      <c r="L611" t="n">
        <v>0</v>
      </c>
      <c r="M611" t="n">
        <v>0</v>
      </c>
      <c r="N611" t="n">
        <v>0</v>
      </c>
      <c r="O611" t="n">
        <v>2</v>
      </c>
      <c r="P611" t="n">
        <v>0</v>
      </c>
      <c r="Q611" t="n">
        <v>4</v>
      </c>
      <c r="R611" s="2" t="inlineStr">
        <is>
          <t>Lunglav
Tretåig hackspett
Dropptaggsvamp
Stuplav</t>
        </is>
      </c>
      <c r="S611">
        <f>HYPERLINK("https://klasma.github.io/Logging_2313/artfynd/A 20877-2023 artfynd.xlsx", "A 20877-2023")</f>
        <v/>
      </c>
      <c r="T611">
        <f>HYPERLINK("https://klasma.github.io/Logging_2313/kartor/A 20877-2023 karta.png", "A 20877-2023")</f>
        <v/>
      </c>
      <c r="V611">
        <f>HYPERLINK("https://klasma.github.io/Logging_2313/klagomål/A 20877-2023 FSC-klagomål.docx", "A 20877-2023")</f>
        <v/>
      </c>
      <c r="W611">
        <f>HYPERLINK("https://klasma.github.io/Logging_2313/klagomålsmail/A 20877-2023 FSC-klagomål mail.docx", "A 20877-2023")</f>
        <v/>
      </c>
      <c r="X611">
        <f>HYPERLINK("https://klasma.github.io/Logging_2313/tillsyn/A 20877-2023 tillsynsbegäran.docx", "A 20877-2023")</f>
        <v/>
      </c>
      <c r="Y611">
        <f>HYPERLINK("https://klasma.github.io/Logging_2313/tillsynsmail/A 20877-2023 tillsynsbegäran mail.docx", "A 20877-2023")</f>
        <v/>
      </c>
      <c r="Z611">
        <f>HYPERLINK("https://klasma.github.io/Logging_2313/fåglar/A 20877-2023 prioriterade fågelarter.docx", "A 20877-2023")</f>
        <v/>
      </c>
    </row>
    <row r="612" ht="15" customHeight="1">
      <c r="A612" t="inlineStr">
        <is>
          <t>A 23951-2023</t>
        </is>
      </c>
      <c r="B612" s="1" t="n">
        <v>45078</v>
      </c>
      <c r="C612" s="1" t="n">
        <v>45363</v>
      </c>
      <c r="D612" t="inlineStr">
        <is>
          <t>JÄMTLANDS LÄN</t>
        </is>
      </c>
      <c r="E612" t="inlineStr">
        <is>
          <t>BERG</t>
        </is>
      </c>
      <c r="G612" t="n">
        <v>16.4</v>
      </c>
      <c r="H612" t="n">
        <v>1</v>
      </c>
      <c r="I612" t="n">
        <v>1</v>
      </c>
      <c r="J612" t="n">
        <v>2</v>
      </c>
      <c r="K612" t="n">
        <v>1</v>
      </c>
      <c r="L612" t="n">
        <v>0</v>
      </c>
      <c r="M612" t="n">
        <v>0</v>
      </c>
      <c r="N612" t="n">
        <v>0</v>
      </c>
      <c r="O612" t="n">
        <v>3</v>
      </c>
      <c r="P612" t="n">
        <v>1</v>
      </c>
      <c r="Q612" t="n">
        <v>4</v>
      </c>
      <c r="R612" s="2" t="inlineStr">
        <is>
          <t>Doftticka
Kolflarnlav
Lunglav
Stuplav</t>
        </is>
      </c>
      <c r="S612">
        <f>HYPERLINK("https://klasma.github.io/Logging_2326/artfynd/A 23951-2023 artfynd.xlsx", "A 23951-2023")</f>
        <v/>
      </c>
      <c r="T612">
        <f>HYPERLINK("https://klasma.github.io/Logging_2326/kartor/A 23951-2023 karta.png", "A 23951-2023")</f>
        <v/>
      </c>
      <c r="V612">
        <f>HYPERLINK("https://klasma.github.io/Logging_2326/klagomål/A 23951-2023 FSC-klagomål.docx", "A 23951-2023")</f>
        <v/>
      </c>
      <c r="W612">
        <f>HYPERLINK("https://klasma.github.io/Logging_2326/klagomålsmail/A 23951-2023 FSC-klagomål mail.docx", "A 23951-2023")</f>
        <v/>
      </c>
      <c r="X612">
        <f>HYPERLINK("https://klasma.github.io/Logging_2326/tillsyn/A 23951-2023 tillsynsbegäran.docx", "A 23951-2023")</f>
        <v/>
      </c>
      <c r="Y612">
        <f>HYPERLINK("https://klasma.github.io/Logging_2326/tillsynsmail/A 23951-2023 tillsynsbegäran mail.docx", "A 23951-2023")</f>
        <v/>
      </c>
    </row>
    <row r="613" ht="15" customHeight="1">
      <c r="A613" t="inlineStr">
        <is>
          <t>A 29829-2023</t>
        </is>
      </c>
      <c r="B613" s="1" t="n">
        <v>45107</v>
      </c>
      <c r="C613" s="1" t="n">
        <v>45363</v>
      </c>
      <c r="D613" t="inlineStr">
        <is>
          <t>JÄMTLANDS LÄN</t>
        </is>
      </c>
      <c r="E613" t="inlineStr">
        <is>
          <t>HÄRJEDALEN</t>
        </is>
      </c>
      <c r="G613" t="n">
        <v>29.4</v>
      </c>
      <c r="H613" t="n">
        <v>1</v>
      </c>
      <c r="I613" t="n">
        <v>0</v>
      </c>
      <c r="J613" t="n">
        <v>4</v>
      </c>
      <c r="K613" t="n">
        <v>0</v>
      </c>
      <c r="L613" t="n">
        <v>0</v>
      </c>
      <c r="M613" t="n">
        <v>0</v>
      </c>
      <c r="N613" t="n">
        <v>0</v>
      </c>
      <c r="O613" t="n">
        <v>4</v>
      </c>
      <c r="P613" t="n">
        <v>0</v>
      </c>
      <c r="Q613" t="n">
        <v>4</v>
      </c>
      <c r="R613" s="2" t="inlineStr">
        <is>
          <t>Garnlav
Lunglav
Skrovellav
Tretåig hackspett</t>
        </is>
      </c>
      <c r="S613">
        <f>HYPERLINK("https://klasma.github.io/Logging_2361/artfynd/A 29829-2023 artfynd.xlsx", "A 29829-2023")</f>
        <v/>
      </c>
      <c r="T613">
        <f>HYPERLINK("https://klasma.github.io/Logging_2361/kartor/A 29829-2023 karta.png", "A 29829-2023")</f>
        <v/>
      </c>
      <c r="V613">
        <f>HYPERLINK("https://klasma.github.io/Logging_2361/klagomål/A 29829-2023 FSC-klagomål.docx", "A 29829-2023")</f>
        <v/>
      </c>
      <c r="W613">
        <f>HYPERLINK("https://klasma.github.io/Logging_2361/klagomålsmail/A 29829-2023 FSC-klagomål mail.docx", "A 29829-2023")</f>
        <v/>
      </c>
      <c r="X613">
        <f>HYPERLINK("https://klasma.github.io/Logging_2361/tillsyn/A 29829-2023 tillsynsbegäran.docx", "A 29829-2023")</f>
        <v/>
      </c>
      <c r="Y613">
        <f>HYPERLINK("https://klasma.github.io/Logging_2361/tillsynsmail/A 29829-2023 tillsynsbegäran mail.docx", "A 29829-2023")</f>
        <v/>
      </c>
      <c r="Z613">
        <f>HYPERLINK("https://klasma.github.io/Logging_2361/fåglar/A 29829-2023 prioriterade fågelarter.docx", "A 29829-2023")</f>
        <v/>
      </c>
    </row>
    <row r="614" ht="15" customHeight="1">
      <c r="A614" t="inlineStr">
        <is>
          <t>A 36208-2023</t>
        </is>
      </c>
      <c r="B614" s="1" t="n">
        <v>45149</v>
      </c>
      <c r="C614" s="1" t="n">
        <v>45363</v>
      </c>
      <c r="D614" t="inlineStr">
        <is>
          <t>JÄMTLANDS LÄN</t>
        </is>
      </c>
      <c r="E614" t="inlineStr">
        <is>
          <t>STRÖMSUND</t>
        </is>
      </c>
      <c r="F614" t="inlineStr">
        <is>
          <t>SCA</t>
        </is>
      </c>
      <c r="G614" t="n">
        <v>1.8</v>
      </c>
      <c r="H614" t="n">
        <v>2</v>
      </c>
      <c r="I614" t="n">
        <v>2</v>
      </c>
      <c r="J614" t="n">
        <v>1</v>
      </c>
      <c r="K614" t="n">
        <v>1</v>
      </c>
      <c r="L614" t="n">
        <v>0</v>
      </c>
      <c r="M614" t="n">
        <v>0</v>
      </c>
      <c r="N614" t="n">
        <v>0</v>
      </c>
      <c r="O614" t="n">
        <v>2</v>
      </c>
      <c r="P614" t="n">
        <v>1</v>
      </c>
      <c r="Q614" t="n">
        <v>4</v>
      </c>
      <c r="R614" s="2" t="inlineStr">
        <is>
          <t>Knärot
Ullticka
Kransrams
Spindelblomster</t>
        </is>
      </c>
      <c r="S614">
        <f>HYPERLINK("https://klasma.github.io/Logging_2313/artfynd/A 36208-2023 artfynd.xlsx", "A 36208-2023")</f>
        <v/>
      </c>
      <c r="T614">
        <f>HYPERLINK("https://klasma.github.io/Logging_2313/kartor/A 36208-2023 karta.png", "A 36208-2023")</f>
        <v/>
      </c>
      <c r="U614">
        <f>HYPERLINK("https://klasma.github.io/Logging_2313/knärot/A 36208-2023 karta knärot.png", "A 36208-2023")</f>
        <v/>
      </c>
      <c r="V614">
        <f>HYPERLINK("https://klasma.github.io/Logging_2313/klagomål/A 36208-2023 FSC-klagomål.docx", "A 36208-2023")</f>
        <v/>
      </c>
      <c r="W614">
        <f>HYPERLINK("https://klasma.github.io/Logging_2313/klagomålsmail/A 36208-2023 FSC-klagomål mail.docx", "A 36208-2023")</f>
        <v/>
      </c>
      <c r="X614">
        <f>HYPERLINK("https://klasma.github.io/Logging_2313/tillsyn/A 36208-2023 tillsynsbegäran.docx", "A 36208-2023")</f>
        <v/>
      </c>
      <c r="Y614">
        <f>HYPERLINK("https://klasma.github.io/Logging_2313/tillsynsmail/A 36208-2023 tillsynsbegäran mail.docx", "A 36208-2023")</f>
        <v/>
      </c>
    </row>
    <row r="615" ht="15" customHeight="1">
      <c r="A615" t="inlineStr">
        <is>
          <t>A 39925-2023</t>
        </is>
      </c>
      <c r="B615" s="1" t="n">
        <v>45168</v>
      </c>
      <c r="C615" s="1" t="n">
        <v>45363</v>
      </c>
      <c r="D615" t="inlineStr">
        <is>
          <t>JÄMTLANDS LÄN</t>
        </is>
      </c>
      <c r="E615" t="inlineStr">
        <is>
          <t>HÄRJEDALEN</t>
        </is>
      </c>
      <c r="F615" t="inlineStr">
        <is>
          <t>Sveaskog</t>
        </is>
      </c>
      <c r="G615" t="n">
        <v>25.6</v>
      </c>
      <c r="H615" t="n">
        <v>0</v>
      </c>
      <c r="I615" t="n">
        <v>1</v>
      </c>
      <c r="J615" t="n">
        <v>3</v>
      </c>
      <c r="K615" t="n">
        <v>0</v>
      </c>
      <c r="L615" t="n">
        <v>0</v>
      </c>
      <c r="M615" t="n">
        <v>0</v>
      </c>
      <c r="N615" t="n">
        <v>0</v>
      </c>
      <c r="O615" t="n">
        <v>3</v>
      </c>
      <c r="P615" t="n">
        <v>0</v>
      </c>
      <c r="Q615" t="n">
        <v>4</v>
      </c>
      <c r="R615" s="2" t="inlineStr">
        <is>
          <t>Kolflarnlav
Mörk kolflarnlav
Vedflamlav
Dropptaggsvamp</t>
        </is>
      </c>
      <c r="S615">
        <f>HYPERLINK("https://klasma.github.io/Logging_2361/artfynd/A 39925-2023 artfynd.xlsx", "A 39925-2023")</f>
        <v/>
      </c>
      <c r="T615">
        <f>HYPERLINK("https://klasma.github.io/Logging_2361/kartor/A 39925-2023 karta.png", "A 39925-2023")</f>
        <v/>
      </c>
      <c r="V615">
        <f>HYPERLINK("https://klasma.github.io/Logging_2361/klagomål/A 39925-2023 FSC-klagomål.docx", "A 39925-2023")</f>
        <v/>
      </c>
      <c r="W615">
        <f>HYPERLINK("https://klasma.github.io/Logging_2361/klagomålsmail/A 39925-2023 FSC-klagomål mail.docx", "A 39925-2023")</f>
        <v/>
      </c>
      <c r="X615">
        <f>HYPERLINK("https://klasma.github.io/Logging_2361/tillsyn/A 39925-2023 tillsynsbegäran.docx", "A 39925-2023")</f>
        <v/>
      </c>
      <c r="Y615">
        <f>HYPERLINK("https://klasma.github.io/Logging_2361/tillsynsmail/A 39925-2023 tillsynsbegäran mail.docx", "A 39925-2023")</f>
        <v/>
      </c>
    </row>
    <row r="616" ht="15" customHeight="1">
      <c r="A616" t="inlineStr">
        <is>
          <t>A 40179-2023</t>
        </is>
      </c>
      <c r="B616" s="1" t="n">
        <v>45169</v>
      </c>
      <c r="C616" s="1" t="n">
        <v>45363</v>
      </c>
      <c r="D616" t="inlineStr">
        <is>
          <t>JÄMTLANDS LÄN</t>
        </is>
      </c>
      <c r="E616" t="inlineStr">
        <is>
          <t>KROKOM</t>
        </is>
      </c>
      <c r="F616" t="inlineStr">
        <is>
          <t>Övriga Aktiebolag</t>
        </is>
      </c>
      <c r="G616" t="n">
        <v>2.8</v>
      </c>
      <c r="H616" t="n">
        <v>1</v>
      </c>
      <c r="I616" t="n">
        <v>1</v>
      </c>
      <c r="J616" t="n">
        <v>3</v>
      </c>
      <c r="K616" t="n">
        <v>0</v>
      </c>
      <c r="L616" t="n">
        <v>0</v>
      </c>
      <c r="M616" t="n">
        <v>0</v>
      </c>
      <c r="N616" t="n">
        <v>0</v>
      </c>
      <c r="O616" t="n">
        <v>3</v>
      </c>
      <c r="P616" t="n">
        <v>0</v>
      </c>
      <c r="Q616" t="n">
        <v>4</v>
      </c>
      <c r="R616" s="2" t="inlineStr">
        <is>
          <t>Grantaggsvamp
Orange taggsvamp
Tretåig hackspett
Tallfingersvamp</t>
        </is>
      </c>
      <c r="S616">
        <f>HYPERLINK("https://klasma.github.io/Logging_2309/artfynd/A 40179-2023 artfynd.xlsx", "A 40179-2023")</f>
        <v/>
      </c>
      <c r="T616">
        <f>HYPERLINK("https://klasma.github.io/Logging_2309/kartor/A 40179-2023 karta.png", "A 40179-2023")</f>
        <v/>
      </c>
      <c r="V616">
        <f>HYPERLINK("https://klasma.github.io/Logging_2309/klagomål/A 40179-2023 FSC-klagomål.docx", "A 40179-2023")</f>
        <v/>
      </c>
      <c r="W616">
        <f>HYPERLINK("https://klasma.github.io/Logging_2309/klagomålsmail/A 40179-2023 FSC-klagomål mail.docx", "A 40179-2023")</f>
        <v/>
      </c>
      <c r="X616">
        <f>HYPERLINK("https://klasma.github.io/Logging_2309/tillsyn/A 40179-2023 tillsynsbegäran.docx", "A 40179-2023")</f>
        <v/>
      </c>
      <c r="Y616">
        <f>HYPERLINK("https://klasma.github.io/Logging_2309/tillsynsmail/A 40179-2023 tillsynsbegäran mail.docx", "A 40179-2023")</f>
        <v/>
      </c>
      <c r="Z616">
        <f>HYPERLINK("https://klasma.github.io/Logging_2309/fåglar/A 40179-2023 prioriterade fågelarter.docx", "A 40179-2023")</f>
        <v/>
      </c>
    </row>
    <row r="617" ht="15" customHeight="1">
      <c r="A617" t="inlineStr">
        <is>
          <t>A 40400-2023</t>
        </is>
      </c>
      <c r="B617" s="1" t="n">
        <v>45169</v>
      </c>
      <c r="C617" s="1" t="n">
        <v>45363</v>
      </c>
      <c r="D617" t="inlineStr">
        <is>
          <t>JÄMTLANDS LÄN</t>
        </is>
      </c>
      <c r="E617" t="inlineStr">
        <is>
          <t>BRÄCKE</t>
        </is>
      </c>
      <c r="F617" t="inlineStr">
        <is>
          <t>SCA</t>
        </is>
      </c>
      <c r="G617" t="n">
        <v>4.5</v>
      </c>
      <c r="H617" t="n">
        <v>0</v>
      </c>
      <c r="I617" t="n">
        <v>0</v>
      </c>
      <c r="J617" t="n">
        <v>2</v>
      </c>
      <c r="K617" t="n">
        <v>2</v>
      </c>
      <c r="L617" t="n">
        <v>0</v>
      </c>
      <c r="M617" t="n">
        <v>0</v>
      </c>
      <c r="N617" t="n">
        <v>0</v>
      </c>
      <c r="O617" t="n">
        <v>4</v>
      </c>
      <c r="P617" t="n">
        <v>2</v>
      </c>
      <c r="Q617" t="n">
        <v>4</v>
      </c>
      <c r="R617" s="2" t="inlineStr">
        <is>
          <t>Gräddporing
Ulltickeporing
Kolflarnlav
Ullticka</t>
        </is>
      </c>
      <c r="S617">
        <f>HYPERLINK("https://klasma.github.io/Logging_2305/artfynd/A 40400-2023 artfynd.xlsx", "A 40400-2023")</f>
        <v/>
      </c>
      <c r="T617">
        <f>HYPERLINK("https://klasma.github.io/Logging_2305/kartor/A 40400-2023 karta.png", "A 40400-2023")</f>
        <v/>
      </c>
      <c r="V617">
        <f>HYPERLINK("https://klasma.github.io/Logging_2305/klagomål/A 40400-2023 FSC-klagomål.docx", "A 40400-2023")</f>
        <v/>
      </c>
      <c r="W617">
        <f>HYPERLINK("https://klasma.github.io/Logging_2305/klagomålsmail/A 40400-2023 FSC-klagomål mail.docx", "A 40400-2023")</f>
        <v/>
      </c>
      <c r="X617">
        <f>HYPERLINK("https://klasma.github.io/Logging_2305/tillsyn/A 40400-2023 tillsynsbegäran.docx", "A 40400-2023")</f>
        <v/>
      </c>
      <c r="Y617">
        <f>HYPERLINK("https://klasma.github.io/Logging_2305/tillsynsmail/A 40400-2023 tillsynsbegäran mail.docx", "A 40400-2023")</f>
        <v/>
      </c>
    </row>
    <row r="618" ht="15" customHeight="1">
      <c r="A618" t="inlineStr">
        <is>
          <t>A 43415-2023</t>
        </is>
      </c>
      <c r="B618" s="1" t="n">
        <v>45183</v>
      </c>
      <c r="C618" s="1" t="n">
        <v>45363</v>
      </c>
      <c r="D618" t="inlineStr">
        <is>
          <t>JÄMTLANDS LÄN</t>
        </is>
      </c>
      <c r="E618" t="inlineStr">
        <is>
          <t>BRÄCKE</t>
        </is>
      </c>
      <c r="F618" t="inlineStr">
        <is>
          <t>Naturvårdsverket</t>
        </is>
      </c>
      <c r="G618" t="n">
        <v>27</v>
      </c>
      <c r="H618" t="n">
        <v>1</v>
      </c>
      <c r="I618" t="n">
        <v>0</v>
      </c>
      <c r="J618" t="n">
        <v>3</v>
      </c>
      <c r="K618" t="n">
        <v>1</v>
      </c>
      <c r="L618" t="n">
        <v>0</v>
      </c>
      <c r="M618" t="n">
        <v>0</v>
      </c>
      <c r="N618" t="n">
        <v>0</v>
      </c>
      <c r="O618" t="n">
        <v>4</v>
      </c>
      <c r="P618" t="n">
        <v>1</v>
      </c>
      <c r="Q618" t="n">
        <v>4</v>
      </c>
      <c r="R618" s="2" t="inlineStr">
        <is>
          <t>Doftticka
Lunglav
Ullticka
Vedtrappmossa</t>
        </is>
      </c>
      <c r="S618">
        <f>HYPERLINK("https://klasma.github.io/Logging_2305/artfynd/A 43415-2023 artfynd.xlsx", "A 43415-2023")</f>
        <v/>
      </c>
      <c r="T618">
        <f>HYPERLINK("https://klasma.github.io/Logging_2305/kartor/A 43415-2023 karta.png", "A 43415-2023")</f>
        <v/>
      </c>
      <c r="V618">
        <f>HYPERLINK("https://klasma.github.io/Logging_2305/klagomål/A 43415-2023 FSC-klagomål.docx", "A 43415-2023")</f>
        <v/>
      </c>
      <c r="W618">
        <f>HYPERLINK("https://klasma.github.io/Logging_2305/klagomålsmail/A 43415-2023 FSC-klagomål mail.docx", "A 43415-2023")</f>
        <v/>
      </c>
      <c r="X618">
        <f>HYPERLINK("https://klasma.github.io/Logging_2305/tillsyn/A 43415-2023 tillsynsbegäran.docx", "A 43415-2023")</f>
        <v/>
      </c>
      <c r="Y618">
        <f>HYPERLINK("https://klasma.github.io/Logging_2305/tillsynsmail/A 43415-2023 tillsynsbegäran mail.docx", "A 43415-2023")</f>
        <v/>
      </c>
    </row>
    <row r="619" ht="15" customHeight="1">
      <c r="A619" t="inlineStr">
        <is>
          <t>A 43620-2023</t>
        </is>
      </c>
      <c r="B619" s="1" t="n">
        <v>45184</v>
      </c>
      <c r="C619" s="1" t="n">
        <v>45363</v>
      </c>
      <c r="D619" t="inlineStr">
        <is>
          <t>JÄMTLANDS LÄN</t>
        </is>
      </c>
      <c r="E619" t="inlineStr">
        <is>
          <t>BRÄCKE</t>
        </is>
      </c>
      <c r="G619" t="n">
        <v>17.8</v>
      </c>
      <c r="H619" t="n">
        <v>0</v>
      </c>
      <c r="I619" t="n">
        <v>2</v>
      </c>
      <c r="J619" t="n">
        <v>2</v>
      </c>
      <c r="K619" t="n">
        <v>0</v>
      </c>
      <c r="L619" t="n">
        <v>0</v>
      </c>
      <c r="M619" t="n">
        <v>0</v>
      </c>
      <c r="N619" t="n">
        <v>0</v>
      </c>
      <c r="O619" t="n">
        <v>2</v>
      </c>
      <c r="P619" t="n">
        <v>0</v>
      </c>
      <c r="Q619" t="n">
        <v>4</v>
      </c>
      <c r="R619" s="2" t="inlineStr">
        <is>
          <t>Lunglav
Skrovellav
Bårdlav
Skinnlav</t>
        </is>
      </c>
      <c r="S619">
        <f>HYPERLINK("https://klasma.github.io/Logging_2305/artfynd/A 43620-2023 artfynd.xlsx", "A 43620-2023")</f>
        <v/>
      </c>
      <c r="T619">
        <f>HYPERLINK("https://klasma.github.io/Logging_2305/kartor/A 43620-2023 karta.png", "A 43620-2023")</f>
        <v/>
      </c>
      <c r="V619">
        <f>HYPERLINK("https://klasma.github.io/Logging_2305/klagomål/A 43620-2023 FSC-klagomål.docx", "A 43620-2023")</f>
        <v/>
      </c>
      <c r="W619">
        <f>HYPERLINK("https://klasma.github.io/Logging_2305/klagomålsmail/A 43620-2023 FSC-klagomål mail.docx", "A 43620-2023")</f>
        <v/>
      </c>
      <c r="X619">
        <f>HYPERLINK("https://klasma.github.io/Logging_2305/tillsyn/A 43620-2023 tillsynsbegäran.docx", "A 43620-2023")</f>
        <v/>
      </c>
      <c r="Y619">
        <f>HYPERLINK("https://klasma.github.io/Logging_2305/tillsynsmail/A 43620-2023 tillsynsbegäran mail.docx", "A 43620-2023")</f>
        <v/>
      </c>
    </row>
    <row r="620" ht="15" customHeight="1">
      <c r="A620" t="inlineStr">
        <is>
          <t>A 43960-2023</t>
        </is>
      </c>
      <c r="B620" s="1" t="n">
        <v>45187</v>
      </c>
      <c r="C620" s="1" t="n">
        <v>45363</v>
      </c>
      <c r="D620" t="inlineStr">
        <is>
          <t>JÄMTLANDS LÄN</t>
        </is>
      </c>
      <c r="E620" t="inlineStr">
        <is>
          <t>RAGUNDA</t>
        </is>
      </c>
      <c r="F620" t="inlineStr">
        <is>
          <t>SCA</t>
        </is>
      </c>
      <c r="G620" t="n">
        <v>5.5</v>
      </c>
      <c r="H620" t="n">
        <v>0</v>
      </c>
      <c r="I620" t="n">
        <v>1</v>
      </c>
      <c r="J620" t="n">
        <v>3</v>
      </c>
      <c r="K620" t="n">
        <v>0</v>
      </c>
      <c r="L620" t="n">
        <v>0</v>
      </c>
      <c r="M620" t="n">
        <v>0</v>
      </c>
      <c r="N620" t="n">
        <v>0</v>
      </c>
      <c r="O620" t="n">
        <v>3</v>
      </c>
      <c r="P620" t="n">
        <v>0</v>
      </c>
      <c r="Q620" t="n">
        <v>4</v>
      </c>
      <c r="R620" s="2" t="inlineStr">
        <is>
          <t>Granticka
Vedflikmossa
Vedtrappmossa
Vedticka</t>
        </is>
      </c>
      <c r="S620">
        <f>HYPERLINK("https://klasma.github.io/Logging_2303/artfynd/A 43960-2023 artfynd.xlsx", "A 43960-2023")</f>
        <v/>
      </c>
      <c r="T620">
        <f>HYPERLINK("https://klasma.github.io/Logging_2303/kartor/A 43960-2023 karta.png", "A 43960-2023")</f>
        <v/>
      </c>
      <c r="V620">
        <f>HYPERLINK("https://klasma.github.io/Logging_2303/klagomål/A 43960-2023 FSC-klagomål.docx", "A 43960-2023")</f>
        <v/>
      </c>
      <c r="W620">
        <f>HYPERLINK("https://klasma.github.io/Logging_2303/klagomålsmail/A 43960-2023 FSC-klagomål mail.docx", "A 43960-2023")</f>
        <v/>
      </c>
      <c r="X620">
        <f>HYPERLINK("https://klasma.github.io/Logging_2303/tillsyn/A 43960-2023 tillsynsbegäran.docx", "A 43960-2023")</f>
        <v/>
      </c>
      <c r="Y620">
        <f>HYPERLINK("https://klasma.github.io/Logging_2303/tillsynsmail/A 43960-2023 tillsynsbegäran mail.docx", "A 43960-2023")</f>
        <v/>
      </c>
    </row>
    <row r="621" ht="15" customHeight="1">
      <c r="A621" t="inlineStr">
        <is>
          <t>A 46055-2023</t>
        </is>
      </c>
      <c r="B621" s="1" t="n">
        <v>45190</v>
      </c>
      <c r="C621" s="1" t="n">
        <v>45363</v>
      </c>
      <c r="D621" t="inlineStr">
        <is>
          <t>JÄMTLANDS LÄN</t>
        </is>
      </c>
      <c r="E621" t="inlineStr">
        <is>
          <t>KROKOM</t>
        </is>
      </c>
      <c r="G621" t="n">
        <v>11.8</v>
      </c>
      <c r="H621" t="n">
        <v>2</v>
      </c>
      <c r="I621" t="n">
        <v>0</v>
      </c>
      <c r="J621" t="n">
        <v>3</v>
      </c>
      <c r="K621" t="n">
        <v>0</v>
      </c>
      <c r="L621" t="n">
        <v>0</v>
      </c>
      <c r="M621" t="n">
        <v>0</v>
      </c>
      <c r="N621" t="n">
        <v>0</v>
      </c>
      <c r="O621" t="n">
        <v>3</v>
      </c>
      <c r="P621" t="n">
        <v>0</v>
      </c>
      <c r="Q621" t="n">
        <v>4</v>
      </c>
      <c r="R621" s="2" t="inlineStr">
        <is>
          <t>Garnlav
Lunglav
Tretåig hackspett
Lavskrika</t>
        </is>
      </c>
      <c r="S621">
        <f>HYPERLINK("https://klasma.github.io/Logging_2309/artfynd/A 46055-2023 artfynd.xlsx", "A 46055-2023")</f>
        <v/>
      </c>
      <c r="T621">
        <f>HYPERLINK("https://klasma.github.io/Logging_2309/kartor/A 46055-2023 karta.png", "A 46055-2023")</f>
        <v/>
      </c>
      <c r="V621">
        <f>HYPERLINK("https://klasma.github.io/Logging_2309/klagomål/A 46055-2023 FSC-klagomål.docx", "A 46055-2023")</f>
        <v/>
      </c>
      <c r="W621">
        <f>HYPERLINK("https://klasma.github.io/Logging_2309/klagomålsmail/A 46055-2023 FSC-klagomål mail.docx", "A 46055-2023")</f>
        <v/>
      </c>
      <c r="X621">
        <f>HYPERLINK("https://klasma.github.io/Logging_2309/tillsyn/A 46055-2023 tillsynsbegäran.docx", "A 46055-2023")</f>
        <v/>
      </c>
      <c r="Y621">
        <f>HYPERLINK("https://klasma.github.io/Logging_2309/tillsynsmail/A 46055-2023 tillsynsbegäran mail.docx", "A 46055-2023")</f>
        <v/>
      </c>
      <c r="Z621">
        <f>HYPERLINK("https://klasma.github.io/Logging_2309/fåglar/A 46055-2023 prioriterade fågelarter.docx", "A 46055-2023")</f>
        <v/>
      </c>
    </row>
    <row r="622" ht="15" customHeight="1">
      <c r="A622" t="inlineStr">
        <is>
          <t>A 46228-2023</t>
        </is>
      </c>
      <c r="B622" s="1" t="n">
        <v>45196</v>
      </c>
      <c r="C622" s="1" t="n">
        <v>45363</v>
      </c>
      <c r="D622" t="inlineStr">
        <is>
          <t>JÄMTLANDS LÄN</t>
        </is>
      </c>
      <c r="E622" t="inlineStr">
        <is>
          <t>HÄRJEDALEN</t>
        </is>
      </c>
      <c r="F622" t="inlineStr">
        <is>
          <t>Sveaskog</t>
        </is>
      </c>
      <c r="G622" t="n">
        <v>9.4</v>
      </c>
      <c r="H622" t="n">
        <v>0</v>
      </c>
      <c r="I622" t="n">
        <v>1</v>
      </c>
      <c r="J622" t="n">
        <v>3</v>
      </c>
      <c r="K622" t="n">
        <v>0</v>
      </c>
      <c r="L622" t="n">
        <v>0</v>
      </c>
      <c r="M622" t="n">
        <v>0</v>
      </c>
      <c r="N622" t="n">
        <v>0</v>
      </c>
      <c r="O622" t="n">
        <v>3</v>
      </c>
      <c r="P622" t="n">
        <v>0</v>
      </c>
      <c r="Q622" t="n">
        <v>4</v>
      </c>
      <c r="R622" s="2" t="inlineStr">
        <is>
          <t>Kolflarnlav
Mörk kolflarnlav
Vedflamlav
Dropptaggsvamp</t>
        </is>
      </c>
      <c r="S622">
        <f>HYPERLINK("https://klasma.github.io/Logging_2361/artfynd/A 46228-2023 artfynd.xlsx", "A 46228-2023")</f>
        <v/>
      </c>
      <c r="T622">
        <f>HYPERLINK("https://klasma.github.io/Logging_2361/kartor/A 46228-2023 karta.png", "A 46228-2023")</f>
        <v/>
      </c>
      <c r="V622">
        <f>HYPERLINK("https://klasma.github.io/Logging_2361/klagomål/A 46228-2023 FSC-klagomål.docx", "A 46228-2023")</f>
        <v/>
      </c>
      <c r="W622">
        <f>HYPERLINK("https://klasma.github.io/Logging_2361/klagomålsmail/A 46228-2023 FSC-klagomål mail.docx", "A 46228-2023")</f>
        <v/>
      </c>
      <c r="X622">
        <f>HYPERLINK("https://klasma.github.io/Logging_2361/tillsyn/A 46228-2023 tillsynsbegäran.docx", "A 46228-2023")</f>
        <v/>
      </c>
      <c r="Y622">
        <f>HYPERLINK("https://klasma.github.io/Logging_2361/tillsynsmail/A 46228-2023 tillsynsbegäran mail.docx", "A 46228-2023")</f>
        <v/>
      </c>
    </row>
    <row r="623" ht="15" customHeight="1">
      <c r="A623" t="inlineStr">
        <is>
          <t>A 46230-2023</t>
        </is>
      </c>
      <c r="B623" s="1" t="n">
        <v>45196</v>
      </c>
      <c r="C623" s="1" t="n">
        <v>45363</v>
      </c>
      <c r="D623" t="inlineStr">
        <is>
          <t>JÄMTLANDS LÄN</t>
        </is>
      </c>
      <c r="E623" t="inlineStr">
        <is>
          <t>HÄRJEDALEN</t>
        </is>
      </c>
      <c r="F623" t="inlineStr">
        <is>
          <t>Sveaskog</t>
        </is>
      </c>
      <c r="G623" t="n">
        <v>3.8</v>
      </c>
      <c r="H623" t="n">
        <v>0</v>
      </c>
      <c r="I623" t="n">
        <v>0</v>
      </c>
      <c r="J623" t="n">
        <v>4</v>
      </c>
      <c r="K623" t="n">
        <v>0</v>
      </c>
      <c r="L623" t="n">
        <v>0</v>
      </c>
      <c r="M623" t="n">
        <v>0</v>
      </c>
      <c r="N623" t="n">
        <v>0</v>
      </c>
      <c r="O623" t="n">
        <v>4</v>
      </c>
      <c r="P623" t="n">
        <v>0</v>
      </c>
      <c r="Q623" t="n">
        <v>4</v>
      </c>
      <c r="R623" s="2" t="inlineStr">
        <is>
          <t>Dvärgbägarlav
Kolflarnlav
Mörk kolflarnlav
Vedflamlav</t>
        </is>
      </c>
      <c r="S623">
        <f>HYPERLINK("https://klasma.github.io/Logging_2361/artfynd/A 46230-2023 artfynd.xlsx", "A 46230-2023")</f>
        <v/>
      </c>
      <c r="T623">
        <f>HYPERLINK("https://klasma.github.io/Logging_2361/kartor/A 46230-2023 karta.png", "A 46230-2023")</f>
        <v/>
      </c>
      <c r="V623">
        <f>HYPERLINK("https://klasma.github.io/Logging_2361/klagomål/A 46230-2023 FSC-klagomål.docx", "A 46230-2023")</f>
        <v/>
      </c>
      <c r="W623">
        <f>HYPERLINK("https://klasma.github.io/Logging_2361/klagomålsmail/A 46230-2023 FSC-klagomål mail.docx", "A 46230-2023")</f>
        <v/>
      </c>
      <c r="X623">
        <f>HYPERLINK("https://klasma.github.io/Logging_2361/tillsyn/A 46230-2023 tillsynsbegäran.docx", "A 46230-2023")</f>
        <v/>
      </c>
      <c r="Y623">
        <f>HYPERLINK("https://klasma.github.io/Logging_2361/tillsynsmail/A 46230-2023 tillsynsbegäran mail.docx", "A 46230-2023")</f>
        <v/>
      </c>
    </row>
    <row r="624" ht="15" customHeight="1">
      <c r="A624" t="inlineStr">
        <is>
          <t>A 47172-2023</t>
        </is>
      </c>
      <c r="B624" s="1" t="n">
        <v>45201</v>
      </c>
      <c r="C624" s="1" t="n">
        <v>45363</v>
      </c>
      <c r="D624" t="inlineStr">
        <is>
          <t>JÄMTLANDS LÄN</t>
        </is>
      </c>
      <c r="E624" t="inlineStr">
        <is>
          <t>BRÄCKE</t>
        </is>
      </c>
      <c r="F624" t="inlineStr">
        <is>
          <t>SCA</t>
        </is>
      </c>
      <c r="G624" t="n">
        <v>3.5</v>
      </c>
      <c r="H624" t="n">
        <v>0</v>
      </c>
      <c r="I624" t="n">
        <v>2</v>
      </c>
      <c r="J624" t="n">
        <v>2</v>
      </c>
      <c r="K624" t="n">
        <v>0</v>
      </c>
      <c r="L624" t="n">
        <v>0</v>
      </c>
      <c r="M624" t="n">
        <v>0</v>
      </c>
      <c r="N624" t="n">
        <v>0</v>
      </c>
      <c r="O624" t="n">
        <v>2</v>
      </c>
      <c r="P624" t="n">
        <v>0</v>
      </c>
      <c r="Q624" t="n">
        <v>4</v>
      </c>
      <c r="R624" s="2" t="inlineStr">
        <is>
          <t>Flattoppad klubbsvamp
Lunglav
Bårdlav
Stuplav</t>
        </is>
      </c>
      <c r="S624">
        <f>HYPERLINK("https://klasma.github.io/Logging_2305/artfynd/A 47172-2023 artfynd.xlsx", "A 47172-2023")</f>
        <v/>
      </c>
      <c r="T624">
        <f>HYPERLINK("https://klasma.github.io/Logging_2305/kartor/A 47172-2023 karta.png", "A 47172-2023")</f>
        <v/>
      </c>
      <c r="V624">
        <f>HYPERLINK("https://klasma.github.io/Logging_2305/klagomål/A 47172-2023 FSC-klagomål.docx", "A 47172-2023")</f>
        <v/>
      </c>
      <c r="W624">
        <f>HYPERLINK("https://klasma.github.io/Logging_2305/klagomålsmail/A 47172-2023 FSC-klagomål mail.docx", "A 47172-2023")</f>
        <v/>
      </c>
      <c r="X624">
        <f>HYPERLINK("https://klasma.github.io/Logging_2305/tillsyn/A 47172-2023 tillsynsbegäran.docx", "A 47172-2023")</f>
        <v/>
      </c>
      <c r="Y624">
        <f>HYPERLINK("https://klasma.github.io/Logging_2305/tillsynsmail/A 47172-2023 tillsynsbegäran mail.docx", "A 47172-2023")</f>
        <v/>
      </c>
    </row>
    <row r="625" ht="15" customHeight="1">
      <c r="A625" t="inlineStr">
        <is>
          <t>A 47499-2023</t>
        </is>
      </c>
      <c r="B625" s="1" t="n">
        <v>45202</v>
      </c>
      <c r="C625" s="1" t="n">
        <v>45363</v>
      </c>
      <c r="D625" t="inlineStr">
        <is>
          <t>JÄMTLANDS LÄN</t>
        </is>
      </c>
      <c r="E625" t="inlineStr">
        <is>
          <t>BRÄCKE</t>
        </is>
      </c>
      <c r="F625" t="inlineStr">
        <is>
          <t>SCA</t>
        </is>
      </c>
      <c r="G625" t="n">
        <v>8.1</v>
      </c>
      <c r="H625" t="n">
        <v>2</v>
      </c>
      <c r="I625" t="n">
        <v>2</v>
      </c>
      <c r="J625" t="n">
        <v>2</v>
      </c>
      <c r="K625" t="n">
        <v>0</v>
      </c>
      <c r="L625" t="n">
        <v>0</v>
      </c>
      <c r="M625" t="n">
        <v>0</v>
      </c>
      <c r="N625" t="n">
        <v>0</v>
      </c>
      <c r="O625" t="n">
        <v>2</v>
      </c>
      <c r="P625" t="n">
        <v>0</v>
      </c>
      <c r="Q625" t="n">
        <v>4</v>
      </c>
      <c r="R625" s="2" t="inlineStr">
        <is>
          <t>Garnlav
Lunglav
Korallrot
Lappranunkel</t>
        </is>
      </c>
      <c r="S625">
        <f>HYPERLINK("https://klasma.github.io/Logging_2305/artfynd/A 47499-2023 artfynd.xlsx", "A 47499-2023")</f>
        <v/>
      </c>
      <c r="T625">
        <f>HYPERLINK("https://klasma.github.io/Logging_2305/kartor/A 47499-2023 karta.png", "A 47499-2023")</f>
        <v/>
      </c>
      <c r="V625">
        <f>HYPERLINK("https://klasma.github.io/Logging_2305/klagomål/A 47499-2023 FSC-klagomål.docx", "A 47499-2023")</f>
        <v/>
      </c>
      <c r="W625">
        <f>HYPERLINK("https://klasma.github.io/Logging_2305/klagomålsmail/A 47499-2023 FSC-klagomål mail.docx", "A 47499-2023")</f>
        <v/>
      </c>
      <c r="X625">
        <f>HYPERLINK("https://klasma.github.io/Logging_2305/tillsyn/A 47499-2023 tillsynsbegäran.docx", "A 47499-2023")</f>
        <v/>
      </c>
      <c r="Y625">
        <f>HYPERLINK("https://klasma.github.io/Logging_2305/tillsynsmail/A 47499-2023 tillsynsbegäran mail.docx", "A 47499-2023")</f>
        <v/>
      </c>
    </row>
    <row r="626" ht="15" customHeight="1">
      <c r="A626" t="inlineStr">
        <is>
          <t>A 48431-2023</t>
        </is>
      </c>
      <c r="B626" s="1" t="n">
        <v>45205</v>
      </c>
      <c r="C626" s="1" t="n">
        <v>45363</v>
      </c>
      <c r="D626" t="inlineStr">
        <is>
          <t>JÄMTLANDS LÄN</t>
        </is>
      </c>
      <c r="E626" t="inlineStr">
        <is>
          <t>BRÄCKE</t>
        </is>
      </c>
      <c r="F626" t="inlineStr">
        <is>
          <t>SCA</t>
        </is>
      </c>
      <c r="G626" t="n">
        <v>8.1</v>
      </c>
      <c r="H626" t="n">
        <v>0</v>
      </c>
      <c r="I626" t="n">
        <v>3</v>
      </c>
      <c r="J626" t="n">
        <v>1</v>
      </c>
      <c r="K626" t="n">
        <v>0</v>
      </c>
      <c r="L626" t="n">
        <v>0</v>
      </c>
      <c r="M626" t="n">
        <v>0</v>
      </c>
      <c r="N626" t="n">
        <v>0</v>
      </c>
      <c r="O626" t="n">
        <v>1</v>
      </c>
      <c r="P626" t="n">
        <v>0</v>
      </c>
      <c r="Q626" t="n">
        <v>4</v>
      </c>
      <c r="R626" s="2" t="inlineStr">
        <is>
          <t>Tallticka
Gytterlav
Korallblylav
Stuplav</t>
        </is>
      </c>
      <c r="S626">
        <f>HYPERLINK("https://klasma.github.io/Logging_2305/artfynd/A 48431-2023 artfynd.xlsx", "A 48431-2023")</f>
        <v/>
      </c>
      <c r="T626">
        <f>HYPERLINK("https://klasma.github.io/Logging_2305/kartor/A 48431-2023 karta.png", "A 48431-2023")</f>
        <v/>
      </c>
      <c r="V626">
        <f>HYPERLINK("https://klasma.github.io/Logging_2305/klagomål/A 48431-2023 FSC-klagomål.docx", "A 48431-2023")</f>
        <v/>
      </c>
      <c r="W626">
        <f>HYPERLINK("https://klasma.github.io/Logging_2305/klagomålsmail/A 48431-2023 FSC-klagomål mail.docx", "A 48431-2023")</f>
        <v/>
      </c>
      <c r="X626">
        <f>HYPERLINK("https://klasma.github.io/Logging_2305/tillsyn/A 48431-2023 tillsynsbegäran.docx", "A 48431-2023")</f>
        <v/>
      </c>
      <c r="Y626">
        <f>HYPERLINK("https://klasma.github.io/Logging_2305/tillsynsmail/A 48431-2023 tillsynsbegäran mail.docx", "A 48431-2023")</f>
        <v/>
      </c>
    </row>
    <row r="627" ht="15" customHeight="1">
      <c r="A627" t="inlineStr">
        <is>
          <t>A 48479-2023</t>
        </is>
      </c>
      <c r="B627" s="1" t="n">
        <v>45206</v>
      </c>
      <c r="C627" s="1" t="n">
        <v>45363</v>
      </c>
      <c r="D627" t="inlineStr">
        <is>
          <t>JÄMTLANDS LÄN</t>
        </is>
      </c>
      <c r="E627" t="inlineStr">
        <is>
          <t>BRÄCKE</t>
        </is>
      </c>
      <c r="F627" t="inlineStr">
        <is>
          <t>SCA</t>
        </is>
      </c>
      <c r="G627" t="n">
        <v>8.1</v>
      </c>
      <c r="H627" t="n">
        <v>0</v>
      </c>
      <c r="I627" t="n">
        <v>3</v>
      </c>
      <c r="J627" t="n">
        <v>1</v>
      </c>
      <c r="K627" t="n">
        <v>0</v>
      </c>
      <c r="L627" t="n">
        <v>0</v>
      </c>
      <c r="M627" t="n">
        <v>0</v>
      </c>
      <c r="N627" t="n">
        <v>0</v>
      </c>
      <c r="O627" t="n">
        <v>1</v>
      </c>
      <c r="P627" t="n">
        <v>0</v>
      </c>
      <c r="Q627" t="n">
        <v>4</v>
      </c>
      <c r="R627" s="2" t="inlineStr">
        <is>
          <t>Tallticka
Gytterlav
Korallblylav
Stuplav</t>
        </is>
      </c>
      <c r="S627">
        <f>HYPERLINK("https://klasma.github.io/Logging_2305/artfynd/A 48479-2023 artfynd.xlsx", "A 48479-2023")</f>
        <v/>
      </c>
      <c r="T627">
        <f>HYPERLINK("https://klasma.github.io/Logging_2305/kartor/A 48479-2023 karta.png", "A 48479-2023")</f>
        <v/>
      </c>
      <c r="V627">
        <f>HYPERLINK("https://klasma.github.io/Logging_2305/klagomål/A 48479-2023 FSC-klagomål.docx", "A 48479-2023")</f>
        <v/>
      </c>
      <c r="W627">
        <f>HYPERLINK("https://klasma.github.io/Logging_2305/klagomålsmail/A 48479-2023 FSC-klagomål mail.docx", "A 48479-2023")</f>
        <v/>
      </c>
      <c r="X627">
        <f>HYPERLINK("https://klasma.github.io/Logging_2305/tillsyn/A 48479-2023 tillsynsbegäran.docx", "A 48479-2023")</f>
        <v/>
      </c>
      <c r="Y627">
        <f>HYPERLINK("https://klasma.github.io/Logging_2305/tillsynsmail/A 48479-2023 tillsynsbegäran mail.docx", "A 48479-2023")</f>
        <v/>
      </c>
    </row>
    <row r="628" ht="15" customHeight="1">
      <c r="A628" t="inlineStr">
        <is>
          <t>A 48508-2023</t>
        </is>
      </c>
      <c r="B628" s="1" t="n">
        <v>45207</v>
      </c>
      <c r="C628" s="1" t="n">
        <v>45363</v>
      </c>
      <c r="D628" t="inlineStr">
        <is>
          <t>JÄMTLANDS LÄN</t>
        </is>
      </c>
      <c r="E628" t="inlineStr">
        <is>
          <t>BRÄCKE</t>
        </is>
      </c>
      <c r="F628" t="inlineStr">
        <is>
          <t>SCA</t>
        </is>
      </c>
      <c r="G628" t="n">
        <v>5.1</v>
      </c>
      <c r="H628" t="n">
        <v>1</v>
      </c>
      <c r="I628" t="n">
        <v>1</v>
      </c>
      <c r="J628" t="n">
        <v>3</v>
      </c>
      <c r="K628" t="n">
        <v>0</v>
      </c>
      <c r="L628" t="n">
        <v>0</v>
      </c>
      <c r="M628" t="n">
        <v>0</v>
      </c>
      <c r="N628" t="n">
        <v>0</v>
      </c>
      <c r="O628" t="n">
        <v>3</v>
      </c>
      <c r="P628" t="n">
        <v>0</v>
      </c>
      <c r="Q628" t="n">
        <v>4</v>
      </c>
      <c r="R628" s="2" t="inlineStr">
        <is>
          <t>Garnlav
Lunglav
Tretåig hackspett
Stuplav</t>
        </is>
      </c>
      <c r="S628">
        <f>HYPERLINK("https://klasma.github.io/Logging_2305/artfynd/A 48508-2023 artfynd.xlsx", "A 48508-2023")</f>
        <v/>
      </c>
      <c r="T628">
        <f>HYPERLINK("https://klasma.github.io/Logging_2305/kartor/A 48508-2023 karta.png", "A 48508-2023")</f>
        <v/>
      </c>
      <c r="V628">
        <f>HYPERLINK("https://klasma.github.io/Logging_2305/klagomål/A 48508-2023 FSC-klagomål.docx", "A 48508-2023")</f>
        <v/>
      </c>
      <c r="W628">
        <f>HYPERLINK("https://klasma.github.io/Logging_2305/klagomålsmail/A 48508-2023 FSC-klagomål mail.docx", "A 48508-2023")</f>
        <v/>
      </c>
      <c r="X628">
        <f>HYPERLINK("https://klasma.github.io/Logging_2305/tillsyn/A 48508-2023 tillsynsbegäran.docx", "A 48508-2023")</f>
        <v/>
      </c>
      <c r="Y628">
        <f>HYPERLINK("https://klasma.github.io/Logging_2305/tillsynsmail/A 48508-2023 tillsynsbegäran mail.docx", "A 48508-2023")</f>
        <v/>
      </c>
      <c r="Z628">
        <f>HYPERLINK("https://klasma.github.io/Logging_2305/fåglar/A 48508-2023 prioriterade fågelarter.docx", "A 48508-2023")</f>
        <v/>
      </c>
    </row>
    <row r="629" ht="15" customHeight="1">
      <c r="A629" t="inlineStr">
        <is>
          <t>A 50218-2023</t>
        </is>
      </c>
      <c r="B629" s="1" t="n">
        <v>45215</v>
      </c>
      <c r="C629" s="1" t="n">
        <v>45363</v>
      </c>
      <c r="D629" t="inlineStr">
        <is>
          <t>JÄMTLANDS LÄN</t>
        </is>
      </c>
      <c r="E629" t="inlineStr">
        <is>
          <t>KROKOM</t>
        </is>
      </c>
      <c r="G629" t="n">
        <v>5.6</v>
      </c>
      <c r="H629" t="n">
        <v>2</v>
      </c>
      <c r="I629" t="n">
        <v>0</v>
      </c>
      <c r="J629" t="n">
        <v>4</v>
      </c>
      <c r="K629" t="n">
        <v>0</v>
      </c>
      <c r="L629" t="n">
        <v>0</v>
      </c>
      <c r="M629" t="n">
        <v>0</v>
      </c>
      <c r="N629" t="n">
        <v>0</v>
      </c>
      <c r="O629" t="n">
        <v>4</v>
      </c>
      <c r="P629" t="n">
        <v>0</v>
      </c>
      <c r="Q629" t="n">
        <v>4</v>
      </c>
      <c r="R629" s="2" t="inlineStr">
        <is>
          <t>Garnlav
Granticka
Spillkråka
Tretåig hackspett</t>
        </is>
      </c>
      <c r="S629">
        <f>HYPERLINK("https://klasma.github.io/Logging_2309/artfynd/A 50218-2023 artfynd.xlsx", "A 50218-2023")</f>
        <v/>
      </c>
      <c r="T629">
        <f>HYPERLINK("https://klasma.github.io/Logging_2309/kartor/A 50218-2023 karta.png", "A 50218-2023")</f>
        <v/>
      </c>
      <c r="V629">
        <f>HYPERLINK("https://klasma.github.io/Logging_2309/klagomål/A 50218-2023 FSC-klagomål.docx", "A 50218-2023")</f>
        <v/>
      </c>
      <c r="W629">
        <f>HYPERLINK("https://klasma.github.io/Logging_2309/klagomålsmail/A 50218-2023 FSC-klagomål mail.docx", "A 50218-2023")</f>
        <v/>
      </c>
      <c r="X629">
        <f>HYPERLINK("https://klasma.github.io/Logging_2309/tillsyn/A 50218-2023 tillsynsbegäran.docx", "A 50218-2023")</f>
        <v/>
      </c>
      <c r="Y629">
        <f>HYPERLINK("https://klasma.github.io/Logging_2309/tillsynsmail/A 50218-2023 tillsynsbegäran mail.docx", "A 50218-2023")</f>
        <v/>
      </c>
      <c r="Z629">
        <f>HYPERLINK("https://klasma.github.io/Logging_2309/fåglar/A 50218-2023 prioriterade fågelarter.docx", "A 50218-2023")</f>
        <v/>
      </c>
    </row>
    <row r="630" ht="15" customHeight="1">
      <c r="A630" t="inlineStr">
        <is>
          <t>A 51873-2023</t>
        </is>
      </c>
      <c r="B630" s="1" t="n">
        <v>45215</v>
      </c>
      <c r="C630" s="1" t="n">
        <v>45363</v>
      </c>
      <c r="D630" t="inlineStr">
        <is>
          <t>JÄMTLANDS LÄN</t>
        </is>
      </c>
      <c r="E630" t="inlineStr">
        <is>
          <t>STRÖMSUND</t>
        </is>
      </c>
      <c r="G630" t="n">
        <v>11.2</v>
      </c>
      <c r="H630" t="n">
        <v>2</v>
      </c>
      <c r="I630" t="n">
        <v>0</v>
      </c>
      <c r="J630" t="n">
        <v>4</v>
      </c>
      <c r="K630" t="n">
        <v>0</v>
      </c>
      <c r="L630" t="n">
        <v>0</v>
      </c>
      <c r="M630" t="n">
        <v>0</v>
      </c>
      <c r="N630" t="n">
        <v>0</v>
      </c>
      <c r="O630" t="n">
        <v>4</v>
      </c>
      <c r="P630" t="n">
        <v>0</v>
      </c>
      <c r="Q630" t="n">
        <v>4</v>
      </c>
      <c r="R630" s="2" t="inlineStr">
        <is>
          <t>Garnlav
Lunglav
Talltita
Tretåig hackspett</t>
        </is>
      </c>
      <c r="S630">
        <f>HYPERLINK("https://klasma.github.io/Logging_2313/artfynd/A 51873-2023 artfynd.xlsx", "A 51873-2023")</f>
        <v/>
      </c>
      <c r="T630">
        <f>HYPERLINK("https://klasma.github.io/Logging_2313/kartor/A 51873-2023 karta.png", "A 51873-2023")</f>
        <v/>
      </c>
      <c r="V630">
        <f>HYPERLINK("https://klasma.github.io/Logging_2313/klagomål/A 51873-2023 FSC-klagomål.docx", "A 51873-2023")</f>
        <v/>
      </c>
      <c r="W630">
        <f>HYPERLINK("https://klasma.github.io/Logging_2313/klagomålsmail/A 51873-2023 FSC-klagomål mail.docx", "A 51873-2023")</f>
        <v/>
      </c>
      <c r="X630">
        <f>HYPERLINK("https://klasma.github.io/Logging_2313/tillsyn/A 51873-2023 tillsynsbegäran.docx", "A 51873-2023")</f>
        <v/>
      </c>
      <c r="Y630">
        <f>HYPERLINK("https://klasma.github.io/Logging_2313/tillsynsmail/A 51873-2023 tillsynsbegäran mail.docx", "A 51873-2023")</f>
        <v/>
      </c>
      <c r="Z630">
        <f>HYPERLINK("https://klasma.github.io/Logging_2313/fåglar/A 51873-2023 prioriterade fågelarter.docx", "A 51873-2023")</f>
        <v/>
      </c>
    </row>
    <row r="631" ht="15" customHeight="1">
      <c r="A631" t="inlineStr">
        <is>
          <t>A 53763-2023</t>
        </is>
      </c>
      <c r="B631" s="1" t="n">
        <v>45230</v>
      </c>
      <c r="C631" s="1" t="n">
        <v>45363</v>
      </c>
      <c r="D631" t="inlineStr">
        <is>
          <t>JÄMTLANDS LÄN</t>
        </is>
      </c>
      <c r="E631" t="inlineStr">
        <is>
          <t>RAGUNDA</t>
        </is>
      </c>
      <c r="F631" t="inlineStr">
        <is>
          <t>SCA</t>
        </is>
      </c>
      <c r="G631" t="n">
        <v>1.8</v>
      </c>
      <c r="H631" t="n">
        <v>0</v>
      </c>
      <c r="I631" t="n">
        <v>1</v>
      </c>
      <c r="J631" t="n">
        <v>3</v>
      </c>
      <c r="K631" t="n">
        <v>0</v>
      </c>
      <c r="L631" t="n">
        <v>0</v>
      </c>
      <c r="M631" t="n">
        <v>0</v>
      </c>
      <c r="N631" t="n">
        <v>0</v>
      </c>
      <c r="O631" t="n">
        <v>3</v>
      </c>
      <c r="P631" t="n">
        <v>0</v>
      </c>
      <c r="Q631" t="n">
        <v>4</v>
      </c>
      <c r="R631" s="2" t="inlineStr">
        <is>
          <t>Kolflarnlav
Lunglav
Skrovellav
Stuplav</t>
        </is>
      </c>
      <c r="S631">
        <f>HYPERLINK("https://klasma.github.io/Logging_2303/artfynd/A 53763-2023 artfynd.xlsx", "A 53763-2023")</f>
        <v/>
      </c>
      <c r="T631">
        <f>HYPERLINK("https://klasma.github.io/Logging_2303/kartor/A 53763-2023 karta.png", "A 53763-2023")</f>
        <v/>
      </c>
      <c r="V631">
        <f>HYPERLINK("https://klasma.github.io/Logging_2303/klagomål/A 53763-2023 FSC-klagomål.docx", "A 53763-2023")</f>
        <v/>
      </c>
      <c r="W631">
        <f>HYPERLINK("https://klasma.github.io/Logging_2303/klagomålsmail/A 53763-2023 FSC-klagomål mail.docx", "A 53763-2023")</f>
        <v/>
      </c>
      <c r="X631">
        <f>HYPERLINK("https://klasma.github.io/Logging_2303/tillsyn/A 53763-2023 tillsynsbegäran.docx", "A 53763-2023")</f>
        <v/>
      </c>
      <c r="Y631">
        <f>HYPERLINK("https://klasma.github.io/Logging_2303/tillsynsmail/A 53763-2023 tillsynsbegäran mail.docx", "A 53763-2023")</f>
        <v/>
      </c>
    </row>
    <row r="632" ht="15" customHeight="1">
      <c r="A632" t="inlineStr">
        <is>
          <t>A 55344-2023</t>
        </is>
      </c>
      <c r="B632" s="1" t="n">
        <v>45237</v>
      </c>
      <c r="C632" s="1" t="n">
        <v>45363</v>
      </c>
      <c r="D632" t="inlineStr">
        <is>
          <t>JÄMTLANDS LÄN</t>
        </is>
      </c>
      <c r="E632" t="inlineStr">
        <is>
          <t>ÖSTERSUND</t>
        </is>
      </c>
      <c r="F632" t="inlineStr">
        <is>
          <t>SCA</t>
        </is>
      </c>
      <c r="G632" t="n">
        <v>1.5</v>
      </c>
      <c r="H632" t="n">
        <v>1</v>
      </c>
      <c r="I632" t="n">
        <v>1</v>
      </c>
      <c r="J632" t="n">
        <v>2</v>
      </c>
      <c r="K632" t="n">
        <v>1</v>
      </c>
      <c r="L632" t="n">
        <v>0</v>
      </c>
      <c r="M632" t="n">
        <v>0</v>
      </c>
      <c r="N632" t="n">
        <v>0</v>
      </c>
      <c r="O632" t="n">
        <v>3</v>
      </c>
      <c r="P632" t="n">
        <v>1</v>
      </c>
      <c r="Q632" t="n">
        <v>4</v>
      </c>
      <c r="R632" s="2" t="inlineStr">
        <is>
          <t>Lappuggla
Garnlav
Lunglav
Stuplav</t>
        </is>
      </c>
      <c r="S632">
        <f>HYPERLINK("https://klasma.github.io/Logging_2380/artfynd/A 55344-2023 artfynd.xlsx", "A 55344-2023")</f>
        <v/>
      </c>
      <c r="T632">
        <f>HYPERLINK("https://klasma.github.io/Logging_2380/kartor/A 55344-2023 karta.png", "A 55344-2023")</f>
        <v/>
      </c>
      <c r="V632">
        <f>HYPERLINK("https://klasma.github.io/Logging_2380/klagomål/A 55344-2023 FSC-klagomål.docx", "A 55344-2023")</f>
        <v/>
      </c>
      <c r="W632">
        <f>HYPERLINK("https://klasma.github.io/Logging_2380/klagomålsmail/A 55344-2023 FSC-klagomål mail.docx", "A 55344-2023")</f>
        <v/>
      </c>
      <c r="X632">
        <f>HYPERLINK("https://klasma.github.io/Logging_2380/tillsyn/A 55344-2023 tillsynsbegäran.docx", "A 55344-2023")</f>
        <v/>
      </c>
      <c r="Y632">
        <f>HYPERLINK("https://klasma.github.io/Logging_2380/tillsynsmail/A 55344-2023 tillsynsbegäran mail.docx", "A 55344-2023")</f>
        <v/>
      </c>
      <c r="Z632">
        <f>HYPERLINK("https://klasma.github.io/Logging_2380/fåglar/A 55344-2023 prioriterade fågelarter.docx", "A 55344-2023")</f>
        <v/>
      </c>
    </row>
    <row r="633" ht="15" customHeight="1">
      <c r="A633" t="inlineStr">
        <is>
          <t>A 57079-2023</t>
        </is>
      </c>
      <c r="B633" s="1" t="n">
        <v>45245</v>
      </c>
      <c r="C633" s="1" t="n">
        <v>45363</v>
      </c>
      <c r="D633" t="inlineStr">
        <is>
          <t>JÄMTLANDS LÄN</t>
        </is>
      </c>
      <c r="E633" t="inlineStr">
        <is>
          <t>BRÄCKE</t>
        </is>
      </c>
      <c r="F633" t="inlineStr">
        <is>
          <t>SCA</t>
        </is>
      </c>
      <c r="G633" t="n">
        <v>9.9</v>
      </c>
      <c r="H633" t="n">
        <v>0</v>
      </c>
      <c r="I633" t="n">
        <v>2</v>
      </c>
      <c r="J633" t="n">
        <v>2</v>
      </c>
      <c r="K633" t="n">
        <v>0</v>
      </c>
      <c r="L633" t="n">
        <v>0</v>
      </c>
      <c r="M633" t="n">
        <v>0</v>
      </c>
      <c r="N633" t="n">
        <v>0</v>
      </c>
      <c r="O633" t="n">
        <v>2</v>
      </c>
      <c r="P633" t="n">
        <v>0</v>
      </c>
      <c r="Q633" t="n">
        <v>4</v>
      </c>
      <c r="R633" s="2" t="inlineStr">
        <is>
          <t>Garnlav
Lunglav
Korallblylav
Skinnlav</t>
        </is>
      </c>
      <c r="S633">
        <f>HYPERLINK("https://klasma.github.io/Logging_2305/artfynd/A 57079-2023 artfynd.xlsx", "A 57079-2023")</f>
        <v/>
      </c>
      <c r="T633">
        <f>HYPERLINK("https://klasma.github.io/Logging_2305/kartor/A 57079-2023 karta.png", "A 57079-2023")</f>
        <v/>
      </c>
      <c r="V633">
        <f>HYPERLINK("https://klasma.github.io/Logging_2305/klagomål/A 57079-2023 FSC-klagomål.docx", "A 57079-2023")</f>
        <v/>
      </c>
      <c r="W633">
        <f>HYPERLINK("https://klasma.github.io/Logging_2305/klagomålsmail/A 57079-2023 FSC-klagomål mail.docx", "A 57079-2023")</f>
        <v/>
      </c>
      <c r="X633">
        <f>HYPERLINK("https://klasma.github.io/Logging_2305/tillsyn/A 57079-2023 tillsynsbegäran.docx", "A 57079-2023")</f>
        <v/>
      </c>
      <c r="Y633">
        <f>HYPERLINK("https://klasma.github.io/Logging_2305/tillsynsmail/A 57079-2023 tillsynsbegäran mail.docx", "A 57079-2023")</f>
        <v/>
      </c>
    </row>
    <row r="634" ht="15" customHeight="1">
      <c r="A634" t="inlineStr">
        <is>
          <t>A 57073-2023</t>
        </is>
      </c>
      <c r="B634" s="1" t="n">
        <v>45245</v>
      </c>
      <c r="C634" s="1" t="n">
        <v>45363</v>
      </c>
      <c r="D634" t="inlineStr">
        <is>
          <t>JÄMTLANDS LÄN</t>
        </is>
      </c>
      <c r="E634" t="inlineStr">
        <is>
          <t>RAGUNDA</t>
        </is>
      </c>
      <c r="F634" t="inlineStr">
        <is>
          <t>SCA</t>
        </is>
      </c>
      <c r="G634" t="n">
        <v>4.1</v>
      </c>
      <c r="H634" t="n">
        <v>0</v>
      </c>
      <c r="I634" t="n">
        <v>0</v>
      </c>
      <c r="J634" t="n">
        <v>3</v>
      </c>
      <c r="K634" t="n">
        <v>1</v>
      </c>
      <c r="L634" t="n">
        <v>0</v>
      </c>
      <c r="M634" t="n">
        <v>0</v>
      </c>
      <c r="N634" t="n">
        <v>0</v>
      </c>
      <c r="O634" t="n">
        <v>4</v>
      </c>
      <c r="P634" t="n">
        <v>1</v>
      </c>
      <c r="Q634" t="n">
        <v>4</v>
      </c>
      <c r="R634" s="2" t="inlineStr">
        <is>
          <t>Aspgelélav
Granticka
Lunglav
Ullticka</t>
        </is>
      </c>
      <c r="S634">
        <f>HYPERLINK("https://klasma.github.io/Logging_2303/artfynd/A 57073-2023 artfynd.xlsx", "A 57073-2023")</f>
        <v/>
      </c>
      <c r="T634">
        <f>HYPERLINK("https://klasma.github.io/Logging_2303/kartor/A 57073-2023 karta.png", "A 57073-2023")</f>
        <v/>
      </c>
      <c r="V634">
        <f>HYPERLINK("https://klasma.github.io/Logging_2303/klagomål/A 57073-2023 FSC-klagomål.docx", "A 57073-2023")</f>
        <v/>
      </c>
      <c r="W634">
        <f>HYPERLINK("https://klasma.github.io/Logging_2303/klagomålsmail/A 57073-2023 FSC-klagomål mail.docx", "A 57073-2023")</f>
        <v/>
      </c>
      <c r="X634">
        <f>HYPERLINK("https://klasma.github.io/Logging_2303/tillsyn/A 57073-2023 tillsynsbegäran.docx", "A 57073-2023")</f>
        <v/>
      </c>
      <c r="Y634">
        <f>HYPERLINK("https://klasma.github.io/Logging_2303/tillsynsmail/A 57073-2023 tillsynsbegäran mail.docx", "A 57073-2023")</f>
        <v/>
      </c>
    </row>
    <row r="635" ht="15" customHeight="1">
      <c r="A635" t="inlineStr">
        <is>
          <t>A 59464-2023</t>
        </is>
      </c>
      <c r="B635" s="1" t="n">
        <v>45254</v>
      </c>
      <c r="C635" s="1" t="n">
        <v>45363</v>
      </c>
      <c r="D635" t="inlineStr">
        <is>
          <t>JÄMTLANDS LÄN</t>
        </is>
      </c>
      <c r="E635" t="inlineStr">
        <is>
          <t>KROKOM</t>
        </is>
      </c>
      <c r="F635" t="inlineStr">
        <is>
          <t>Övriga Aktiebolag</t>
        </is>
      </c>
      <c r="G635" t="n">
        <v>7.1</v>
      </c>
      <c r="H635" t="n">
        <v>2</v>
      </c>
      <c r="I635" t="n">
        <v>0</v>
      </c>
      <c r="J635" t="n">
        <v>3</v>
      </c>
      <c r="K635" t="n">
        <v>0</v>
      </c>
      <c r="L635" t="n">
        <v>0</v>
      </c>
      <c r="M635" t="n">
        <v>0</v>
      </c>
      <c r="N635" t="n">
        <v>0</v>
      </c>
      <c r="O635" t="n">
        <v>3</v>
      </c>
      <c r="P635" t="n">
        <v>0</v>
      </c>
      <c r="Q635" t="n">
        <v>4</v>
      </c>
      <c r="R635" s="2" t="inlineStr">
        <is>
          <t>Garnlav
Harticka
Talltita
Tjäder</t>
        </is>
      </c>
      <c r="S635">
        <f>HYPERLINK("https://klasma.github.io/Logging_2309/artfynd/A 59464-2023 artfynd.xlsx", "A 59464-2023")</f>
        <v/>
      </c>
      <c r="T635">
        <f>HYPERLINK("https://klasma.github.io/Logging_2309/kartor/A 59464-2023 karta.png", "A 59464-2023")</f>
        <v/>
      </c>
      <c r="V635">
        <f>HYPERLINK("https://klasma.github.io/Logging_2309/klagomål/A 59464-2023 FSC-klagomål.docx", "A 59464-2023")</f>
        <v/>
      </c>
      <c r="W635">
        <f>HYPERLINK("https://klasma.github.io/Logging_2309/klagomålsmail/A 59464-2023 FSC-klagomål mail.docx", "A 59464-2023")</f>
        <v/>
      </c>
      <c r="X635">
        <f>HYPERLINK("https://klasma.github.io/Logging_2309/tillsyn/A 59464-2023 tillsynsbegäran.docx", "A 59464-2023")</f>
        <v/>
      </c>
      <c r="Y635">
        <f>HYPERLINK("https://klasma.github.io/Logging_2309/tillsynsmail/A 59464-2023 tillsynsbegäran mail.docx", "A 59464-2023")</f>
        <v/>
      </c>
      <c r="Z635">
        <f>HYPERLINK("https://klasma.github.io/Logging_2309/fåglar/A 59464-2023 prioriterade fågelarter.docx", "A 59464-2023")</f>
        <v/>
      </c>
    </row>
    <row r="636" ht="15" customHeight="1">
      <c r="A636" t="inlineStr">
        <is>
          <t>A 62840-2023</t>
        </is>
      </c>
      <c r="B636" s="1" t="n">
        <v>45271</v>
      </c>
      <c r="C636" s="1" t="n">
        <v>45363</v>
      </c>
      <c r="D636" t="inlineStr">
        <is>
          <t>JÄMTLANDS LÄN</t>
        </is>
      </c>
      <c r="E636" t="inlineStr">
        <is>
          <t>RAGUNDA</t>
        </is>
      </c>
      <c r="F636" t="inlineStr">
        <is>
          <t>SCA</t>
        </is>
      </c>
      <c r="G636" t="n">
        <v>4</v>
      </c>
      <c r="H636" t="n">
        <v>0</v>
      </c>
      <c r="I636" t="n">
        <v>1</v>
      </c>
      <c r="J636" t="n">
        <v>3</v>
      </c>
      <c r="K636" t="n">
        <v>0</v>
      </c>
      <c r="L636" t="n">
        <v>0</v>
      </c>
      <c r="M636" t="n">
        <v>0</v>
      </c>
      <c r="N636" t="n">
        <v>0</v>
      </c>
      <c r="O636" t="n">
        <v>3</v>
      </c>
      <c r="P636" t="n">
        <v>0</v>
      </c>
      <c r="Q636" t="n">
        <v>4</v>
      </c>
      <c r="R636" s="2" t="inlineStr">
        <is>
          <t>Dvärgbägarlav
Mörk kolflarnlav
Vaddporing
Dropptaggsvamp</t>
        </is>
      </c>
      <c r="S636">
        <f>HYPERLINK("https://klasma.github.io/Logging_2303/artfynd/A 62840-2023 artfynd.xlsx", "A 62840-2023")</f>
        <v/>
      </c>
      <c r="T636">
        <f>HYPERLINK("https://klasma.github.io/Logging_2303/kartor/A 62840-2023 karta.png", "A 62840-2023")</f>
        <v/>
      </c>
      <c r="V636">
        <f>HYPERLINK("https://klasma.github.io/Logging_2303/klagomål/A 62840-2023 FSC-klagomål.docx", "A 62840-2023")</f>
        <v/>
      </c>
      <c r="W636">
        <f>HYPERLINK("https://klasma.github.io/Logging_2303/klagomålsmail/A 62840-2023 FSC-klagomål mail.docx", "A 62840-2023")</f>
        <v/>
      </c>
      <c r="X636">
        <f>HYPERLINK("https://klasma.github.io/Logging_2303/tillsyn/A 62840-2023 tillsynsbegäran.docx", "A 62840-2023")</f>
        <v/>
      </c>
      <c r="Y636">
        <f>HYPERLINK("https://klasma.github.io/Logging_2303/tillsynsmail/A 62840-2023 tillsynsbegäran mail.docx", "A 62840-2023")</f>
        <v/>
      </c>
    </row>
    <row r="637" ht="15" customHeight="1">
      <c r="A637" t="inlineStr">
        <is>
          <t>A 64032-2023</t>
        </is>
      </c>
      <c r="B637" s="1" t="n">
        <v>45278</v>
      </c>
      <c r="C637" s="1" t="n">
        <v>45363</v>
      </c>
      <c r="D637" t="inlineStr">
        <is>
          <t>JÄMTLANDS LÄN</t>
        </is>
      </c>
      <c r="E637" t="inlineStr">
        <is>
          <t>BRÄCKE</t>
        </is>
      </c>
      <c r="F637" t="inlineStr">
        <is>
          <t>SCA</t>
        </is>
      </c>
      <c r="G637" t="n">
        <v>3.1</v>
      </c>
      <c r="H637" t="n">
        <v>0</v>
      </c>
      <c r="I637" t="n">
        <v>1</v>
      </c>
      <c r="J637" t="n">
        <v>3</v>
      </c>
      <c r="K637" t="n">
        <v>0</v>
      </c>
      <c r="L637" t="n">
        <v>0</v>
      </c>
      <c r="M637" t="n">
        <v>0</v>
      </c>
      <c r="N637" t="n">
        <v>0</v>
      </c>
      <c r="O637" t="n">
        <v>3</v>
      </c>
      <c r="P637" t="n">
        <v>0</v>
      </c>
      <c r="Q637" t="n">
        <v>4</v>
      </c>
      <c r="R637" s="2" t="inlineStr">
        <is>
          <t>Garnlav
Kolflarnlav
Lunglav
Skinnlav</t>
        </is>
      </c>
      <c r="S637">
        <f>HYPERLINK("https://klasma.github.io/Logging_2305/artfynd/A 64032-2023 artfynd.xlsx", "A 64032-2023")</f>
        <v/>
      </c>
      <c r="T637">
        <f>HYPERLINK("https://klasma.github.io/Logging_2305/kartor/A 64032-2023 karta.png", "A 64032-2023")</f>
        <v/>
      </c>
      <c r="V637">
        <f>HYPERLINK("https://klasma.github.io/Logging_2305/klagomål/A 64032-2023 FSC-klagomål.docx", "A 64032-2023")</f>
        <v/>
      </c>
      <c r="W637">
        <f>HYPERLINK("https://klasma.github.io/Logging_2305/klagomålsmail/A 64032-2023 FSC-klagomål mail.docx", "A 64032-2023")</f>
        <v/>
      </c>
      <c r="X637">
        <f>HYPERLINK("https://klasma.github.io/Logging_2305/tillsyn/A 64032-2023 tillsynsbegäran.docx", "A 64032-2023")</f>
        <v/>
      </c>
      <c r="Y637">
        <f>HYPERLINK("https://klasma.github.io/Logging_2305/tillsynsmail/A 64032-2023 tillsynsbegäran mail.docx", "A 64032-2023")</f>
        <v/>
      </c>
    </row>
    <row r="638" ht="15" customHeight="1">
      <c r="A638" t="inlineStr">
        <is>
          <t>A 65218-2023</t>
        </is>
      </c>
      <c r="B638" s="1" t="n">
        <v>45289</v>
      </c>
      <c r="C638" s="1" t="n">
        <v>45363</v>
      </c>
      <c r="D638" t="inlineStr">
        <is>
          <t>JÄMTLANDS LÄN</t>
        </is>
      </c>
      <c r="E638" t="inlineStr">
        <is>
          <t>BERG</t>
        </is>
      </c>
      <c r="F638" t="inlineStr">
        <is>
          <t>Kyrkan</t>
        </is>
      </c>
      <c r="G638" t="n">
        <v>9.300000000000001</v>
      </c>
      <c r="H638" t="n">
        <v>3</v>
      </c>
      <c r="I638" t="n">
        <v>2</v>
      </c>
      <c r="J638" t="n">
        <v>1</v>
      </c>
      <c r="K638" t="n">
        <v>0</v>
      </c>
      <c r="L638" t="n">
        <v>0</v>
      </c>
      <c r="M638" t="n">
        <v>0</v>
      </c>
      <c r="N638" t="n">
        <v>0</v>
      </c>
      <c r="O638" t="n">
        <v>1</v>
      </c>
      <c r="P638" t="n">
        <v>0</v>
      </c>
      <c r="Q638" t="n">
        <v>4</v>
      </c>
      <c r="R638" s="2" t="inlineStr">
        <is>
          <t>Lunglav
Plattlummer
Spindelblomster
Fläcknycklar</t>
        </is>
      </c>
      <c r="S638">
        <f>HYPERLINK("https://klasma.github.io/Logging_2326/artfynd/A 65218-2023 artfynd.xlsx", "A 65218-2023")</f>
        <v/>
      </c>
      <c r="T638">
        <f>HYPERLINK("https://klasma.github.io/Logging_2326/kartor/A 65218-2023 karta.png", "A 65218-2023")</f>
        <v/>
      </c>
      <c r="V638">
        <f>HYPERLINK("https://klasma.github.io/Logging_2326/klagomål/A 65218-2023 FSC-klagomål.docx", "A 65218-2023")</f>
        <v/>
      </c>
      <c r="W638">
        <f>HYPERLINK("https://klasma.github.io/Logging_2326/klagomålsmail/A 65218-2023 FSC-klagomål mail.docx", "A 65218-2023")</f>
        <v/>
      </c>
      <c r="X638">
        <f>HYPERLINK("https://klasma.github.io/Logging_2326/tillsyn/A 65218-2023 tillsynsbegäran.docx", "A 65218-2023")</f>
        <v/>
      </c>
      <c r="Y638">
        <f>HYPERLINK("https://klasma.github.io/Logging_2326/tillsynsmail/A 65218-2023 tillsynsbegäran mail.docx", "A 65218-2023")</f>
        <v/>
      </c>
    </row>
    <row r="639" ht="15" customHeight="1">
      <c r="A639" t="inlineStr">
        <is>
          <t>A 2256-2024</t>
        </is>
      </c>
      <c r="B639" s="1" t="n">
        <v>45310</v>
      </c>
      <c r="C639" s="1" t="n">
        <v>45363</v>
      </c>
      <c r="D639" t="inlineStr">
        <is>
          <t>JÄMTLANDS LÄN</t>
        </is>
      </c>
      <c r="E639" t="inlineStr">
        <is>
          <t>KROKOM</t>
        </is>
      </c>
      <c r="G639" t="n">
        <v>29.6</v>
      </c>
      <c r="H639" t="n">
        <v>1</v>
      </c>
      <c r="I639" t="n">
        <v>1</v>
      </c>
      <c r="J639" t="n">
        <v>2</v>
      </c>
      <c r="K639" t="n">
        <v>0</v>
      </c>
      <c r="L639" t="n">
        <v>0</v>
      </c>
      <c r="M639" t="n">
        <v>0</v>
      </c>
      <c r="N639" t="n">
        <v>0</v>
      </c>
      <c r="O639" t="n">
        <v>2</v>
      </c>
      <c r="P639" t="n">
        <v>0</v>
      </c>
      <c r="Q639" t="n">
        <v>4</v>
      </c>
      <c r="R639" s="2" t="inlineStr">
        <is>
          <t>Garnlav
Gränsticka
Stuplav
Revlummer</t>
        </is>
      </c>
      <c r="S639">
        <f>HYPERLINK("https://klasma.github.io/Logging_2309/artfynd/A 2256-2024 artfynd.xlsx", "A 2256-2024")</f>
        <v/>
      </c>
      <c r="T639">
        <f>HYPERLINK("https://klasma.github.io/Logging_2309/kartor/A 2256-2024 karta.png", "A 2256-2024")</f>
        <v/>
      </c>
      <c r="V639">
        <f>HYPERLINK("https://klasma.github.io/Logging_2309/klagomål/A 2256-2024 FSC-klagomål.docx", "A 2256-2024")</f>
        <v/>
      </c>
      <c r="W639">
        <f>HYPERLINK("https://klasma.github.io/Logging_2309/klagomålsmail/A 2256-2024 FSC-klagomål mail.docx", "A 2256-2024")</f>
        <v/>
      </c>
      <c r="X639">
        <f>HYPERLINK("https://klasma.github.io/Logging_2309/tillsyn/A 2256-2024 tillsynsbegäran.docx", "A 2256-2024")</f>
        <v/>
      </c>
      <c r="Y639">
        <f>HYPERLINK("https://klasma.github.io/Logging_2309/tillsynsmail/A 2256-2024 tillsynsbegäran mail.docx", "A 2256-2024")</f>
        <v/>
      </c>
    </row>
    <row r="640" ht="15" customHeight="1">
      <c r="A640" t="inlineStr">
        <is>
          <t>A 8533-2024</t>
        </is>
      </c>
      <c r="B640" s="1" t="n">
        <v>45351</v>
      </c>
      <c r="C640" s="1" t="n">
        <v>45363</v>
      </c>
      <c r="D640" t="inlineStr">
        <is>
          <t>JÄMTLANDS LÄN</t>
        </is>
      </c>
      <c r="E640" t="inlineStr">
        <is>
          <t>HÄRJEDALEN</t>
        </is>
      </c>
      <c r="G640" t="n">
        <v>60.8</v>
      </c>
      <c r="H640" t="n">
        <v>0</v>
      </c>
      <c r="I640" t="n">
        <v>1</v>
      </c>
      <c r="J640" t="n">
        <v>3</v>
      </c>
      <c r="K640" t="n">
        <v>0</v>
      </c>
      <c r="L640" t="n">
        <v>0</v>
      </c>
      <c r="M640" t="n">
        <v>0</v>
      </c>
      <c r="N640" t="n">
        <v>0</v>
      </c>
      <c r="O640" t="n">
        <v>3</v>
      </c>
      <c r="P640" t="n">
        <v>0</v>
      </c>
      <c r="Q640" t="n">
        <v>4</v>
      </c>
      <c r="R640" s="2" t="inlineStr">
        <is>
          <t>Gränsticka
Knottrig blåslav
Violettgrå tagellav
Sotlav</t>
        </is>
      </c>
      <c r="S640">
        <f>HYPERLINK("https://klasma.github.io/Logging_2361/artfynd/A 8533-2024 artfynd.xlsx", "A 8533-2024")</f>
        <v/>
      </c>
      <c r="T640">
        <f>HYPERLINK("https://klasma.github.io/Logging_2361/kartor/A 8533-2024 karta.png", "A 8533-2024")</f>
        <v/>
      </c>
      <c r="V640">
        <f>HYPERLINK("https://klasma.github.io/Logging_2361/klagomål/A 8533-2024 FSC-klagomål.docx", "A 8533-2024")</f>
        <v/>
      </c>
      <c r="W640">
        <f>HYPERLINK("https://klasma.github.io/Logging_2361/klagomålsmail/A 8533-2024 FSC-klagomål mail.docx", "A 8533-2024")</f>
        <v/>
      </c>
      <c r="X640">
        <f>HYPERLINK("https://klasma.github.io/Logging_2361/tillsyn/A 8533-2024 tillsynsbegäran.docx", "A 8533-2024")</f>
        <v/>
      </c>
      <c r="Y640">
        <f>HYPERLINK("https://klasma.github.io/Logging_2361/tillsynsmail/A 8533-2024 tillsynsbegäran mail.docx", "A 8533-2024")</f>
        <v/>
      </c>
    </row>
    <row r="641" ht="15" customHeight="1">
      <c r="A641" t="inlineStr">
        <is>
          <t>A 9347-2024</t>
        </is>
      </c>
      <c r="B641" s="1" t="n">
        <v>45359</v>
      </c>
      <c r="C641" s="1" t="n">
        <v>45363</v>
      </c>
      <c r="D641" t="inlineStr">
        <is>
          <t>JÄMTLANDS LÄN</t>
        </is>
      </c>
      <c r="E641" t="inlineStr">
        <is>
          <t>RAGUNDA</t>
        </is>
      </c>
      <c r="F641" t="inlineStr">
        <is>
          <t>SCA</t>
        </is>
      </c>
      <c r="G641" t="n">
        <v>1.6</v>
      </c>
      <c r="H641" t="n">
        <v>1</v>
      </c>
      <c r="I641" t="n">
        <v>2</v>
      </c>
      <c r="J641" t="n">
        <v>1</v>
      </c>
      <c r="K641" t="n">
        <v>1</v>
      </c>
      <c r="L641" t="n">
        <v>0</v>
      </c>
      <c r="M641" t="n">
        <v>0</v>
      </c>
      <c r="N641" t="n">
        <v>0</v>
      </c>
      <c r="O641" t="n">
        <v>2</v>
      </c>
      <c r="P641" t="n">
        <v>1</v>
      </c>
      <c r="Q641" t="n">
        <v>4</v>
      </c>
      <c r="R641" s="2" t="inlineStr">
        <is>
          <t>Knärot
Gultoppig fingersvamp
Rödfläckig zontaggsvamp
Svavelriska</t>
        </is>
      </c>
      <c r="S641">
        <f>HYPERLINK("https://klasma.github.io/Logging_2303/artfynd/A 9347-2024 artfynd.xlsx", "A 9347-2024")</f>
        <v/>
      </c>
      <c r="T641">
        <f>HYPERLINK("https://klasma.github.io/Logging_2303/kartor/A 9347-2024 karta.png", "A 9347-2024")</f>
        <v/>
      </c>
      <c r="U641">
        <f>HYPERLINK("https://klasma.github.io/Logging_2303/knärot/A 9347-2024 karta knärot.png", "A 9347-2024")</f>
        <v/>
      </c>
      <c r="V641">
        <f>HYPERLINK("https://klasma.github.io/Logging_2303/klagomål/A 9347-2024 FSC-klagomål.docx", "A 9347-2024")</f>
        <v/>
      </c>
      <c r="W641">
        <f>HYPERLINK("https://klasma.github.io/Logging_2303/klagomålsmail/A 9347-2024 FSC-klagomål mail.docx", "A 9347-2024")</f>
        <v/>
      </c>
      <c r="X641">
        <f>HYPERLINK("https://klasma.github.io/Logging_2303/tillsyn/A 9347-2024 tillsynsbegäran.docx", "A 9347-2024")</f>
        <v/>
      </c>
      <c r="Y641">
        <f>HYPERLINK("https://klasma.github.io/Logging_2303/tillsynsmail/A 9347-2024 tillsynsbegäran mail.docx", "A 9347-2024")</f>
        <v/>
      </c>
    </row>
    <row r="642" ht="15" customHeight="1">
      <c r="A642" t="inlineStr">
        <is>
          <t>A 56744-2018</t>
        </is>
      </c>
      <c r="B642" s="1" t="n">
        <v>43402</v>
      </c>
      <c r="C642" s="1" t="n">
        <v>45363</v>
      </c>
      <c r="D642" t="inlineStr">
        <is>
          <t>JÄMTLANDS LÄN</t>
        </is>
      </c>
      <c r="E642" t="inlineStr">
        <is>
          <t>KROKOM</t>
        </is>
      </c>
      <c r="G642" t="n">
        <v>5.9</v>
      </c>
      <c r="H642" t="n">
        <v>1</v>
      </c>
      <c r="I642" t="n">
        <v>1</v>
      </c>
      <c r="J642" t="n">
        <v>1</v>
      </c>
      <c r="K642" t="n">
        <v>0</v>
      </c>
      <c r="L642" t="n">
        <v>0</v>
      </c>
      <c r="M642" t="n">
        <v>0</v>
      </c>
      <c r="N642" t="n">
        <v>0</v>
      </c>
      <c r="O642" t="n">
        <v>1</v>
      </c>
      <c r="P642" t="n">
        <v>0</v>
      </c>
      <c r="Q642" t="n">
        <v>3</v>
      </c>
      <c r="R642" s="2" t="inlineStr">
        <is>
          <t>Garnlav
Luddlav
Revlummer</t>
        </is>
      </c>
      <c r="S642">
        <f>HYPERLINK("https://klasma.github.io/Logging_2309/artfynd/A 56744-2018 artfynd.xlsx", "A 56744-2018")</f>
        <v/>
      </c>
      <c r="T642">
        <f>HYPERLINK("https://klasma.github.io/Logging_2309/kartor/A 56744-2018 karta.png", "A 56744-2018")</f>
        <v/>
      </c>
      <c r="V642">
        <f>HYPERLINK("https://klasma.github.io/Logging_2309/klagomål/A 56744-2018 FSC-klagomål.docx", "A 56744-2018")</f>
        <v/>
      </c>
      <c r="W642">
        <f>HYPERLINK("https://klasma.github.io/Logging_2309/klagomålsmail/A 56744-2018 FSC-klagomål mail.docx", "A 56744-2018")</f>
        <v/>
      </c>
      <c r="X642">
        <f>HYPERLINK("https://klasma.github.io/Logging_2309/tillsyn/A 56744-2018 tillsynsbegäran.docx", "A 56744-2018")</f>
        <v/>
      </c>
      <c r="Y642">
        <f>HYPERLINK("https://klasma.github.io/Logging_2309/tillsynsmail/A 56744-2018 tillsynsbegäran mail.docx", "A 56744-2018")</f>
        <v/>
      </c>
    </row>
    <row r="643" ht="15" customHeight="1">
      <c r="A643" t="inlineStr">
        <is>
          <t>A 71012-2018</t>
        </is>
      </c>
      <c r="B643" s="1" t="n">
        <v>43452</v>
      </c>
      <c r="C643" s="1" t="n">
        <v>45363</v>
      </c>
      <c r="D643" t="inlineStr">
        <is>
          <t>JÄMTLANDS LÄN</t>
        </is>
      </c>
      <c r="E643" t="inlineStr">
        <is>
          <t>STRÖMSUND</t>
        </is>
      </c>
      <c r="F643" t="inlineStr">
        <is>
          <t>Holmen skog AB</t>
        </is>
      </c>
      <c r="G643" t="n">
        <v>20.3</v>
      </c>
      <c r="H643" t="n">
        <v>0</v>
      </c>
      <c r="I643" t="n">
        <v>1</v>
      </c>
      <c r="J643" t="n">
        <v>2</v>
      </c>
      <c r="K643" t="n">
        <v>0</v>
      </c>
      <c r="L643" t="n">
        <v>0</v>
      </c>
      <c r="M643" t="n">
        <v>0</v>
      </c>
      <c r="N643" t="n">
        <v>0</v>
      </c>
      <c r="O643" t="n">
        <v>2</v>
      </c>
      <c r="P643" t="n">
        <v>0</v>
      </c>
      <c r="Q643" t="n">
        <v>3</v>
      </c>
      <c r="R643" s="2" t="inlineStr">
        <is>
          <t>Lunglav
Skrovellav
Stuplav</t>
        </is>
      </c>
      <c r="S643">
        <f>HYPERLINK("https://klasma.github.io/Logging_2313/artfynd/A 71012-2018 artfynd.xlsx", "A 71012-2018")</f>
        <v/>
      </c>
      <c r="T643">
        <f>HYPERLINK("https://klasma.github.io/Logging_2313/kartor/A 71012-2018 karta.png", "A 71012-2018")</f>
        <v/>
      </c>
      <c r="V643">
        <f>HYPERLINK("https://klasma.github.io/Logging_2313/klagomål/A 71012-2018 FSC-klagomål.docx", "A 71012-2018")</f>
        <v/>
      </c>
      <c r="W643">
        <f>HYPERLINK("https://klasma.github.io/Logging_2313/klagomålsmail/A 71012-2018 FSC-klagomål mail.docx", "A 71012-2018")</f>
        <v/>
      </c>
      <c r="X643">
        <f>HYPERLINK("https://klasma.github.io/Logging_2313/tillsyn/A 71012-2018 tillsynsbegäran.docx", "A 71012-2018")</f>
        <v/>
      </c>
      <c r="Y643">
        <f>HYPERLINK("https://klasma.github.io/Logging_2313/tillsynsmail/A 71012-2018 tillsynsbegäran mail.docx", "A 71012-2018")</f>
        <v/>
      </c>
    </row>
    <row r="644" ht="15" customHeight="1">
      <c r="A644" t="inlineStr">
        <is>
          <t>A 5935-2019</t>
        </is>
      </c>
      <c r="B644" s="1" t="n">
        <v>43490</v>
      </c>
      <c r="C644" s="1" t="n">
        <v>45363</v>
      </c>
      <c r="D644" t="inlineStr">
        <is>
          <t>JÄMTLANDS LÄN</t>
        </is>
      </c>
      <c r="E644" t="inlineStr">
        <is>
          <t>KROKOM</t>
        </is>
      </c>
      <c r="G644" t="n">
        <v>7</v>
      </c>
      <c r="H644" t="n">
        <v>1</v>
      </c>
      <c r="I644" t="n">
        <v>1</v>
      </c>
      <c r="J644" t="n">
        <v>2</v>
      </c>
      <c r="K644" t="n">
        <v>0</v>
      </c>
      <c r="L644" t="n">
        <v>0</v>
      </c>
      <c r="M644" t="n">
        <v>0</v>
      </c>
      <c r="N644" t="n">
        <v>0</v>
      </c>
      <c r="O644" t="n">
        <v>2</v>
      </c>
      <c r="P644" t="n">
        <v>0</v>
      </c>
      <c r="Q644" t="n">
        <v>3</v>
      </c>
      <c r="R644" s="2" t="inlineStr">
        <is>
          <t>Garnlav
Ullticka
Guckusko</t>
        </is>
      </c>
      <c r="S644">
        <f>HYPERLINK("https://klasma.github.io/Logging_2309/artfynd/A 5935-2019 artfynd.xlsx", "A 5935-2019")</f>
        <v/>
      </c>
      <c r="T644">
        <f>HYPERLINK("https://klasma.github.io/Logging_2309/kartor/A 5935-2019 karta.png", "A 5935-2019")</f>
        <v/>
      </c>
      <c r="V644">
        <f>HYPERLINK("https://klasma.github.io/Logging_2309/klagomål/A 5935-2019 FSC-klagomål.docx", "A 5935-2019")</f>
        <v/>
      </c>
      <c r="W644">
        <f>HYPERLINK("https://klasma.github.io/Logging_2309/klagomålsmail/A 5935-2019 FSC-klagomål mail.docx", "A 5935-2019")</f>
        <v/>
      </c>
      <c r="X644">
        <f>HYPERLINK("https://klasma.github.io/Logging_2309/tillsyn/A 5935-2019 tillsynsbegäran.docx", "A 5935-2019")</f>
        <v/>
      </c>
      <c r="Y644">
        <f>HYPERLINK("https://klasma.github.io/Logging_2309/tillsynsmail/A 5935-2019 tillsynsbegäran mail.docx", "A 5935-2019")</f>
        <v/>
      </c>
    </row>
    <row r="645" ht="15" customHeight="1">
      <c r="A645" t="inlineStr">
        <is>
          <t>A 7088-2019</t>
        </is>
      </c>
      <c r="B645" s="1" t="n">
        <v>43496</v>
      </c>
      <c r="C645" s="1" t="n">
        <v>45363</v>
      </c>
      <c r="D645" t="inlineStr">
        <is>
          <t>JÄMTLANDS LÄN</t>
        </is>
      </c>
      <c r="E645" t="inlineStr">
        <is>
          <t>ÅRE</t>
        </is>
      </c>
      <c r="G645" t="n">
        <v>4.7</v>
      </c>
      <c r="H645" t="n">
        <v>1</v>
      </c>
      <c r="I645" t="n">
        <v>1</v>
      </c>
      <c r="J645" t="n">
        <v>1</v>
      </c>
      <c r="K645" t="n">
        <v>1</v>
      </c>
      <c r="L645" t="n">
        <v>0</v>
      </c>
      <c r="M645" t="n">
        <v>0</v>
      </c>
      <c r="N645" t="n">
        <v>0</v>
      </c>
      <c r="O645" t="n">
        <v>2</v>
      </c>
      <c r="P645" t="n">
        <v>1</v>
      </c>
      <c r="Q645" t="n">
        <v>3</v>
      </c>
      <c r="R645" s="2" t="inlineStr">
        <is>
          <t>Knärot
Garnlav
Svavelriska</t>
        </is>
      </c>
      <c r="S645">
        <f>HYPERLINK("https://klasma.github.io/Logging_2321/artfynd/A 7088-2019 artfynd.xlsx", "A 7088-2019")</f>
        <v/>
      </c>
      <c r="T645">
        <f>HYPERLINK("https://klasma.github.io/Logging_2321/kartor/A 7088-2019 karta.png", "A 7088-2019")</f>
        <v/>
      </c>
      <c r="U645">
        <f>HYPERLINK("https://klasma.github.io/Logging_2321/knärot/A 7088-2019 karta knärot.png", "A 7088-2019")</f>
        <v/>
      </c>
      <c r="V645">
        <f>HYPERLINK("https://klasma.github.io/Logging_2321/klagomål/A 7088-2019 FSC-klagomål.docx", "A 7088-2019")</f>
        <v/>
      </c>
      <c r="W645">
        <f>HYPERLINK("https://klasma.github.io/Logging_2321/klagomålsmail/A 7088-2019 FSC-klagomål mail.docx", "A 7088-2019")</f>
        <v/>
      </c>
      <c r="X645">
        <f>HYPERLINK("https://klasma.github.io/Logging_2321/tillsyn/A 7088-2019 tillsynsbegäran.docx", "A 7088-2019")</f>
        <v/>
      </c>
      <c r="Y645">
        <f>HYPERLINK("https://klasma.github.io/Logging_2321/tillsynsmail/A 7088-2019 tillsynsbegäran mail.docx", "A 7088-2019")</f>
        <v/>
      </c>
    </row>
    <row r="646" ht="15" customHeight="1">
      <c r="A646" t="inlineStr">
        <is>
          <t>A 7094-2019</t>
        </is>
      </c>
      <c r="B646" s="1" t="n">
        <v>43496</v>
      </c>
      <c r="C646" s="1" t="n">
        <v>45363</v>
      </c>
      <c r="D646" t="inlineStr">
        <is>
          <t>JÄMTLANDS LÄN</t>
        </is>
      </c>
      <c r="E646" t="inlineStr">
        <is>
          <t>BERG</t>
        </is>
      </c>
      <c r="G646" t="n">
        <v>5.5</v>
      </c>
      <c r="H646" t="n">
        <v>1</v>
      </c>
      <c r="I646" t="n">
        <v>0</v>
      </c>
      <c r="J646" t="n">
        <v>2</v>
      </c>
      <c r="K646" t="n">
        <v>0</v>
      </c>
      <c r="L646" t="n">
        <v>0</v>
      </c>
      <c r="M646" t="n">
        <v>0</v>
      </c>
      <c r="N646" t="n">
        <v>0</v>
      </c>
      <c r="O646" t="n">
        <v>2</v>
      </c>
      <c r="P646" t="n">
        <v>0</v>
      </c>
      <c r="Q646" t="n">
        <v>3</v>
      </c>
      <c r="R646" s="2" t="inlineStr">
        <is>
          <t>Garnlav
Vitgrynig nållav
Fläcknycklar</t>
        </is>
      </c>
      <c r="S646">
        <f>HYPERLINK("https://klasma.github.io/Logging_2326/artfynd/A 7094-2019 artfynd.xlsx", "A 7094-2019")</f>
        <v/>
      </c>
      <c r="T646">
        <f>HYPERLINK("https://klasma.github.io/Logging_2326/kartor/A 7094-2019 karta.png", "A 7094-2019")</f>
        <v/>
      </c>
      <c r="V646">
        <f>HYPERLINK("https://klasma.github.io/Logging_2326/klagomål/A 7094-2019 FSC-klagomål.docx", "A 7094-2019")</f>
        <v/>
      </c>
      <c r="W646">
        <f>HYPERLINK("https://klasma.github.io/Logging_2326/klagomålsmail/A 7094-2019 FSC-klagomål mail.docx", "A 7094-2019")</f>
        <v/>
      </c>
      <c r="X646">
        <f>HYPERLINK("https://klasma.github.io/Logging_2326/tillsyn/A 7094-2019 tillsynsbegäran.docx", "A 7094-2019")</f>
        <v/>
      </c>
      <c r="Y646">
        <f>HYPERLINK("https://klasma.github.io/Logging_2326/tillsynsmail/A 7094-2019 tillsynsbegäran mail.docx", "A 7094-2019")</f>
        <v/>
      </c>
    </row>
    <row r="647" ht="15" customHeight="1">
      <c r="A647" t="inlineStr">
        <is>
          <t>A 8268-2019</t>
        </is>
      </c>
      <c r="B647" s="1" t="n">
        <v>43501</v>
      </c>
      <c r="C647" s="1" t="n">
        <v>45363</v>
      </c>
      <c r="D647" t="inlineStr">
        <is>
          <t>JÄMTLANDS LÄN</t>
        </is>
      </c>
      <c r="E647" t="inlineStr">
        <is>
          <t>STRÖMSUND</t>
        </is>
      </c>
      <c r="G647" t="n">
        <v>6.9</v>
      </c>
      <c r="H647" t="n">
        <v>0</v>
      </c>
      <c r="I647" t="n">
        <v>0</v>
      </c>
      <c r="J647" t="n">
        <v>3</v>
      </c>
      <c r="K647" t="n">
        <v>0</v>
      </c>
      <c r="L647" t="n">
        <v>0</v>
      </c>
      <c r="M647" t="n">
        <v>0</v>
      </c>
      <c r="N647" t="n">
        <v>0</v>
      </c>
      <c r="O647" t="n">
        <v>3</v>
      </c>
      <c r="P647" t="n">
        <v>0</v>
      </c>
      <c r="Q647" t="n">
        <v>3</v>
      </c>
      <c r="R647" s="2" t="inlineStr">
        <is>
          <t>Garnlav
Lunglav
Skrovellav</t>
        </is>
      </c>
      <c r="S647">
        <f>HYPERLINK("https://klasma.github.io/Logging_2313/artfynd/A 8268-2019 artfynd.xlsx", "A 8268-2019")</f>
        <v/>
      </c>
      <c r="T647">
        <f>HYPERLINK("https://klasma.github.io/Logging_2313/kartor/A 8268-2019 karta.png", "A 8268-2019")</f>
        <v/>
      </c>
      <c r="V647">
        <f>HYPERLINK("https://klasma.github.io/Logging_2313/klagomål/A 8268-2019 FSC-klagomål.docx", "A 8268-2019")</f>
        <v/>
      </c>
      <c r="W647">
        <f>HYPERLINK("https://klasma.github.io/Logging_2313/klagomålsmail/A 8268-2019 FSC-klagomål mail.docx", "A 8268-2019")</f>
        <v/>
      </c>
      <c r="X647">
        <f>HYPERLINK("https://klasma.github.io/Logging_2313/tillsyn/A 8268-2019 tillsynsbegäran.docx", "A 8268-2019")</f>
        <v/>
      </c>
      <c r="Y647">
        <f>HYPERLINK("https://klasma.github.io/Logging_2313/tillsynsmail/A 8268-2019 tillsynsbegäran mail.docx", "A 8268-2019")</f>
        <v/>
      </c>
    </row>
    <row r="648" ht="15" customHeight="1">
      <c r="A648" t="inlineStr">
        <is>
          <t>A 12806-2019</t>
        </is>
      </c>
      <c r="B648" s="1" t="n">
        <v>43525</v>
      </c>
      <c r="C648" s="1" t="n">
        <v>45363</v>
      </c>
      <c r="D648" t="inlineStr">
        <is>
          <t>JÄMTLANDS LÄN</t>
        </is>
      </c>
      <c r="E648" t="inlineStr">
        <is>
          <t>HÄRJEDALEN</t>
        </is>
      </c>
      <c r="G648" t="n">
        <v>18.8</v>
      </c>
      <c r="H648" t="n">
        <v>0</v>
      </c>
      <c r="I648" t="n">
        <v>1</v>
      </c>
      <c r="J648" t="n">
        <v>2</v>
      </c>
      <c r="K648" t="n">
        <v>0</v>
      </c>
      <c r="L648" t="n">
        <v>0</v>
      </c>
      <c r="M648" t="n">
        <v>0</v>
      </c>
      <c r="N648" t="n">
        <v>0</v>
      </c>
      <c r="O648" t="n">
        <v>2</v>
      </c>
      <c r="P648" t="n">
        <v>0</v>
      </c>
      <c r="Q648" t="n">
        <v>3</v>
      </c>
      <c r="R648" s="2" t="inlineStr">
        <is>
          <t>Dvärgbägarlav
Skrovellav
Stuplav</t>
        </is>
      </c>
      <c r="S648">
        <f>HYPERLINK("https://klasma.github.io/Logging_2361/artfynd/A 12806-2019 artfynd.xlsx", "A 12806-2019")</f>
        <v/>
      </c>
      <c r="T648">
        <f>HYPERLINK("https://klasma.github.io/Logging_2361/kartor/A 12806-2019 karta.png", "A 12806-2019")</f>
        <v/>
      </c>
      <c r="V648">
        <f>HYPERLINK("https://klasma.github.io/Logging_2361/klagomål/A 12806-2019 FSC-klagomål.docx", "A 12806-2019")</f>
        <v/>
      </c>
      <c r="W648">
        <f>HYPERLINK("https://klasma.github.io/Logging_2361/klagomålsmail/A 12806-2019 FSC-klagomål mail.docx", "A 12806-2019")</f>
        <v/>
      </c>
      <c r="X648">
        <f>HYPERLINK("https://klasma.github.io/Logging_2361/tillsyn/A 12806-2019 tillsynsbegäran.docx", "A 12806-2019")</f>
        <v/>
      </c>
      <c r="Y648">
        <f>HYPERLINK("https://klasma.github.io/Logging_2361/tillsynsmail/A 12806-2019 tillsynsbegäran mail.docx", "A 12806-2019")</f>
        <v/>
      </c>
    </row>
    <row r="649" ht="15" customHeight="1">
      <c r="A649" t="inlineStr">
        <is>
          <t>A 23410-2019</t>
        </is>
      </c>
      <c r="B649" s="1" t="n">
        <v>43592</v>
      </c>
      <c r="C649" s="1" t="n">
        <v>45363</v>
      </c>
      <c r="D649" t="inlineStr">
        <is>
          <t>JÄMTLANDS LÄN</t>
        </is>
      </c>
      <c r="E649" t="inlineStr">
        <is>
          <t>ÖSTERSUND</t>
        </is>
      </c>
      <c r="G649" t="n">
        <v>10.6</v>
      </c>
      <c r="H649" t="n">
        <v>3</v>
      </c>
      <c r="I649" t="n">
        <v>2</v>
      </c>
      <c r="J649" t="n">
        <v>0</v>
      </c>
      <c r="K649" t="n">
        <v>0</v>
      </c>
      <c r="L649" t="n">
        <v>0</v>
      </c>
      <c r="M649" t="n">
        <v>0</v>
      </c>
      <c r="N649" t="n">
        <v>0</v>
      </c>
      <c r="O649" t="n">
        <v>0</v>
      </c>
      <c r="P649" t="n">
        <v>0</v>
      </c>
      <c r="Q649" t="n">
        <v>3</v>
      </c>
      <c r="R649" s="2" t="inlineStr">
        <is>
          <t>Guckusko
Tvåblad
Fläcknycklar</t>
        </is>
      </c>
      <c r="S649">
        <f>HYPERLINK("https://klasma.github.io/Logging_2380/artfynd/A 23410-2019 artfynd.xlsx", "A 23410-2019")</f>
        <v/>
      </c>
      <c r="T649">
        <f>HYPERLINK("https://klasma.github.io/Logging_2380/kartor/A 23410-2019 karta.png", "A 23410-2019")</f>
        <v/>
      </c>
      <c r="V649">
        <f>HYPERLINK("https://klasma.github.io/Logging_2380/klagomål/A 23410-2019 FSC-klagomål.docx", "A 23410-2019")</f>
        <v/>
      </c>
      <c r="W649">
        <f>HYPERLINK("https://klasma.github.io/Logging_2380/klagomålsmail/A 23410-2019 FSC-klagomål mail.docx", "A 23410-2019")</f>
        <v/>
      </c>
      <c r="X649">
        <f>HYPERLINK("https://klasma.github.io/Logging_2380/tillsyn/A 23410-2019 tillsynsbegäran.docx", "A 23410-2019")</f>
        <v/>
      </c>
      <c r="Y649">
        <f>HYPERLINK("https://klasma.github.io/Logging_2380/tillsynsmail/A 23410-2019 tillsynsbegäran mail.docx", "A 23410-2019")</f>
        <v/>
      </c>
    </row>
    <row r="650" ht="15" customHeight="1">
      <c r="A650" t="inlineStr">
        <is>
          <t>A 24163-2019</t>
        </is>
      </c>
      <c r="B650" s="1" t="n">
        <v>43598</v>
      </c>
      <c r="C650" s="1" t="n">
        <v>45363</v>
      </c>
      <c r="D650" t="inlineStr">
        <is>
          <t>JÄMTLANDS LÄN</t>
        </is>
      </c>
      <c r="E650" t="inlineStr">
        <is>
          <t>ÅRE</t>
        </is>
      </c>
      <c r="G650" t="n">
        <v>16.5</v>
      </c>
      <c r="H650" t="n">
        <v>0</v>
      </c>
      <c r="I650" t="n">
        <v>0</v>
      </c>
      <c r="J650" t="n">
        <v>3</v>
      </c>
      <c r="K650" t="n">
        <v>0</v>
      </c>
      <c r="L650" t="n">
        <v>0</v>
      </c>
      <c r="M650" t="n">
        <v>0</v>
      </c>
      <c r="N650" t="n">
        <v>0</v>
      </c>
      <c r="O650" t="n">
        <v>3</v>
      </c>
      <c r="P650" t="n">
        <v>0</v>
      </c>
      <c r="Q650" t="n">
        <v>3</v>
      </c>
      <c r="R650" s="2" t="inlineStr">
        <is>
          <t>Garnlav
Lunglav
Rosenticka</t>
        </is>
      </c>
      <c r="S650">
        <f>HYPERLINK("https://klasma.github.io/Logging_2321/artfynd/A 24163-2019 artfynd.xlsx", "A 24163-2019")</f>
        <v/>
      </c>
      <c r="T650">
        <f>HYPERLINK("https://klasma.github.io/Logging_2321/kartor/A 24163-2019 karta.png", "A 24163-2019")</f>
        <v/>
      </c>
      <c r="V650">
        <f>HYPERLINK("https://klasma.github.io/Logging_2321/klagomål/A 24163-2019 FSC-klagomål.docx", "A 24163-2019")</f>
        <v/>
      </c>
      <c r="W650">
        <f>HYPERLINK("https://klasma.github.io/Logging_2321/klagomålsmail/A 24163-2019 FSC-klagomål mail.docx", "A 24163-2019")</f>
        <v/>
      </c>
      <c r="X650">
        <f>HYPERLINK("https://klasma.github.io/Logging_2321/tillsyn/A 24163-2019 tillsynsbegäran.docx", "A 24163-2019")</f>
        <v/>
      </c>
      <c r="Y650">
        <f>HYPERLINK("https://klasma.github.io/Logging_2321/tillsynsmail/A 24163-2019 tillsynsbegäran mail.docx", "A 24163-2019")</f>
        <v/>
      </c>
    </row>
    <row r="651" ht="15" customHeight="1">
      <c r="A651" t="inlineStr">
        <is>
          <t>A 26741-2019</t>
        </is>
      </c>
      <c r="B651" s="1" t="n">
        <v>43607</v>
      </c>
      <c r="C651" s="1" t="n">
        <v>45363</v>
      </c>
      <c r="D651" t="inlineStr">
        <is>
          <t>JÄMTLANDS LÄN</t>
        </is>
      </c>
      <c r="E651" t="inlineStr">
        <is>
          <t>ÖSTERSUND</t>
        </is>
      </c>
      <c r="F651" t="inlineStr">
        <is>
          <t>Övriga statliga verk och myndigheter</t>
        </is>
      </c>
      <c r="G651" t="n">
        <v>4.5</v>
      </c>
      <c r="H651" t="n">
        <v>0</v>
      </c>
      <c r="I651" t="n">
        <v>1</v>
      </c>
      <c r="J651" t="n">
        <v>1</v>
      </c>
      <c r="K651" t="n">
        <v>0</v>
      </c>
      <c r="L651" t="n">
        <v>1</v>
      </c>
      <c r="M651" t="n">
        <v>0</v>
      </c>
      <c r="N651" t="n">
        <v>0</v>
      </c>
      <c r="O651" t="n">
        <v>2</v>
      </c>
      <c r="P651" t="n">
        <v>1</v>
      </c>
      <c r="Q651" t="n">
        <v>3</v>
      </c>
      <c r="R651" s="2" t="inlineStr">
        <is>
          <t>Trolldruvemätare
Lunglav
Svart trolldruva</t>
        </is>
      </c>
      <c r="S651">
        <f>HYPERLINK("https://klasma.github.io/Logging_2380/artfynd/A 26741-2019 artfynd.xlsx", "A 26741-2019")</f>
        <v/>
      </c>
      <c r="T651">
        <f>HYPERLINK("https://klasma.github.io/Logging_2380/kartor/A 26741-2019 karta.png", "A 26741-2019")</f>
        <v/>
      </c>
      <c r="V651">
        <f>HYPERLINK("https://klasma.github.io/Logging_2380/klagomål/A 26741-2019 FSC-klagomål.docx", "A 26741-2019")</f>
        <v/>
      </c>
      <c r="W651">
        <f>HYPERLINK("https://klasma.github.io/Logging_2380/klagomålsmail/A 26741-2019 FSC-klagomål mail.docx", "A 26741-2019")</f>
        <v/>
      </c>
      <c r="X651">
        <f>HYPERLINK("https://klasma.github.io/Logging_2380/tillsyn/A 26741-2019 tillsynsbegäran.docx", "A 26741-2019")</f>
        <v/>
      </c>
      <c r="Y651">
        <f>HYPERLINK("https://klasma.github.io/Logging_2380/tillsynsmail/A 26741-2019 tillsynsbegäran mail.docx", "A 26741-2019")</f>
        <v/>
      </c>
    </row>
    <row r="652" ht="15" customHeight="1">
      <c r="A652" t="inlineStr">
        <is>
          <t>A 27770-2019</t>
        </is>
      </c>
      <c r="B652" s="1" t="n">
        <v>43619</v>
      </c>
      <c r="C652" s="1" t="n">
        <v>45363</v>
      </c>
      <c r="D652" t="inlineStr">
        <is>
          <t>JÄMTLANDS LÄN</t>
        </is>
      </c>
      <c r="E652" t="inlineStr">
        <is>
          <t>RAGUNDA</t>
        </is>
      </c>
      <c r="F652" t="inlineStr">
        <is>
          <t>SCA</t>
        </is>
      </c>
      <c r="G652" t="n">
        <v>2.3</v>
      </c>
      <c r="H652" t="n">
        <v>0</v>
      </c>
      <c r="I652" t="n">
        <v>0</v>
      </c>
      <c r="J652" t="n">
        <v>2</v>
      </c>
      <c r="K652" t="n">
        <v>1</v>
      </c>
      <c r="L652" t="n">
        <v>0</v>
      </c>
      <c r="M652" t="n">
        <v>0</v>
      </c>
      <c r="N652" t="n">
        <v>0</v>
      </c>
      <c r="O652" t="n">
        <v>3</v>
      </c>
      <c r="P652" t="n">
        <v>1</v>
      </c>
      <c r="Q652" t="n">
        <v>3</v>
      </c>
      <c r="R652" s="2" t="inlineStr">
        <is>
          <t>Gräddporing
Lunglav
Skrovellav</t>
        </is>
      </c>
      <c r="S652">
        <f>HYPERLINK("https://klasma.github.io/Logging_2303/artfynd/A 27770-2019 artfynd.xlsx", "A 27770-2019")</f>
        <v/>
      </c>
      <c r="T652">
        <f>HYPERLINK("https://klasma.github.io/Logging_2303/kartor/A 27770-2019 karta.png", "A 27770-2019")</f>
        <v/>
      </c>
      <c r="V652">
        <f>HYPERLINK("https://klasma.github.io/Logging_2303/klagomål/A 27770-2019 FSC-klagomål.docx", "A 27770-2019")</f>
        <v/>
      </c>
      <c r="W652">
        <f>HYPERLINK("https://klasma.github.io/Logging_2303/klagomålsmail/A 27770-2019 FSC-klagomål mail.docx", "A 27770-2019")</f>
        <v/>
      </c>
      <c r="X652">
        <f>HYPERLINK("https://klasma.github.io/Logging_2303/tillsyn/A 27770-2019 tillsynsbegäran.docx", "A 27770-2019")</f>
        <v/>
      </c>
      <c r="Y652">
        <f>HYPERLINK("https://klasma.github.io/Logging_2303/tillsynsmail/A 27770-2019 tillsynsbegäran mail.docx", "A 27770-2019")</f>
        <v/>
      </c>
    </row>
    <row r="653" ht="15" customHeight="1">
      <c r="A653" t="inlineStr">
        <is>
          <t>A 30381-2019</t>
        </is>
      </c>
      <c r="B653" s="1" t="n">
        <v>43634</v>
      </c>
      <c r="C653" s="1" t="n">
        <v>45363</v>
      </c>
      <c r="D653" t="inlineStr">
        <is>
          <t>JÄMTLANDS LÄN</t>
        </is>
      </c>
      <c r="E653" t="inlineStr">
        <is>
          <t>STRÖMSUND</t>
        </is>
      </c>
      <c r="F653" t="inlineStr">
        <is>
          <t>SCA</t>
        </is>
      </c>
      <c r="G653" t="n">
        <v>1.5</v>
      </c>
      <c r="H653" t="n">
        <v>1</v>
      </c>
      <c r="I653" t="n">
        <v>0</v>
      </c>
      <c r="J653" t="n">
        <v>2</v>
      </c>
      <c r="K653" t="n">
        <v>1</v>
      </c>
      <c r="L653" t="n">
        <v>0</v>
      </c>
      <c r="M653" t="n">
        <v>0</v>
      </c>
      <c r="N653" t="n">
        <v>0</v>
      </c>
      <c r="O653" t="n">
        <v>3</v>
      </c>
      <c r="P653" t="n">
        <v>1</v>
      </c>
      <c r="Q653" t="n">
        <v>3</v>
      </c>
      <c r="R653" s="2" t="inlineStr">
        <is>
          <t>Knärot
Granticka
Harticka</t>
        </is>
      </c>
      <c r="S653">
        <f>HYPERLINK("https://klasma.github.io/Logging_2313/artfynd/A 30381-2019 artfynd.xlsx", "A 30381-2019")</f>
        <v/>
      </c>
      <c r="T653">
        <f>HYPERLINK("https://klasma.github.io/Logging_2313/kartor/A 30381-2019 karta.png", "A 30381-2019")</f>
        <v/>
      </c>
      <c r="U653">
        <f>HYPERLINK("https://klasma.github.io/Logging_2313/knärot/A 30381-2019 karta knärot.png", "A 30381-2019")</f>
        <v/>
      </c>
      <c r="V653">
        <f>HYPERLINK("https://klasma.github.io/Logging_2313/klagomål/A 30381-2019 FSC-klagomål.docx", "A 30381-2019")</f>
        <v/>
      </c>
      <c r="W653">
        <f>HYPERLINK("https://klasma.github.io/Logging_2313/klagomålsmail/A 30381-2019 FSC-klagomål mail.docx", "A 30381-2019")</f>
        <v/>
      </c>
      <c r="X653">
        <f>HYPERLINK("https://klasma.github.io/Logging_2313/tillsyn/A 30381-2019 tillsynsbegäran.docx", "A 30381-2019")</f>
        <v/>
      </c>
      <c r="Y653">
        <f>HYPERLINK("https://klasma.github.io/Logging_2313/tillsynsmail/A 30381-2019 tillsynsbegäran mail.docx", "A 30381-2019")</f>
        <v/>
      </c>
    </row>
    <row r="654" ht="15" customHeight="1">
      <c r="A654" t="inlineStr">
        <is>
          <t>A 33687-2019</t>
        </is>
      </c>
      <c r="B654" s="1" t="n">
        <v>43651</v>
      </c>
      <c r="C654" s="1" t="n">
        <v>45363</v>
      </c>
      <c r="D654" t="inlineStr">
        <is>
          <t>JÄMTLANDS LÄN</t>
        </is>
      </c>
      <c r="E654" t="inlineStr">
        <is>
          <t>STRÖMSUND</t>
        </is>
      </c>
      <c r="F654" t="inlineStr">
        <is>
          <t>Holmen skog AB</t>
        </is>
      </c>
      <c r="G654" t="n">
        <v>14.1</v>
      </c>
      <c r="H654" t="n">
        <v>0</v>
      </c>
      <c r="I654" t="n">
        <v>1</v>
      </c>
      <c r="J654" t="n">
        <v>2</v>
      </c>
      <c r="K654" t="n">
        <v>0</v>
      </c>
      <c r="L654" t="n">
        <v>0</v>
      </c>
      <c r="M654" t="n">
        <v>0</v>
      </c>
      <c r="N654" t="n">
        <v>0</v>
      </c>
      <c r="O654" t="n">
        <v>2</v>
      </c>
      <c r="P654" t="n">
        <v>0</v>
      </c>
      <c r="Q654" t="n">
        <v>3</v>
      </c>
      <c r="R654" s="2" t="inlineStr">
        <is>
          <t>Granticka
Harticka
Stuplav</t>
        </is>
      </c>
      <c r="S654">
        <f>HYPERLINK("https://klasma.github.io/Logging_2313/artfynd/A 33687-2019 artfynd.xlsx", "A 33687-2019")</f>
        <v/>
      </c>
      <c r="T654">
        <f>HYPERLINK("https://klasma.github.io/Logging_2313/kartor/A 33687-2019 karta.png", "A 33687-2019")</f>
        <v/>
      </c>
      <c r="V654">
        <f>HYPERLINK("https://klasma.github.io/Logging_2313/klagomål/A 33687-2019 FSC-klagomål.docx", "A 33687-2019")</f>
        <v/>
      </c>
      <c r="W654">
        <f>HYPERLINK("https://klasma.github.io/Logging_2313/klagomålsmail/A 33687-2019 FSC-klagomål mail.docx", "A 33687-2019")</f>
        <v/>
      </c>
      <c r="X654">
        <f>HYPERLINK("https://klasma.github.io/Logging_2313/tillsyn/A 33687-2019 tillsynsbegäran.docx", "A 33687-2019")</f>
        <v/>
      </c>
      <c r="Y654">
        <f>HYPERLINK("https://klasma.github.io/Logging_2313/tillsynsmail/A 33687-2019 tillsynsbegäran mail.docx", "A 33687-2019")</f>
        <v/>
      </c>
    </row>
    <row r="655" ht="15" customHeight="1">
      <c r="A655" t="inlineStr">
        <is>
          <t>A 35719-2019</t>
        </is>
      </c>
      <c r="B655" s="1" t="n">
        <v>43664</v>
      </c>
      <c r="C655" s="1" t="n">
        <v>45363</v>
      </c>
      <c r="D655" t="inlineStr">
        <is>
          <t>JÄMTLANDS LÄN</t>
        </is>
      </c>
      <c r="E655" t="inlineStr">
        <is>
          <t>HÄRJEDALEN</t>
        </is>
      </c>
      <c r="F655" t="inlineStr">
        <is>
          <t>SCA</t>
        </is>
      </c>
      <c r="G655" t="n">
        <v>17.7</v>
      </c>
      <c r="H655" t="n">
        <v>0</v>
      </c>
      <c r="I655" t="n">
        <v>1</v>
      </c>
      <c r="J655" t="n">
        <v>2</v>
      </c>
      <c r="K655" t="n">
        <v>0</v>
      </c>
      <c r="L655" t="n">
        <v>0</v>
      </c>
      <c r="M655" t="n">
        <v>0</v>
      </c>
      <c r="N655" t="n">
        <v>0</v>
      </c>
      <c r="O655" t="n">
        <v>2</v>
      </c>
      <c r="P655" t="n">
        <v>0</v>
      </c>
      <c r="Q655" t="n">
        <v>3</v>
      </c>
      <c r="R655" s="2" t="inlineStr">
        <is>
          <t>Kolflarnlav
Tallticka
Dropptaggsvamp</t>
        </is>
      </c>
      <c r="S655">
        <f>HYPERLINK("https://klasma.github.io/Logging_2361/artfynd/A 35719-2019 artfynd.xlsx", "A 35719-2019")</f>
        <v/>
      </c>
      <c r="T655">
        <f>HYPERLINK("https://klasma.github.io/Logging_2361/kartor/A 35719-2019 karta.png", "A 35719-2019")</f>
        <v/>
      </c>
      <c r="V655">
        <f>HYPERLINK("https://klasma.github.io/Logging_2361/klagomål/A 35719-2019 FSC-klagomål.docx", "A 35719-2019")</f>
        <v/>
      </c>
      <c r="W655">
        <f>HYPERLINK("https://klasma.github.io/Logging_2361/klagomålsmail/A 35719-2019 FSC-klagomål mail.docx", "A 35719-2019")</f>
        <v/>
      </c>
      <c r="X655">
        <f>HYPERLINK("https://klasma.github.io/Logging_2361/tillsyn/A 35719-2019 tillsynsbegäran.docx", "A 35719-2019")</f>
        <v/>
      </c>
      <c r="Y655">
        <f>HYPERLINK("https://klasma.github.io/Logging_2361/tillsynsmail/A 35719-2019 tillsynsbegäran mail.docx", "A 35719-2019")</f>
        <v/>
      </c>
    </row>
    <row r="656" ht="15" customHeight="1">
      <c r="A656" t="inlineStr">
        <is>
          <t>A 35778-2019</t>
        </is>
      </c>
      <c r="B656" s="1" t="n">
        <v>43665</v>
      </c>
      <c r="C656" s="1" t="n">
        <v>45363</v>
      </c>
      <c r="D656" t="inlineStr">
        <is>
          <t>JÄMTLANDS LÄN</t>
        </is>
      </c>
      <c r="E656" t="inlineStr">
        <is>
          <t>STRÖMSUND</t>
        </is>
      </c>
      <c r="G656" t="n">
        <v>33.5</v>
      </c>
      <c r="H656" t="n">
        <v>1</v>
      </c>
      <c r="I656" t="n">
        <v>0</v>
      </c>
      <c r="J656" t="n">
        <v>2</v>
      </c>
      <c r="K656" t="n">
        <v>0</v>
      </c>
      <c r="L656" t="n">
        <v>0</v>
      </c>
      <c r="M656" t="n">
        <v>0</v>
      </c>
      <c r="N656" t="n">
        <v>0</v>
      </c>
      <c r="O656" t="n">
        <v>2</v>
      </c>
      <c r="P656" t="n">
        <v>0</v>
      </c>
      <c r="Q656" t="n">
        <v>3</v>
      </c>
      <c r="R656" s="2" t="inlineStr">
        <is>
          <t>Garnlav
Granticka
Revlummer</t>
        </is>
      </c>
      <c r="S656">
        <f>HYPERLINK("https://klasma.github.io/Logging_2313/artfynd/A 35778-2019 artfynd.xlsx", "A 35778-2019")</f>
        <v/>
      </c>
      <c r="T656">
        <f>HYPERLINK("https://klasma.github.io/Logging_2313/kartor/A 35778-2019 karta.png", "A 35778-2019")</f>
        <v/>
      </c>
      <c r="V656">
        <f>HYPERLINK("https://klasma.github.io/Logging_2313/klagomål/A 35778-2019 FSC-klagomål.docx", "A 35778-2019")</f>
        <v/>
      </c>
      <c r="W656">
        <f>HYPERLINK("https://klasma.github.io/Logging_2313/klagomålsmail/A 35778-2019 FSC-klagomål mail.docx", "A 35778-2019")</f>
        <v/>
      </c>
      <c r="X656">
        <f>HYPERLINK("https://klasma.github.io/Logging_2313/tillsyn/A 35778-2019 tillsynsbegäran.docx", "A 35778-2019")</f>
        <v/>
      </c>
      <c r="Y656">
        <f>HYPERLINK("https://klasma.github.io/Logging_2313/tillsynsmail/A 35778-2019 tillsynsbegäran mail.docx", "A 35778-2019")</f>
        <v/>
      </c>
    </row>
    <row r="657" ht="15" customHeight="1">
      <c r="A657" t="inlineStr">
        <is>
          <t>A 36815-2019</t>
        </is>
      </c>
      <c r="B657" s="1" t="n">
        <v>43672</v>
      </c>
      <c r="C657" s="1" t="n">
        <v>45363</v>
      </c>
      <c r="D657" t="inlineStr">
        <is>
          <t>JÄMTLANDS LÄN</t>
        </is>
      </c>
      <c r="E657" t="inlineStr">
        <is>
          <t>ÖSTERSUND</t>
        </is>
      </c>
      <c r="F657" t="inlineStr">
        <is>
          <t>SCA</t>
        </is>
      </c>
      <c r="G657" t="n">
        <v>7.4</v>
      </c>
      <c r="H657" t="n">
        <v>1</v>
      </c>
      <c r="I657" t="n">
        <v>0</v>
      </c>
      <c r="J657" t="n">
        <v>2</v>
      </c>
      <c r="K657" t="n">
        <v>0</v>
      </c>
      <c r="L657" t="n">
        <v>0</v>
      </c>
      <c r="M657" t="n">
        <v>0</v>
      </c>
      <c r="N657" t="n">
        <v>0</v>
      </c>
      <c r="O657" t="n">
        <v>2</v>
      </c>
      <c r="P657" t="n">
        <v>0</v>
      </c>
      <c r="Q657" t="n">
        <v>3</v>
      </c>
      <c r="R657" s="2" t="inlineStr">
        <is>
          <t>Lunglav
Skrovellav
Blåsippa</t>
        </is>
      </c>
      <c r="S657">
        <f>HYPERLINK("https://klasma.github.io/Logging_2380/artfynd/A 36815-2019 artfynd.xlsx", "A 36815-2019")</f>
        <v/>
      </c>
      <c r="T657">
        <f>HYPERLINK("https://klasma.github.io/Logging_2380/kartor/A 36815-2019 karta.png", "A 36815-2019")</f>
        <v/>
      </c>
      <c r="V657">
        <f>HYPERLINK("https://klasma.github.io/Logging_2380/klagomål/A 36815-2019 FSC-klagomål.docx", "A 36815-2019")</f>
        <v/>
      </c>
      <c r="W657">
        <f>HYPERLINK("https://klasma.github.io/Logging_2380/klagomålsmail/A 36815-2019 FSC-klagomål mail.docx", "A 36815-2019")</f>
        <v/>
      </c>
      <c r="X657">
        <f>HYPERLINK("https://klasma.github.io/Logging_2380/tillsyn/A 36815-2019 tillsynsbegäran.docx", "A 36815-2019")</f>
        <v/>
      </c>
      <c r="Y657">
        <f>HYPERLINK("https://klasma.github.io/Logging_2380/tillsynsmail/A 36815-2019 tillsynsbegäran mail.docx", "A 36815-2019")</f>
        <v/>
      </c>
    </row>
    <row r="658" ht="15" customHeight="1">
      <c r="A658" t="inlineStr">
        <is>
          <t>A 39265-2019</t>
        </is>
      </c>
      <c r="B658" s="1" t="n">
        <v>43690</v>
      </c>
      <c r="C658" s="1" t="n">
        <v>45363</v>
      </c>
      <c r="D658" t="inlineStr">
        <is>
          <t>JÄMTLANDS LÄN</t>
        </is>
      </c>
      <c r="E658" t="inlineStr">
        <is>
          <t>STRÖMSUND</t>
        </is>
      </c>
      <c r="F658" t="inlineStr">
        <is>
          <t>Holmen skog AB</t>
        </is>
      </c>
      <c r="G658" t="n">
        <v>16.9</v>
      </c>
      <c r="H658" t="n">
        <v>0</v>
      </c>
      <c r="I658" t="n">
        <v>1</v>
      </c>
      <c r="J658" t="n">
        <v>2</v>
      </c>
      <c r="K658" t="n">
        <v>0</v>
      </c>
      <c r="L658" t="n">
        <v>0</v>
      </c>
      <c r="M658" t="n">
        <v>0</v>
      </c>
      <c r="N658" t="n">
        <v>0</v>
      </c>
      <c r="O658" t="n">
        <v>2</v>
      </c>
      <c r="P658" t="n">
        <v>0</v>
      </c>
      <c r="Q658" t="n">
        <v>3</v>
      </c>
      <c r="R658" s="2" t="inlineStr">
        <is>
          <t>Gränsticka
Ullticka
Stuplav</t>
        </is>
      </c>
      <c r="S658">
        <f>HYPERLINK("https://klasma.github.io/Logging_2313/artfynd/A 39265-2019 artfynd.xlsx", "A 39265-2019")</f>
        <v/>
      </c>
      <c r="T658">
        <f>HYPERLINK("https://klasma.github.io/Logging_2313/kartor/A 39265-2019 karta.png", "A 39265-2019")</f>
        <v/>
      </c>
      <c r="V658">
        <f>HYPERLINK("https://klasma.github.io/Logging_2313/klagomål/A 39265-2019 FSC-klagomål.docx", "A 39265-2019")</f>
        <v/>
      </c>
      <c r="W658">
        <f>HYPERLINK("https://klasma.github.io/Logging_2313/klagomålsmail/A 39265-2019 FSC-klagomål mail.docx", "A 39265-2019")</f>
        <v/>
      </c>
      <c r="X658">
        <f>HYPERLINK("https://klasma.github.io/Logging_2313/tillsyn/A 39265-2019 tillsynsbegäran.docx", "A 39265-2019")</f>
        <v/>
      </c>
      <c r="Y658">
        <f>HYPERLINK("https://klasma.github.io/Logging_2313/tillsynsmail/A 39265-2019 tillsynsbegäran mail.docx", "A 39265-2019")</f>
        <v/>
      </c>
    </row>
    <row r="659" ht="15" customHeight="1">
      <c r="A659" t="inlineStr">
        <is>
          <t>A 42078-2019</t>
        </is>
      </c>
      <c r="B659" s="1" t="n">
        <v>43700</v>
      </c>
      <c r="C659" s="1" t="n">
        <v>45363</v>
      </c>
      <c r="D659" t="inlineStr">
        <is>
          <t>JÄMTLANDS LÄN</t>
        </is>
      </c>
      <c r="E659" t="inlineStr">
        <is>
          <t>BRÄCKE</t>
        </is>
      </c>
      <c r="F659" t="inlineStr">
        <is>
          <t>SCA</t>
        </is>
      </c>
      <c r="G659" t="n">
        <v>10.4</v>
      </c>
      <c r="H659" t="n">
        <v>1</v>
      </c>
      <c r="I659" t="n">
        <v>1</v>
      </c>
      <c r="J659" t="n">
        <v>1</v>
      </c>
      <c r="K659" t="n">
        <v>1</v>
      </c>
      <c r="L659" t="n">
        <v>0</v>
      </c>
      <c r="M659" t="n">
        <v>0</v>
      </c>
      <c r="N659" t="n">
        <v>0</v>
      </c>
      <c r="O659" t="n">
        <v>2</v>
      </c>
      <c r="P659" t="n">
        <v>1</v>
      </c>
      <c r="Q659" t="n">
        <v>3</v>
      </c>
      <c r="R659" s="2" t="inlineStr">
        <is>
          <t>Knärot
Stjärntagging
Vedticka</t>
        </is>
      </c>
      <c r="S659">
        <f>HYPERLINK("https://klasma.github.io/Logging_2305/artfynd/A 42078-2019 artfynd.xlsx", "A 42078-2019")</f>
        <v/>
      </c>
      <c r="T659">
        <f>HYPERLINK("https://klasma.github.io/Logging_2305/kartor/A 42078-2019 karta.png", "A 42078-2019")</f>
        <v/>
      </c>
      <c r="U659">
        <f>HYPERLINK("https://klasma.github.io/Logging_2305/knärot/A 42078-2019 karta knärot.png", "A 42078-2019")</f>
        <v/>
      </c>
      <c r="V659">
        <f>HYPERLINK("https://klasma.github.io/Logging_2305/klagomål/A 42078-2019 FSC-klagomål.docx", "A 42078-2019")</f>
        <v/>
      </c>
      <c r="W659">
        <f>HYPERLINK("https://klasma.github.io/Logging_2305/klagomålsmail/A 42078-2019 FSC-klagomål mail.docx", "A 42078-2019")</f>
        <v/>
      </c>
      <c r="X659">
        <f>HYPERLINK("https://klasma.github.io/Logging_2305/tillsyn/A 42078-2019 tillsynsbegäran.docx", "A 42078-2019")</f>
        <v/>
      </c>
      <c r="Y659">
        <f>HYPERLINK("https://klasma.github.io/Logging_2305/tillsynsmail/A 42078-2019 tillsynsbegäran mail.docx", "A 42078-2019")</f>
        <v/>
      </c>
    </row>
    <row r="660" ht="15" customHeight="1">
      <c r="A660" t="inlineStr">
        <is>
          <t>A 45683-2019</t>
        </is>
      </c>
      <c r="B660" s="1" t="n">
        <v>43717</v>
      </c>
      <c r="C660" s="1" t="n">
        <v>45363</v>
      </c>
      <c r="D660" t="inlineStr">
        <is>
          <t>JÄMTLANDS LÄN</t>
        </is>
      </c>
      <c r="E660" t="inlineStr">
        <is>
          <t>KROKOM</t>
        </is>
      </c>
      <c r="G660" t="n">
        <v>4.6</v>
      </c>
      <c r="H660" t="n">
        <v>2</v>
      </c>
      <c r="I660" t="n">
        <v>0</v>
      </c>
      <c r="J660" t="n">
        <v>2</v>
      </c>
      <c r="K660" t="n">
        <v>1</v>
      </c>
      <c r="L660" t="n">
        <v>0</v>
      </c>
      <c r="M660" t="n">
        <v>0</v>
      </c>
      <c r="N660" t="n">
        <v>0</v>
      </c>
      <c r="O660" t="n">
        <v>3</v>
      </c>
      <c r="P660" t="n">
        <v>1</v>
      </c>
      <c r="Q660" t="n">
        <v>3</v>
      </c>
      <c r="R660" s="2" t="inlineStr">
        <is>
          <t>Knärot
Gränsticka
Tretåig hackspett</t>
        </is>
      </c>
      <c r="S660">
        <f>HYPERLINK("https://klasma.github.io/Logging_2309/artfynd/A 45683-2019 artfynd.xlsx", "A 45683-2019")</f>
        <v/>
      </c>
      <c r="T660">
        <f>HYPERLINK("https://klasma.github.io/Logging_2309/kartor/A 45683-2019 karta.png", "A 45683-2019")</f>
        <v/>
      </c>
      <c r="U660">
        <f>HYPERLINK("https://klasma.github.io/Logging_2309/knärot/A 45683-2019 karta knärot.png", "A 45683-2019")</f>
        <v/>
      </c>
      <c r="V660">
        <f>HYPERLINK("https://klasma.github.io/Logging_2309/klagomål/A 45683-2019 FSC-klagomål.docx", "A 45683-2019")</f>
        <v/>
      </c>
      <c r="W660">
        <f>HYPERLINK("https://klasma.github.io/Logging_2309/klagomålsmail/A 45683-2019 FSC-klagomål mail.docx", "A 45683-2019")</f>
        <v/>
      </c>
      <c r="X660">
        <f>HYPERLINK("https://klasma.github.io/Logging_2309/tillsyn/A 45683-2019 tillsynsbegäran.docx", "A 45683-2019")</f>
        <v/>
      </c>
      <c r="Y660">
        <f>HYPERLINK("https://klasma.github.io/Logging_2309/tillsynsmail/A 45683-2019 tillsynsbegäran mail.docx", "A 45683-2019")</f>
        <v/>
      </c>
      <c r="Z660">
        <f>HYPERLINK("https://klasma.github.io/Logging_2309/fåglar/A 45683-2019 prioriterade fågelarter.docx", "A 45683-2019")</f>
        <v/>
      </c>
    </row>
    <row r="661" ht="15" customHeight="1">
      <c r="A661" t="inlineStr">
        <is>
          <t>A 57028-2019</t>
        </is>
      </c>
      <c r="B661" s="1" t="n">
        <v>43766</v>
      </c>
      <c r="C661" s="1" t="n">
        <v>45363</v>
      </c>
      <c r="D661" t="inlineStr">
        <is>
          <t>JÄMTLANDS LÄN</t>
        </is>
      </c>
      <c r="E661" t="inlineStr">
        <is>
          <t>KROKOM</t>
        </is>
      </c>
      <c r="G661" t="n">
        <v>13.6</v>
      </c>
      <c r="H661" t="n">
        <v>0</v>
      </c>
      <c r="I661" t="n">
        <v>1</v>
      </c>
      <c r="J661" t="n">
        <v>1</v>
      </c>
      <c r="K661" t="n">
        <v>1</v>
      </c>
      <c r="L661" t="n">
        <v>0</v>
      </c>
      <c r="M661" t="n">
        <v>0</v>
      </c>
      <c r="N661" t="n">
        <v>0</v>
      </c>
      <c r="O661" t="n">
        <v>2</v>
      </c>
      <c r="P661" t="n">
        <v>1</v>
      </c>
      <c r="Q661" t="n">
        <v>3</v>
      </c>
      <c r="R661" s="2" t="inlineStr">
        <is>
          <t>Liten sotlav
Rödbrun blekspik
Rostfläck</t>
        </is>
      </c>
      <c r="S661">
        <f>HYPERLINK("https://klasma.github.io/Logging_2309/artfynd/A 57028-2019 artfynd.xlsx", "A 57028-2019")</f>
        <v/>
      </c>
      <c r="T661">
        <f>HYPERLINK("https://klasma.github.io/Logging_2309/kartor/A 57028-2019 karta.png", "A 57028-2019")</f>
        <v/>
      </c>
      <c r="V661">
        <f>HYPERLINK("https://klasma.github.io/Logging_2309/klagomål/A 57028-2019 FSC-klagomål.docx", "A 57028-2019")</f>
        <v/>
      </c>
      <c r="W661">
        <f>HYPERLINK("https://klasma.github.io/Logging_2309/klagomålsmail/A 57028-2019 FSC-klagomål mail.docx", "A 57028-2019")</f>
        <v/>
      </c>
      <c r="X661">
        <f>HYPERLINK("https://klasma.github.io/Logging_2309/tillsyn/A 57028-2019 tillsynsbegäran.docx", "A 57028-2019")</f>
        <v/>
      </c>
      <c r="Y661">
        <f>HYPERLINK("https://klasma.github.io/Logging_2309/tillsynsmail/A 57028-2019 tillsynsbegäran mail.docx", "A 57028-2019")</f>
        <v/>
      </c>
    </row>
    <row r="662" ht="15" customHeight="1">
      <c r="A662" t="inlineStr">
        <is>
          <t>A 62240-2019</t>
        </is>
      </c>
      <c r="B662" s="1" t="n">
        <v>43784</v>
      </c>
      <c r="C662" s="1" t="n">
        <v>45363</v>
      </c>
      <c r="D662" t="inlineStr">
        <is>
          <t>JÄMTLANDS LÄN</t>
        </is>
      </c>
      <c r="E662" t="inlineStr">
        <is>
          <t>ÖSTERSUND</t>
        </is>
      </c>
      <c r="G662" t="n">
        <v>2</v>
      </c>
      <c r="H662" t="n">
        <v>1</v>
      </c>
      <c r="I662" t="n">
        <v>2</v>
      </c>
      <c r="J662" t="n">
        <v>0</v>
      </c>
      <c r="K662" t="n">
        <v>0</v>
      </c>
      <c r="L662" t="n">
        <v>0</v>
      </c>
      <c r="M662" t="n">
        <v>0</v>
      </c>
      <c r="N662" t="n">
        <v>0</v>
      </c>
      <c r="O662" t="n">
        <v>0</v>
      </c>
      <c r="P662" t="n">
        <v>0</v>
      </c>
      <c r="Q662" t="n">
        <v>3</v>
      </c>
      <c r="R662" s="2" t="inlineStr">
        <is>
          <t>Tibast
Ögonpyrola
Blåsippa</t>
        </is>
      </c>
      <c r="S662">
        <f>HYPERLINK("https://klasma.github.io/Logging_2380/artfynd/A 62240-2019 artfynd.xlsx", "A 62240-2019")</f>
        <v/>
      </c>
      <c r="T662">
        <f>HYPERLINK("https://klasma.github.io/Logging_2380/kartor/A 62240-2019 karta.png", "A 62240-2019")</f>
        <v/>
      </c>
      <c r="V662">
        <f>HYPERLINK("https://klasma.github.io/Logging_2380/klagomål/A 62240-2019 FSC-klagomål.docx", "A 62240-2019")</f>
        <v/>
      </c>
      <c r="W662">
        <f>HYPERLINK("https://klasma.github.io/Logging_2380/klagomålsmail/A 62240-2019 FSC-klagomål mail.docx", "A 62240-2019")</f>
        <v/>
      </c>
      <c r="X662">
        <f>HYPERLINK("https://klasma.github.io/Logging_2380/tillsyn/A 62240-2019 tillsynsbegäran.docx", "A 62240-2019")</f>
        <v/>
      </c>
      <c r="Y662">
        <f>HYPERLINK("https://klasma.github.io/Logging_2380/tillsynsmail/A 62240-2019 tillsynsbegäran mail.docx", "A 62240-2019")</f>
        <v/>
      </c>
    </row>
    <row r="663" ht="15" customHeight="1">
      <c r="A663" t="inlineStr">
        <is>
          <t>A 68248-2019</t>
        </is>
      </c>
      <c r="B663" s="1" t="n">
        <v>43817</v>
      </c>
      <c r="C663" s="1" t="n">
        <v>45363</v>
      </c>
      <c r="D663" t="inlineStr">
        <is>
          <t>JÄMTLANDS LÄN</t>
        </is>
      </c>
      <c r="E663" t="inlineStr">
        <is>
          <t>RAGUNDA</t>
        </is>
      </c>
      <c r="G663" t="n">
        <v>9</v>
      </c>
      <c r="H663" t="n">
        <v>0</v>
      </c>
      <c r="I663" t="n">
        <v>0</v>
      </c>
      <c r="J663" t="n">
        <v>3</v>
      </c>
      <c r="K663" t="n">
        <v>0</v>
      </c>
      <c r="L663" t="n">
        <v>0</v>
      </c>
      <c r="M663" t="n">
        <v>0</v>
      </c>
      <c r="N663" t="n">
        <v>0</v>
      </c>
      <c r="O663" t="n">
        <v>3</v>
      </c>
      <c r="P663" t="n">
        <v>0</v>
      </c>
      <c r="Q663" t="n">
        <v>3</v>
      </c>
      <c r="R663" s="2" t="inlineStr">
        <is>
          <t>Garnlav
Mörk kolflarnlav
Vedskivlav</t>
        </is>
      </c>
      <c r="S663">
        <f>HYPERLINK("https://klasma.github.io/Logging_2303/artfynd/A 68248-2019 artfynd.xlsx", "A 68248-2019")</f>
        <v/>
      </c>
      <c r="T663">
        <f>HYPERLINK("https://klasma.github.io/Logging_2303/kartor/A 68248-2019 karta.png", "A 68248-2019")</f>
        <v/>
      </c>
      <c r="U663">
        <f>HYPERLINK("https://klasma.github.io/Logging_2303/knärot/A 68248-2019 karta knärot.png", "A 68248-2019")</f>
        <v/>
      </c>
      <c r="V663">
        <f>HYPERLINK("https://klasma.github.io/Logging_2303/klagomål/A 68248-2019 FSC-klagomål.docx", "A 68248-2019")</f>
        <v/>
      </c>
      <c r="W663">
        <f>HYPERLINK("https://klasma.github.io/Logging_2303/klagomålsmail/A 68248-2019 FSC-klagomål mail.docx", "A 68248-2019")</f>
        <v/>
      </c>
      <c r="X663">
        <f>HYPERLINK("https://klasma.github.io/Logging_2303/tillsyn/A 68248-2019 tillsynsbegäran.docx", "A 68248-2019")</f>
        <v/>
      </c>
      <c r="Y663">
        <f>HYPERLINK("https://klasma.github.io/Logging_2303/tillsynsmail/A 68248-2019 tillsynsbegäran mail.docx", "A 68248-2019")</f>
        <v/>
      </c>
    </row>
    <row r="664" ht="15" customHeight="1">
      <c r="A664" t="inlineStr">
        <is>
          <t>A 6887-2020</t>
        </is>
      </c>
      <c r="B664" s="1" t="n">
        <v>43867</v>
      </c>
      <c r="C664" s="1" t="n">
        <v>45363</v>
      </c>
      <c r="D664" t="inlineStr">
        <is>
          <t>JÄMTLANDS LÄN</t>
        </is>
      </c>
      <c r="E664" t="inlineStr">
        <is>
          <t>STRÖMSUND</t>
        </is>
      </c>
      <c r="F664" t="inlineStr">
        <is>
          <t>SCA</t>
        </is>
      </c>
      <c r="G664" t="n">
        <v>43.1</v>
      </c>
      <c r="H664" t="n">
        <v>0</v>
      </c>
      <c r="I664" t="n">
        <v>0</v>
      </c>
      <c r="J664" t="n">
        <v>3</v>
      </c>
      <c r="K664" t="n">
        <v>0</v>
      </c>
      <c r="L664" t="n">
        <v>0</v>
      </c>
      <c r="M664" t="n">
        <v>0</v>
      </c>
      <c r="N664" t="n">
        <v>0</v>
      </c>
      <c r="O664" t="n">
        <v>3</v>
      </c>
      <c r="P664" t="n">
        <v>0</v>
      </c>
      <c r="Q664" t="n">
        <v>3</v>
      </c>
      <c r="R664" s="2" t="inlineStr">
        <is>
          <t>Gränsticka
Rosenticka
Ullticka</t>
        </is>
      </c>
      <c r="S664">
        <f>HYPERLINK("https://klasma.github.io/Logging_2313/artfynd/A 6887-2020 artfynd.xlsx", "A 6887-2020")</f>
        <v/>
      </c>
      <c r="T664">
        <f>HYPERLINK("https://klasma.github.io/Logging_2313/kartor/A 6887-2020 karta.png", "A 6887-2020")</f>
        <v/>
      </c>
      <c r="V664">
        <f>HYPERLINK("https://klasma.github.io/Logging_2313/klagomål/A 6887-2020 FSC-klagomål.docx", "A 6887-2020")</f>
        <v/>
      </c>
      <c r="W664">
        <f>HYPERLINK("https://klasma.github.io/Logging_2313/klagomålsmail/A 6887-2020 FSC-klagomål mail.docx", "A 6887-2020")</f>
        <v/>
      </c>
      <c r="X664">
        <f>HYPERLINK("https://klasma.github.io/Logging_2313/tillsyn/A 6887-2020 tillsynsbegäran.docx", "A 6887-2020")</f>
        <v/>
      </c>
      <c r="Y664">
        <f>HYPERLINK("https://klasma.github.io/Logging_2313/tillsynsmail/A 6887-2020 tillsynsbegäran mail.docx", "A 6887-2020")</f>
        <v/>
      </c>
    </row>
    <row r="665" ht="15" customHeight="1">
      <c r="A665" t="inlineStr">
        <is>
          <t>A 14936-2020</t>
        </is>
      </c>
      <c r="B665" s="1" t="n">
        <v>43906</v>
      </c>
      <c r="C665" s="1" t="n">
        <v>45363</v>
      </c>
      <c r="D665" t="inlineStr">
        <is>
          <t>JÄMTLANDS LÄN</t>
        </is>
      </c>
      <c r="E665" t="inlineStr">
        <is>
          <t>STRÖMSUND</t>
        </is>
      </c>
      <c r="G665" t="n">
        <v>21.4</v>
      </c>
      <c r="H665" t="n">
        <v>1</v>
      </c>
      <c r="I665" t="n">
        <v>1</v>
      </c>
      <c r="J665" t="n">
        <v>1</v>
      </c>
      <c r="K665" t="n">
        <v>0</v>
      </c>
      <c r="L665" t="n">
        <v>0</v>
      </c>
      <c r="M665" t="n">
        <v>0</v>
      </c>
      <c r="N665" t="n">
        <v>0</v>
      </c>
      <c r="O665" t="n">
        <v>1</v>
      </c>
      <c r="P665" t="n">
        <v>0</v>
      </c>
      <c r="Q665" t="n">
        <v>3</v>
      </c>
      <c r="R665" s="2" t="inlineStr">
        <is>
          <t>Granticka
Finbräken
Blåsippa</t>
        </is>
      </c>
      <c r="S665">
        <f>HYPERLINK("https://klasma.github.io/Logging_2313/artfynd/A 14936-2020 artfynd.xlsx", "A 14936-2020")</f>
        <v/>
      </c>
      <c r="T665">
        <f>HYPERLINK("https://klasma.github.io/Logging_2313/kartor/A 14936-2020 karta.png", "A 14936-2020")</f>
        <v/>
      </c>
      <c r="V665">
        <f>HYPERLINK("https://klasma.github.io/Logging_2313/klagomål/A 14936-2020 FSC-klagomål.docx", "A 14936-2020")</f>
        <v/>
      </c>
      <c r="W665">
        <f>HYPERLINK("https://klasma.github.io/Logging_2313/klagomålsmail/A 14936-2020 FSC-klagomål mail.docx", "A 14936-2020")</f>
        <v/>
      </c>
      <c r="X665">
        <f>HYPERLINK("https://klasma.github.io/Logging_2313/tillsyn/A 14936-2020 tillsynsbegäran.docx", "A 14936-2020")</f>
        <v/>
      </c>
      <c r="Y665">
        <f>HYPERLINK("https://klasma.github.io/Logging_2313/tillsynsmail/A 14936-2020 tillsynsbegäran mail.docx", "A 14936-2020")</f>
        <v/>
      </c>
    </row>
    <row r="666" ht="15" customHeight="1">
      <c r="A666" t="inlineStr">
        <is>
          <t>A 17685-2020</t>
        </is>
      </c>
      <c r="B666" s="1" t="n">
        <v>43923</v>
      </c>
      <c r="C666" s="1" t="n">
        <v>45363</v>
      </c>
      <c r="D666" t="inlineStr">
        <is>
          <t>JÄMTLANDS LÄN</t>
        </is>
      </c>
      <c r="E666" t="inlineStr">
        <is>
          <t>STRÖMSUND</t>
        </is>
      </c>
      <c r="G666" t="n">
        <v>2.8</v>
      </c>
      <c r="H666" t="n">
        <v>0</v>
      </c>
      <c r="I666" t="n">
        <v>0</v>
      </c>
      <c r="J666" t="n">
        <v>3</v>
      </c>
      <c r="K666" t="n">
        <v>0</v>
      </c>
      <c r="L666" t="n">
        <v>0</v>
      </c>
      <c r="M666" t="n">
        <v>0</v>
      </c>
      <c r="N666" t="n">
        <v>0</v>
      </c>
      <c r="O666" t="n">
        <v>3</v>
      </c>
      <c r="P666" t="n">
        <v>0</v>
      </c>
      <c r="Q666" t="n">
        <v>3</v>
      </c>
      <c r="R666" s="2" t="inlineStr">
        <is>
          <t>Garnlav
Lunglav
Skrovellav</t>
        </is>
      </c>
      <c r="S666">
        <f>HYPERLINK("https://klasma.github.io/Logging_2313/artfynd/A 17685-2020 artfynd.xlsx", "A 17685-2020")</f>
        <v/>
      </c>
      <c r="T666">
        <f>HYPERLINK("https://klasma.github.io/Logging_2313/kartor/A 17685-2020 karta.png", "A 17685-2020")</f>
        <v/>
      </c>
      <c r="V666">
        <f>HYPERLINK("https://klasma.github.io/Logging_2313/klagomål/A 17685-2020 FSC-klagomål.docx", "A 17685-2020")</f>
        <v/>
      </c>
      <c r="W666">
        <f>HYPERLINK("https://klasma.github.io/Logging_2313/klagomålsmail/A 17685-2020 FSC-klagomål mail.docx", "A 17685-2020")</f>
        <v/>
      </c>
      <c r="X666">
        <f>HYPERLINK("https://klasma.github.io/Logging_2313/tillsyn/A 17685-2020 tillsynsbegäran.docx", "A 17685-2020")</f>
        <v/>
      </c>
      <c r="Y666">
        <f>HYPERLINK("https://klasma.github.io/Logging_2313/tillsynsmail/A 17685-2020 tillsynsbegäran mail.docx", "A 17685-2020")</f>
        <v/>
      </c>
    </row>
    <row r="667" ht="15" customHeight="1">
      <c r="A667" t="inlineStr">
        <is>
          <t>A 24145-2020</t>
        </is>
      </c>
      <c r="B667" s="1" t="n">
        <v>43973</v>
      </c>
      <c r="C667" s="1" t="n">
        <v>45363</v>
      </c>
      <c r="D667" t="inlineStr">
        <is>
          <t>JÄMTLANDS LÄN</t>
        </is>
      </c>
      <c r="E667" t="inlineStr">
        <is>
          <t>STRÖMSUND</t>
        </is>
      </c>
      <c r="F667" t="inlineStr">
        <is>
          <t>SCA</t>
        </is>
      </c>
      <c r="G667" t="n">
        <v>4.3</v>
      </c>
      <c r="H667" t="n">
        <v>0</v>
      </c>
      <c r="I667" t="n">
        <v>0</v>
      </c>
      <c r="J667" t="n">
        <v>3</v>
      </c>
      <c r="K667" t="n">
        <v>0</v>
      </c>
      <c r="L667" t="n">
        <v>0</v>
      </c>
      <c r="M667" t="n">
        <v>0</v>
      </c>
      <c r="N667" t="n">
        <v>0</v>
      </c>
      <c r="O667" t="n">
        <v>3</v>
      </c>
      <c r="P667" t="n">
        <v>0</v>
      </c>
      <c r="Q667" t="n">
        <v>3</v>
      </c>
      <c r="R667" s="2" t="inlineStr">
        <is>
          <t>Gammelgransskål
Kolflarnlav
Lunglav</t>
        </is>
      </c>
      <c r="S667">
        <f>HYPERLINK("https://klasma.github.io/Logging_2313/artfynd/A 24145-2020 artfynd.xlsx", "A 24145-2020")</f>
        <v/>
      </c>
      <c r="T667">
        <f>HYPERLINK("https://klasma.github.io/Logging_2313/kartor/A 24145-2020 karta.png", "A 24145-2020")</f>
        <v/>
      </c>
      <c r="V667">
        <f>HYPERLINK("https://klasma.github.io/Logging_2313/klagomål/A 24145-2020 FSC-klagomål.docx", "A 24145-2020")</f>
        <v/>
      </c>
      <c r="W667">
        <f>HYPERLINK("https://klasma.github.io/Logging_2313/klagomålsmail/A 24145-2020 FSC-klagomål mail.docx", "A 24145-2020")</f>
        <v/>
      </c>
      <c r="X667">
        <f>HYPERLINK("https://klasma.github.io/Logging_2313/tillsyn/A 24145-2020 tillsynsbegäran.docx", "A 24145-2020")</f>
        <v/>
      </c>
      <c r="Y667">
        <f>HYPERLINK("https://klasma.github.io/Logging_2313/tillsynsmail/A 24145-2020 tillsynsbegäran mail.docx", "A 24145-2020")</f>
        <v/>
      </c>
    </row>
    <row r="668" ht="15" customHeight="1">
      <c r="A668" t="inlineStr">
        <is>
          <t>A 29082-2020</t>
        </is>
      </c>
      <c r="B668" s="1" t="n">
        <v>44002</v>
      </c>
      <c r="C668" s="1" t="n">
        <v>45363</v>
      </c>
      <c r="D668" t="inlineStr">
        <is>
          <t>JÄMTLANDS LÄN</t>
        </is>
      </c>
      <c r="E668" t="inlineStr">
        <is>
          <t>ÅRE</t>
        </is>
      </c>
      <c r="G668" t="n">
        <v>3.1</v>
      </c>
      <c r="H668" t="n">
        <v>1</v>
      </c>
      <c r="I668" t="n">
        <v>0</v>
      </c>
      <c r="J668" t="n">
        <v>2</v>
      </c>
      <c r="K668" t="n">
        <v>0</v>
      </c>
      <c r="L668" t="n">
        <v>0</v>
      </c>
      <c r="M668" t="n">
        <v>0</v>
      </c>
      <c r="N668" t="n">
        <v>0</v>
      </c>
      <c r="O668" t="n">
        <v>2</v>
      </c>
      <c r="P668" t="n">
        <v>0</v>
      </c>
      <c r="Q668" t="n">
        <v>3</v>
      </c>
      <c r="R668" s="2" t="inlineStr">
        <is>
          <t>Garnlav
Granticka
Fläcknycklar</t>
        </is>
      </c>
      <c r="S668">
        <f>HYPERLINK("https://klasma.github.io/Logging_2321/artfynd/A 29082-2020 artfynd.xlsx", "A 29082-2020")</f>
        <v/>
      </c>
      <c r="T668">
        <f>HYPERLINK("https://klasma.github.io/Logging_2321/kartor/A 29082-2020 karta.png", "A 29082-2020")</f>
        <v/>
      </c>
      <c r="V668">
        <f>HYPERLINK("https://klasma.github.io/Logging_2321/klagomål/A 29082-2020 FSC-klagomål.docx", "A 29082-2020")</f>
        <v/>
      </c>
      <c r="W668">
        <f>HYPERLINK("https://klasma.github.io/Logging_2321/klagomålsmail/A 29082-2020 FSC-klagomål mail.docx", "A 29082-2020")</f>
        <v/>
      </c>
      <c r="X668">
        <f>HYPERLINK("https://klasma.github.io/Logging_2321/tillsyn/A 29082-2020 tillsynsbegäran.docx", "A 29082-2020")</f>
        <v/>
      </c>
      <c r="Y668">
        <f>HYPERLINK("https://klasma.github.io/Logging_2321/tillsynsmail/A 29082-2020 tillsynsbegäran mail.docx", "A 29082-2020")</f>
        <v/>
      </c>
    </row>
    <row r="669" ht="15" customHeight="1">
      <c r="A669" t="inlineStr">
        <is>
          <t>A 30763-2020</t>
        </is>
      </c>
      <c r="B669" s="1" t="n">
        <v>44008</v>
      </c>
      <c r="C669" s="1" t="n">
        <v>45363</v>
      </c>
      <c r="D669" t="inlineStr">
        <is>
          <t>JÄMTLANDS LÄN</t>
        </is>
      </c>
      <c r="E669" t="inlineStr">
        <is>
          <t>STRÖMSUND</t>
        </is>
      </c>
      <c r="F669" t="inlineStr">
        <is>
          <t>SCA</t>
        </is>
      </c>
      <c r="G669" t="n">
        <v>20.8</v>
      </c>
      <c r="H669" t="n">
        <v>2</v>
      </c>
      <c r="I669" t="n">
        <v>1</v>
      </c>
      <c r="J669" t="n">
        <v>2</v>
      </c>
      <c r="K669" t="n">
        <v>0</v>
      </c>
      <c r="L669" t="n">
        <v>0</v>
      </c>
      <c r="M669" t="n">
        <v>0</v>
      </c>
      <c r="N669" t="n">
        <v>0</v>
      </c>
      <c r="O669" t="n">
        <v>2</v>
      </c>
      <c r="P669" t="n">
        <v>0</v>
      </c>
      <c r="Q669" t="n">
        <v>3</v>
      </c>
      <c r="R669" s="2" t="inlineStr">
        <is>
          <t>Brunklöver
Skogsfru
Guckusko</t>
        </is>
      </c>
      <c r="S669">
        <f>HYPERLINK("https://klasma.github.io/Logging_2313/artfynd/A 30763-2020 artfynd.xlsx", "A 30763-2020")</f>
        <v/>
      </c>
      <c r="T669">
        <f>HYPERLINK("https://klasma.github.io/Logging_2313/kartor/A 30763-2020 karta.png", "A 30763-2020")</f>
        <v/>
      </c>
      <c r="V669">
        <f>HYPERLINK("https://klasma.github.io/Logging_2313/klagomål/A 30763-2020 FSC-klagomål.docx", "A 30763-2020")</f>
        <v/>
      </c>
      <c r="W669">
        <f>HYPERLINK("https://klasma.github.io/Logging_2313/klagomålsmail/A 30763-2020 FSC-klagomål mail.docx", "A 30763-2020")</f>
        <v/>
      </c>
      <c r="X669">
        <f>HYPERLINK("https://klasma.github.io/Logging_2313/tillsyn/A 30763-2020 tillsynsbegäran.docx", "A 30763-2020")</f>
        <v/>
      </c>
      <c r="Y669">
        <f>HYPERLINK("https://klasma.github.io/Logging_2313/tillsynsmail/A 30763-2020 tillsynsbegäran mail.docx", "A 30763-2020")</f>
        <v/>
      </c>
    </row>
    <row r="670" ht="15" customHeight="1">
      <c r="A670" t="inlineStr">
        <is>
          <t>A 33018-2020</t>
        </is>
      </c>
      <c r="B670" s="1" t="n">
        <v>44021</v>
      </c>
      <c r="C670" s="1" t="n">
        <v>45363</v>
      </c>
      <c r="D670" t="inlineStr">
        <is>
          <t>JÄMTLANDS LÄN</t>
        </is>
      </c>
      <c r="E670" t="inlineStr">
        <is>
          <t>STRÖMSUND</t>
        </is>
      </c>
      <c r="F670" t="inlineStr">
        <is>
          <t>Sveaskog</t>
        </is>
      </c>
      <c r="G670" t="n">
        <v>5.9</v>
      </c>
      <c r="H670" t="n">
        <v>1</v>
      </c>
      <c r="I670" t="n">
        <v>2</v>
      </c>
      <c r="J670" t="n">
        <v>1</v>
      </c>
      <c r="K670" t="n">
        <v>0</v>
      </c>
      <c r="L670" t="n">
        <v>0</v>
      </c>
      <c r="M670" t="n">
        <v>0</v>
      </c>
      <c r="N670" t="n">
        <v>0</v>
      </c>
      <c r="O670" t="n">
        <v>1</v>
      </c>
      <c r="P670" t="n">
        <v>0</v>
      </c>
      <c r="Q670" t="n">
        <v>3</v>
      </c>
      <c r="R670" s="2" t="inlineStr">
        <is>
          <t>Lunglav
Finbräken
Tvåblad</t>
        </is>
      </c>
      <c r="S670">
        <f>HYPERLINK("https://klasma.github.io/Logging_2313/artfynd/A 33018-2020 artfynd.xlsx", "A 33018-2020")</f>
        <v/>
      </c>
      <c r="T670">
        <f>HYPERLINK("https://klasma.github.io/Logging_2313/kartor/A 33018-2020 karta.png", "A 33018-2020")</f>
        <v/>
      </c>
      <c r="V670">
        <f>HYPERLINK("https://klasma.github.io/Logging_2313/klagomål/A 33018-2020 FSC-klagomål.docx", "A 33018-2020")</f>
        <v/>
      </c>
      <c r="W670">
        <f>HYPERLINK("https://klasma.github.io/Logging_2313/klagomålsmail/A 33018-2020 FSC-klagomål mail.docx", "A 33018-2020")</f>
        <v/>
      </c>
      <c r="X670">
        <f>HYPERLINK("https://klasma.github.io/Logging_2313/tillsyn/A 33018-2020 tillsynsbegäran.docx", "A 33018-2020")</f>
        <v/>
      </c>
      <c r="Y670">
        <f>HYPERLINK("https://klasma.github.io/Logging_2313/tillsynsmail/A 33018-2020 tillsynsbegäran mail.docx", "A 33018-2020")</f>
        <v/>
      </c>
    </row>
    <row r="671" ht="15" customHeight="1">
      <c r="A671" t="inlineStr">
        <is>
          <t>A 40405-2020</t>
        </is>
      </c>
      <c r="B671" s="1" t="n">
        <v>44068</v>
      </c>
      <c r="C671" s="1" t="n">
        <v>45363</v>
      </c>
      <c r="D671" t="inlineStr">
        <is>
          <t>JÄMTLANDS LÄN</t>
        </is>
      </c>
      <c r="E671" t="inlineStr">
        <is>
          <t>BRÄCKE</t>
        </is>
      </c>
      <c r="F671" t="inlineStr">
        <is>
          <t>SCA</t>
        </is>
      </c>
      <c r="G671" t="n">
        <v>1</v>
      </c>
      <c r="H671" t="n">
        <v>0</v>
      </c>
      <c r="I671" t="n">
        <v>0</v>
      </c>
      <c r="J671" t="n">
        <v>2</v>
      </c>
      <c r="K671" t="n">
        <v>1</v>
      </c>
      <c r="L671" t="n">
        <v>0</v>
      </c>
      <c r="M671" t="n">
        <v>0</v>
      </c>
      <c r="N671" t="n">
        <v>0</v>
      </c>
      <c r="O671" t="n">
        <v>3</v>
      </c>
      <c r="P671" t="n">
        <v>1</v>
      </c>
      <c r="Q671" t="n">
        <v>3</v>
      </c>
      <c r="R671" s="2" t="inlineStr">
        <is>
          <t>Tvillingspindling
Flattoppad klubbsvamp
Persiljespindling</t>
        </is>
      </c>
      <c r="S671">
        <f>HYPERLINK("https://klasma.github.io/Logging_2305/artfynd/A 40405-2020 artfynd.xlsx", "A 40405-2020")</f>
        <v/>
      </c>
      <c r="T671">
        <f>HYPERLINK("https://klasma.github.io/Logging_2305/kartor/A 40405-2020 karta.png", "A 40405-2020")</f>
        <v/>
      </c>
      <c r="V671">
        <f>HYPERLINK("https://klasma.github.io/Logging_2305/klagomål/A 40405-2020 FSC-klagomål.docx", "A 40405-2020")</f>
        <v/>
      </c>
      <c r="W671">
        <f>HYPERLINK("https://klasma.github.io/Logging_2305/klagomålsmail/A 40405-2020 FSC-klagomål mail.docx", "A 40405-2020")</f>
        <v/>
      </c>
      <c r="X671">
        <f>HYPERLINK("https://klasma.github.io/Logging_2305/tillsyn/A 40405-2020 tillsynsbegäran.docx", "A 40405-2020")</f>
        <v/>
      </c>
      <c r="Y671">
        <f>HYPERLINK("https://klasma.github.io/Logging_2305/tillsynsmail/A 40405-2020 tillsynsbegäran mail.docx", "A 40405-2020")</f>
        <v/>
      </c>
    </row>
    <row r="672" ht="15" customHeight="1">
      <c r="A672" t="inlineStr">
        <is>
          <t>A 41873-2020</t>
        </is>
      </c>
      <c r="B672" s="1" t="n">
        <v>44074</v>
      </c>
      <c r="C672" s="1" t="n">
        <v>45363</v>
      </c>
      <c r="D672" t="inlineStr">
        <is>
          <t>JÄMTLANDS LÄN</t>
        </is>
      </c>
      <c r="E672" t="inlineStr">
        <is>
          <t>HÄRJEDALEN</t>
        </is>
      </c>
      <c r="F672" t="inlineStr">
        <is>
          <t>SCA</t>
        </is>
      </c>
      <c r="G672" t="n">
        <v>2.4</v>
      </c>
      <c r="H672" t="n">
        <v>2</v>
      </c>
      <c r="I672" t="n">
        <v>1</v>
      </c>
      <c r="J672" t="n">
        <v>1</v>
      </c>
      <c r="K672" t="n">
        <v>1</v>
      </c>
      <c r="L672" t="n">
        <v>0</v>
      </c>
      <c r="M672" t="n">
        <v>0</v>
      </c>
      <c r="N672" t="n">
        <v>0</v>
      </c>
      <c r="O672" t="n">
        <v>2</v>
      </c>
      <c r="P672" t="n">
        <v>1</v>
      </c>
      <c r="Q672" t="n">
        <v>3</v>
      </c>
      <c r="R672" s="2" t="inlineStr">
        <is>
          <t>Knärot
Garnlav
Korallrot</t>
        </is>
      </c>
      <c r="S672">
        <f>HYPERLINK("https://klasma.github.io/Logging_2361/artfynd/A 41873-2020 artfynd.xlsx", "A 41873-2020")</f>
        <v/>
      </c>
      <c r="T672">
        <f>HYPERLINK("https://klasma.github.io/Logging_2361/kartor/A 41873-2020 karta.png", "A 41873-2020")</f>
        <v/>
      </c>
      <c r="U672">
        <f>HYPERLINK("https://klasma.github.io/Logging_2361/knärot/A 41873-2020 karta knärot.png", "A 41873-2020")</f>
        <v/>
      </c>
      <c r="V672">
        <f>HYPERLINK("https://klasma.github.io/Logging_2361/klagomål/A 41873-2020 FSC-klagomål.docx", "A 41873-2020")</f>
        <v/>
      </c>
      <c r="W672">
        <f>HYPERLINK("https://klasma.github.io/Logging_2361/klagomålsmail/A 41873-2020 FSC-klagomål mail.docx", "A 41873-2020")</f>
        <v/>
      </c>
      <c r="X672">
        <f>HYPERLINK("https://klasma.github.io/Logging_2361/tillsyn/A 41873-2020 tillsynsbegäran.docx", "A 41873-2020")</f>
        <v/>
      </c>
      <c r="Y672">
        <f>HYPERLINK("https://klasma.github.io/Logging_2361/tillsynsmail/A 41873-2020 tillsynsbegäran mail.docx", "A 41873-2020")</f>
        <v/>
      </c>
    </row>
    <row r="673" ht="15" customHeight="1">
      <c r="A673" t="inlineStr">
        <is>
          <t>A 44946-2020</t>
        </is>
      </c>
      <c r="B673" s="1" t="n">
        <v>44083</v>
      </c>
      <c r="C673" s="1" t="n">
        <v>45363</v>
      </c>
      <c r="D673" t="inlineStr">
        <is>
          <t>JÄMTLANDS LÄN</t>
        </is>
      </c>
      <c r="E673" t="inlineStr">
        <is>
          <t>STRÖMSUND</t>
        </is>
      </c>
      <c r="G673" t="n">
        <v>9</v>
      </c>
      <c r="H673" t="n">
        <v>1</v>
      </c>
      <c r="I673" t="n">
        <v>0</v>
      </c>
      <c r="J673" t="n">
        <v>1</v>
      </c>
      <c r="K673" t="n">
        <v>1</v>
      </c>
      <c r="L673" t="n">
        <v>0</v>
      </c>
      <c r="M673" t="n">
        <v>0</v>
      </c>
      <c r="N673" t="n">
        <v>0</v>
      </c>
      <c r="O673" t="n">
        <v>2</v>
      </c>
      <c r="P673" t="n">
        <v>1</v>
      </c>
      <c r="Q673" t="n">
        <v>3</v>
      </c>
      <c r="R673" s="2" t="inlineStr">
        <is>
          <t>Norsk näverlav
Garnlav
Revlummer</t>
        </is>
      </c>
      <c r="S673">
        <f>HYPERLINK("https://klasma.github.io/Logging_2313/artfynd/A 44946-2020 artfynd.xlsx", "A 44946-2020")</f>
        <v/>
      </c>
      <c r="T673">
        <f>HYPERLINK("https://klasma.github.io/Logging_2313/kartor/A 44946-2020 karta.png", "A 44946-2020")</f>
        <v/>
      </c>
      <c r="V673">
        <f>HYPERLINK("https://klasma.github.io/Logging_2313/klagomål/A 44946-2020 FSC-klagomål.docx", "A 44946-2020")</f>
        <v/>
      </c>
      <c r="W673">
        <f>HYPERLINK("https://klasma.github.io/Logging_2313/klagomålsmail/A 44946-2020 FSC-klagomål mail.docx", "A 44946-2020")</f>
        <v/>
      </c>
      <c r="X673">
        <f>HYPERLINK("https://klasma.github.io/Logging_2313/tillsyn/A 44946-2020 tillsynsbegäran.docx", "A 44946-2020")</f>
        <v/>
      </c>
      <c r="Y673">
        <f>HYPERLINK("https://klasma.github.io/Logging_2313/tillsynsmail/A 44946-2020 tillsynsbegäran mail.docx", "A 44946-2020")</f>
        <v/>
      </c>
    </row>
    <row r="674" ht="15" customHeight="1">
      <c r="A674" t="inlineStr">
        <is>
          <t>A 49864-2020</t>
        </is>
      </c>
      <c r="B674" s="1" t="n">
        <v>44107</v>
      </c>
      <c r="C674" s="1" t="n">
        <v>45363</v>
      </c>
      <c r="D674" t="inlineStr">
        <is>
          <t>JÄMTLANDS LÄN</t>
        </is>
      </c>
      <c r="E674" t="inlineStr">
        <is>
          <t>HÄRJEDALEN</t>
        </is>
      </c>
      <c r="F674" t="inlineStr">
        <is>
          <t>Bergvik skog väst AB</t>
        </is>
      </c>
      <c r="G674" t="n">
        <v>3.2</v>
      </c>
      <c r="H674" t="n">
        <v>1</v>
      </c>
      <c r="I674" t="n">
        <v>0</v>
      </c>
      <c r="J674" t="n">
        <v>3</v>
      </c>
      <c r="K674" t="n">
        <v>0</v>
      </c>
      <c r="L674" t="n">
        <v>0</v>
      </c>
      <c r="M674" t="n">
        <v>0</v>
      </c>
      <c r="N674" t="n">
        <v>0</v>
      </c>
      <c r="O674" t="n">
        <v>3</v>
      </c>
      <c r="P674" t="n">
        <v>0</v>
      </c>
      <c r="Q674" t="n">
        <v>3</v>
      </c>
      <c r="R674" s="2" t="inlineStr">
        <is>
          <t>Garnlav
Granticka
Tretåig hackspett</t>
        </is>
      </c>
      <c r="S674">
        <f>HYPERLINK("https://klasma.github.io/Logging_2361/artfynd/A 49864-2020 artfynd.xlsx", "A 49864-2020")</f>
        <v/>
      </c>
      <c r="T674">
        <f>HYPERLINK("https://klasma.github.io/Logging_2361/kartor/A 49864-2020 karta.png", "A 49864-2020")</f>
        <v/>
      </c>
      <c r="V674">
        <f>HYPERLINK("https://klasma.github.io/Logging_2361/klagomål/A 49864-2020 FSC-klagomål.docx", "A 49864-2020")</f>
        <v/>
      </c>
      <c r="W674">
        <f>HYPERLINK("https://klasma.github.io/Logging_2361/klagomålsmail/A 49864-2020 FSC-klagomål mail.docx", "A 49864-2020")</f>
        <v/>
      </c>
      <c r="X674">
        <f>HYPERLINK("https://klasma.github.io/Logging_2361/tillsyn/A 49864-2020 tillsynsbegäran.docx", "A 49864-2020")</f>
        <v/>
      </c>
      <c r="Y674">
        <f>HYPERLINK("https://klasma.github.io/Logging_2361/tillsynsmail/A 49864-2020 tillsynsbegäran mail.docx", "A 49864-2020")</f>
        <v/>
      </c>
      <c r="Z674">
        <f>HYPERLINK("https://klasma.github.io/Logging_2361/fåglar/A 49864-2020 prioriterade fågelarter.docx", "A 49864-2020")</f>
        <v/>
      </c>
    </row>
    <row r="675" ht="15" customHeight="1">
      <c r="A675" t="inlineStr">
        <is>
          <t>A 49863-2020</t>
        </is>
      </c>
      <c r="B675" s="1" t="n">
        <v>44107</v>
      </c>
      <c r="C675" s="1" t="n">
        <v>45363</v>
      </c>
      <c r="D675" t="inlineStr">
        <is>
          <t>JÄMTLANDS LÄN</t>
        </is>
      </c>
      <c r="E675" t="inlineStr">
        <is>
          <t>HÄRJEDALEN</t>
        </is>
      </c>
      <c r="F675" t="inlineStr">
        <is>
          <t>Bergvik skog väst AB</t>
        </is>
      </c>
      <c r="G675" t="n">
        <v>12.8</v>
      </c>
      <c r="H675" t="n">
        <v>1</v>
      </c>
      <c r="I675" t="n">
        <v>1</v>
      </c>
      <c r="J675" t="n">
        <v>2</v>
      </c>
      <c r="K675" t="n">
        <v>0</v>
      </c>
      <c r="L675" t="n">
        <v>0</v>
      </c>
      <c r="M675" t="n">
        <v>0</v>
      </c>
      <c r="N675" t="n">
        <v>0</v>
      </c>
      <c r="O675" t="n">
        <v>2</v>
      </c>
      <c r="P675" t="n">
        <v>0</v>
      </c>
      <c r="Q675" t="n">
        <v>3</v>
      </c>
      <c r="R675" s="2" t="inlineStr">
        <is>
          <t>Garnlav
Tretåig hackspett
Trådticka</t>
        </is>
      </c>
      <c r="S675">
        <f>HYPERLINK("https://klasma.github.io/Logging_2361/artfynd/A 49863-2020 artfynd.xlsx", "A 49863-2020")</f>
        <v/>
      </c>
      <c r="T675">
        <f>HYPERLINK("https://klasma.github.io/Logging_2361/kartor/A 49863-2020 karta.png", "A 49863-2020")</f>
        <v/>
      </c>
      <c r="V675">
        <f>HYPERLINK("https://klasma.github.io/Logging_2361/klagomål/A 49863-2020 FSC-klagomål.docx", "A 49863-2020")</f>
        <v/>
      </c>
      <c r="W675">
        <f>HYPERLINK("https://klasma.github.io/Logging_2361/klagomålsmail/A 49863-2020 FSC-klagomål mail.docx", "A 49863-2020")</f>
        <v/>
      </c>
      <c r="X675">
        <f>HYPERLINK("https://klasma.github.io/Logging_2361/tillsyn/A 49863-2020 tillsynsbegäran.docx", "A 49863-2020")</f>
        <v/>
      </c>
      <c r="Y675">
        <f>HYPERLINK("https://klasma.github.io/Logging_2361/tillsynsmail/A 49863-2020 tillsynsbegäran mail.docx", "A 49863-2020")</f>
        <v/>
      </c>
      <c r="Z675">
        <f>HYPERLINK("https://klasma.github.io/Logging_2361/fåglar/A 49863-2020 prioriterade fågelarter.docx", "A 49863-2020")</f>
        <v/>
      </c>
    </row>
    <row r="676" ht="15" customHeight="1">
      <c r="A676" t="inlineStr">
        <is>
          <t>A 51010-2020</t>
        </is>
      </c>
      <c r="B676" s="1" t="n">
        <v>44111</v>
      </c>
      <c r="C676" s="1" t="n">
        <v>45363</v>
      </c>
      <c r="D676" t="inlineStr">
        <is>
          <t>JÄMTLANDS LÄN</t>
        </is>
      </c>
      <c r="E676" t="inlineStr">
        <is>
          <t>RAGUNDA</t>
        </is>
      </c>
      <c r="F676" t="inlineStr">
        <is>
          <t>SCA</t>
        </is>
      </c>
      <c r="G676" t="n">
        <v>4.1</v>
      </c>
      <c r="H676" t="n">
        <v>0</v>
      </c>
      <c r="I676" t="n">
        <v>0</v>
      </c>
      <c r="J676" t="n">
        <v>3</v>
      </c>
      <c r="K676" t="n">
        <v>0</v>
      </c>
      <c r="L676" t="n">
        <v>0</v>
      </c>
      <c r="M676" t="n">
        <v>0</v>
      </c>
      <c r="N676" t="n">
        <v>0</v>
      </c>
      <c r="O676" t="n">
        <v>3</v>
      </c>
      <c r="P676" t="n">
        <v>0</v>
      </c>
      <c r="Q676" t="n">
        <v>3</v>
      </c>
      <c r="R676" s="2" t="inlineStr">
        <is>
          <t>Garnlav
Lunglav
Ullticka</t>
        </is>
      </c>
      <c r="S676">
        <f>HYPERLINK("https://klasma.github.io/Logging_2303/artfynd/A 51010-2020 artfynd.xlsx", "A 51010-2020")</f>
        <v/>
      </c>
      <c r="T676">
        <f>HYPERLINK("https://klasma.github.io/Logging_2303/kartor/A 51010-2020 karta.png", "A 51010-2020")</f>
        <v/>
      </c>
      <c r="V676">
        <f>HYPERLINK("https://klasma.github.io/Logging_2303/klagomål/A 51010-2020 FSC-klagomål.docx", "A 51010-2020")</f>
        <v/>
      </c>
      <c r="W676">
        <f>HYPERLINK("https://klasma.github.io/Logging_2303/klagomålsmail/A 51010-2020 FSC-klagomål mail.docx", "A 51010-2020")</f>
        <v/>
      </c>
      <c r="X676">
        <f>HYPERLINK("https://klasma.github.io/Logging_2303/tillsyn/A 51010-2020 tillsynsbegäran.docx", "A 51010-2020")</f>
        <v/>
      </c>
      <c r="Y676">
        <f>HYPERLINK("https://klasma.github.io/Logging_2303/tillsynsmail/A 51010-2020 tillsynsbegäran mail.docx", "A 51010-2020")</f>
        <v/>
      </c>
    </row>
    <row r="677" ht="15" customHeight="1">
      <c r="A677" t="inlineStr">
        <is>
          <t>A 52190-2020</t>
        </is>
      </c>
      <c r="B677" s="1" t="n">
        <v>44111</v>
      </c>
      <c r="C677" s="1" t="n">
        <v>45363</v>
      </c>
      <c r="D677" t="inlineStr">
        <is>
          <t>JÄMTLANDS LÄN</t>
        </is>
      </c>
      <c r="E677" t="inlineStr">
        <is>
          <t>BERG</t>
        </is>
      </c>
      <c r="G677" t="n">
        <v>23.3</v>
      </c>
      <c r="H677" t="n">
        <v>0</v>
      </c>
      <c r="I677" t="n">
        <v>1</v>
      </c>
      <c r="J677" t="n">
        <v>2</v>
      </c>
      <c r="K677" t="n">
        <v>0</v>
      </c>
      <c r="L677" t="n">
        <v>0</v>
      </c>
      <c r="M677" t="n">
        <v>0</v>
      </c>
      <c r="N677" t="n">
        <v>0</v>
      </c>
      <c r="O677" t="n">
        <v>2</v>
      </c>
      <c r="P677" t="n">
        <v>0</v>
      </c>
      <c r="Q677" t="n">
        <v>3</v>
      </c>
      <c r="R677" s="2" t="inlineStr">
        <is>
          <t>Garnlav
Granticka
Ögonpyrola</t>
        </is>
      </c>
      <c r="S677">
        <f>HYPERLINK("https://klasma.github.io/Logging_2326/artfynd/A 52190-2020 artfynd.xlsx", "A 52190-2020")</f>
        <v/>
      </c>
      <c r="T677">
        <f>HYPERLINK("https://klasma.github.io/Logging_2326/kartor/A 52190-2020 karta.png", "A 52190-2020")</f>
        <v/>
      </c>
      <c r="V677">
        <f>HYPERLINK("https://klasma.github.io/Logging_2326/klagomål/A 52190-2020 FSC-klagomål.docx", "A 52190-2020")</f>
        <v/>
      </c>
      <c r="W677">
        <f>HYPERLINK("https://klasma.github.io/Logging_2326/klagomålsmail/A 52190-2020 FSC-klagomål mail.docx", "A 52190-2020")</f>
        <v/>
      </c>
      <c r="X677">
        <f>HYPERLINK("https://klasma.github.io/Logging_2326/tillsyn/A 52190-2020 tillsynsbegäran.docx", "A 52190-2020")</f>
        <v/>
      </c>
      <c r="Y677">
        <f>HYPERLINK("https://klasma.github.io/Logging_2326/tillsynsmail/A 52190-2020 tillsynsbegäran mail.docx", "A 52190-2020")</f>
        <v/>
      </c>
    </row>
    <row r="678" ht="15" customHeight="1">
      <c r="A678" t="inlineStr">
        <is>
          <t>A 54743-2020</t>
        </is>
      </c>
      <c r="B678" s="1" t="n">
        <v>44127</v>
      </c>
      <c r="C678" s="1" t="n">
        <v>45363</v>
      </c>
      <c r="D678" t="inlineStr">
        <is>
          <t>JÄMTLANDS LÄN</t>
        </is>
      </c>
      <c r="E678" t="inlineStr">
        <is>
          <t>ÅRE</t>
        </is>
      </c>
      <c r="G678" t="n">
        <v>3.4</v>
      </c>
      <c r="H678" t="n">
        <v>0</v>
      </c>
      <c r="I678" t="n">
        <v>2</v>
      </c>
      <c r="J678" t="n">
        <v>1</v>
      </c>
      <c r="K678" t="n">
        <v>0</v>
      </c>
      <c r="L678" t="n">
        <v>0</v>
      </c>
      <c r="M678" t="n">
        <v>0</v>
      </c>
      <c r="N678" t="n">
        <v>0</v>
      </c>
      <c r="O678" t="n">
        <v>1</v>
      </c>
      <c r="P678" t="n">
        <v>0</v>
      </c>
      <c r="Q678" t="n">
        <v>3</v>
      </c>
      <c r="R678" s="2" t="inlineStr">
        <is>
          <t>Dofttaggsvamp
Kryddspindling
Svavelriska</t>
        </is>
      </c>
      <c r="S678">
        <f>HYPERLINK("https://klasma.github.io/Logging_2321/artfynd/A 54743-2020 artfynd.xlsx", "A 54743-2020")</f>
        <v/>
      </c>
      <c r="T678">
        <f>HYPERLINK("https://klasma.github.io/Logging_2321/kartor/A 54743-2020 karta.png", "A 54743-2020")</f>
        <v/>
      </c>
      <c r="V678">
        <f>HYPERLINK("https://klasma.github.io/Logging_2321/klagomål/A 54743-2020 FSC-klagomål.docx", "A 54743-2020")</f>
        <v/>
      </c>
      <c r="W678">
        <f>HYPERLINK("https://klasma.github.io/Logging_2321/klagomålsmail/A 54743-2020 FSC-klagomål mail.docx", "A 54743-2020")</f>
        <v/>
      </c>
      <c r="X678">
        <f>HYPERLINK("https://klasma.github.io/Logging_2321/tillsyn/A 54743-2020 tillsynsbegäran.docx", "A 54743-2020")</f>
        <v/>
      </c>
      <c r="Y678">
        <f>HYPERLINK("https://klasma.github.io/Logging_2321/tillsynsmail/A 54743-2020 tillsynsbegäran mail.docx", "A 54743-2020")</f>
        <v/>
      </c>
    </row>
    <row r="679" ht="15" customHeight="1">
      <c r="A679" t="inlineStr">
        <is>
          <t>A 54988-2020</t>
        </is>
      </c>
      <c r="B679" s="1" t="n">
        <v>44130</v>
      </c>
      <c r="C679" s="1" t="n">
        <v>45363</v>
      </c>
      <c r="D679" t="inlineStr">
        <is>
          <t>JÄMTLANDS LÄN</t>
        </is>
      </c>
      <c r="E679" t="inlineStr">
        <is>
          <t>ÅRE</t>
        </is>
      </c>
      <c r="G679" t="n">
        <v>13.2</v>
      </c>
      <c r="H679" t="n">
        <v>1</v>
      </c>
      <c r="I679" t="n">
        <v>0</v>
      </c>
      <c r="J679" t="n">
        <v>3</v>
      </c>
      <c r="K679" t="n">
        <v>0</v>
      </c>
      <c r="L679" t="n">
        <v>0</v>
      </c>
      <c r="M679" t="n">
        <v>0</v>
      </c>
      <c r="N679" t="n">
        <v>0</v>
      </c>
      <c r="O679" t="n">
        <v>3</v>
      </c>
      <c r="P679" t="n">
        <v>0</v>
      </c>
      <c r="Q679" t="n">
        <v>3</v>
      </c>
      <c r="R679" s="2" t="inlineStr">
        <is>
          <t>Garnlav
Granticka
Tretåig hackspett</t>
        </is>
      </c>
      <c r="S679">
        <f>HYPERLINK("https://klasma.github.io/Logging_2321/artfynd/A 54988-2020 artfynd.xlsx", "A 54988-2020")</f>
        <v/>
      </c>
      <c r="T679">
        <f>HYPERLINK("https://klasma.github.io/Logging_2321/kartor/A 54988-2020 karta.png", "A 54988-2020")</f>
        <v/>
      </c>
      <c r="V679">
        <f>HYPERLINK("https://klasma.github.io/Logging_2321/klagomål/A 54988-2020 FSC-klagomål.docx", "A 54988-2020")</f>
        <v/>
      </c>
      <c r="W679">
        <f>HYPERLINK("https://klasma.github.io/Logging_2321/klagomålsmail/A 54988-2020 FSC-klagomål mail.docx", "A 54988-2020")</f>
        <v/>
      </c>
      <c r="X679">
        <f>HYPERLINK("https://klasma.github.io/Logging_2321/tillsyn/A 54988-2020 tillsynsbegäran.docx", "A 54988-2020")</f>
        <v/>
      </c>
      <c r="Y679">
        <f>HYPERLINK("https://klasma.github.io/Logging_2321/tillsynsmail/A 54988-2020 tillsynsbegäran mail.docx", "A 54988-2020")</f>
        <v/>
      </c>
      <c r="Z679">
        <f>HYPERLINK("https://klasma.github.io/Logging_2321/fåglar/A 54988-2020 prioriterade fågelarter.docx", "A 54988-2020")</f>
        <v/>
      </c>
    </row>
    <row r="680" ht="15" customHeight="1">
      <c r="A680" t="inlineStr">
        <is>
          <t>A 55612-2020</t>
        </is>
      </c>
      <c r="B680" s="1" t="n">
        <v>44131</v>
      </c>
      <c r="C680" s="1" t="n">
        <v>45363</v>
      </c>
      <c r="D680" t="inlineStr">
        <is>
          <t>JÄMTLANDS LÄN</t>
        </is>
      </c>
      <c r="E680" t="inlineStr">
        <is>
          <t>STRÖMSUND</t>
        </is>
      </c>
      <c r="F680" t="inlineStr">
        <is>
          <t>Holmen skog AB</t>
        </is>
      </c>
      <c r="G680" t="n">
        <v>24.2</v>
      </c>
      <c r="H680" t="n">
        <v>0</v>
      </c>
      <c r="I680" t="n">
        <v>0</v>
      </c>
      <c r="J680" t="n">
        <v>3</v>
      </c>
      <c r="K680" t="n">
        <v>0</v>
      </c>
      <c r="L680" t="n">
        <v>0</v>
      </c>
      <c r="M680" t="n">
        <v>0</v>
      </c>
      <c r="N680" t="n">
        <v>0</v>
      </c>
      <c r="O680" t="n">
        <v>3</v>
      </c>
      <c r="P680" t="n">
        <v>0</v>
      </c>
      <c r="Q680" t="n">
        <v>3</v>
      </c>
      <c r="R680" s="2" t="inlineStr">
        <is>
          <t>Doftskinn
Harticka
Koralltaggsvamp</t>
        </is>
      </c>
      <c r="S680">
        <f>HYPERLINK("https://klasma.github.io/Logging_2313/artfynd/A 55612-2020 artfynd.xlsx", "A 55612-2020")</f>
        <v/>
      </c>
      <c r="T680">
        <f>HYPERLINK("https://klasma.github.io/Logging_2313/kartor/A 55612-2020 karta.png", "A 55612-2020")</f>
        <v/>
      </c>
      <c r="V680">
        <f>HYPERLINK("https://klasma.github.io/Logging_2313/klagomål/A 55612-2020 FSC-klagomål.docx", "A 55612-2020")</f>
        <v/>
      </c>
      <c r="W680">
        <f>HYPERLINK("https://klasma.github.io/Logging_2313/klagomålsmail/A 55612-2020 FSC-klagomål mail.docx", "A 55612-2020")</f>
        <v/>
      </c>
      <c r="X680">
        <f>HYPERLINK("https://klasma.github.io/Logging_2313/tillsyn/A 55612-2020 tillsynsbegäran.docx", "A 55612-2020")</f>
        <v/>
      </c>
      <c r="Y680">
        <f>HYPERLINK("https://klasma.github.io/Logging_2313/tillsynsmail/A 55612-2020 tillsynsbegäran mail.docx", "A 55612-2020")</f>
        <v/>
      </c>
    </row>
    <row r="681" ht="15" customHeight="1">
      <c r="A681" t="inlineStr">
        <is>
          <t>A 61189-2020</t>
        </is>
      </c>
      <c r="B681" s="1" t="n">
        <v>44155</v>
      </c>
      <c r="C681" s="1" t="n">
        <v>45363</v>
      </c>
      <c r="D681" t="inlineStr">
        <is>
          <t>JÄMTLANDS LÄN</t>
        </is>
      </c>
      <c r="E681" t="inlineStr">
        <is>
          <t>ÅRE</t>
        </is>
      </c>
      <c r="F681" t="inlineStr">
        <is>
          <t>Övriga Aktiebolag</t>
        </is>
      </c>
      <c r="G681" t="n">
        <v>26.5</v>
      </c>
      <c r="H681" t="n">
        <v>0</v>
      </c>
      <c r="I681" t="n">
        <v>0</v>
      </c>
      <c r="J681" t="n">
        <v>3</v>
      </c>
      <c r="K681" t="n">
        <v>0</v>
      </c>
      <c r="L681" t="n">
        <v>0</v>
      </c>
      <c r="M681" t="n">
        <v>0</v>
      </c>
      <c r="N681" t="n">
        <v>0</v>
      </c>
      <c r="O681" t="n">
        <v>3</v>
      </c>
      <c r="P681" t="n">
        <v>0</v>
      </c>
      <c r="Q681" t="n">
        <v>3</v>
      </c>
      <c r="R681" s="2" t="inlineStr">
        <is>
          <t>Gammelgransskål
Garnlav
Gränsticka</t>
        </is>
      </c>
      <c r="S681">
        <f>HYPERLINK("https://klasma.github.io/Logging_2321/artfynd/A 61189-2020 artfynd.xlsx", "A 61189-2020")</f>
        <v/>
      </c>
      <c r="T681">
        <f>HYPERLINK("https://klasma.github.io/Logging_2321/kartor/A 61189-2020 karta.png", "A 61189-2020")</f>
        <v/>
      </c>
      <c r="V681">
        <f>HYPERLINK("https://klasma.github.io/Logging_2321/klagomål/A 61189-2020 FSC-klagomål.docx", "A 61189-2020")</f>
        <v/>
      </c>
      <c r="W681">
        <f>HYPERLINK("https://klasma.github.io/Logging_2321/klagomålsmail/A 61189-2020 FSC-klagomål mail.docx", "A 61189-2020")</f>
        <v/>
      </c>
      <c r="X681">
        <f>HYPERLINK("https://klasma.github.io/Logging_2321/tillsyn/A 61189-2020 tillsynsbegäran.docx", "A 61189-2020")</f>
        <v/>
      </c>
      <c r="Y681">
        <f>HYPERLINK("https://klasma.github.io/Logging_2321/tillsynsmail/A 61189-2020 tillsynsbegäran mail.docx", "A 61189-2020")</f>
        <v/>
      </c>
    </row>
    <row r="682" ht="15" customHeight="1">
      <c r="A682" t="inlineStr">
        <is>
          <t>A 65147-2020</t>
        </is>
      </c>
      <c r="B682" s="1" t="n">
        <v>44172</v>
      </c>
      <c r="C682" s="1" t="n">
        <v>45363</v>
      </c>
      <c r="D682" t="inlineStr">
        <is>
          <t>JÄMTLANDS LÄN</t>
        </is>
      </c>
      <c r="E682" t="inlineStr">
        <is>
          <t>HÄRJEDALEN</t>
        </is>
      </c>
      <c r="G682" t="n">
        <v>5.9</v>
      </c>
      <c r="H682" t="n">
        <v>1</v>
      </c>
      <c r="I682" t="n">
        <v>0</v>
      </c>
      <c r="J682" t="n">
        <v>3</v>
      </c>
      <c r="K682" t="n">
        <v>0</v>
      </c>
      <c r="L682" t="n">
        <v>0</v>
      </c>
      <c r="M682" t="n">
        <v>0</v>
      </c>
      <c r="N682" t="n">
        <v>0</v>
      </c>
      <c r="O682" t="n">
        <v>3</v>
      </c>
      <c r="P682" t="n">
        <v>0</v>
      </c>
      <c r="Q682" t="n">
        <v>3</v>
      </c>
      <c r="R682" s="2" t="inlineStr">
        <is>
          <t>Blanksvart spiklav
Garnlav
Varglav</t>
        </is>
      </c>
      <c r="S682">
        <f>HYPERLINK("https://klasma.github.io/Logging_2361/artfynd/A 65147-2020 artfynd.xlsx", "A 65147-2020")</f>
        <v/>
      </c>
      <c r="T682">
        <f>HYPERLINK("https://klasma.github.io/Logging_2361/kartor/A 65147-2020 karta.png", "A 65147-2020")</f>
        <v/>
      </c>
      <c r="V682">
        <f>HYPERLINK("https://klasma.github.io/Logging_2361/klagomål/A 65147-2020 FSC-klagomål.docx", "A 65147-2020")</f>
        <v/>
      </c>
      <c r="W682">
        <f>HYPERLINK("https://klasma.github.io/Logging_2361/klagomålsmail/A 65147-2020 FSC-klagomål mail.docx", "A 65147-2020")</f>
        <v/>
      </c>
      <c r="X682">
        <f>HYPERLINK("https://klasma.github.io/Logging_2361/tillsyn/A 65147-2020 tillsynsbegäran.docx", "A 65147-2020")</f>
        <v/>
      </c>
      <c r="Y682">
        <f>HYPERLINK("https://klasma.github.io/Logging_2361/tillsynsmail/A 65147-2020 tillsynsbegäran mail.docx", "A 65147-2020")</f>
        <v/>
      </c>
    </row>
    <row r="683" ht="15" customHeight="1">
      <c r="A683" t="inlineStr">
        <is>
          <t>A 66555-2020</t>
        </is>
      </c>
      <c r="B683" s="1" t="n">
        <v>44179</v>
      </c>
      <c r="C683" s="1" t="n">
        <v>45363</v>
      </c>
      <c r="D683" t="inlineStr">
        <is>
          <t>JÄMTLANDS LÄN</t>
        </is>
      </c>
      <c r="E683" t="inlineStr">
        <is>
          <t>STRÖMSUND</t>
        </is>
      </c>
      <c r="F683" t="inlineStr">
        <is>
          <t>SCA</t>
        </is>
      </c>
      <c r="G683" t="n">
        <v>20.9</v>
      </c>
      <c r="H683" t="n">
        <v>0</v>
      </c>
      <c r="I683" t="n">
        <v>0</v>
      </c>
      <c r="J683" t="n">
        <v>3</v>
      </c>
      <c r="K683" t="n">
        <v>0</v>
      </c>
      <c r="L683" t="n">
        <v>0</v>
      </c>
      <c r="M683" t="n">
        <v>0</v>
      </c>
      <c r="N683" t="n">
        <v>0</v>
      </c>
      <c r="O683" t="n">
        <v>3</v>
      </c>
      <c r="P683" t="n">
        <v>0</v>
      </c>
      <c r="Q683" t="n">
        <v>3</v>
      </c>
      <c r="R683" s="2" t="inlineStr">
        <is>
          <t>Granticka
Harticka
Ullticka</t>
        </is>
      </c>
      <c r="S683">
        <f>HYPERLINK("https://klasma.github.io/Logging_2313/artfynd/A 66555-2020 artfynd.xlsx", "A 66555-2020")</f>
        <v/>
      </c>
      <c r="T683">
        <f>HYPERLINK("https://klasma.github.io/Logging_2313/kartor/A 66555-2020 karta.png", "A 66555-2020")</f>
        <v/>
      </c>
      <c r="V683">
        <f>HYPERLINK("https://klasma.github.io/Logging_2313/klagomål/A 66555-2020 FSC-klagomål.docx", "A 66555-2020")</f>
        <v/>
      </c>
      <c r="W683">
        <f>HYPERLINK("https://klasma.github.io/Logging_2313/klagomålsmail/A 66555-2020 FSC-klagomål mail.docx", "A 66555-2020")</f>
        <v/>
      </c>
      <c r="X683">
        <f>HYPERLINK("https://klasma.github.io/Logging_2313/tillsyn/A 66555-2020 tillsynsbegäran.docx", "A 66555-2020")</f>
        <v/>
      </c>
      <c r="Y683">
        <f>HYPERLINK("https://klasma.github.io/Logging_2313/tillsynsmail/A 66555-2020 tillsynsbegäran mail.docx", "A 66555-2020")</f>
        <v/>
      </c>
    </row>
    <row r="684" ht="15" customHeight="1">
      <c r="A684" t="inlineStr">
        <is>
          <t>A 67126-2020</t>
        </is>
      </c>
      <c r="B684" s="1" t="n">
        <v>44180</v>
      </c>
      <c r="C684" s="1" t="n">
        <v>45363</v>
      </c>
      <c r="D684" t="inlineStr">
        <is>
          <t>JÄMTLANDS LÄN</t>
        </is>
      </c>
      <c r="E684" t="inlineStr">
        <is>
          <t>HÄRJEDALEN</t>
        </is>
      </c>
      <c r="F684" t="inlineStr">
        <is>
          <t>Holmen skog AB</t>
        </is>
      </c>
      <c r="G684" t="n">
        <v>0.2</v>
      </c>
      <c r="H684" t="n">
        <v>0</v>
      </c>
      <c r="I684" t="n">
        <v>0</v>
      </c>
      <c r="J684" t="n">
        <v>3</v>
      </c>
      <c r="K684" t="n">
        <v>0</v>
      </c>
      <c r="L684" t="n">
        <v>0</v>
      </c>
      <c r="M684" t="n">
        <v>0</v>
      </c>
      <c r="N684" t="n">
        <v>0</v>
      </c>
      <c r="O684" t="n">
        <v>3</v>
      </c>
      <c r="P684" t="n">
        <v>0</v>
      </c>
      <c r="Q684" t="n">
        <v>3</v>
      </c>
      <c r="R684" s="2" t="inlineStr">
        <is>
          <t>Granticka
Mörk kolflarnlav
Ullticka</t>
        </is>
      </c>
      <c r="S684">
        <f>HYPERLINK("https://klasma.github.io/Logging_2361/artfynd/A 67126-2020 artfynd.xlsx", "A 67126-2020")</f>
        <v/>
      </c>
      <c r="T684">
        <f>HYPERLINK("https://klasma.github.io/Logging_2361/kartor/A 67126-2020 karta.png", "A 67126-2020")</f>
        <v/>
      </c>
      <c r="V684">
        <f>HYPERLINK("https://klasma.github.io/Logging_2361/klagomål/A 67126-2020 FSC-klagomål.docx", "A 67126-2020")</f>
        <v/>
      </c>
      <c r="W684">
        <f>HYPERLINK("https://klasma.github.io/Logging_2361/klagomålsmail/A 67126-2020 FSC-klagomål mail.docx", "A 67126-2020")</f>
        <v/>
      </c>
      <c r="X684">
        <f>HYPERLINK("https://klasma.github.io/Logging_2361/tillsyn/A 67126-2020 tillsynsbegäran.docx", "A 67126-2020")</f>
        <v/>
      </c>
      <c r="Y684">
        <f>HYPERLINK("https://klasma.github.io/Logging_2361/tillsynsmail/A 67126-2020 tillsynsbegäran mail.docx", "A 67126-2020")</f>
        <v/>
      </c>
    </row>
    <row r="685" ht="15" customHeight="1">
      <c r="A685" t="inlineStr">
        <is>
          <t>A 630-2021</t>
        </is>
      </c>
      <c r="B685" s="1" t="n">
        <v>44203</v>
      </c>
      <c r="C685" s="1" t="n">
        <v>45363</v>
      </c>
      <c r="D685" t="inlineStr">
        <is>
          <t>JÄMTLANDS LÄN</t>
        </is>
      </c>
      <c r="E685" t="inlineStr">
        <is>
          <t>STRÖMSUND</t>
        </is>
      </c>
      <c r="F685" t="inlineStr">
        <is>
          <t>SCA</t>
        </is>
      </c>
      <c r="G685" t="n">
        <v>54.6</v>
      </c>
      <c r="H685" t="n">
        <v>0</v>
      </c>
      <c r="I685" t="n">
        <v>1</v>
      </c>
      <c r="J685" t="n">
        <v>1</v>
      </c>
      <c r="K685" t="n">
        <v>1</v>
      </c>
      <c r="L685" t="n">
        <v>0</v>
      </c>
      <c r="M685" t="n">
        <v>0</v>
      </c>
      <c r="N685" t="n">
        <v>0</v>
      </c>
      <c r="O685" t="n">
        <v>2</v>
      </c>
      <c r="P685" t="n">
        <v>1</v>
      </c>
      <c r="Q685" t="n">
        <v>3</v>
      </c>
      <c r="R685" s="2" t="inlineStr">
        <is>
          <t>Norsk näverlav
Gränsticka
Sotlav</t>
        </is>
      </c>
      <c r="S685">
        <f>HYPERLINK("https://klasma.github.io/Logging_2313/artfynd/A 630-2021 artfynd.xlsx", "A 630-2021")</f>
        <v/>
      </c>
      <c r="T685">
        <f>HYPERLINK("https://klasma.github.io/Logging_2313/kartor/A 630-2021 karta.png", "A 630-2021")</f>
        <v/>
      </c>
      <c r="V685">
        <f>HYPERLINK("https://klasma.github.io/Logging_2313/klagomål/A 630-2021 FSC-klagomål.docx", "A 630-2021")</f>
        <v/>
      </c>
      <c r="W685">
        <f>HYPERLINK("https://klasma.github.io/Logging_2313/klagomålsmail/A 630-2021 FSC-klagomål mail.docx", "A 630-2021")</f>
        <v/>
      </c>
      <c r="X685">
        <f>HYPERLINK("https://klasma.github.io/Logging_2313/tillsyn/A 630-2021 tillsynsbegäran.docx", "A 630-2021")</f>
        <v/>
      </c>
      <c r="Y685">
        <f>HYPERLINK("https://klasma.github.io/Logging_2313/tillsynsmail/A 630-2021 tillsynsbegäran mail.docx", "A 630-2021")</f>
        <v/>
      </c>
    </row>
    <row r="686" ht="15" customHeight="1">
      <c r="A686" t="inlineStr">
        <is>
          <t>A 7877-2021</t>
        </is>
      </c>
      <c r="B686" s="1" t="n">
        <v>44242</v>
      </c>
      <c r="C686" s="1" t="n">
        <v>45363</v>
      </c>
      <c r="D686" t="inlineStr">
        <is>
          <t>JÄMTLANDS LÄN</t>
        </is>
      </c>
      <c r="E686" t="inlineStr">
        <is>
          <t>ÖSTERSUND</t>
        </is>
      </c>
      <c r="G686" t="n">
        <v>18.2</v>
      </c>
      <c r="H686" t="n">
        <v>2</v>
      </c>
      <c r="I686" t="n">
        <v>2</v>
      </c>
      <c r="J686" t="n">
        <v>0</v>
      </c>
      <c r="K686" t="n">
        <v>1</v>
      </c>
      <c r="L686" t="n">
        <v>0</v>
      </c>
      <c r="M686" t="n">
        <v>0</v>
      </c>
      <c r="N686" t="n">
        <v>0</v>
      </c>
      <c r="O686" t="n">
        <v>1</v>
      </c>
      <c r="P686" t="n">
        <v>1</v>
      </c>
      <c r="Q686" t="n">
        <v>3</v>
      </c>
      <c r="R686" s="2" t="inlineStr">
        <is>
          <t>Knärot
Grönpyrola
Spindelblomster</t>
        </is>
      </c>
      <c r="S686">
        <f>HYPERLINK("https://klasma.github.io/Logging_2380/artfynd/A 7877-2021 artfynd.xlsx", "A 7877-2021")</f>
        <v/>
      </c>
      <c r="T686">
        <f>HYPERLINK("https://klasma.github.io/Logging_2380/kartor/A 7877-2021 karta.png", "A 7877-2021")</f>
        <v/>
      </c>
      <c r="U686">
        <f>HYPERLINK("https://klasma.github.io/Logging_2380/knärot/A 7877-2021 karta knärot.png", "A 7877-2021")</f>
        <v/>
      </c>
      <c r="V686">
        <f>HYPERLINK("https://klasma.github.io/Logging_2380/klagomål/A 7877-2021 FSC-klagomål.docx", "A 7877-2021")</f>
        <v/>
      </c>
      <c r="W686">
        <f>HYPERLINK("https://klasma.github.io/Logging_2380/klagomålsmail/A 7877-2021 FSC-klagomål mail.docx", "A 7877-2021")</f>
        <v/>
      </c>
      <c r="X686">
        <f>HYPERLINK("https://klasma.github.io/Logging_2380/tillsyn/A 7877-2021 tillsynsbegäran.docx", "A 7877-2021")</f>
        <v/>
      </c>
      <c r="Y686">
        <f>HYPERLINK("https://klasma.github.io/Logging_2380/tillsynsmail/A 7877-2021 tillsynsbegäran mail.docx", "A 7877-2021")</f>
        <v/>
      </c>
    </row>
    <row r="687" ht="15" customHeight="1">
      <c r="A687" t="inlineStr">
        <is>
          <t>A 10773-2021</t>
        </is>
      </c>
      <c r="B687" s="1" t="n">
        <v>44259</v>
      </c>
      <c r="C687" s="1" t="n">
        <v>45363</v>
      </c>
      <c r="D687" t="inlineStr">
        <is>
          <t>JÄMTLANDS LÄN</t>
        </is>
      </c>
      <c r="E687" t="inlineStr">
        <is>
          <t>ÅRE</t>
        </is>
      </c>
      <c r="G687" t="n">
        <v>22.9</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HYPERLINK("https://klasma.github.io/Logging_2321/artfynd/A 10773-2021 artfynd.xlsx", "A 10773-2021")</f>
        <v/>
      </c>
      <c r="T687">
        <f>HYPERLINK("https://klasma.github.io/Logging_2321/kartor/A 10773-2021 karta.png", "A 10773-2021")</f>
        <v/>
      </c>
      <c r="V687">
        <f>HYPERLINK("https://klasma.github.io/Logging_2321/klagomål/A 10773-2021 FSC-klagomål.docx", "A 10773-2021")</f>
        <v/>
      </c>
      <c r="W687">
        <f>HYPERLINK("https://klasma.github.io/Logging_2321/klagomålsmail/A 10773-2021 FSC-klagomål mail.docx", "A 10773-2021")</f>
        <v/>
      </c>
      <c r="X687">
        <f>HYPERLINK("https://klasma.github.io/Logging_2321/tillsyn/A 10773-2021 tillsynsbegäran.docx", "A 10773-2021")</f>
        <v/>
      </c>
      <c r="Y687">
        <f>HYPERLINK("https://klasma.github.io/Logging_2321/tillsynsmail/A 10773-2021 tillsynsbegäran mail.docx", "A 10773-2021")</f>
        <v/>
      </c>
      <c r="Z687">
        <f>HYPERLINK("https://klasma.github.io/Logging_2321/fåglar/A 10773-2021 prioriterade fågelarter.docx", "A 10773-2021")</f>
        <v/>
      </c>
    </row>
    <row r="688" ht="15" customHeight="1">
      <c r="A688" t="inlineStr">
        <is>
          <t>A 14198-2021</t>
        </is>
      </c>
      <c r="B688" s="1" t="n">
        <v>44278</v>
      </c>
      <c r="C688" s="1" t="n">
        <v>45363</v>
      </c>
      <c r="D688" t="inlineStr">
        <is>
          <t>JÄMTLANDS LÄN</t>
        </is>
      </c>
      <c r="E688" t="inlineStr">
        <is>
          <t>ÅRE</t>
        </is>
      </c>
      <c r="G688" t="n">
        <v>28.4</v>
      </c>
      <c r="H688" t="n">
        <v>1</v>
      </c>
      <c r="I688" t="n">
        <v>1</v>
      </c>
      <c r="J688" t="n">
        <v>2</v>
      </c>
      <c r="K688" t="n">
        <v>0</v>
      </c>
      <c r="L688" t="n">
        <v>0</v>
      </c>
      <c r="M688" t="n">
        <v>0</v>
      </c>
      <c r="N688" t="n">
        <v>0</v>
      </c>
      <c r="O688" t="n">
        <v>2</v>
      </c>
      <c r="P688" t="n">
        <v>0</v>
      </c>
      <c r="Q688" t="n">
        <v>3</v>
      </c>
      <c r="R688" s="2" t="inlineStr">
        <is>
          <t>Skrovellav
Tretåig hackspett
Stuplav</t>
        </is>
      </c>
      <c r="S688">
        <f>HYPERLINK("https://klasma.github.io/Logging_2321/artfynd/A 14198-2021 artfynd.xlsx", "A 14198-2021")</f>
        <v/>
      </c>
      <c r="T688">
        <f>HYPERLINK("https://klasma.github.io/Logging_2321/kartor/A 14198-2021 karta.png", "A 14198-2021")</f>
        <v/>
      </c>
      <c r="V688">
        <f>HYPERLINK("https://klasma.github.io/Logging_2321/klagomål/A 14198-2021 FSC-klagomål.docx", "A 14198-2021")</f>
        <v/>
      </c>
      <c r="W688">
        <f>HYPERLINK("https://klasma.github.io/Logging_2321/klagomålsmail/A 14198-2021 FSC-klagomål mail.docx", "A 14198-2021")</f>
        <v/>
      </c>
      <c r="X688">
        <f>HYPERLINK("https://klasma.github.io/Logging_2321/tillsyn/A 14198-2021 tillsynsbegäran.docx", "A 14198-2021")</f>
        <v/>
      </c>
      <c r="Y688">
        <f>HYPERLINK("https://klasma.github.io/Logging_2321/tillsynsmail/A 14198-2021 tillsynsbegäran mail.docx", "A 14198-2021")</f>
        <v/>
      </c>
      <c r="Z688">
        <f>HYPERLINK("https://klasma.github.io/Logging_2321/fåglar/A 14198-2021 prioriterade fågelarter.docx", "A 14198-2021")</f>
        <v/>
      </c>
    </row>
    <row r="689" ht="15" customHeight="1">
      <c r="A689" t="inlineStr">
        <is>
          <t>A 14599-2021</t>
        </is>
      </c>
      <c r="B689" s="1" t="n">
        <v>44279</v>
      </c>
      <c r="C689" s="1" t="n">
        <v>45363</v>
      </c>
      <c r="D689" t="inlineStr">
        <is>
          <t>JÄMTLANDS LÄN</t>
        </is>
      </c>
      <c r="E689" t="inlineStr">
        <is>
          <t>BERG</t>
        </is>
      </c>
      <c r="G689" t="n">
        <v>25.7</v>
      </c>
      <c r="H689" t="n">
        <v>1</v>
      </c>
      <c r="I689" t="n">
        <v>0</v>
      </c>
      <c r="J689" t="n">
        <v>3</v>
      </c>
      <c r="K689" t="n">
        <v>0</v>
      </c>
      <c r="L689" t="n">
        <v>0</v>
      </c>
      <c r="M689" t="n">
        <v>0</v>
      </c>
      <c r="N689" t="n">
        <v>0</v>
      </c>
      <c r="O689" t="n">
        <v>3</v>
      </c>
      <c r="P689" t="n">
        <v>0</v>
      </c>
      <c r="Q689" t="n">
        <v>3</v>
      </c>
      <c r="R689" s="2" t="inlineStr">
        <is>
          <t>Garnlav
Harticka
Tretåig hackspett</t>
        </is>
      </c>
      <c r="S689">
        <f>HYPERLINK("https://klasma.github.io/Logging_2326/artfynd/A 14599-2021 artfynd.xlsx", "A 14599-2021")</f>
        <v/>
      </c>
      <c r="T689">
        <f>HYPERLINK("https://klasma.github.io/Logging_2326/kartor/A 14599-2021 karta.png", "A 14599-2021")</f>
        <v/>
      </c>
      <c r="V689">
        <f>HYPERLINK("https://klasma.github.io/Logging_2326/klagomål/A 14599-2021 FSC-klagomål.docx", "A 14599-2021")</f>
        <v/>
      </c>
      <c r="W689">
        <f>HYPERLINK("https://klasma.github.io/Logging_2326/klagomålsmail/A 14599-2021 FSC-klagomål mail.docx", "A 14599-2021")</f>
        <v/>
      </c>
      <c r="X689">
        <f>HYPERLINK("https://klasma.github.io/Logging_2326/tillsyn/A 14599-2021 tillsynsbegäran.docx", "A 14599-2021")</f>
        <v/>
      </c>
      <c r="Y689">
        <f>HYPERLINK("https://klasma.github.io/Logging_2326/tillsynsmail/A 14599-2021 tillsynsbegäran mail.docx", "A 14599-2021")</f>
        <v/>
      </c>
      <c r="Z689">
        <f>HYPERLINK("https://klasma.github.io/Logging_2326/fåglar/A 14599-2021 prioriterade fågelarter.docx", "A 14599-2021")</f>
        <v/>
      </c>
    </row>
    <row r="690" ht="15" customHeight="1">
      <c r="A690" t="inlineStr">
        <is>
          <t>A 16830-2021</t>
        </is>
      </c>
      <c r="B690" s="1" t="n">
        <v>44293</v>
      </c>
      <c r="C690" s="1" t="n">
        <v>45363</v>
      </c>
      <c r="D690" t="inlineStr">
        <is>
          <t>JÄMTLANDS LÄN</t>
        </is>
      </c>
      <c r="E690" t="inlineStr">
        <is>
          <t>BERG</t>
        </is>
      </c>
      <c r="G690" t="n">
        <v>2</v>
      </c>
      <c r="H690" t="n">
        <v>0</v>
      </c>
      <c r="I690" t="n">
        <v>0</v>
      </c>
      <c r="J690" t="n">
        <v>3</v>
      </c>
      <c r="K690" t="n">
        <v>0</v>
      </c>
      <c r="L690" t="n">
        <v>0</v>
      </c>
      <c r="M690" t="n">
        <v>0</v>
      </c>
      <c r="N690" t="n">
        <v>0</v>
      </c>
      <c r="O690" t="n">
        <v>3</v>
      </c>
      <c r="P690" t="n">
        <v>0</v>
      </c>
      <c r="Q690" t="n">
        <v>3</v>
      </c>
      <c r="R690" s="2" t="inlineStr">
        <is>
          <t>Garnlav
Granticka
Vitgrynig nållav</t>
        </is>
      </c>
      <c r="S690">
        <f>HYPERLINK("https://klasma.github.io/Logging_2326/artfynd/A 16830-2021 artfynd.xlsx", "A 16830-2021")</f>
        <v/>
      </c>
      <c r="T690">
        <f>HYPERLINK("https://klasma.github.io/Logging_2326/kartor/A 16830-2021 karta.png", "A 16830-2021")</f>
        <v/>
      </c>
      <c r="V690">
        <f>HYPERLINK("https://klasma.github.io/Logging_2326/klagomål/A 16830-2021 FSC-klagomål.docx", "A 16830-2021")</f>
        <v/>
      </c>
      <c r="W690">
        <f>HYPERLINK("https://klasma.github.io/Logging_2326/klagomålsmail/A 16830-2021 FSC-klagomål mail.docx", "A 16830-2021")</f>
        <v/>
      </c>
      <c r="X690">
        <f>HYPERLINK("https://klasma.github.io/Logging_2326/tillsyn/A 16830-2021 tillsynsbegäran.docx", "A 16830-2021")</f>
        <v/>
      </c>
      <c r="Y690">
        <f>HYPERLINK("https://klasma.github.io/Logging_2326/tillsynsmail/A 16830-2021 tillsynsbegäran mail.docx", "A 16830-2021")</f>
        <v/>
      </c>
    </row>
    <row r="691" ht="15" customHeight="1">
      <c r="A691" t="inlineStr">
        <is>
          <t>A 23572-2021</t>
        </is>
      </c>
      <c r="B691" s="1" t="n">
        <v>44334</v>
      </c>
      <c r="C691" s="1" t="n">
        <v>45363</v>
      </c>
      <c r="D691" t="inlineStr">
        <is>
          <t>JÄMTLANDS LÄN</t>
        </is>
      </c>
      <c r="E691" t="inlineStr">
        <is>
          <t>ÅRE</t>
        </is>
      </c>
      <c r="G691" t="n">
        <v>1.6</v>
      </c>
      <c r="H691" t="n">
        <v>0</v>
      </c>
      <c r="I691" t="n">
        <v>1</v>
      </c>
      <c r="J691" t="n">
        <v>2</v>
      </c>
      <c r="K691" t="n">
        <v>0</v>
      </c>
      <c r="L691" t="n">
        <v>0</v>
      </c>
      <c r="M691" t="n">
        <v>0</v>
      </c>
      <c r="N691" t="n">
        <v>0</v>
      </c>
      <c r="O691" t="n">
        <v>2</v>
      </c>
      <c r="P691" t="n">
        <v>0</v>
      </c>
      <c r="Q691" t="n">
        <v>3</v>
      </c>
      <c r="R691" s="2" t="inlineStr">
        <is>
          <t>Garnlav
Skrovellav
Stuplav</t>
        </is>
      </c>
      <c r="S691">
        <f>HYPERLINK("https://klasma.github.io/Logging_2321/artfynd/A 23572-2021 artfynd.xlsx", "A 23572-2021")</f>
        <v/>
      </c>
      <c r="T691">
        <f>HYPERLINK("https://klasma.github.io/Logging_2321/kartor/A 23572-2021 karta.png", "A 23572-2021")</f>
        <v/>
      </c>
      <c r="V691">
        <f>HYPERLINK("https://klasma.github.io/Logging_2321/klagomål/A 23572-2021 FSC-klagomål.docx", "A 23572-2021")</f>
        <v/>
      </c>
      <c r="W691">
        <f>HYPERLINK("https://klasma.github.io/Logging_2321/klagomålsmail/A 23572-2021 FSC-klagomål mail.docx", "A 23572-2021")</f>
        <v/>
      </c>
      <c r="X691">
        <f>HYPERLINK("https://klasma.github.io/Logging_2321/tillsyn/A 23572-2021 tillsynsbegäran.docx", "A 23572-2021")</f>
        <v/>
      </c>
      <c r="Y691">
        <f>HYPERLINK("https://klasma.github.io/Logging_2321/tillsynsmail/A 23572-2021 tillsynsbegäran mail.docx", "A 23572-2021")</f>
        <v/>
      </c>
    </row>
    <row r="692" ht="15" customHeight="1">
      <c r="A692" t="inlineStr">
        <is>
          <t>A 26102-2021</t>
        </is>
      </c>
      <c r="B692" s="1" t="n">
        <v>44344</v>
      </c>
      <c r="C692" s="1" t="n">
        <v>45363</v>
      </c>
      <c r="D692" t="inlineStr">
        <is>
          <t>JÄMTLANDS LÄN</t>
        </is>
      </c>
      <c r="E692" t="inlineStr">
        <is>
          <t>BRÄCKE</t>
        </is>
      </c>
      <c r="F692" t="inlineStr">
        <is>
          <t>SCA</t>
        </is>
      </c>
      <c r="G692" t="n">
        <v>21.3</v>
      </c>
      <c r="H692" t="n">
        <v>1</v>
      </c>
      <c r="I692" t="n">
        <v>1</v>
      </c>
      <c r="J692" t="n">
        <v>1</v>
      </c>
      <c r="K692" t="n">
        <v>0</v>
      </c>
      <c r="L692" t="n">
        <v>0</v>
      </c>
      <c r="M692" t="n">
        <v>0</v>
      </c>
      <c r="N692" t="n">
        <v>0</v>
      </c>
      <c r="O692" t="n">
        <v>1</v>
      </c>
      <c r="P692" t="n">
        <v>0</v>
      </c>
      <c r="Q692" t="n">
        <v>3</v>
      </c>
      <c r="R692" s="2" t="inlineStr">
        <is>
          <t>Lunglav
Ögonpyrola
Revlummer</t>
        </is>
      </c>
      <c r="S692">
        <f>HYPERLINK("https://klasma.github.io/Logging_2305/artfynd/A 26102-2021 artfynd.xlsx", "A 26102-2021")</f>
        <v/>
      </c>
      <c r="T692">
        <f>HYPERLINK("https://klasma.github.io/Logging_2305/kartor/A 26102-2021 karta.png", "A 26102-2021")</f>
        <v/>
      </c>
      <c r="V692">
        <f>HYPERLINK("https://klasma.github.io/Logging_2305/klagomål/A 26102-2021 FSC-klagomål.docx", "A 26102-2021")</f>
        <v/>
      </c>
      <c r="W692">
        <f>HYPERLINK("https://klasma.github.io/Logging_2305/klagomålsmail/A 26102-2021 FSC-klagomål mail.docx", "A 26102-2021")</f>
        <v/>
      </c>
      <c r="X692">
        <f>HYPERLINK("https://klasma.github.io/Logging_2305/tillsyn/A 26102-2021 tillsynsbegäran.docx", "A 26102-2021")</f>
        <v/>
      </c>
      <c r="Y692">
        <f>HYPERLINK("https://klasma.github.io/Logging_2305/tillsynsmail/A 26102-2021 tillsynsbegäran mail.docx", "A 26102-2021")</f>
        <v/>
      </c>
    </row>
    <row r="693" ht="15" customHeight="1">
      <c r="A693" t="inlineStr">
        <is>
          <t>A 33577-2021</t>
        </is>
      </c>
      <c r="B693" s="1" t="n">
        <v>44377</v>
      </c>
      <c r="C693" s="1" t="n">
        <v>45363</v>
      </c>
      <c r="D693" t="inlineStr">
        <is>
          <t>JÄMTLANDS LÄN</t>
        </is>
      </c>
      <c r="E693" t="inlineStr">
        <is>
          <t>STRÖMSUND</t>
        </is>
      </c>
      <c r="F693" t="inlineStr">
        <is>
          <t>SCA</t>
        </is>
      </c>
      <c r="G693" t="n">
        <v>6.5</v>
      </c>
      <c r="H693" t="n">
        <v>1</v>
      </c>
      <c r="I693" t="n">
        <v>0</v>
      </c>
      <c r="J693" t="n">
        <v>2</v>
      </c>
      <c r="K693" t="n">
        <v>1</v>
      </c>
      <c r="L693" t="n">
        <v>0</v>
      </c>
      <c r="M693" t="n">
        <v>0</v>
      </c>
      <c r="N693" t="n">
        <v>0</v>
      </c>
      <c r="O693" t="n">
        <v>3</v>
      </c>
      <c r="P693" t="n">
        <v>1</v>
      </c>
      <c r="Q693" t="n">
        <v>3</v>
      </c>
      <c r="R693" s="2" t="inlineStr">
        <is>
          <t>Knärot
Gammelgransskål
Lunglav</t>
        </is>
      </c>
      <c r="S693">
        <f>HYPERLINK("https://klasma.github.io/Logging_2313/artfynd/A 33577-2021 artfynd.xlsx", "A 33577-2021")</f>
        <v/>
      </c>
      <c r="T693">
        <f>HYPERLINK("https://klasma.github.io/Logging_2313/kartor/A 33577-2021 karta.png", "A 33577-2021")</f>
        <v/>
      </c>
      <c r="U693">
        <f>HYPERLINK("https://klasma.github.io/Logging_2313/knärot/A 33577-2021 karta knärot.png", "A 33577-2021")</f>
        <v/>
      </c>
      <c r="V693">
        <f>HYPERLINK("https://klasma.github.io/Logging_2313/klagomål/A 33577-2021 FSC-klagomål.docx", "A 33577-2021")</f>
        <v/>
      </c>
      <c r="W693">
        <f>HYPERLINK("https://klasma.github.io/Logging_2313/klagomålsmail/A 33577-2021 FSC-klagomål mail.docx", "A 33577-2021")</f>
        <v/>
      </c>
      <c r="X693">
        <f>HYPERLINK("https://klasma.github.io/Logging_2313/tillsyn/A 33577-2021 tillsynsbegäran.docx", "A 33577-2021")</f>
        <v/>
      </c>
      <c r="Y693">
        <f>HYPERLINK("https://klasma.github.io/Logging_2313/tillsynsmail/A 33577-2021 tillsynsbegäran mail.docx", "A 33577-2021")</f>
        <v/>
      </c>
    </row>
    <row r="694" ht="15" customHeight="1">
      <c r="A694" t="inlineStr">
        <is>
          <t>A 37061-2021</t>
        </is>
      </c>
      <c r="B694" s="1" t="n">
        <v>44393</v>
      </c>
      <c r="C694" s="1" t="n">
        <v>45363</v>
      </c>
      <c r="D694" t="inlineStr">
        <is>
          <t>JÄMTLANDS LÄN</t>
        </is>
      </c>
      <c r="E694" t="inlineStr">
        <is>
          <t>BRÄCKE</t>
        </is>
      </c>
      <c r="F694" t="inlineStr">
        <is>
          <t>SCA</t>
        </is>
      </c>
      <c r="G694" t="n">
        <v>3.4</v>
      </c>
      <c r="H694" t="n">
        <v>1</v>
      </c>
      <c r="I694" t="n">
        <v>1</v>
      </c>
      <c r="J694" t="n">
        <v>1</v>
      </c>
      <c r="K694" t="n">
        <v>1</v>
      </c>
      <c r="L694" t="n">
        <v>0</v>
      </c>
      <c r="M694" t="n">
        <v>0</v>
      </c>
      <c r="N694" t="n">
        <v>0</v>
      </c>
      <c r="O694" t="n">
        <v>2</v>
      </c>
      <c r="P694" t="n">
        <v>1</v>
      </c>
      <c r="Q694" t="n">
        <v>3</v>
      </c>
      <c r="R694" s="2" t="inlineStr">
        <is>
          <t>Knärot
Lunglav
Stuplav</t>
        </is>
      </c>
      <c r="S694">
        <f>HYPERLINK("https://klasma.github.io/Logging_2305/artfynd/A 37061-2021 artfynd.xlsx", "A 37061-2021")</f>
        <v/>
      </c>
      <c r="T694">
        <f>HYPERLINK("https://klasma.github.io/Logging_2305/kartor/A 37061-2021 karta.png", "A 37061-2021")</f>
        <v/>
      </c>
      <c r="U694">
        <f>HYPERLINK("https://klasma.github.io/Logging_2305/knärot/A 37061-2021 karta knärot.png", "A 37061-2021")</f>
        <v/>
      </c>
      <c r="V694">
        <f>HYPERLINK("https://klasma.github.io/Logging_2305/klagomål/A 37061-2021 FSC-klagomål.docx", "A 37061-2021")</f>
        <v/>
      </c>
      <c r="W694">
        <f>HYPERLINK("https://klasma.github.io/Logging_2305/klagomålsmail/A 37061-2021 FSC-klagomål mail.docx", "A 37061-2021")</f>
        <v/>
      </c>
      <c r="X694">
        <f>HYPERLINK("https://klasma.github.io/Logging_2305/tillsyn/A 37061-2021 tillsynsbegäran.docx", "A 37061-2021")</f>
        <v/>
      </c>
      <c r="Y694">
        <f>HYPERLINK("https://klasma.github.io/Logging_2305/tillsynsmail/A 37061-2021 tillsynsbegäran mail.docx", "A 37061-2021")</f>
        <v/>
      </c>
    </row>
    <row r="695" ht="15" customHeight="1">
      <c r="A695" t="inlineStr">
        <is>
          <t>A 41065-2021</t>
        </is>
      </c>
      <c r="B695" s="1" t="n">
        <v>44421</v>
      </c>
      <c r="C695" s="1" t="n">
        <v>45363</v>
      </c>
      <c r="D695" t="inlineStr">
        <is>
          <t>JÄMTLANDS LÄN</t>
        </is>
      </c>
      <c r="E695" t="inlineStr">
        <is>
          <t>RAGUNDA</t>
        </is>
      </c>
      <c r="F695" t="inlineStr">
        <is>
          <t>SCA</t>
        </is>
      </c>
      <c r="G695" t="n">
        <v>1.6</v>
      </c>
      <c r="H695" t="n">
        <v>0</v>
      </c>
      <c r="I695" t="n">
        <v>1</v>
      </c>
      <c r="J695" t="n">
        <v>2</v>
      </c>
      <c r="K695" t="n">
        <v>0</v>
      </c>
      <c r="L695" t="n">
        <v>0</v>
      </c>
      <c r="M695" t="n">
        <v>0</v>
      </c>
      <c r="N695" t="n">
        <v>0</v>
      </c>
      <c r="O695" t="n">
        <v>2</v>
      </c>
      <c r="P695" t="n">
        <v>0</v>
      </c>
      <c r="Q695" t="n">
        <v>3</v>
      </c>
      <c r="R695" s="2" t="inlineStr">
        <is>
          <t>Kolflarnlav
Lunglav
Stuplav</t>
        </is>
      </c>
      <c r="S695">
        <f>HYPERLINK("https://klasma.github.io/Logging_2303/artfynd/A 41065-2021 artfynd.xlsx", "A 41065-2021")</f>
        <v/>
      </c>
      <c r="T695">
        <f>HYPERLINK("https://klasma.github.io/Logging_2303/kartor/A 41065-2021 karta.png", "A 41065-2021")</f>
        <v/>
      </c>
      <c r="V695">
        <f>HYPERLINK("https://klasma.github.io/Logging_2303/klagomål/A 41065-2021 FSC-klagomål.docx", "A 41065-2021")</f>
        <v/>
      </c>
      <c r="W695">
        <f>HYPERLINK("https://klasma.github.io/Logging_2303/klagomålsmail/A 41065-2021 FSC-klagomål mail.docx", "A 41065-2021")</f>
        <v/>
      </c>
      <c r="X695">
        <f>HYPERLINK("https://klasma.github.io/Logging_2303/tillsyn/A 41065-2021 tillsynsbegäran.docx", "A 41065-2021")</f>
        <v/>
      </c>
      <c r="Y695">
        <f>HYPERLINK("https://klasma.github.io/Logging_2303/tillsynsmail/A 41065-2021 tillsynsbegäran mail.docx", "A 41065-2021")</f>
        <v/>
      </c>
    </row>
    <row r="696" ht="15" customHeight="1">
      <c r="A696" t="inlineStr">
        <is>
          <t>A 53354-2021</t>
        </is>
      </c>
      <c r="B696" s="1" t="n">
        <v>44468</v>
      </c>
      <c r="C696" s="1" t="n">
        <v>45363</v>
      </c>
      <c r="D696" t="inlineStr">
        <is>
          <t>JÄMTLANDS LÄN</t>
        </is>
      </c>
      <c r="E696" t="inlineStr">
        <is>
          <t>KROKOM</t>
        </is>
      </c>
      <c r="F696" t="inlineStr">
        <is>
          <t>Kyrkan</t>
        </is>
      </c>
      <c r="G696" t="n">
        <v>7.8</v>
      </c>
      <c r="H696" t="n">
        <v>0</v>
      </c>
      <c r="I696" t="n">
        <v>1</v>
      </c>
      <c r="J696" t="n">
        <v>2</v>
      </c>
      <c r="K696" t="n">
        <v>0</v>
      </c>
      <c r="L696" t="n">
        <v>0</v>
      </c>
      <c r="M696" t="n">
        <v>0</v>
      </c>
      <c r="N696" t="n">
        <v>0</v>
      </c>
      <c r="O696" t="n">
        <v>2</v>
      </c>
      <c r="P696" t="n">
        <v>0</v>
      </c>
      <c r="Q696" t="n">
        <v>3</v>
      </c>
      <c r="R696" s="2" t="inlineStr">
        <is>
          <t>Granticka
Lunglav
Stuplav</t>
        </is>
      </c>
      <c r="S696">
        <f>HYPERLINK("https://klasma.github.io/Logging_2309/artfynd/A 53354-2021 artfynd.xlsx", "A 53354-2021")</f>
        <v/>
      </c>
      <c r="T696">
        <f>HYPERLINK("https://klasma.github.io/Logging_2309/kartor/A 53354-2021 karta.png", "A 53354-2021")</f>
        <v/>
      </c>
      <c r="V696">
        <f>HYPERLINK("https://klasma.github.io/Logging_2309/klagomål/A 53354-2021 FSC-klagomål.docx", "A 53354-2021")</f>
        <v/>
      </c>
      <c r="W696">
        <f>HYPERLINK("https://klasma.github.io/Logging_2309/klagomålsmail/A 53354-2021 FSC-klagomål mail.docx", "A 53354-2021")</f>
        <v/>
      </c>
      <c r="X696">
        <f>HYPERLINK("https://klasma.github.io/Logging_2309/tillsyn/A 53354-2021 tillsynsbegäran.docx", "A 53354-2021")</f>
        <v/>
      </c>
      <c r="Y696">
        <f>HYPERLINK("https://klasma.github.io/Logging_2309/tillsynsmail/A 53354-2021 tillsynsbegäran mail.docx", "A 53354-2021")</f>
        <v/>
      </c>
    </row>
    <row r="697" ht="15" customHeight="1">
      <c r="A697" t="inlineStr">
        <is>
          <t>A 54421-2021</t>
        </is>
      </c>
      <c r="B697" s="1" t="n">
        <v>44473</v>
      </c>
      <c r="C697" s="1" t="n">
        <v>45363</v>
      </c>
      <c r="D697" t="inlineStr">
        <is>
          <t>JÄMTLANDS LÄN</t>
        </is>
      </c>
      <c r="E697" t="inlineStr">
        <is>
          <t>ÖSTERSUND</t>
        </is>
      </c>
      <c r="F697" t="inlineStr">
        <is>
          <t>Kommuner</t>
        </is>
      </c>
      <c r="G697" t="n">
        <v>4.6</v>
      </c>
      <c r="H697" t="n">
        <v>2</v>
      </c>
      <c r="I697" t="n">
        <v>1</v>
      </c>
      <c r="J697" t="n">
        <v>2</v>
      </c>
      <c r="K697" t="n">
        <v>0</v>
      </c>
      <c r="L697" t="n">
        <v>0</v>
      </c>
      <c r="M697" t="n">
        <v>0</v>
      </c>
      <c r="N697" t="n">
        <v>0</v>
      </c>
      <c r="O697" t="n">
        <v>2</v>
      </c>
      <c r="P697" t="n">
        <v>0</v>
      </c>
      <c r="Q697" t="n">
        <v>3</v>
      </c>
      <c r="R697" s="2" t="inlineStr">
        <is>
          <t>Granticka
Skogsfru
Spindelblomster</t>
        </is>
      </c>
      <c r="S697">
        <f>HYPERLINK("https://klasma.github.io/Logging_2380/artfynd/A 54421-2021 artfynd.xlsx", "A 54421-2021")</f>
        <v/>
      </c>
      <c r="T697">
        <f>HYPERLINK("https://klasma.github.io/Logging_2380/kartor/A 54421-2021 karta.png", "A 54421-2021")</f>
        <v/>
      </c>
      <c r="U697">
        <f>HYPERLINK("https://klasma.github.io/Logging_2380/knärot/A 54421-2021 karta knärot.png", "A 54421-2021")</f>
        <v/>
      </c>
      <c r="V697">
        <f>HYPERLINK("https://klasma.github.io/Logging_2380/klagomål/A 54421-2021 FSC-klagomål.docx", "A 54421-2021")</f>
        <v/>
      </c>
      <c r="W697">
        <f>HYPERLINK("https://klasma.github.io/Logging_2380/klagomålsmail/A 54421-2021 FSC-klagomål mail.docx", "A 54421-2021")</f>
        <v/>
      </c>
      <c r="X697">
        <f>HYPERLINK("https://klasma.github.io/Logging_2380/tillsyn/A 54421-2021 tillsynsbegäran.docx", "A 54421-2021")</f>
        <v/>
      </c>
      <c r="Y697">
        <f>HYPERLINK("https://klasma.github.io/Logging_2380/tillsynsmail/A 54421-2021 tillsynsbegäran mail.docx", "A 54421-2021")</f>
        <v/>
      </c>
    </row>
    <row r="698" ht="15" customHeight="1">
      <c r="A698" t="inlineStr">
        <is>
          <t>A 54802-2021</t>
        </is>
      </c>
      <c r="B698" s="1" t="n">
        <v>44473</v>
      </c>
      <c r="C698" s="1" t="n">
        <v>45363</v>
      </c>
      <c r="D698" t="inlineStr">
        <is>
          <t>JÄMTLANDS LÄN</t>
        </is>
      </c>
      <c r="E698" t="inlineStr">
        <is>
          <t>BERG</t>
        </is>
      </c>
      <c r="F698" t="inlineStr">
        <is>
          <t>SCA</t>
        </is>
      </c>
      <c r="G698" t="n">
        <v>2.8</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HYPERLINK("https://klasma.github.io/Logging_2326/artfynd/A 54802-2021 artfynd.xlsx", "A 54802-2021")</f>
        <v/>
      </c>
      <c r="T698">
        <f>HYPERLINK("https://klasma.github.io/Logging_2326/kartor/A 54802-2021 karta.png", "A 54802-2021")</f>
        <v/>
      </c>
      <c r="V698">
        <f>HYPERLINK("https://klasma.github.io/Logging_2326/klagomål/A 54802-2021 FSC-klagomål.docx", "A 54802-2021")</f>
        <v/>
      </c>
      <c r="W698">
        <f>HYPERLINK("https://klasma.github.io/Logging_2326/klagomålsmail/A 54802-2021 FSC-klagomål mail.docx", "A 54802-2021")</f>
        <v/>
      </c>
      <c r="X698">
        <f>HYPERLINK("https://klasma.github.io/Logging_2326/tillsyn/A 54802-2021 tillsynsbegäran.docx", "A 54802-2021")</f>
        <v/>
      </c>
      <c r="Y698">
        <f>HYPERLINK("https://klasma.github.io/Logging_2326/tillsynsmail/A 54802-2021 tillsynsbegäran mail.docx", "A 54802-2021")</f>
        <v/>
      </c>
      <c r="Z698">
        <f>HYPERLINK("https://klasma.github.io/Logging_2326/fåglar/A 54802-2021 prioriterade fågelarter.docx", "A 54802-2021")</f>
        <v/>
      </c>
    </row>
    <row r="699" ht="15" customHeight="1">
      <c r="A699" t="inlineStr">
        <is>
          <t>A 55244-2021</t>
        </is>
      </c>
      <c r="B699" s="1" t="n">
        <v>44475</v>
      </c>
      <c r="C699" s="1" t="n">
        <v>45363</v>
      </c>
      <c r="D699" t="inlineStr">
        <is>
          <t>JÄMTLANDS LÄN</t>
        </is>
      </c>
      <c r="E699" t="inlineStr">
        <is>
          <t>HÄRJEDALEN</t>
        </is>
      </c>
      <c r="G699" t="n">
        <v>1.6</v>
      </c>
      <c r="H699" t="n">
        <v>1</v>
      </c>
      <c r="I699" t="n">
        <v>0</v>
      </c>
      <c r="J699" t="n">
        <v>3</v>
      </c>
      <c r="K699" t="n">
        <v>0</v>
      </c>
      <c r="L699" t="n">
        <v>0</v>
      </c>
      <c r="M699" t="n">
        <v>0</v>
      </c>
      <c r="N699" t="n">
        <v>0</v>
      </c>
      <c r="O699" t="n">
        <v>3</v>
      </c>
      <c r="P699" t="n">
        <v>0</v>
      </c>
      <c r="Q699" t="n">
        <v>3</v>
      </c>
      <c r="R699" s="2" t="inlineStr">
        <is>
          <t>Tallticka
Varglav
Vedflamlav</t>
        </is>
      </c>
      <c r="S699">
        <f>HYPERLINK("https://klasma.github.io/Logging_2361/artfynd/A 55244-2021 artfynd.xlsx", "A 55244-2021")</f>
        <v/>
      </c>
      <c r="T699">
        <f>HYPERLINK("https://klasma.github.io/Logging_2361/kartor/A 55244-2021 karta.png", "A 55244-2021")</f>
        <v/>
      </c>
      <c r="V699">
        <f>HYPERLINK("https://klasma.github.io/Logging_2361/klagomål/A 55244-2021 FSC-klagomål.docx", "A 55244-2021")</f>
        <v/>
      </c>
      <c r="W699">
        <f>HYPERLINK("https://klasma.github.io/Logging_2361/klagomålsmail/A 55244-2021 FSC-klagomål mail.docx", "A 55244-2021")</f>
        <v/>
      </c>
      <c r="X699">
        <f>HYPERLINK("https://klasma.github.io/Logging_2361/tillsyn/A 55244-2021 tillsynsbegäran.docx", "A 55244-2021")</f>
        <v/>
      </c>
      <c r="Y699">
        <f>HYPERLINK("https://klasma.github.io/Logging_2361/tillsynsmail/A 55244-2021 tillsynsbegäran mail.docx", "A 55244-2021")</f>
        <v/>
      </c>
    </row>
    <row r="700" ht="15" customHeight="1">
      <c r="A700" t="inlineStr">
        <is>
          <t>A 55233-2021</t>
        </is>
      </c>
      <c r="B700" s="1" t="n">
        <v>44475</v>
      </c>
      <c r="C700" s="1" t="n">
        <v>45363</v>
      </c>
      <c r="D700" t="inlineStr">
        <is>
          <t>JÄMTLANDS LÄN</t>
        </is>
      </c>
      <c r="E700" t="inlineStr">
        <is>
          <t>HÄRJEDALEN</t>
        </is>
      </c>
      <c r="G700" t="n">
        <v>15.3</v>
      </c>
      <c r="H700" t="n">
        <v>1</v>
      </c>
      <c r="I700" t="n">
        <v>0</v>
      </c>
      <c r="J700" t="n">
        <v>3</v>
      </c>
      <c r="K700" t="n">
        <v>0</v>
      </c>
      <c r="L700" t="n">
        <v>0</v>
      </c>
      <c r="M700" t="n">
        <v>0</v>
      </c>
      <c r="N700" t="n">
        <v>0</v>
      </c>
      <c r="O700" t="n">
        <v>3</v>
      </c>
      <c r="P700" t="n">
        <v>0</v>
      </c>
      <c r="Q700" t="n">
        <v>3</v>
      </c>
      <c r="R700" s="2" t="inlineStr">
        <is>
          <t>Reliktbock
Varglav
Vedflamlav</t>
        </is>
      </c>
      <c r="S700">
        <f>HYPERLINK("https://klasma.github.io/Logging_2361/artfynd/A 55233-2021 artfynd.xlsx", "A 55233-2021")</f>
        <v/>
      </c>
      <c r="T700">
        <f>HYPERLINK("https://klasma.github.io/Logging_2361/kartor/A 55233-2021 karta.png", "A 55233-2021")</f>
        <v/>
      </c>
      <c r="V700">
        <f>HYPERLINK("https://klasma.github.io/Logging_2361/klagomål/A 55233-2021 FSC-klagomål.docx", "A 55233-2021")</f>
        <v/>
      </c>
      <c r="W700">
        <f>HYPERLINK("https://klasma.github.io/Logging_2361/klagomålsmail/A 55233-2021 FSC-klagomål mail.docx", "A 55233-2021")</f>
        <v/>
      </c>
      <c r="X700">
        <f>HYPERLINK("https://klasma.github.io/Logging_2361/tillsyn/A 55233-2021 tillsynsbegäran.docx", "A 55233-2021")</f>
        <v/>
      </c>
      <c r="Y700">
        <f>HYPERLINK("https://klasma.github.io/Logging_2361/tillsynsmail/A 55233-2021 tillsynsbegäran mail.docx", "A 55233-2021")</f>
        <v/>
      </c>
    </row>
    <row r="701" ht="15" customHeight="1">
      <c r="A701" t="inlineStr">
        <is>
          <t>A 55394-2021</t>
        </is>
      </c>
      <c r="B701" s="1" t="n">
        <v>44475</v>
      </c>
      <c r="C701" s="1" t="n">
        <v>45363</v>
      </c>
      <c r="D701" t="inlineStr">
        <is>
          <t>JÄMTLANDS LÄN</t>
        </is>
      </c>
      <c r="E701" t="inlineStr">
        <is>
          <t>HÄRJEDALEN</t>
        </is>
      </c>
      <c r="G701" t="n">
        <v>2.7</v>
      </c>
      <c r="H701" t="n">
        <v>1</v>
      </c>
      <c r="I701" t="n">
        <v>0</v>
      </c>
      <c r="J701" t="n">
        <v>3</v>
      </c>
      <c r="K701" t="n">
        <v>0</v>
      </c>
      <c r="L701" t="n">
        <v>0</v>
      </c>
      <c r="M701" t="n">
        <v>0</v>
      </c>
      <c r="N701" t="n">
        <v>0</v>
      </c>
      <c r="O701" t="n">
        <v>3</v>
      </c>
      <c r="P701" t="n">
        <v>0</v>
      </c>
      <c r="Q701" t="n">
        <v>3</v>
      </c>
      <c r="R701" s="2" t="inlineStr">
        <is>
          <t>Blanksvart spiklav
Varglav
Vedflamlav</t>
        </is>
      </c>
      <c r="S701">
        <f>HYPERLINK("https://klasma.github.io/Logging_2361/artfynd/A 55394-2021 artfynd.xlsx", "A 55394-2021")</f>
        <v/>
      </c>
      <c r="T701">
        <f>HYPERLINK("https://klasma.github.io/Logging_2361/kartor/A 55394-2021 karta.png", "A 55394-2021")</f>
        <v/>
      </c>
      <c r="V701">
        <f>HYPERLINK("https://klasma.github.io/Logging_2361/klagomål/A 55394-2021 FSC-klagomål.docx", "A 55394-2021")</f>
        <v/>
      </c>
      <c r="W701">
        <f>HYPERLINK("https://klasma.github.io/Logging_2361/klagomålsmail/A 55394-2021 FSC-klagomål mail.docx", "A 55394-2021")</f>
        <v/>
      </c>
      <c r="X701">
        <f>HYPERLINK("https://klasma.github.io/Logging_2361/tillsyn/A 55394-2021 tillsynsbegäran.docx", "A 55394-2021")</f>
        <v/>
      </c>
      <c r="Y701">
        <f>HYPERLINK("https://klasma.github.io/Logging_2361/tillsynsmail/A 55394-2021 tillsynsbegäran mail.docx", "A 55394-2021")</f>
        <v/>
      </c>
    </row>
    <row r="702" ht="15" customHeight="1">
      <c r="A702" t="inlineStr">
        <is>
          <t>A 55641-2021</t>
        </is>
      </c>
      <c r="B702" s="1" t="n">
        <v>44476</v>
      </c>
      <c r="C702" s="1" t="n">
        <v>45363</v>
      </c>
      <c r="D702" t="inlineStr">
        <is>
          <t>JÄMTLANDS LÄN</t>
        </is>
      </c>
      <c r="E702" t="inlineStr">
        <is>
          <t>HÄRJEDALEN</t>
        </is>
      </c>
      <c r="G702" t="n">
        <v>7.6</v>
      </c>
      <c r="H702" t="n">
        <v>1</v>
      </c>
      <c r="I702" t="n">
        <v>0</v>
      </c>
      <c r="J702" t="n">
        <v>3</v>
      </c>
      <c r="K702" t="n">
        <v>0</v>
      </c>
      <c r="L702" t="n">
        <v>0</v>
      </c>
      <c r="M702" t="n">
        <v>0</v>
      </c>
      <c r="N702" t="n">
        <v>0</v>
      </c>
      <c r="O702" t="n">
        <v>3</v>
      </c>
      <c r="P702" t="n">
        <v>0</v>
      </c>
      <c r="Q702" t="n">
        <v>3</v>
      </c>
      <c r="R702" s="2" t="inlineStr">
        <is>
          <t>Brunpudrad nållav
Dvärgbägarlav
Tretåig hackspett</t>
        </is>
      </c>
      <c r="S702">
        <f>HYPERLINK("https://klasma.github.io/Logging_2361/artfynd/A 55641-2021 artfynd.xlsx", "A 55641-2021")</f>
        <v/>
      </c>
      <c r="T702">
        <f>HYPERLINK("https://klasma.github.io/Logging_2361/kartor/A 55641-2021 karta.png", "A 55641-2021")</f>
        <v/>
      </c>
      <c r="V702">
        <f>HYPERLINK("https://klasma.github.io/Logging_2361/klagomål/A 55641-2021 FSC-klagomål.docx", "A 55641-2021")</f>
        <v/>
      </c>
      <c r="W702">
        <f>HYPERLINK("https://klasma.github.io/Logging_2361/klagomålsmail/A 55641-2021 FSC-klagomål mail.docx", "A 55641-2021")</f>
        <v/>
      </c>
      <c r="X702">
        <f>HYPERLINK("https://klasma.github.io/Logging_2361/tillsyn/A 55641-2021 tillsynsbegäran.docx", "A 55641-2021")</f>
        <v/>
      </c>
      <c r="Y702">
        <f>HYPERLINK("https://klasma.github.io/Logging_2361/tillsynsmail/A 55641-2021 tillsynsbegäran mail.docx", "A 55641-2021")</f>
        <v/>
      </c>
      <c r="Z702">
        <f>HYPERLINK("https://klasma.github.io/Logging_2361/fåglar/A 55641-2021 prioriterade fågelarter.docx", "A 55641-2021")</f>
        <v/>
      </c>
    </row>
    <row r="703" ht="15" customHeight="1">
      <c r="A703" t="inlineStr">
        <is>
          <t>A 56222-2021</t>
        </is>
      </c>
      <c r="B703" s="1" t="n">
        <v>44477</v>
      </c>
      <c r="C703" s="1" t="n">
        <v>45363</v>
      </c>
      <c r="D703" t="inlineStr">
        <is>
          <t>JÄMTLANDS LÄN</t>
        </is>
      </c>
      <c r="E703" t="inlineStr">
        <is>
          <t>BRÄCKE</t>
        </is>
      </c>
      <c r="F703" t="inlineStr">
        <is>
          <t>SCA</t>
        </is>
      </c>
      <c r="G703" t="n">
        <v>1.8</v>
      </c>
      <c r="H703" t="n">
        <v>0</v>
      </c>
      <c r="I703" t="n">
        <v>0</v>
      </c>
      <c r="J703" t="n">
        <v>3</v>
      </c>
      <c r="K703" t="n">
        <v>0</v>
      </c>
      <c r="L703" t="n">
        <v>0</v>
      </c>
      <c r="M703" t="n">
        <v>0</v>
      </c>
      <c r="N703" t="n">
        <v>0</v>
      </c>
      <c r="O703" t="n">
        <v>3</v>
      </c>
      <c r="P703" t="n">
        <v>0</v>
      </c>
      <c r="Q703" t="n">
        <v>3</v>
      </c>
      <c r="R703" s="2" t="inlineStr">
        <is>
          <t>Gammelgransskål
Granticka
Ullticka</t>
        </is>
      </c>
      <c r="S703">
        <f>HYPERLINK("https://klasma.github.io/Logging_2305/artfynd/A 56222-2021 artfynd.xlsx", "A 56222-2021")</f>
        <v/>
      </c>
      <c r="T703">
        <f>HYPERLINK("https://klasma.github.io/Logging_2305/kartor/A 56222-2021 karta.png", "A 56222-2021")</f>
        <v/>
      </c>
      <c r="V703">
        <f>HYPERLINK("https://klasma.github.io/Logging_2305/klagomål/A 56222-2021 FSC-klagomål.docx", "A 56222-2021")</f>
        <v/>
      </c>
      <c r="W703">
        <f>HYPERLINK("https://klasma.github.io/Logging_2305/klagomålsmail/A 56222-2021 FSC-klagomål mail.docx", "A 56222-2021")</f>
        <v/>
      </c>
      <c r="X703">
        <f>HYPERLINK("https://klasma.github.io/Logging_2305/tillsyn/A 56222-2021 tillsynsbegäran.docx", "A 56222-2021")</f>
        <v/>
      </c>
      <c r="Y703">
        <f>HYPERLINK("https://klasma.github.io/Logging_2305/tillsynsmail/A 56222-2021 tillsynsbegäran mail.docx", "A 56222-2021")</f>
        <v/>
      </c>
    </row>
    <row r="704" ht="15" customHeight="1">
      <c r="A704" t="inlineStr">
        <is>
          <t>A 61417-2021</t>
        </is>
      </c>
      <c r="B704" s="1" t="n">
        <v>44500</v>
      </c>
      <c r="C704" s="1" t="n">
        <v>45363</v>
      </c>
      <c r="D704" t="inlineStr">
        <is>
          <t>JÄMTLANDS LÄN</t>
        </is>
      </c>
      <c r="E704" t="inlineStr">
        <is>
          <t>STRÖMSUND</t>
        </is>
      </c>
      <c r="F704" t="inlineStr">
        <is>
          <t>SCA</t>
        </is>
      </c>
      <c r="G704" t="n">
        <v>13.8</v>
      </c>
      <c r="H704" t="n">
        <v>0</v>
      </c>
      <c r="I704" t="n">
        <v>0</v>
      </c>
      <c r="J704" t="n">
        <v>2</v>
      </c>
      <c r="K704" t="n">
        <v>1</v>
      </c>
      <c r="L704" t="n">
        <v>0</v>
      </c>
      <c r="M704" t="n">
        <v>0</v>
      </c>
      <c r="N704" t="n">
        <v>0</v>
      </c>
      <c r="O704" t="n">
        <v>3</v>
      </c>
      <c r="P704" t="n">
        <v>1</v>
      </c>
      <c r="Q704" t="n">
        <v>3</v>
      </c>
      <c r="R704" s="2" t="inlineStr">
        <is>
          <t>Gräddporing
Dvärgbägarlav
Nordtagging</t>
        </is>
      </c>
      <c r="S704">
        <f>HYPERLINK("https://klasma.github.io/Logging_2313/artfynd/A 61417-2021 artfynd.xlsx", "A 61417-2021")</f>
        <v/>
      </c>
      <c r="T704">
        <f>HYPERLINK("https://klasma.github.io/Logging_2313/kartor/A 61417-2021 karta.png", "A 61417-2021")</f>
        <v/>
      </c>
      <c r="V704">
        <f>HYPERLINK("https://klasma.github.io/Logging_2313/klagomål/A 61417-2021 FSC-klagomål.docx", "A 61417-2021")</f>
        <v/>
      </c>
      <c r="W704">
        <f>HYPERLINK("https://klasma.github.io/Logging_2313/klagomålsmail/A 61417-2021 FSC-klagomål mail.docx", "A 61417-2021")</f>
        <v/>
      </c>
      <c r="X704">
        <f>HYPERLINK("https://klasma.github.io/Logging_2313/tillsyn/A 61417-2021 tillsynsbegäran.docx", "A 61417-2021")</f>
        <v/>
      </c>
      <c r="Y704">
        <f>HYPERLINK("https://klasma.github.io/Logging_2313/tillsynsmail/A 61417-2021 tillsynsbegäran mail.docx", "A 61417-2021")</f>
        <v/>
      </c>
    </row>
    <row r="705" ht="15" customHeight="1">
      <c r="A705" t="inlineStr">
        <is>
          <t>A 64300-2021</t>
        </is>
      </c>
      <c r="B705" s="1" t="n">
        <v>44510</v>
      </c>
      <c r="C705" s="1" t="n">
        <v>45363</v>
      </c>
      <c r="D705" t="inlineStr">
        <is>
          <t>JÄMTLANDS LÄN</t>
        </is>
      </c>
      <c r="E705" t="inlineStr">
        <is>
          <t>KROKOM</t>
        </is>
      </c>
      <c r="G705" t="n">
        <v>8.6</v>
      </c>
      <c r="H705" t="n">
        <v>0</v>
      </c>
      <c r="I705" t="n">
        <v>0</v>
      </c>
      <c r="J705" t="n">
        <v>3</v>
      </c>
      <c r="K705" t="n">
        <v>0</v>
      </c>
      <c r="L705" t="n">
        <v>0</v>
      </c>
      <c r="M705" t="n">
        <v>0</v>
      </c>
      <c r="N705" t="n">
        <v>0</v>
      </c>
      <c r="O705" t="n">
        <v>3</v>
      </c>
      <c r="P705" t="n">
        <v>0</v>
      </c>
      <c r="Q705" t="n">
        <v>3</v>
      </c>
      <c r="R705" s="2" t="inlineStr">
        <is>
          <t>Garnlav
Lunglav
Skrovellav</t>
        </is>
      </c>
      <c r="S705">
        <f>HYPERLINK("https://klasma.github.io/Logging_2309/artfynd/A 64300-2021 artfynd.xlsx", "A 64300-2021")</f>
        <v/>
      </c>
      <c r="T705">
        <f>HYPERLINK("https://klasma.github.io/Logging_2309/kartor/A 64300-2021 karta.png", "A 64300-2021")</f>
        <v/>
      </c>
      <c r="V705">
        <f>HYPERLINK("https://klasma.github.io/Logging_2309/klagomål/A 64300-2021 FSC-klagomål.docx", "A 64300-2021")</f>
        <v/>
      </c>
      <c r="W705">
        <f>HYPERLINK("https://klasma.github.io/Logging_2309/klagomålsmail/A 64300-2021 FSC-klagomål mail.docx", "A 64300-2021")</f>
        <v/>
      </c>
      <c r="X705">
        <f>HYPERLINK("https://klasma.github.io/Logging_2309/tillsyn/A 64300-2021 tillsynsbegäran.docx", "A 64300-2021")</f>
        <v/>
      </c>
      <c r="Y705">
        <f>HYPERLINK("https://klasma.github.io/Logging_2309/tillsynsmail/A 64300-2021 tillsynsbegäran mail.docx", "A 64300-2021")</f>
        <v/>
      </c>
    </row>
    <row r="706" ht="15" customHeight="1">
      <c r="A706" t="inlineStr">
        <is>
          <t>A 68433-2021</t>
        </is>
      </c>
      <c r="B706" s="1" t="n">
        <v>44529</v>
      </c>
      <c r="C706" s="1" t="n">
        <v>45363</v>
      </c>
      <c r="D706" t="inlineStr">
        <is>
          <t>JÄMTLANDS LÄN</t>
        </is>
      </c>
      <c r="E706" t="inlineStr">
        <is>
          <t>BERG</t>
        </is>
      </c>
      <c r="G706" t="n">
        <v>17.9</v>
      </c>
      <c r="H706" t="n">
        <v>0</v>
      </c>
      <c r="I706" t="n">
        <v>0</v>
      </c>
      <c r="J706" t="n">
        <v>3</v>
      </c>
      <c r="K706" t="n">
        <v>0</v>
      </c>
      <c r="L706" t="n">
        <v>0</v>
      </c>
      <c r="M706" t="n">
        <v>0</v>
      </c>
      <c r="N706" t="n">
        <v>0</v>
      </c>
      <c r="O706" t="n">
        <v>3</v>
      </c>
      <c r="P706" t="n">
        <v>0</v>
      </c>
      <c r="Q706" t="n">
        <v>3</v>
      </c>
      <c r="R706" s="2" t="inlineStr">
        <is>
          <t>Doftskinn
Vaddporing
Vedskivlav</t>
        </is>
      </c>
      <c r="S706">
        <f>HYPERLINK("https://klasma.github.io/Logging_2326/artfynd/A 68433-2021 artfynd.xlsx", "A 68433-2021")</f>
        <v/>
      </c>
      <c r="T706">
        <f>HYPERLINK("https://klasma.github.io/Logging_2326/kartor/A 68433-2021 karta.png", "A 68433-2021")</f>
        <v/>
      </c>
      <c r="V706">
        <f>HYPERLINK("https://klasma.github.io/Logging_2326/klagomål/A 68433-2021 FSC-klagomål.docx", "A 68433-2021")</f>
        <v/>
      </c>
      <c r="W706">
        <f>HYPERLINK("https://klasma.github.io/Logging_2326/klagomålsmail/A 68433-2021 FSC-klagomål mail.docx", "A 68433-2021")</f>
        <v/>
      </c>
      <c r="X706">
        <f>HYPERLINK("https://klasma.github.io/Logging_2326/tillsyn/A 68433-2021 tillsynsbegäran.docx", "A 68433-2021")</f>
        <v/>
      </c>
      <c r="Y706">
        <f>HYPERLINK("https://klasma.github.io/Logging_2326/tillsynsmail/A 68433-2021 tillsynsbegäran mail.docx", "A 68433-2021")</f>
        <v/>
      </c>
    </row>
    <row r="707" ht="15" customHeight="1">
      <c r="A707" t="inlineStr">
        <is>
          <t>A 69109-2021</t>
        </is>
      </c>
      <c r="B707" s="1" t="n">
        <v>44530</v>
      </c>
      <c r="C707" s="1" t="n">
        <v>45363</v>
      </c>
      <c r="D707" t="inlineStr">
        <is>
          <t>JÄMTLANDS LÄN</t>
        </is>
      </c>
      <c r="E707" t="inlineStr">
        <is>
          <t>STRÖMSUND</t>
        </is>
      </c>
      <c r="G707" t="n">
        <v>11.6</v>
      </c>
      <c r="H707" t="n">
        <v>0</v>
      </c>
      <c r="I707" t="n">
        <v>3</v>
      </c>
      <c r="J707" t="n">
        <v>0</v>
      </c>
      <c r="K707" t="n">
        <v>0</v>
      </c>
      <c r="L707" t="n">
        <v>0</v>
      </c>
      <c r="M707" t="n">
        <v>0</v>
      </c>
      <c r="N707" t="n">
        <v>0</v>
      </c>
      <c r="O707" t="n">
        <v>0</v>
      </c>
      <c r="P707" t="n">
        <v>0</v>
      </c>
      <c r="Q707" t="n">
        <v>3</v>
      </c>
      <c r="R707" s="2" t="inlineStr">
        <is>
          <t>Nordlig tuffmossa
Skogsbräsma
Sotriska</t>
        </is>
      </c>
      <c r="S707">
        <f>HYPERLINK("https://klasma.github.io/Logging_2313/artfynd/A 69109-2021 artfynd.xlsx", "A 69109-2021")</f>
        <v/>
      </c>
      <c r="T707">
        <f>HYPERLINK("https://klasma.github.io/Logging_2313/kartor/A 69109-2021 karta.png", "A 69109-2021")</f>
        <v/>
      </c>
      <c r="V707">
        <f>HYPERLINK("https://klasma.github.io/Logging_2313/klagomål/A 69109-2021 FSC-klagomål.docx", "A 69109-2021")</f>
        <v/>
      </c>
      <c r="W707">
        <f>HYPERLINK("https://klasma.github.io/Logging_2313/klagomålsmail/A 69109-2021 FSC-klagomål mail.docx", "A 69109-2021")</f>
        <v/>
      </c>
      <c r="X707">
        <f>HYPERLINK("https://klasma.github.io/Logging_2313/tillsyn/A 69109-2021 tillsynsbegäran.docx", "A 69109-2021")</f>
        <v/>
      </c>
      <c r="Y707">
        <f>HYPERLINK("https://klasma.github.io/Logging_2313/tillsynsmail/A 69109-2021 tillsynsbegäran mail.docx", "A 69109-2021")</f>
        <v/>
      </c>
    </row>
    <row r="708" ht="15" customHeight="1">
      <c r="A708" t="inlineStr">
        <is>
          <t>A 71573-2021</t>
        </is>
      </c>
      <c r="B708" s="1" t="n">
        <v>44540</v>
      </c>
      <c r="C708" s="1" t="n">
        <v>45363</v>
      </c>
      <c r="D708" t="inlineStr">
        <is>
          <t>JÄMTLANDS LÄN</t>
        </is>
      </c>
      <c r="E708" t="inlineStr">
        <is>
          <t>KROKOM</t>
        </is>
      </c>
      <c r="G708" t="n">
        <v>1</v>
      </c>
      <c r="H708" t="n">
        <v>0</v>
      </c>
      <c r="I708" t="n">
        <v>2</v>
      </c>
      <c r="J708" t="n">
        <v>1</v>
      </c>
      <c r="K708" t="n">
        <v>0</v>
      </c>
      <c r="L708" t="n">
        <v>0</v>
      </c>
      <c r="M708" t="n">
        <v>0</v>
      </c>
      <c r="N708" t="n">
        <v>0</v>
      </c>
      <c r="O708" t="n">
        <v>1</v>
      </c>
      <c r="P708" t="n">
        <v>0</v>
      </c>
      <c r="Q708" t="n">
        <v>3</v>
      </c>
      <c r="R708" s="2" t="inlineStr">
        <is>
          <t>Doftskinn
Fjällig taggsvamp s.str.
Svavelriska</t>
        </is>
      </c>
      <c r="S708">
        <f>HYPERLINK("https://klasma.github.io/Logging_2309/artfynd/A 71573-2021 artfynd.xlsx", "A 71573-2021")</f>
        <v/>
      </c>
      <c r="T708">
        <f>HYPERLINK("https://klasma.github.io/Logging_2309/kartor/A 71573-2021 karta.png", "A 71573-2021")</f>
        <v/>
      </c>
      <c r="V708">
        <f>HYPERLINK("https://klasma.github.io/Logging_2309/klagomål/A 71573-2021 FSC-klagomål.docx", "A 71573-2021")</f>
        <v/>
      </c>
      <c r="W708">
        <f>HYPERLINK("https://klasma.github.io/Logging_2309/klagomålsmail/A 71573-2021 FSC-klagomål mail.docx", "A 71573-2021")</f>
        <v/>
      </c>
      <c r="X708">
        <f>HYPERLINK("https://klasma.github.io/Logging_2309/tillsyn/A 71573-2021 tillsynsbegäran.docx", "A 71573-2021")</f>
        <v/>
      </c>
      <c r="Y708">
        <f>HYPERLINK("https://klasma.github.io/Logging_2309/tillsynsmail/A 71573-2021 tillsynsbegäran mail.docx", "A 71573-2021")</f>
        <v/>
      </c>
    </row>
    <row r="709" ht="15" customHeight="1">
      <c r="A709" t="inlineStr">
        <is>
          <t>A 72934-2021</t>
        </is>
      </c>
      <c r="B709" s="1" t="n">
        <v>44547</v>
      </c>
      <c r="C709" s="1" t="n">
        <v>45363</v>
      </c>
      <c r="D709" t="inlineStr">
        <is>
          <t>JÄMTLANDS LÄN</t>
        </is>
      </c>
      <c r="E709" t="inlineStr">
        <is>
          <t>ÅRE</t>
        </is>
      </c>
      <c r="G709" t="n">
        <v>31.9</v>
      </c>
      <c r="H709" t="n">
        <v>0</v>
      </c>
      <c r="I709" t="n">
        <v>0</v>
      </c>
      <c r="J709" t="n">
        <v>3</v>
      </c>
      <c r="K709" t="n">
        <v>0</v>
      </c>
      <c r="L709" t="n">
        <v>0</v>
      </c>
      <c r="M709" t="n">
        <v>0</v>
      </c>
      <c r="N709" t="n">
        <v>0</v>
      </c>
      <c r="O709" t="n">
        <v>3</v>
      </c>
      <c r="P709" t="n">
        <v>0</v>
      </c>
      <c r="Q709" t="n">
        <v>3</v>
      </c>
      <c r="R709" s="2" t="inlineStr">
        <is>
          <t>Gränsticka
Skrovellav
Stjärntagging</t>
        </is>
      </c>
      <c r="S709">
        <f>HYPERLINK("https://klasma.github.io/Logging_2321/artfynd/A 72934-2021 artfynd.xlsx", "A 72934-2021")</f>
        <v/>
      </c>
      <c r="T709">
        <f>HYPERLINK("https://klasma.github.io/Logging_2321/kartor/A 72934-2021 karta.png", "A 72934-2021")</f>
        <v/>
      </c>
      <c r="V709">
        <f>HYPERLINK("https://klasma.github.io/Logging_2321/klagomål/A 72934-2021 FSC-klagomål.docx", "A 72934-2021")</f>
        <v/>
      </c>
      <c r="W709">
        <f>HYPERLINK("https://klasma.github.io/Logging_2321/klagomålsmail/A 72934-2021 FSC-klagomål mail.docx", "A 72934-2021")</f>
        <v/>
      </c>
      <c r="X709">
        <f>HYPERLINK("https://klasma.github.io/Logging_2321/tillsyn/A 72934-2021 tillsynsbegäran.docx", "A 72934-2021")</f>
        <v/>
      </c>
      <c r="Y709">
        <f>HYPERLINK("https://klasma.github.io/Logging_2321/tillsynsmail/A 72934-2021 tillsynsbegäran mail.docx", "A 72934-2021")</f>
        <v/>
      </c>
    </row>
    <row r="710" ht="15" customHeight="1">
      <c r="A710" t="inlineStr">
        <is>
          <t>A 73514-2021</t>
        </is>
      </c>
      <c r="B710" s="1" t="n">
        <v>44551</v>
      </c>
      <c r="C710" s="1" t="n">
        <v>45363</v>
      </c>
      <c r="D710" t="inlineStr">
        <is>
          <t>JÄMTLANDS LÄN</t>
        </is>
      </c>
      <c r="E710" t="inlineStr">
        <is>
          <t>STRÖMSUND</t>
        </is>
      </c>
      <c r="G710" t="n">
        <v>3.7</v>
      </c>
      <c r="H710" t="n">
        <v>0</v>
      </c>
      <c r="I710" t="n">
        <v>2</v>
      </c>
      <c r="J710" t="n">
        <v>0</v>
      </c>
      <c r="K710" t="n">
        <v>0</v>
      </c>
      <c r="L710" t="n">
        <v>1</v>
      </c>
      <c r="M710" t="n">
        <v>0</v>
      </c>
      <c r="N710" t="n">
        <v>0</v>
      </c>
      <c r="O710" t="n">
        <v>1</v>
      </c>
      <c r="P710" t="n">
        <v>1</v>
      </c>
      <c r="Q710" t="n">
        <v>3</v>
      </c>
      <c r="R710" s="2" t="inlineStr">
        <is>
          <t>Trolldruvemätare
Kransrams
Svart trolldruva</t>
        </is>
      </c>
      <c r="S710">
        <f>HYPERLINK("https://klasma.github.io/Logging_2313/artfynd/A 73514-2021 artfynd.xlsx", "A 73514-2021")</f>
        <v/>
      </c>
      <c r="T710">
        <f>HYPERLINK("https://klasma.github.io/Logging_2313/kartor/A 73514-2021 karta.png", "A 73514-2021")</f>
        <v/>
      </c>
      <c r="V710">
        <f>HYPERLINK("https://klasma.github.io/Logging_2313/klagomål/A 73514-2021 FSC-klagomål.docx", "A 73514-2021")</f>
        <v/>
      </c>
      <c r="W710">
        <f>HYPERLINK("https://klasma.github.io/Logging_2313/klagomålsmail/A 73514-2021 FSC-klagomål mail.docx", "A 73514-2021")</f>
        <v/>
      </c>
      <c r="X710">
        <f>HYPERLINK("https://klasma.github.io/Logging_2313/tillsyn/A 73514-2021 tillsynsbegäran.docx", "A 73514-2021")</f>
        <v/>
      </c>
      <c r="Y710">
        <f>HYPERLINK("https://klasma.github.io/Logging_2313/tillsynsmail/A 73514-2021 tillsynsbegäran mail.docx", "A 73514-2021")</f>
        <v/>
      </c>
    </row>
    <row r="711" ht="15" customHeight="1">
      <c r="A711" t="inlineStr">
        <is>
          <t>A 4180-2022</t>
        </is>
      </c>
      <c r="B711" s="1" t="n">
        <v>44588</v>
      </c>
      <c r="C711" s="1" t="n">
        <v>45363</v>
      </c>
      <c r="D711" t="inlineStr">
        <is>
          <t>JÄMTLANDS LÄN</t>
        </is>
      </c>
      <c r="E711" t="inlineStr">
        <is>
          <t>BRÄCKE</t>
        </is>
      </c>
      <c r="G711" t="n">
        <v>6.1</v>
      </c>
      <c r="H711" t="n">
        <v>2</v>
      </c>
      <c r="I711" t="n">
        <v>1</v>
      </c>
      <c r="J711" t="n">
        <v>1</v>
      </c>
      <c r="K711" t="n">
        <v>1</v>
      </c>
      <c r="L711" t="n">
        <v>0</v>
      </c>
      <c r="M711" t="n">
        <v>0</v>
      </c>
      <c r="N711" t="n">
        <v>0</v>
      </c>
      <c r="O711" t="n">
        <v>2</v>
      </c>
      <c r="P711" t="n">
        <v>1</v>
      </c>
      <c r="Q711" t="n">
        <v>3</v>
      </c>
      <c r="R711" s="2" t="inlineStr">
        <is>
          <t>Knärot
Skogsfru
Ögonpyrola</t>
        </is>
      </c>
      <c r="S711">
        <f>HYPERLINK("https://klasma.github.io/Logging_2305/artfynd/A 4180-2022 artfynd.xlsx", "A 4180-2022")</f>
        <v/>
      </c>
      <c r="T711">
        <f>HYPERLINK("https://klasma.github.io/Logging_2305/kartor/A 4180-2022 karta.png", "A 4180-2022")</f>
        <v/>
      </c>
      <c r="U711">
        <f>HYPERLINK("https://klasma.github.io/Logging_2305/knärot/A 4180-2022 karta knärot.png", "A 4180-2022")</f>
        <v/>
      </c>
      <c r="V711">
        <f>HYPERLINK("https://klasma.github.io/Logging_2305/klagomål/A 4180-2022 FSC-klagomål.docx", "A 4180-2022")</f>
        <v/>
      </c>
      <c r="W711">
        <f>HYPERLINK("https://klasma.github.io/Logging_2305/klagomålsmail/A 4180-2022 FSC-klagomål mail.docx", "A 4180-2022")</f>
        <v/>
      </c>
      <c r="X711">
        <f>HYPERLINK("https://klasma.github.io/Logging_2305/tillsyn/A 4180-2022 tillsynsbegäran.docx", "A 4180-2022")</f>
        <v/>
      </c>
      <c r="Y711">
        <f>HYPERLINK("https://klasma.github.io/Logging_2305/tillsynsmail/A 4180-2022 tillsynsbegäran mail.docx", "A 4180-2022")</f>
        <v/>
      </c>
    </row>
    <row r="712" ht="15" customHeight="1">
      <c r="A712" t="inlineStr">
        <is>
          <t>A 11002-2022</t>
        </is>
      </c>
      <c r="B712" s="1" t="n">
        <v>44628</v>
      </c>
      <c r="C712" s="1" t="n">
        <v>45363</v>
      </c>
      <c r="D712" t="inlineStr">
        <is>
          <t>JÄMTLANDS LÄN</t>
        </is>
      </c>
      <c r="E712" t="inlineStr">
        <is>
          <t>BRÄCKE</t>
        </is>
      </c>
      <c r="G712" t="n">
        <v>8.5</v>
      </c>
      <c r="H712" t="n">
        <v>0</v>
      </c>
      <c r="I712" t="n">
        <v>1</v>
      </c>
      <c r="J712" t="n">
        <v>1</v>
      </c>
      <c r="K712" t="n">
        <v>1</v>
      </c>
      <c r="L712" t="n">
        <v>0</v>
      </c>
      <c r="M712" t="n">
        <v>0</v>
      </c>
      <c r="N712" t="n">
        <v>0</v>
      </c>
      <c r="O712" t="n">
        <v>2</v>
      </c>
      <c r="P712" t="n">
        <v>1</v>
      </c>
      <c r="Q712" t="n">
        <v>3</v>
      </c>
      <c r="R712" s="2" t="inlineStr">
        <is>
          <t>Rynkskinn
Vitgrynig nållav
Svavelriska</t>
        </is>
      </c>
      <c r="S712">
        <f>HYPERLINK("https://klasma.github.io/Logging_2305/artfynd/A 11002-2022 artfynd.xlsx", "A 11002-2022")</f>
        <v/>
      </c>
      <c r="T712">
        <f>HYPERLINK("https://klasma.github.io/Logging_2305/kartor/A 11002-2022 karta.png", "A 11002-2022")</f>
        <v/>
      </c>
      <c r="V712">
        <f>HYPERLINK("https://klasma.github.io/Logging_2305/klagomål/A 11002-2022 FSC-klagomål.docx", "A 11002-2022")</f>
        <v/>
      </c>
      <c r="W712">
        <f>HYPERLINK("https://klasma.github.io/Logging_2305/klagomålsmail/A 11002-2022 FSC-klagomål mail.docx", "A 11002-2022")</f>
        <v/>
      </c>
      <c r="X712">
        <f>HYPERLINK("https://klasma.github.io/Logging_2305/tillsyn/A 11002-2022 tillsynsbegäran.docx", "A 11002-2022")</f>
        <v/>
      </c>
      <c r="Y712">
        <f>HYPERLINK("https://klasma.github.io/Logging_2305/tillsynsmail/A 11002-2022 tillsynsbegäran mail.docx", "A 11002-2022")</f>
        <v/>
      </c>
    </row>
    <row r="713" ht="15" customHeight="1">
      <c r="A713" t="inlineStr">
        <is>
          <t>A 12019-2022</t>
        </is>
      </c>
      <c r="B713" s="1" t="n">
        <v>44635</v>
      </c>
      <c r="C713" s="1" t="n">
        <v>45363</v>
      </c>
      <c r="D713" t="inlineStr">
        <is>
          <t>JÄMTLANDS LÄN</t>
        </is>
      </c>
      <c r="E713" t="inlineStr">
        <is>
          <t>STRÖMSUND</t>
        </is>
      </c>
      <c r="F713" t="inlineStr">
        <is>
          <t>SCA</t>
        </is>
      </c>
      <c r="G713" t="n">
        <v>3.1</v>
      </c>
      <c r="H713" t="n">
        <v>1</v>
      </c>
      <c r="I713" t="n">
        <v>1</v>
      </c>
      <c r="J713" t="n">
        <v>1</v>
      </c>
      <c r="K713" t="n">
        <v>0</v>
      </c>
      <c r="L713" t="n">
        <v>0</v>
      </c>
      <c r="M713" t="n">
        <v>0</v>
      </c>
      <c r="N713" t="n">
        <v>0</v>
      </c>
      <c r="O713" t="n">
        <v>1</v>
      </c>
      <c r="P713" t="n">
        <v>0</v>
      </c>
      <c r="Q713" t="n">
        <v>3</v>
      </c>
      <c r="R713" s="2" t="inlineStr">
        <is>
          <t>Harticka
Kransrams
Fläcknycklar</t>
        </is>
      </c>
      <c r="S713">
        <f>HYPERLINK("https://klasma.github.io/Logging_2313/artfynd/A 12019-2022 artfynd.xlsx", "A 12019-2022")</f>
        <v/>
      </c>
      <c r="T713">
        <f>HYPERLINK("https://klasma.github.io/Logging_2313/kartor/A 12019-2022 karta.png", "A 12019-2022")</f>
        <v/>
      </c>
      <c r="V713">
        <f>HYPERLINK("https://klasma.github.io/Logging_2313/klagomål/A 12019-2022 FSC-klagomål.docx", "A 12019-2022")</f>
        <v/>
      </c>
      <c r="W713">
        <f>HYPERLINK("https://klasma.github.io/Logging_2313/klagomålsmail/A 12019-2022 FSC-klagomål mail.docx", "A 12019-2022")</f>
        <v/>
      </c>
      <c r="X713">
        <f>HYPERLINK("https://klasma.github.io/Logging_2313/tillsyn/A 12019-2022 tillsynsbegäran.docx", "A 12019-2022")</f>
        <v/>
      </c>
      <c r="Y713">
        <f>HYPERLINK("https://klasma.github.io/Logging_2313/tillsynsmail/A 12019-2022 tillsynsbegäran mail.docx", "A 12019-2022")</f>
        <v/>
      </c>
    </row>
    <row r="714" ht="15" customHeight="1">
      <c r="A714" t="inlineStr">
        <is>
          <t>A 12269-2022</t>
        </is>
      </c>
      <c r="B714" s="1" t="n">
        <v>44637</v>
      </c>
      <c r="C714" s="1" t="n">
        <v>45363</v>
      </c>
      <c r="D714" t="inlineStr">
        <is>
          <t>JÄMTLANDS LÄN</t>
        </is>
      </c>
      <c r="E714" t="inlineStr">
        <is>
          <t>ÅRE</t>
        </is>
      </c>
      <c r="G714" t="n">
        <v>16.6</v>
      </c>
      <c r="H714" t="n">
        <v>0</v>
      </c>
      <c r="I714" t="n">
        <v>0</v>
      </c>
      <c r="J714" t="n">
        <v>3</v>
      </c>
      <c r="K714" t="n">
        <v>0</v>
      </c>
      <c r="L714" t="n">
        <v>0</v>
      </c>
      <c r="M714" t="n">
        <v>0</v>
      </c>
      <c r="N714" t="n">
        <v>0</v>
      </c>
      <c r="O714" t="n">
        <v>3</v>
      </c>
      <c r="P714" t="n">
        <v>0</v>
      </c>
      <c r="Q714" t="n">
        <v>3</v>
      </c>
      <c r="R714" s="2" t="inlineStr">
        <is>
          <t>Gammelgransskål
Granticka
Knottrig blåslav</t>
        </is>
      </c>
      <c r="S714">
        <f>HYPERLINK("https://klasma.github.io/Logging_2321/artfynd/A 12269-2022 artfynd.xlsx", "A 12269-2022")</f>
        <v/>
      </c>
      <c r="T714">
        <f>HYPERLINK("https://klasma.github.io/Logging_2321/kartor/A 12269-2022 karta.png", "A 12269-2022")</f>
        <v/>
      </c>
      <c r="V714">
        <f>HYPERLINK("https://klasma.github.io/Logging_2321/klagomål/A 12269-2022 FSC-klagomål.docx", "A 12269-2022")</f>
        <v/>
      </c>
      <c r="W714">
        <f>HYPERLINK("https://klasma.github.io/Logging_2321/klagomålsmail/A 12269-2022 FSC-klagomål mail.docx", "A 12269-2022")</f>
        <v/>
      </c>
      <c r="X714">
        <f>HYPERLINK("https://klasma.github.io/Logging_2321/tillsyn/A 12269-2022 tillsynsbegäran.docx", "A 12269-2022")</f>
        <v/>
      </c>
      <c r="Y714">
        <f>HYPERLINK("https://klasma.github.io/Logging_2321/tillsynsmail/A 12269-2022 tillsynsbegäran mail.docx", "A 12269-2022")</f>
        <v/>
      </c>
    </row>
    <row r="715" ht="15" customHeight="1">
      <c r="A715" t="inlineStr">
        <is>
          <t>A 21006-2022</t>
        </is>
      </c>
      <c r="B715" s="1" t="n">
        <v>44701</v>
      </c>
      <c r="C715" s="1" t="n">
        <v>45363</v>
      </c>
      <c r="D715" t="inlineStr">
        <is>
          <t>JÄMTLANDS LÄN</t>
        </is>
      </c>
      <c r="E715" t="inlineStr">
        <is>
          <t>ÅRE</t>
        </is>
      </c>
      <c r="G715" t="n">
        <v>5.5</v>
      </c>
      <c r="H715" t="n">
        <v>1</v>
      </c>
      <c r="I715" t="n">
        <v>0</v>
      </c>
      <c r="J715" t="n">
        <v>3</v>
      </c>
      <c r="K715" t="n">
        <v>0</v>
      </c>
      <c r="L715" t="n">
        <v>0</v>
      </c>
      <c r="M715" t="n">
        <v>0</v>
      </c>
      <c r="N715" t="n">
        <v>0</v>
      </c>
      <c r="O715" t="n">
        <v>3</v>
      </c>
      <c r="P715" t="n">
        <v>0</v>
      </c>
      <c r="Q715" t="n">
        <v>3</v>
      </c>
      <c r="R715" s="2" t="inlineStr">
        <is>
          <t>Gammelgransskål
Granticka
Tretåig hackspett</t>
        </is>
      </c>
      <c r="S715">
        <f>HYPERLINK("https://klasma.github.io/Logging_2321/artfynd/A 21006-2022 artfynd.xlsx", "A 21006-2022")</f>
        <v/>
      </c>
      <c r="T715">
        <f>HYPERLINK("https://klasma.github.io/Logging_2321/kartor/A 21006-2022 karta.png", "A 21006-2022")</f>
        <v/>
      </c>
      <c r="V715">
        <f>HYPERLINK("https://klasma.github.io/Logging_2321/klagomål/A 21006-2022 FSC-klagomål.docx", "A 21006-2022")</f>
        <v/>
      </c>
      <c r="W715">
        <f>HYPERLINK("https://klasma.github.io/Logging_2321/klagomålsmail/A 21006-2022 FSC-klagomål mail.docx", "A 21006-2022")</f>
        <v/>
      </c>
      <c r="X715">
        <f>HYPERLINK("https://klasma.github.io/Logging_2321/tillsyn/A 21006-2022 tillsynsbegäran.docx", "A 21006-2022")</f>
        <v/>
      </c>
      <c r="Y715">
        <f>HYPERLINK("https://klasma.github.io/Logging_2321/tillsynsmail/A 21006-2022 tillsynsbegäran mail.docx", "A 21006-2022")</f>
        <v/>
      </c>
      <c r="Z715">
        <f>HYPERLINK("https://klasma.github.io/Logging_2321/fåglar/A 21006-2022 prioriterade fågelarter.docx", "A 21006-2022")</f>
        <v/>
      </c>
    </row>
    <row r="716" ht="15" customHeight="1">
      <c r="A716" t="inlineStr">
        <is>
          <t>A 27025-2022</t>
        </is>
      </c>
      <c r="B716" s="1" t="n">
        <v>44740</v>
      </c>
      <c r="C716" s="1" t="n">
        <v>45363</v>
      </c>
      <c r="D716" t="inlineStr">
        <is>
          <t>JÄMTLANDS LÄN</t>
        </is>
      </c>
      <c r="E716" t="inlineStr">
        <is>
          <t>RAGUNDA</t>
        </is>
      </c>
      <c r="G716" t="n">
        <v>5.8</v>
      </c>
      <c r="H716" t="n">
        <v>0</v>
      </c>
      <c r="I716" t="n">
        <v>1</v>
      </c>
      <c r="J716" t="n">
        <v>2</v>
      </c>
      <c r="K716" t="n">
        <v>0</v>
      </c>
      <c r="L716" t="n">
        <v>0</v>
      </c>
      <c r="M716" t="n">
        <v>0</v>
      </c>
      <c r="N716" t="n">
        <v>0</v>
      </c>
      <c r="O716" t="n">
        <v>2</v>
      </c>
      <c r="P716" t="n">
        <v>0</v>
      </c>
      <c r="Q716" t="n">
        <v>3</v>
      </c>
      <c r="R716" s="2" t="inlineStr">
        <is>
          <t>Blanksvart spiklav
Kortskaftad ärgspik
Dropptaggsvamp</t>
        </is>
      </c>
      <c r="S716">
        <f>HYPERLINK("https://klasma.github.io/Logging_2303/artfynd/A 27025-2022 artfynd.xlsx", "A 27025-2022")</f>
        <v/>
      </c>
      <c r="T716">
        <f>HYPERLINK("https://klasma.github.io/Logging_2303/kartor/A 27025-2022 karta.png", "A 27025-2022")</f>
        <v/>
      </c>
      <c r="V716">
        <f>HYPERLINK("https://klasma.github.io/Logging_2303/klagomål/A 27025-2022 FSC-klagomål.docx", "A 27025-2022")</f>
        <v/>
      </c>
      <c r="W716">
        <f>HYPERLINK("https://klasma.github.io/Logging_2303/klagomålsmail/A 27025-2022 FSC-klagomål mail.docx", "A 27025-2022")</f>
        <v/>
      </c>
      <c r="X716">
        <f>HYPERLINK("https://klasma.github.io/Logging_2303/tillsyn/A 27025-2022 tillsynsbegäran.docx", "A 27025-2022")</f>
        <v/>
      </c>
      <c r="Y716">
        <f>HYPERLINK("https://klasma.github.io/Logging_2303/tillsynsmail/A 27025-2022 tillsynsbegäran mail.docx", "A 27025-2022")</f>
        <v/>
      </c>
    </row>
    <row r="717" ht="15" customHeight="1">
      <c r="A717" t="inlineStr">
        <is>
          <t>A 28288-2022</t>
        </is>
      </c>
      <c r="B717" s="1" t="n">
        <v>44746</v>
      </c>
      <c r="C717" s="1" t="n">
        <v>45363</v>
      </c>
      <c r="D717" t="inlineStr">
        <is>
          <t>JÄMTLANDS LÄN</t>
        </is>
      </c>
      <c r="E717" t="inlineStr">
        <is>
          <t>STRÖMSUND</t>
        </is>
      </c>
      <c r="F717" t="inlineStr">
        <is>
          <t>SCA</t>
        </is>
      </c>
      <c r="G717" t="n">
        <v>12.8</v>
      </c>
      <c r="H717" t="n">
        <v>0</v>
      </c>
      <c r="I717" t="n">
        <v>0</v>
      </c>
      <c r="J717" t="n">
        <v>3</v>
      </c>
      <c r="K717" t="n">
        <v>0</v>
      </c>
      <c r="L717" t="n">
        <v>0</v>
      </c>
      <c r="M717" t="n">
        <v>0</v>
      </c>
      <c r="N717" t="n">
        <v>0</v>
      </c>
      <c r="O717" t="n">
        <v>3</v>
      </c>
      <c r="P717" t="n">
        <v>0</v>
      </c>
      <c r="Q717" t="n">
        <v>3</v>
      </c>
      <c r="R717" s="2" t="inlineStr">
        <is>
          <t>Gammelgransskål
Skrovellav
Ullticka</t>
        </is>
      </c>
      <c r="S717">
        <f>HYPERLINK("https://klasma.github.io/Logging_2313/artfynd/A 28288-2022 artfynd.xlsx", "A 28288-2022")</f>
        <v/>
      </c>
      <c r="T717">
        <f>HYPERLINK("https://klasma.github.io/Logging_2313/kartor/A 28288-2022 karta.png", "A 28288-2022")</f>
        <v/>
      </c>
      <c r="V717">
        <f>HYPERLINK("https://klasma.github.io/Logging_2313/klagomål/A 28288-2022 FSC-klagomål.docx", "A 28288-2022")</f>
        <v/>
      </c>
      <c r="W717">
        <f>HYPERLINK("https://klasma.github.io/Logging_2313/klagomålsmail/A 28288-2022 FSC-klagomål mail.docx", "A 28288-2022")</f>
        <v/>
      </c>
      <c r="X717">
        <f>HYPERLINK("https://klasma.github.io/Logging_2313/tillsyn/A 28288-2022 tillsynsbegäran.docx", "A 28288-2022")</f>
        <v/>
      </c>
      <c r="Y717">
        <f>HYPERLINK("https://klasma.github.io/Logging_2313/tillsynsmail/A 28288-2022 tillsynsbegäran mail.docx", "A 28288-2022")</f>
        <v/>
      </c>
    </row>
    <row r="718" ht="15" customHeight="1">
      <c r="A718" t="inlineStr">
        <is>
          <t>A 28492-2022</t>
        </is>
      </c>
      <c r="B718" s="1" t="n">
        <v>44747</v>
      </c>
      <c r="C718" s="1" t="n">
        <v>45363</v>
      </c>
      <c r="D718" t="inlineStr">
        <is>
          <t>JÄMTLANDS LÄN</t>
        </is>
      </c>
      <c r="E718" t="inlineStr">
        <is>
          <t>STRÖMSUND</t>
        </is>
      </c>
      <c r="F718" t="inlineStr">
        <is>
          <t>SCA</t>
        </is>
      </c>
      <c r="G718" t="n">
        <v>2</v>
      </c>
      <c r="H718" t="n">
        <v>0</v>
      </c>
      <c r="I718" t="n">
        <v>1</v>
      </c>
      <c r="J718" t="n">
        <v>2</v>
      </c>
      <c r="K718" t="n">
        <v>0</v>
      </c>
      <c r="L718" t="n">
        <v>0</v>
      </c>
      <c r="M718" t="n">
        <v>0</v>
      </c>
      <c r="N718" t="n">
        <v>0</v>
      </c>
      <c r="O718" t="n">
        <v>2</v>
      </c>
      <c r="P718" t="n">
        <v>0</v>
      </c>
      <c r="Q718" t="n">
        <v>3</v>
      </c>
      <c r="R718" s="2" t="inlineStr">
        <is>
          <t>Lunglav
Skrovellav
Stuplav</t>
        </is>
      </c>
      <c r="S718">
        <f>HYPERLINK("https://klasma.github.io/Logging_2313/artfynd/A 28492-2022 artfynd.xlsx", "A 28492-2022")</f>
        <v/>
      </c>
      <c r="T718">
        <f>HYPERLINK("https://klasma.github.io/Logging_2313/kartor/A 28492-2022 karta.png", "A 28492-2022")</f>
        <v/>
      </c>
      <c r="V718">
        <f>HYPERLINK("https://klasma.github.io/Logging_2313/klagomål/A 28492-2022 FSC-klagomål.docx", "A 28492-2022")</f>
        <v/>
      </c>
      <c r="W718">
        <f>HYPERLINK("https://klasma.github.io/Logging_2313/klagomålsmail/A 28492-2022 FSC-klagomål mail.docx", "A 28492-2022")</f>
        <v/>
      </c>
      <c r="X718">
        <f>HYPERLINK("https://klasma.github.io/Logging_2313/tillsyn/A 28492-2022 tillsynsbegäran.docx", "A 28492-2022")</f>
        <v/>
      </c>
      <c r="Y718">
        <f>HYPERLINK("https://klasma.github.io/Logging_2313/tillsynsmail/A 28492-2022 tillsynsbegäran mail.docx", "A 28492-2022")</f>
        <v/>
      </c>
    </row>
    <row r="719" ht="15" customHeight="1">
      <c r="A719" t="inlineStr">
        <is>
          <t>A 29349-2022</t>
        </is>
      </c>
      <c r="B719" s="1" t="n">
        <v>44750</v>
      </c>
      <c r="C719" s="1" t="n">
        <v>45363</v>
      </c>
      <c r="D719" t="inlineStr">
        <is>
          <t>JÄMTLANDS LÄN</t>
        </is>
      </c>
      <c r="E719" t="inlineStr">
        <is>
          <t>ÖSTERSUND</t>
        </is>
      </c>
      <c r="G719" t="n">
        <v>9.9</v>
      </c>
      <c r="H719" t="n">
        <v>1</v>
      </c>
      <c r="I719" t="n">
        <v>3</v>
      </c>
      <c r="J719" t="n">
        <v>0</v>
      </c>
      <c r="K719" t="n">
        <v>0</v>
      </c>
      <c r="L719" t="n">
        <v>0</v>
      </c>
      <c r="M719" t="n">
        <v>0</v>
      </c>
      <c r="N719" t="n">
        <v>0</v>
      </c>
      <c r="O719" t="n">
        <v>0</v>
      </c>
      <c r="P719" t="n">
        <v>0</v>
      </c>
      <c r="Q719" t="n">
        <v>3</v>
      </c>
      <c r="R719" s="2" t="inlineStr">
        <is>
          <t>Finbräken
Grönkulla
Kransrams</t>
        </is>
      </c>
      <c r="S719">
        <f>HYPERLINK("https://klasma.github.io/Logging_2380/artfynd/A 29349-2022 artfynd.xlsx", "A 29349-2022")</f>
        <v/>
      </c>
      <c r="T719">
        <f>HYPERLINK("https://klasma.github.io/Logging_2380/kartor/A 29349-2022 karta.png", "A 29349-2022")</f>
        <v/>
      </c>
      <c r="V719">
        <f>HYPERLINK("https://klasma.github.io/Logging_2380/klagomål/A 29349-2022 FSC-klagomål.docx", "A 29349-2022")</f>
        <v/>
      </c>
      <c r="W719">
        <f>HYPERLINK("https://klasma.github.io/Logging_2380/klagomålsmail/A 29349-2022 FSC-klagomål mail.docx", "A 29349-2022")</f>
        <v/>
      </c>
      <c r="X719">
        <f>HYPERLINK("https://klasma.github.io/Logging_2380/tillsyn/A 29349-2022 tillsynsbegäran.docx", "A 29349-2022")</f>
        <v/>
      </c>
      <c r="Y719">
        <f>HYPERLINK("https://klasma.github.io/Logging_2380/tillsynsmail/A 29349-2022 tillsynsbegäran mail.docx", "A 29349-2022")</f>
        <v/>
      </c>
    </row>
    <row r="720" ht="15" customHeight="1">
      <c r="A720" t="inlineStr">
        <is>
          <t>A 30068-2022</t>
        </is>
      </c>
      <c r="B720" s="1" t="n">
        <v>44757</v>
      </c>
      <c r="C720" s="1" t="n">
        <v>45363</v>
      </c>
      <c r="D720" t="inlineStr">
        <is>
          <t>JÄMTLANDS LÄN</t>
        </is>
      </c>
      <c r="E720" t="inlineStr">
        <is>
          <t>KROKOM</t>
        </is>
      </c>
      <c r="G720" t="n">
        <v>5</v>
      </c>
      <c r="H720" t="n">
        <v>1</v>
      </c>
      <c r="I720" t="n">
        <v>0</v>
      </c>
      <c r="J720" t="n">
        <v>3</v>
      </c>
      <c r="K720" t="n">
        <v>0</v>
      </c>
      <c r="L720" t="n">
        <v>0</v>
      </c>
      <c r="M720" t="n">
        <v>0</v>
      </c>
      <c r="N720" t="n">
        <v>0</v>
      </c>
      <c r="O720" t="n">
        <v>3</v>
      </c>
      <c r="P720" t="n">
        <v>0</v>
      </c>
      <c r="Q720" t="n">
        <v>3</v>
      </c>
      <c r="R720" s="2" t="inlineStr">
        <is>
          <t>Gränsticka
Tretåig hackspett
Ullticka</t>
        </is>
      </c>
      <c r="S720">
        <f>HYPERLINK("https://klasma.github.io/Logging_2309/artfynd/A 30068-2022 artfynd.xlsx", "A 30068-2022")</f>
        <v/>
      </c>
      <c r="T720">
        <f>HYPERLINK("https://klasma.github.io/Logging_2309/kartor/A 30068-2022 karta.png", "A 30068-2022")</f>
        <v/>
      </c>
      <c r="V720">
        <f>HYPERLINK("https://klasma.github.io/Logging_2309/klagomål/A 30068-2022 FSC-klagomål.docx", "A 30068-2022")</f>
        <v/>
      </c>
      <c r="W720">
        <f>HYPERLINK("https://klasma.github.io/Logging_2309/klagomålsmail/A 30068-2022 FSC-klagomål mail.docx", "A 30068-2022")</f>
        <v/>
      </c>
      <c r="X720">
        <f>HYPERLINK("https://klasma.github.io/Logging_2309/tillsyn/A 30068-2022 tillsynsbegäran.docx", "A 30068-2022")</f>
        <v/>
      </c>
      <c r="Y720">
        <f>HYPERLINK("https://klasma.github.io/Logging_2309/tillsynsmail/A 30068-2022 tillsynsbegäran mail.docx", "A 30068-2022")</f>
        <v/>
      </c>
      <c r="Z720">
        <f>HYPERLINK("https://klasma.github.io/Logging_2309/fåglar/A 30068-2022 prioriterade fågelarter.docx", "A 30068-2022")</f>
        <v/>
      </c>
    </row>
    <row r="721" ht="15" customHeight="1">
      <c r="A721" t="inlineStr">
        <is>
          <t>A 30069-2022</t>
        </is>
      </c>
      <c r="B721" s="1" t="n">
        <v>44757</v>
      </c>
      <c r="C721" s="1" t="n">
        <v>45363</v>
      </c>
      <c r="D721" t="inlineStr">
        <is>
          <t>JÄMTLANDS LÄN</t>
        </is>
      </c>
      <c r="E721" t="inlineStr">
        <is>
          <t>KROKOM</t>
        </is>
      </c>
      <c r="G721" t="n">
        <v>0.7</v>
      </c>
      <c r="H721" t="n">
        <v>1</v>
      </c>
      <c r="I721" t="n">
        <v>0</v>
      </c>
      <c r="J721" t="n">
        <v>2</v>
      </c>
      <c r="K721" t="n">
        <v>1</v>
      </c>
      <c r="L721" t="n">
        <v>0</v>
      </c>
      <c r="M721" t="n">
        <v>0</v>
      </c>
      <c r="N721" t="n">
        <v>0</v>
      </c>
      <c r="O721" t="n">
        <v>3</v>
      </c>
      <c r="P721" t="n">
        <v>1</v>
      </c>
      <c r="Q721" t="n">
        <v>3</v>
      </c>
      <c r="R721" s="2" t="inlineStr">
        <is>
          <t>Rynkskinn
Granticka
Tretåig hackspett</t>
        </is>
      </c>
      <c r="S721">
        <f>HYPERLINK("https://klasma.github.io/Logging_2309/artfynd/A 30069-2022 artfynd.xlsx", "A 30069-2022")</f>
        <v/>
      </c>
      <c r="T721">
        <f>HYPERLINK("https://klasma.github.io/Logging_2309/kartor/A 30069-2022 karta.png", "A 30069-2022")</f>
        <v/>
      </c>
      <c r="V721">
        <f>HYPERLINK("https://klasma.github.io/Logging_2309/klagomål/A 30069-2022 FSC-klagomål.docx", "A 30069-2022")</f>
        <v/>
      </c>
      <c r="W721">
        <f>HYPERLINK("https://klasma.github.io/Logging_2309/klagomålsmail/A 30069-2022 FSC-klagomål mail.docx", "A 30069-2022")</f>
        <v/>
      </c>
      <c r="X721">
        <f>HYPERLINK("https://klasma.github.io/Logging_2309/tillsyn/A 30069-2022 tillsynsbegäran.docx", "A 30069-2022")</f>
        <v/>
      </c>
      <c r="Y721">
        <f>HYPERLINK("https://klasma.github.io/Logging_2309/tillsynsmail/A 30069-2022 tillsynsbegäran mail.docx", "A 30069-2022")</f>
        <v/>
      </c>
      <c r="Z721">
        <f>HYPERLINK("https://klasma.github.io/Logging_2309/fåglar/A 30069-2022 prioriterade fågelarter.docx", "A 30069-2022")</f>
        <v/>
      </c>
    </row>
    <row r="722" ht="15" customHeight="1">
      <c r="A722" t="inlineStr">
        <is>
          <t>A 33914-2022</t>
        </is>
      </c>
      <c r="B722" s="1" t="n">
        <v>44790</v>
      </c>
      <c r="C722" s="1" t="n">
        <v>45363</v>
      </c>
      <c r="D722" t="inlineStr">
        <is>
          <t>JÄMTLANDS LÄN</t>
        </is>
      </c>
      <c r="E722" t="inlineStr">
        <is>
          <t>HÄRJEDALEN</t>
        </is>
      </c>
      <c r="F722" t="inlineStr">
        <is>
          <t>Bergvik skog väst AB</t>
        </is>
      </c>
      <c r="G722" t="n">
        <v>38.1</v>
      </c>
      <c r="H722" t="n">
        <v>3</v>
      </c>
      <c r="I722" t="n">
        <v>0</v>
      </c>
      <c r="J722" t="n">
        <v>2</v>
      </c>
      <c r="K722" t="n">
        <v>0</v>
      </c>
      <c r="L722" t="n">
        <v>0</v>
      </c>
      <c r="M722" t="n">
        <v>0</v>
      </c>
      <c r="N722" t="n">
        <v>0</v>
      </c>
      <c r="O722" t="n">
        <v>2</v>
      </c>
      <c r="P722" t="n">
        <v>0</v>
      </c>
      <c r="Q722" t="n">
        <v>3</v>
      </c>
      <c r="R722" s="2" t="inlineStr">
        <is>
          <t>Spillkråka
Tretåig hackspett
Lavskrika</t>
        </is>
      </c>
      <c r="S722">
        <f>HYPERLINK("https://klasma.github.io/Logging_2361/artfynd/A 33914-2022 artfynd.xlsx", "A 33914-2022")</f>
        <v/>
      </c>
      <c r="T722">
        <f>HYPERLINK("https://klasma.github.io/Logging_2361/kartor/A 33914-2022 karta.png", "A 33914-2022")</f>
        <v/>
      </c>
      <c r="V722">
        <f>HYPERLINK("https://klasma.github.io/Logging_2361/klagomål/A 33914-2022 FSC-klagomål.docx", "A 33914-2022")</f>
        <v/>
      </c>
      <c r="W722">
        <f>HYPERLINK("https://klasma.github.io/Logging_2361/klagomålsmail/A 33914-2022 FSC-klagomål mail.docx", "A 33914-2022")</f>
        <v/>
      </c>
      <c r="X722">
        <f>HYPERLINK("https://klasma.github.io/Logging_2361/tillsyn/A 33914-2022 tillsynsbegäran.docx", "A 33914-2022")</f>
        <v/>
      </c>
      <c r="Y722">
        <f>HYPERLINK("https://klasma.github.io/Logging_2361/tillsynsmail/A 33914-2022 tillsynsbegäran mail.docx", "A 33914-2022")</f>
        <v/>
      </c>
      <c r="Z722">
        <f>HYPERLINK("https://klasma.github.io/Logging_2361/fåglar/A 33914-2022 prioriterade fågelarter.docx", "A 33914-2022")</f>
        <v/>
      </c>
    </row>
    <row r="723" ht="15" customHeight="1">
      <c r="A723" t="inlineStr">
        <is>
          <t>A 34035-2022</t>
        </is>
      </c>
      <c r="B723" s="1" t="n">
        <v>44791</v>
      </c>
      <c r="C723" s="1" t="n">
        <v>45363</v>
      </c>
      <c r="D723" t="inlineStr">
        <is>
          <t>JÄMTLANDS LÄN</t>
        </is>
      </c>
      <c r="E723" t="inlineStr">
        <is>
          <t>HÄRJEDALEN</t>
        </is>
      </c>
      <c r="F723" t="inlineStr">
        <is>
          <t>Naturvårdsverket</t>
        </is>
      </c>
      <c r="G723" t="n">
        <v>27.4</v>
      </c>
      <c r="H723" t="n">
        <v>0</v>
      </c>
      <c r="I723" t="n">
        <v>0</v>
      </c>
      <c r="J723" t="n">
        <v>3</v>
      </c>
      <c r="K723" t="n">
        <v>0</v>
      </c>
      <c r="L723" t="n">
        <v>0</v>
      </c>
      <c r="M723" t="n">
        <v>0</v>
      </c>
      <c r="N723" t="n">
        <v>0</v>
      </c>
      <c r="O723" t="n">
        <v>3</v>
      </c>
      <c r="P723" t="n">
        <v>0</v>
      </c>
      <c r="Q723" t="n">
        <v>3</v>
      </c>
      <c r="R723" s="2" t="inlineStr">
        <is>
          <t>Gammelgransskål
Garnlav
Gränsticka</t>
        </is>
      </c>
      <c r="S723">
        <f>HYPERLINK("https://klasma.github.io/Logging_2361/artfynd/A 34035-2022 artfynd.xlsx", "A 34035-2022")</f>
        <v/>
      </c>
      <c r="T723">
        <f>HYPERLINK("https://klasma.github.io/Logging_2361/kartor/A 34035-2022 karta.png", "A 34035-2022")</f>
        <v/>
      </c>
      <c r="V723">
        <f>HYPERLINK("https://klasma.github.io/Logging_2361/klagomål/A 34035-2022 FSC-klagomål.docx", "A 34035-2022")</f>
        <v/>
      </c>
      <c r="W723">
        <f>HYPERLINK("https://klasma.github.io/Logging_2361/klagomålsmail/A 34035-2022 FSC-klagomål mail.docx", "A 34035-2022")</f>
        <v/>
      </c>
      <c r="X723">
        <f>HYPERLINK("https://klasma.github.io/Logging_2361/tillsyn/A 34035-2022 tillsynsbegäran.docx", "A 34035-2022")</f>
        <v/>
      </c>
      <c r="Y723">
        <f>HYPERLINK("https://klasma.github.io/Logging_2361/tillsynsmail/A 34035-2022 tillsynsbegäran mail.docx", "A 34035-2022")</f>
        <v/>
      </c>
    </row>
    <row r="724" ht="15" customHeight="1">
      <c r="A724" t="inlineStr">
        <is>
          <t>A 39641-2022</t>
        </is>
      </c>
      <c r="B724" s="1" t="n">
        <v>44817</v>
      </c>
      <c r="C724" s="1" t="n">
        <v>45363</v>
      </c>
      <c r="D724" t="inlineStr">
        <is>
          <t>JÄMTLANDS LÄN</t>
        </is>
      </c>
      <c r="E724" t="inlineStr">
        <is>
          <t>ÖSTERSUND</t>
        </is>
      </c>
      <c r="G724" t="n">
        <v>6</v>
      </c>
      <c r="H724" t="n">
        <v>2</v>
      </c>
      <c r="I724" t="n">
        <v>1</v>
      </c>
      <c r="J724" t="n">
        <v>1</v>
      </c>
      <c r="K724" t="n">
        <v>1</v>
      </c>
      <c r="L724" t="n">
        <v>0</v>
      </c>
      <c r="M724" t="n">
        <v>0</v>
      </c>
      <c r="N724" t="n">
        <v>0</v>
      </c>
      <c r="O724" t="n">
        <v>2</v>
      </c>
      <c r="P724" t="n">
        <v>1</v>
      </c>
      <c r="Q724" t="n">
        <v>3</v>
      </c>
      <c r="R724" s="2" t="inlineStr">
        <is>
          <t>Knärot
Tretåig hackspett
Kransrams</t>
        </is>
      </c>
      <c r="S724">
        <f>HYPERLINK("https://klasma.github.io/Logging_2380/artfynd/A 39641-2022 artfynd.xlsx", "A 39641-2022")</f>
        <v/>
      </c>
      <c r="T724">
        <f>HYPERLINK("https://klasma.github.io/Logging_2380/kartor/A 39641-2022 karta.png", "A 39641-2022")</f>
        <v/>
      </c>
      <c r="U724">
        <f>HYPERLINK("https://klasma.github.io/Logging_2380/knärot/A 39641-2022 karta knärot.png", "A 39641-2022")</f>
        <v/>
      </c>
      <c r="V724">
        <f>HYPERLINK("https://klasma.github.io/Logging_2380/klagomål/A 39641-2022 FSC-klagomål.docx", "A 39641-2022")</f>
        <v/>
      </c>
      <c r="W724">
        <f>HYPERLINK("https://klasma.github.io/Logging_2380/klagomålsmail/A 39641-2022 FSC-klagomål mail.docx", "A 39641-2022")</f>
        <v/>
      </c>
      <c r="X724">
        <f>HYPERLINK("https://klasma.github.io/Logging_2380/tillsyn/A 39641-2022 tillsynsbegäran.docx", "A 39641-2022")</f>
        <v/>
      </c>
      <c r="Y724">
        <f>HYPERLINK("https://klasma.github.io/Logging_2380/tillsynsmail/A 39641-2022 tillsynsbegäran mail.docx", "A 39641-2022")</f>
        <v/>
      </c>
      <c r="Z724">
        <f>HYPERLINK("https://klasma.github.io/Logging_2380/fåglar/A 39641-2022 prioriterade fågelarter.docx", "A 39641-2022")</f>
        <v/>
      </c>
    </row>
    <row r="725" ht="15" customHeight="1">
      <c r="A725" t="inlineStr">
        <is>
          <t>A 43161-2022</t>
        </is>
      </c>
      <c r="B725" s="1" t="n">
        <v>44833</v>
      </c>
      <c r="C725" s="1" t="n">
        <v>45363</v>
      </c>
      <c r="D725" t="inlineStr">
        <is>
          <t>JÄMTLANDS LÄN</t>
        </is>
      </c>
      <c r="E725" t="inlineStr">
        <is>
          <t>STRÖMSUND</t>
        </is>
      </c>
      <c r="F725" t="inlineStr">
        <is>
          <t>SCA</t>
        </is>
      </c>
      <c r="G725" t="n">
        <v>5.5</v>
      </c>
      <c r="H725" t="n">
        <v>0</v>
      </c>
      <c r="I725" t="n">
        <v>1</v>
      </c>
      <c r="J725" t="n">
        <v>2</v>
      </c>
      <c r="K725" t="n">
        <v>0</v>
      </c>
      <c r="L725" t="n">
        <v>0</v>
      </c>
      <c r="M725" t="n">
        <v>0</v>
      </c>
      <c r="N725" t="n">
        <v>0</v>
      </c>
      <c r="O725" t="n">
        <v>2</v>
      </c>
      <c r="P725" t="n">
        <v>0</v>
      </c>
      <c r="Q725" t="n">
        <v>3</v>
      </c>
      <c r="R725" s="2" t="inlineStr">
        <is>
          <t>Harticka
Lunglav
Kransrams</t>
        </is>
      </c>
      <c r="S725">
        <f>HYPERLINK("https://klasma.github.io/Logging_2313/artfynd/A 43161-2022 artfynd.xlsx", "A 43161-2022")</f>
        <v/>
      </c>
      <c r="T725">
        <f>HYPERLINK("https://klasma.github.io/Logging_2313/kartor/A 43161-2022 karta.png", "A 43161-2022")</f>
        <v/>
      </c>
      <c r="V725">
        <f>HYPERLINK("https://klasma.github.io/Logging_2313/klagomål/A 43161-2022 FSC-klagomål.docx", "A 43161-2022")</f>
        <v/>
      </c>
      <c r="W725">
        <f>HYPERLINK("https://klasma.github.io/Logging_2313/klagomålsmail/A 43161-2022 FSC-klagomål mail.docx", "A 43161-2022")</f>
        <v/>
      </c>
      <c r="X725">
        <f>HYPERLINK("https://klasma.github.io/Logging_2313/tillsyn/A 43161-2022 tillsynsbegäran.docx", "A 43161-2022")</f>
        <v/>
      </c>
      <c r="Y725">
        <f>HYPERLINK("https://klasma.github.io/Logging_2313/tillsynsmail/A 43161-2022 tillsynsbegäran mail.docx", "A 43161-2022")</f>
        <v/>
      </c>
    </row>
    <row r="726" ht="15" customHeight="1">
      <c r="A726" t="inlineStr">
        <is>
          <t>A 43412-2022</t>
        </is>
      </c>
      <c r="B726" s="1" t="n">
        <v>44834</v>
      </c>
      <c r="C726" s="1" t="n">
        <v>45363</v>
      </c>
      <c r="D726" t="inlineStr">
        <is>
          <t>JÄMTLANDS LÄN</t>
        </is>
      </c>
      <c r="E726" t="inlineStr">
        <is>
          <t>STRÖMSUND</t>
        </is>
      </c>
      <c r="G726" t="n">
        <v>22.7</v>
      </c>
      <c r="H726" t="n">
        <v>1</v>
      </c>
      <c r="I726" t="n">
        <v>2</v>
      </c>
      <c r="J726" t="n">
        <v>0</v>
      </c>
      <c r="K726" t="n">
        <v>0</v>
      </c>
      <c r="L726" t="n">
        <v>0</v>
      </c>
      <c r="M726" t="n">
        <v>0</v>
      </c>
      <c r="N726" t="n">
        <v>0</v>
      </c>
      <c r="O726" t="n">
        <v>0</v>
      </c>
      <c r="P726" t="n">
        <v>0</v>
      </c>
      <c r="Q726" t="n">
        <v>3</v>
      </c>
      <c r="R726" s="2" t="inlineStr">
        <is>
          <t>Finbräken
Kransrams
Blåsippa</t>
        </is>
      </c>
      <c r="S726">
        <f>HYPERLINK("https://klasma.github.io/Logging_2313/artfynd/A 43412-2022 artfynd.xlsx", "A 43412-2022")</f>
        <v/>
      </c>
      <c r="T726">
        <f>HYPERLINK("https://klasma.github.io/Logging_2313/kartor/A 43412-2022 karta.png", "A 43412-2022")</f>
        <v/>
      </c>
      <c r="V726">
        <f>HYPERLINK("https://klasma.github.io/Logging_2313/klagomål/A 43412-2022 FSC-klagomål.docx", "A 43412-2022")</f>
        <v/>
      </c>
      <c r="W726">
        <f>HYPERLINK("https://klasma.github.io/Logging_2313/klagomålsmail/A 43412-2022 FSC-klagomål mail.docx", "A 43412-2022")</f>
        <v/>
      </c>
      <c r="X726">
        <f>HYPERLINK("https://klasma.github.io/Logging_2313/tillsyn/A 43412-2022 tillsynsbegäran.docx", "A 43412-2022")</f>
        <v/>
      </c>
      <c r="Y726">
        <f>HYPERLINK("https://klasma.github.io/Logging_2313/tillsynsmail/A 43412-2022 tillsynsbegäran mail.docx", "A 43412-2022")</f>
        <v/>
      </c>
    </row>
    <row r="727" ht="15" customHeight="1">
      <c r="A727" t="inlineStr">
        <is>
          <t>A 44428-2022</t>
        </is>
      </c>
      <c r="B727" s="1" t="n">
        <v>44839</v>
      </c>
      <c r="C727" s="1" t="n">
        <v>45363</v>
      </c>
      <c r="D727" t="inlineStr">
        <is>
          <t>JÄMTLANDS LÄN</t>
        </is>
      </c>
      <c r="E727" t="inlineStr">
        <is>
          <t>BRÄCKE</t>
        </is>
      </c>
      <c r="F727" t="inlineStr">
        <is>
          <t>SCA</t>
        </is>
      </c>
      <c r="G727" t="n">
        <v>4.3</v>
      </c>
      <c r="H727" t="n">
        <v>0</v>
      </c>
      <c r="I727" t="n">
        <v>2</v>
      </c>
      <c r="J727" t="n">
        <v>1</v>
      </c>
      <c r="K727" t="n">
        <v>0</v>
      </c>
      <c r="L727" t="n">
        <v>0</v>
      </c>
      <c r="M727" t="n">
        <v>0</v>
      </c>
      <c r="N727" t="n">
        <v>0</v>
      </c>
      <c r="O727" t="n">
        <v>1</v>
      </c>
      <c r="P727" t="n">
        <v>0</v>
      </c>
      <c r="Q727" t="n">
        <v>3</v>
      </c>
      <c r="R727" s="2" t="inlineStr">
        <is>
          <t>Motaggsvamp
Dropptaggsvamp
Skinnlav</t>
        </is>
      </c>
      <c r="S727">
        <f>HYPERLINK("https://klasma.github.io/Logging_2305/artfynd/A 44428-2022 artfynd.xlsx", "A 44428-2022")</f>
        <v/>
      </c>
      <c r="T727">
        <f>HYPERLINK("https://klasma.github.io/Logging_2305/kartor/A 44428-2022 karta.png", "A 44428-2022")</f>
        <v/>
      </c>
      <c r="V727">
        <f>HYPERLINK("https://klasma.github.io/Logging_2305/klagomål/A 44428-2022 FSC-klagomål.docx", "A 44428-2022")</f>
        <v/>
      </c>
      <c r="W727">
        <f>HYPERLINK("https://klasma.github.io/Logging_2305/klagomålsmail/A 44428-2022 FSC-klagomål mail.docx", "A 44428-2022")</f>
        <v/>
      </c>
      <c r="X727">
        <f>HYPERLINK("https://klasma.github.io/Logging_2305/tillsyn/A 44428-2022 tillsynsbegäran.docx", "A 44428-2022")</f>
        <v/>
      </c>
      <c r="Y727">
        <f>HYPERLINK("https://klasma.github.io/Logging_2305/tillsynsmail/A 44428-2022 tillsynsbegäran mail.docx", "A 44428-2022")</f>
        <v/>
      </c>
    </row>
    <row r="728" ht="15" customHeight="1">
      <c r="A728" t="inlineStr">
        <is>
          <t>A 44869-2022</t>
        </is>
      </c>
      <c r="B728" s="1" t="n">
        <v>44841</v>
      </c>
      <c r="C728" s="1" t="n">
        <v>45363</v>
      </c>
      <c r="D728" t="inlineStr">
        <is>
          <t>JÄMTLANDS LÄN</t>
        </is>
      </c>
      <c r="E728" t="inlineStr">
        <is>
          <t>KROKOM</t>
        </is>
      </c>
      <c r="G728" t="n">
        <v>4.5</v>
      </c>
      <c r="H728" t="n">
        <v>1</v>
      </c>
      <c r="I728" t="n">
        <v>0</v>
      </c>
      <c r="J728" t="n">
        <v>1</v>
      </c>
      <c r="K728" t="n">
        <v>2</v>
      </c>
      <c r="L728" t="n">
        <v>0</v>
      </c>
      <c r="M728" t="n">
        <v>0</v>
      </c>
      <c r="N728" t="n">
        <v>0</v>
      </c>
      <c r="O728" t="n">
        <v>3</v>
      </c>
      <c r="P728" t="n">
        <v>2</v>
      </c>
      <c r="Q728" t="n">
        <v>3</v>
      </c>
      <c r="R728" s="2" t="inlineStr">
        <is>
          <t>Knärot
Ulltickeporing
Lunglav</t>
        </is>
      </c>
      <c r="S728">
        <f>HYPERLINK("https://klasma.github.io/Logging_2309/artfynd/A 44869-2022 artfynd.xlsx", "A 44869-2022")</f>
        <v/>
      </c>
      <c r="T728">
        <f>HYPERLINK("https://klasma.github.io/Logging_2309/kartor/A 44869-2022 karta.png", "A 44869-2022")</f>
        <v/>
      </c>
      <c r="U728">
        <f>HYPERLINK("https://klasma.github.io/Logging_2309/knärot/A 44869-2022 karta knärot.png", "A 44869-2022")</f>
        <v/>
      </c>
      <c r="V728">
        <f>HYPERLINK("https://klasma.github.io/Logging_2309/klagomål/A 44869-2022 FSC-klagomål.docx", "A 44869-2022")</f>
        <v/>
      </c>
      <c r="W728">
        <f>HYPERLINK("https://klasma.github.io/Logging_2309/klagomålsmail/A 44869-2022 FSC-klagomål mail.docx", "A 44869-2022")</f>
        <v/>
      </c>
      <c r="X728">
        <f>HYPERLINK("https://klasma.github.io/Logging_2309/tillsyn/A 44869-2022 tillsynsbegäran.docx", "A 44869-2022")</f>
        <v/>
      </c>
      <c r="Y728">
        <f>HYPERLINK("https://klasma.github.io/Logging_2309/tillsynsmail/A 44869-2022 tillsynsbegäran mail.docx", "A 44869-2022")</f>
        <v/>
      </c>
    </row>
    <row r="729" ht="15" customHeight="1">
      <c r="A729" t="inlineStr">
        <is>
          <t>A 46341-2022</t>
        </is>
      </c>
      <c r="B729" s="1" t="n">
        <v>44847</v>
      </c>
      <c r="C729" s="1" t="n">
        <v>45363</v>
      </c>
      <c r="D729" t="inlineStr">
        <is>
          <t>JÄMTLANDS LÄN</t>
        </is>
      </c>
      <c r="E729" t="inlineStr">
        <is>
          <t>STRÖMSUND</t>
        </is>
      </c>
      <c r="F729" t="inlineStr">
        <is>
          <t>SCA</t>
        </is>
      </c>
      <c r="G729" t="n">
        <v>3.2</v>
      </c>
      <c r="H729" t="n">
        <v>1</v>
      </c>
      <c r="I729" t="n">
        <v>0</v>
      </c>
      <c r="J729" t="n">
        <v>1</v>
      </c>
      <c r="K729" t="n">
        <v>2</v>
      </c>
      <c r="L729" t="n">
        <v>0</v>
      </c>
      <c r="M729" t="n">
        <v>0</v>
      </c>
      <c r="N729" t="n">
        <v>0</v>
      </c>
      <c r="O729" t="n">
        <v>3</v>
      </c>
      <c r="P729" t="n">
        <v>2</v>
      </c>
      <c r="Q729" t="n">
        <v>3</v>
      </c>
      <c r="R729" s="2" t="inlineStr">
        <is>
          <t>Goliatmusseron
Knärot
Rosenticka</t>
        </is>
      </c>
      <c r="S729">
        <f>HYPERLINK("https://klasma.github.io/Logging_2313/artfynd/A 46341-2022 artfynd.xlsx", "A 46341-2022")</f>
        <v/>
      </c>
      <c r="T729">
        <f>HYPERLINK("https://klasma.github.io/Logging_2313/kartor/A 46341-2022 karta.png", "A 46341-2022")</f>
        <v/>
      </c>
      <c r="U729">
        <f>HYPERLINK("https://klasma.github.io/Logging_2313/knärot/A 46341-2022 karta knärot.png", "A 46341-2022")</f>
        <v/>
      </c>
      <c r="V729">
        <f>HYPERLINK("https://klasma.github.io/Logging_2313/klagomål/A 46341-2022 FSC-klagomål.docx", "A 46341-2022")</f>
        <v/>
      </c>
      <c r="W729">
        <f>HYPERLINK("https://klasma.github.io/Logging_2313/klagomålsmail/A 46341-2022 FSC-klagomål mail.docx", "A 46341-2022")</f>
        <v/>
      </c>
      <c r="X729">
        <f>HYPERLINK("https://klasma.github.io/Logging_2313/tillsyn/A 46341-2022 tillsynsbegäran.docx", "A 46341-2022")</f>
        <v/>
      </c>
      <c r="Y729">
        <f>HYPERLINK("https://klasma.github.io/Logging_2313/tillsynsmail/A 46341-2022 tillsynsbegäran mail.docx", "A 46341-2022")</f>
        <v/>
      </c>
    </row>
    <row r="730" ht="15" customHeight="1">
      <c r="A730" t="inlineStr">
        <is>
          <t>A 46988-2022</t>
        </is>
      </c>
      <c r="B730" s="1" t="n">
        <v>44851</v>
      </c>
      <c r="C730" s="1" t="n">
        <v>45363</v>
      </c>
      <c r="D730" t="inlineStr">
        <is>
          <t>JÄMTLANDS LÄN</t>
        </is>
      </c>
      <c r="E730" t="inlineStr">
        <is>
          <t>STRÖMSUND</t>
        </is>
      </c>
      <c r="F730" t="inlineStr">
        <is>
          <t>SCA</t>
        </is>
      </c>
      <c r="G730" t="n">
        <v>2.3</v>
      </c>
      <c r="H730" t="n">
        <v>1</v>
      </c>
      <c r="I730" t="n">
        <v>1</v>
      </c>
      <c r="J730" t="n">
        <v>2</v>
      </c>
      <c r="K730" t="n">
        <v>0</v>
      </c>
      <c r="L730" t="n">
        <v>0</v>
      </c>
      <c r="M730" t="n">
        <v>0</v>
      </c>
      <c r="N730" t="n">
        <v>0</v>
      </c>
      <c r="O730" t="n">
        <v>2</v>
      </c>
      <c r="P730" t="n">
        <v>0</v>
      </c>
      <c r="Q730" t="n">
        <v>3</v>
      </c>
      <c r="R730" s="2" t="inlineStr">
        <is>
          <t>Granticka
Tretåig hackspett
Stor aspticka</t>
        </is>
      </c>
      <c r="S730">
        <f>HYPERLINK("https://klasma.github.io/Logging_2313/artfynd/A 46988-2022 artfynd.xlsx", "A 46988-2022")</f>
        <v/>
      </c>
      <c r="T730">
        <f>HYPERLINK("https://klasma.github.io/Logging_2313/kartor/A 46988-2022 karta.png", "A 46988-2022")</f>
        <v/>
      </c>
      <c r="V730">
        <f>HYPERLINK("https://klasma.github.io/Logging_2313/klagomål/A 46988-2022 FSC-klagomål.docx", "A 46988-2022")</f>
        <v/>
      </c>
      <c r="W730">
        <f>HYPERLINK("https://klasma.github.io/Logging_2313/klagomålsmail/A 46988-2022 FSC-klagomål mail.docx", "A 46988-2022")</f>
        <v/>
      </c>
      <c r="X730">
        <f>HYPERLINK("https://klasma.github.io/Logging_2313/tillsyn/A 46988-2022 tillsynsbegäran.docx", "A 46988-2022")</f>
        <v/>
      </c>
      <c r="Y730">
        <f>HYPERLINK("https://klasma.github.io/Logging_2313/tillsynsmail/A 46988-2022 tillsynsbegäran mail.docx", "A 46988-2022")</f>
        <v/>
      </c>
      <c r="Z730">
        <f>HYPERLINK("https://klasma.github.io/Logging_2313/fåglar/A 46988-2022 prioriterade fågelarter.docx", "A 46988-2022")</f>
        <v/>
      </c>
    </row>
    <row r="731" ht="15" customHeight="1">
      <c r="A731" t="inlineStr">
        <is>
          <t>A 48052-2022</t>
        </is>
      </c>
      <c r="B731" s="1" t="n">
        <v>44855</v>
      </c>
      <c r="C731" s="1" t="n">
        <v>45363</v>
      </c>
      <c r="D731" t="inlineStr">
        <is>
          <t>JÄMTLANDS LÄN</t>
        </is>
      </c>
      <c r="E731" t="inlineStr">
        <is>
          <t>RAGUNDA</t>
        </is>
      </c>
      <c r="F731" t="inlineStr">
        <is>
          <t>SCA</t>
        </is>
      </c>
      <c r="G731" t="n">
        <v>8.6</v>
      </c>
      <c r="H731" t="n">
        <v>0</v>
      </c>
      <c r="I731" t="n">
        <v>1</v>
      </c>
      <c r="J731" t="n">
        <v>2</v>
      </c>
      <c r="K731" t="n">
        <v>0</v>
      </c>
      <c r="L731" t="n">
        <v>0</v>
      </c>
      <c r="M731" t="n">
        <v>0</v>
      </c>
      <c r="N731" t="n">
        <v>0</v>
      </c>
      <c r="O731" t="n">
        <v>2</v>
      </c>
      <c r="P731" t="n">
        <v>0</v>
      </c>
      <c r="Q731" t="n">
        <v>3</v>
      </c>
      <c r="R731" s="2" t="inlineStr">
        <is>
          <t>Lunglav
Ullticka
Stuplav</t>
        </is>
      </c>
      <c r="S731">
        <f>HYPERLINK("https://klasma.github.io/Logging_2303/artfynd/A 48052-2022 artfynd.xlsx", "A 48052-2022")</f>
        <v/>
      </c>
      <c r="T731">
        <f>HYPERLINK("https://klasma.github.io/Logging_2303/kartor/A 48052-2022 karta.png", "A 48052-2022")</f>
        <v/>
      </c>
      <c r="V731">
        <f>HYPERLINK("https://klasma.github.io/Logging_2303/klagomål/A 48052-2022 FSC-klagomål.docx", "A 48052-2022")</f>
        <v/>
      </c>
      <c r="W731">
        <f>HYPERLINK("https://klasma.github.io/Logging_2303/klagomålsmail/A 48052-2022 FSC-klagomål mail.docx", "A 48052-2022")</f>
        <v/>
      </c>
      <c r="X731">
        <f>HYPERLINK("https://klasma.github.io/Logging_2303/tillsyn/A 48052-2022 tillsynsbegäran.docx", "A 48052-2022")</f>
        <v/>
      </c>
      <c r="Y731">
        <f>HYPERLINK("https://klasma.github.io/Logging_2303/tillsynsmail/A 48052-2022 tillsynsbegäran mail.docx", "A 48052-2022")</f>
        <v/>
      </c>
    </row>
    <row r="732" ht="15" customHeight="1">
      <c r="A732" t="inlineStr">
        <is>
          <t>A 48054-2022</t>
        </is>
      </c>
      <c r="B732" s="1" t="n">
        <v>44855</v>
      </c>
      <c r="C732" s="1" t="n">
        <v>45363</v>
      </c>
      <c r="D732" t="inlineStr">
        <is>
          <t>JÄMTLANDS LÄN</t>
        </is>
      </c>
      <c r="E732" t="inlineStr">
        <is>
          <t>RAGUNDA</t>
        </is>
      </c>
      <c r="F732" t="inlineStr">
        <is>
          <t>SCA</t>
        </is>
      </c>
      <c r="G732" t="n">
        <v>1.5</v>
      </c>
      <c r="H732" t="n">
        <v>2</v>
      </c>
      <c r="I732" t="n">
        <v>0</v>
      </c>
      <c r="J732" t="n">
        <v>1</v>
      </c>
      <c r="K732" t="n">
        <v>1</v>
      </c>
      <c r="L732" t="n">
        <v>0</v>
      </c>
      <c r="M732" t="n">
        <v>0</v>
      </c>
      <c r="N732" t="n">
        <v>0</v>
      </c>
      <c r="O732" t="n">
        <v>2</v>
      </c>
      <c r="P732" t="n">
        <v>1</v>
      </c>
      <c r="Q732" t="n">
        <v>3</v>
      </c>
      <c r="R732" s="2" t="inlineStr">
        <is>
          <t>Knärot
Lunglav
Blåsippa</t>
        </is>
      </c>
      <c r="S732">
        <f>HYPERLINK("https://klasma.github.io/Logging_2303/artfynd/A 48054-2022 artfynd.xlsx", "A 48054-2022")</f>
        <v/>
      </c>
      <c r="T732">
        <f>HYPERLINK("https://klasma.github.io/Logging_2303/kartor/A 48054-2022 karta.png", "A 48054-2022")</f>
        <v/>
      </c>
      <c r="U732">
        <f>HYPERLINK("https://klasma.github.io/Logging_2303/knärot/A 48054-2022 karta knärot.png", "A 48054-2022")</f>
        <v/>
      </c>
      <c r="V732">
        <f>HYPERLINK("https://klasma.github.io/Logging_2303/klagomål/A 48054-2022 FSC-klagomål.docx", "A 48054-2022")</f>
        <v/>
      </c>
      <c r="W732">
        <f>HYPERLINK("https://klasma.github.io/Logging_2303/klagomålsmail/A 48054-2022 FSC-klagomål mail.docx", "A 48054-2022")</f>
        <v/>
      </c>
      <c r="X732">
        <f>HYPERLINK("https://klasma.github.io/Logging_2303/tillsyn/A 48054-2022 tillsynsbegäran.docx", "A 48054-2022")</f>
        <v/>
      </c>
      <c r="Y732">
        <f>HYPERLINK("https://klasma.github.io/Logging_2303/tillsynsmail/A 48054-2022 tillsynsbegäran mail.docx", "A 48054-2022")</f>
        <v/>
      </c>
    </row>
    <row r="733" ht="15" customHeight="1">
      <c r="A733" t="inlineStr">
        <is>
          <t>A 51663-2022</t>
        </is>
      </c>
      <c r="B733" s="1" t="n">
        <v>44867</v>
      </c>
      <c r="C733" s="1" t="n">
        <v>45363</v>
      </c>
      <c r="D733" t="inlineStr">
        <is>
          <t>JÄMTLANDS LÄN</t>
        </is>
      </c>
      <c r="E733" t="inlineStr">
        <is>
          <t>KROKOM</t>
        </is>
      </c>
      <c r="G733" t="n">
        <v>28.5</v>
      </c>
      <c r="H733" t="n">
        <v>1</v>
      </c>
      <c r="I733" t="n">
        <v>0</v>
      </c>
      <c r="J733" t="n">
        <v>3</v>
      </c>
      <c r="K733" t="n">
        <v>0</v>
      </c>
      <c r="L733" t="n">
        <v>0</v>
      </c>
      <c r="M733" t="n">
        <v>0</v>
      </c>
      <c r="N733" t="n">
        <v>0</v>
      </c>
      <c r="O733" t="n">
        <v>3</v>
      </c>
      <c r="P733" t="n">
        <v>0</v>
      </c>
      <c r="Q733" t="n">
        <v>3</v>
      </c>
      <c r="R733" s="2" t="inlineStr">
        <is>
          <t>Garnlav
Granticka
Tretåig hackspett</t>
        </is>
      </c>
      <c r="S733">
        <f>HYPERLINK("https://klasma.github.io/Logging_2309/artfynd/A 51663-2022 artfynd.xlsx", "A 51663-2022")</f>
        <v/>
      </c>
      <c r="T733">
        <f>HYPERLINK("https://klasma.github.io/Logging_2309/kartor/A 51663-2022 karta.png", "A 51663-2022")</f>
        <v/>
      </c>
      <c r="V733">
        <f>HYPERLINK("https://klasma.github.io/Logging_2309/klagomål/A 51663-2022 FSC-klagomål.docx", "A 51663-2022")</f>
        <v/>
      </c>
      <c r="W733">
        <f>HYPERLINK("https://klasma.github.io/Logging_2309/klagomålsmail/A 51663-2022 FSC-klagomål mail.docx", "A 51663-2022")</f>
        <v/>
      </c>
      <c r="X733">
        <f>HYPERLINK("https://klasma.github.io/Logging_2309/tillsyn/A 51663-2022 tillsynsbegäran.docx", "A 51663-2022")</f>
        <v/>
      </c>
      <c r="Y733">
        <f>HYPERLINK("https://klasma.github.io/Logging_2309/tillsynsmail/A 51663-2022 tillsynsbegäran mail.docx", "A 51663-2022")</f>
        <v/>
      </c>
      <c r="Z733">
        <f>HYPERLINK("https://klasma.github.io/Logging_2309/fåglar/A 51663-2022 prioriterade fågelarter.docx", "A 51663-2022")</f>
        <v/>
      </c>
    </row>
    <row r="734" ht="15" customHeight="1">
      <c r="A734" t="inlineStr">
        <is>
          <t>A 52264-2022</t>
        </is>
      </c>
      <c r="B734" s="1" t="n">
        <v>44873</v>
      </c>
      <c r="C734" s="1" t="n">
        <v>45363</v>
      </c>
      <c r="D734" t="inlineStr">
        <is>
          <t>JÄMTLANDS LÄN</t>
        </is>
      </c>
      <c r="E734" t="inlineStr">
        <is>
          <t>KROKOM</t>
        </is>
      </c>
      <c r="G734" t="n">
        <v>4.1</v>
      </c>
      <c r="H734" t="n">
        <v>2</v>
      </c>
      <c r="I734" t="n">
        <v>0</v>
      </c>
      <c r="J734" t="n">
        <v>2</v>
      </c>
      <c r="K734" t="n">
        <v>1</v>
      </c>
      <c r="L734" t="n">
        <v>0</v>
      </c>
      <c r="M734" t="n">
        <v>0</v>
      </c>
      <c r="N734" t="n">
        <v>0</v>
      </c>
      <c r="O734" t="n">
        <v>3</v>
      </c>
      <c r="P734" t="n">
        <v>1</v>
      </c>
      <c r="Q734" t="n">
        <v>3</v>
      </c>
      <c r="R734" s="2" t="inlineStr">
        <is>
          <t>Knärot
Tretåig hackspett
Ullticka</t>
        </is>
      </c>
      <c r="S734">
        <f>HYPERLINK("https://klasma.github.io/Logging_2309/artfynd/A 52264-2022 artfynd.xlsx", "A 52264-2022")</f>
        <v/>
      </c>
      <c r="T734">
        <f>HYPERLINK("https://klasma.github.io/Logging_2309/kartor/A 52264-2022 karta.png", "A 52264-2022")</f>
        <v/>
      </c>
      <c r="U734">
        <f>HYPERLINK("https://klasma.github.io/Logging_2309/knärot/A 52264-2022 karta knärot.png", "A 52264-2022")</f>
        <v/>
      </c>
      <c r="V734">
        <f>HYPERLINK("https://klasma.github.io/Logging_2309/klagomål/A 52264-2022 FSC-klagomål.docx", "A 52264-2022")</f>
        <v/>
      </c>
      <c r="W734">
        <f>HYPERLINK("https://klasma.github.io/Logging_2309/klagomålsmail/A 52264-2022 FSC-klagomål mail.docx", "A 52264-2022")</f>
        <v/>
      </c>
      <c r="X734">
        <f>HYPERLINK("https://klasma.github.io/Logging_2309/tillsyn/A 52264-2022 tillsynsbegäran.docx", "A 52264-2022")</f>
        <v/>
      </c>
      <c r="Y734">
        <f>HYPERLINK("https://klasma.github.io/Logging_2309/tillsynsmail/A 52264-2022 tillsynsbegäran mail.docx", "A 52264-2022")</f>
        <v/>
      </c>
      <c r="Z734">
        <f>HYPERLINK("https://klasma.github.io/Logging_2309/fåglar/A 52264-2022 prioriterade fågelarter.docx", "A 52264-2022")</f>
        <v/>
      </c>
    </row>
    <row r="735" ht="15" customHeight="1">
      <c r="A735" t="inlineStr">
        <is>
          <t>A 53022-2022</t>
        </is>
      </c>
      <c r="B735" s="1" t="n">
        <v>44875</v>
      </c>
      <c r="C735" s="1" t="n">
        <v>45363</v>
      </c>
      <c r="D735" t="inlineStr">
        <is>
          <t>JÄMTLANDS LÄN</t>
        </is>
      </c>
      <c r="E735" t="inlineStr">
        <is>
          <t>RAGUNDA</t>
        </is>
      </c>
      <c r="F735" t="inlineStr">
        <is>
          <t>SCA</t>
        </is>
      </c>
      <c r="G735" t="n">
        <v>2.7</v>
      </c>
      <c r="H735" t="n">
        <v>0</v>
      </c>
      <c r="I735" t="n">
        <v>1</v>
      </c>
      <c r="J735" t="n">
        <v>2</v>
      </c>
      <c r="K735" t="n">
        <v>0</v>
      </c>
      <c r="L735" t="n">
        <v>0</v>
      </c>
      <c r="M735" t="n">
        <v>0</v>
      </c>
      <c r="N735" t="n">
        <v>0</v>
      </c>
      <c r="O735" t="n">
        <v>2</v>
      </c>
      <c r="P735" t="n">
        <v>0</v>
      </c>
      <c r="Q735" t="n">
        <v>3</v>
      </c>
      <c r="R735" s="2" t="inlineStr">
        <is>
          <t>Garnlav
Lunglav
Dropptaggsvamp</t>
        </is>
      </c>
      <c r="S735">
        <f>HYPERLINK("https://klasma.github.io/Logging_2303/artfynd/A 53022-2022 artfynd.xlsx", "A 53022-2022")</f>
        <v/>
      </c>
      <c r="T735">
        <f>HYPERLINK("https://klasma.github.io/Logging_2303/kartor/A 53022-2022 karta.png", "A 53022-2022")</f>
        <v/>
      </c>
      <c r="V735">
        <f>HYPERLINK("https://klasma.github.io/Logging_2303/klagomål/A 53022-2022 FSC-klagomål.docx", "A 53022-2022")</f>
        <v/>
      </c>
      <c r="W735">
        <f>HYPERLINK("https://klasma.github.io/Logging_2303/klagomålsmail/A 53022-2022 FSC-klagomål mail.docx", "A 53022-2022")</f>
        <v/>
      </c>
      <c r="X735">
        <f>HYPERLINK("https://klasma.github.io/Logging_2303/tillsyn/A 53022-2022 tillsynsbegäran.docx", "A 53022-2022")</f>
        <v/>
      </c>
      <c r="Y735">
        <f>HYPERLINK("https://klasma.github.io/Logging_2303/tillsynsmail/A 53022-2022 tillsynsbegäran mail.docx", "A 53022-2022")</f>
        <v/>
      </c>
    </row>
    <row r="736" ht="15" customHeight="1">
      <c r="A736" t="inlineStr">
        <is>
          <t>A 53284-2022</t>
        </is>
      </c>
      <c r="B736" s="1" t="n">
        <v>44876</v>
      </c>
      <c r="C736" s="1" t="n">
        <v>45363</v>
      </c>
      <c r="D736" t="inlineStr">
        <is>
          <t>JÄMTLANDS LÄN</t>
        </is>
      </c>
      <c r="E736" t="inlineStr">
        <is>
          <t>BRÄCKE</t>
        </is>
      </c>
      <c r="F736" t="inlineStr">
        <is>
          <t>SCA</t>
        </is>
      </c>
      <c r="G736" t="n">
        <v>10.3</v>
      </c>
      <c r="H736" t="n">
        <v>0</v>
      </c>
      <c r="I736" t="n">
        <v>0</v>
      </c>
      <c r="J736" t="n">
        <v>3</v>
      </c>
      <c r="K736" t="n">
        <v>0</v>
      </c>
      <c r="L736" t="n">
        <v>0</v>
      </c>
      <c r="M736" t="n">
        <v>0</v>
      </c>
      <c r="N736" t="n">
        <v>0</v>
      </c>
      <c r="O736" t="n">
        <v>3</v>
      </c>
      <c r="P736" t="n">
        <v>0</v>
      </c>
      <c r="Q736" t="n">
        <v>3</v>
      </c>
      <c r="R736" s="2" t="inlineStr">
        <is>
          <t>Blanksvart spiklav
Dvärgbägarlav
Kolflarnlav</t>
        </is>
      </c>
      <c r="S736">
        <f>HYPERLINK("https://klasma.github.io/Logging_2305/artfynd/A 53284-2022 artfynd.xlsx", "A 53284-2022")</f>
        <v/>
      </c>
      <c r="T736">
        <f>HYPERLINK("https://klasma.github.io/Logging_2305/kartor/A 53284-2022 karta.png", "A 53284-2022")</f>
        <v/>
      </c>
      <c r="V736">
        <f>HYPERLINK("https://klasma.github.io/Logging_2305/klagomål/A 53284-2022 FSC-klagomål.docx", "A 53284-2022")</f>
        <v/>
      </c>
      <c r="W736">
        <f>HYPERLINK("https://klasma.github.io/Logging_2305/klagomålsmail/A 53284-2022 FSC-klagomål mail.docx", "A 53284-2022")</f>
        <v/>
      </c>
      <c r="X736">
        <f>HYPERLINK("https://klasma.github.io/Logging_2305/tillsyn/A 53284-2022 tillsynsbegäran.docx", "A 53284-2022")</f>
        <v/>
      </c>
      <c r="Y736">
        <f>HYPERLINK("https://klasma.github.io/Logging_2305/tillsynsmail/A 53284-2022 tillsynsbegäran mail.docx", "A 53284-2022")</f>
        <v/>
      </c>
    </row>
    <row r="737" ht="15" customHeight="1">
      <c r="A737" t="inlineStr">
        <is>
          <t>A 55383-2022</t>
        </is>
      </c>
      <c r="B737" s="1" t="n">
        <v>44882</v>
      </c>
      <c r="C737" s="1" t="n">
        <v>45363</v>
      </c>
      <c r="D737" t="inlineStr">
        <is>
          <t>JÄMTLANDS LÄN</t>
        </is>
      </c>
      <c r="E737" t="inlineStr">
        <is>
          <t>HÄRJEDALEN</t>
        </is>
      </c>
      <c r="G737" t="n">
        <v>11</v>
      </c>
      <c r="H737" t="n">
        <v>1</v>
      </c>
      <c r="I737" t="n">
        <v>0</v>
      </c>
      <c r="J737" t="n">
        <v>3</v>
      </c>
      <c r="K737" t="n">
        <v>0</v>
      </c>
      <c r="L737" t="n">
        <v>0</v>
      </c>
      <c r="M737" t="n">
        <v>0</v>
      </c>
      <c r="N737" t="n">
        <v>0</v>
      </c>
      <c r="O737" t="n">
        <v>3</v>
      </c>
      <c r="P737" t="n">
        <v>0</v>
      </c>
      <c r="Q737" t="n">
        <v>3</v>
      </c>
      <c r="R737" s="2" t="inlineStr">
        <is>
          <t>Garnlav
Granticka
Tretåig hackspett</t>
        </is>
      </c>
      <c r="S737">
        <f>HYPERLINK("https://klasma.github.io/Logging_2361/artfynd/A 55383-2022 artfynd.xlsx", "A 55383-2022")</f>
        <v/>
      </c>
      <c r="T737">
        <f>HYPERLINK("https://klasma.github.io/Logging_2361/kartor/A 55383-2022 karta.png", "A 55383-2022")</f>
        <v/>
      </c>
      <c r="V737">
        <f>HYPERLINK("https://klasma.github.io/Logging_2361/klagomål/A 55383-2022 FSC-klagomål.docx", "A 55383-2022")</f>
        <v/>
      </c>
      <c r="W737">
        <f>HYPERLINK("https://klasma.github.io/Logging_2361/klagomålsmail/A 55383-2022 FSC-klagomål mail.docx", "A 55383-2022")</f>
        <v/>
      </c>
      <c r="X737">
        <f>HYPERLINK("https://klasma.github.io/Logging_2361/tillsyn/A 55383-2022 tillsynsbegäran.docx", "A 55383-2022")</f>
        <v/>
      </c>
      <c r="Y737">
        <f>HYPERLINK("https://klasma.github.io/Logging_2361/tillsynsmail/A 55383-2022 tillsynsbegäran mail.docx", "A 55383-2022")</f>
        <v/>
      </c>
      <c r="Z737">
        <f>HYPERLINK("https://klasma.github.io/Logging_2361/fåglar/A 55383-2022 prioriterade fågelarter.docx", "A 55383-2022")</f>
        <v/>
      </c>
    </row>
    <row r="738" ht="15" customHeight="1">
      <c r="A738" t="inlineStr">
        <is>
          <t>A 58082-2022</t>
        </is>
      </c>
      <c r="B738" s="1" t="n">
        <v>44900</v>
      </c>
      <c r="C738" s="1" t="n">
        <v>45363</v>
      </c>
      <c r="D738" t="inlineStr">
        <is>
          <t>JÄMTLANDS LÄN</t>
        </is>
      </c>
      <c r="E738" t="inlineStr">
        <is>
          <t>ÅRE</t>
        </is>
      </c>
      <c r="G738" t="n">
        <v>28.2</v>
      </c>
      <c r="H738" t="n">
        <v>2</v>
      </c>
      <c r="I738" t="n">
        <v>1</v>
      </c>
      <c r="J738" t="n">
        <v>2</v>
      </c>
      <c r="K738" t="n">
        <v>0</v>
      </c>
      <c r="L738" t="n">
        <v>0</v>
      </c>
      <c r="M738" t="n">
        <v>0</v>
      </c>
      <c r="N738" t="n">
        <v>0</v>
      </c>
      <c r="O738" t="n">
        <v>2</v>
      </c>
      <c r="P738" t="n">
        <v>0</v>
      </c>
      <c r="Q738" t="n">
        <v>3</v>
      </c>
      <c r="R738" s="2" t="inlineStr">
        <is>
          <t>Spillkråka
Tretåig hackspett
Kambräken</t>
        </is>
      </c>
      <c r="S738">
        <f>HYPERLINK("https://klasma.github.io/Logging_2321/artfynd/A 58082-2022 artfynd.xlsx", "A 58082-2022")</f>
        <v/>
      </c>
      <c r="T738">
        <f>HYPERLINK("https://klasma.github.io/Logging_2321/kartor/A 58082-2022 karta.png", "A 58082-2022")</f>
        <v/>
      </c>
      <c r="V738">
        <f>HYPERLINK("https://klasma.github.io/Logging_2321/klagomål/A 58082-2022 FSC-klagomål.docx", "A 58082-2022")</f>
        <v/>
      </c>
      <c r="W738">
        <f>HYPERLINK("https://klasma.github.io/Logging_2321/klagomålsmail/A 58082-2022 FSC-klagomål mail.docx", "A 58082-2022")</f>
        <v/>
      </c>
      <c r="X738">
        <f>HYPERLINK("https://klasma.github.io/Logging_2321/tillsyn/A 58082-2022 tillsynsbegäran.docx", "A 58082-2022")</f>
        <v/>
      </c>
      <c r="Y738">
        <f>HYPERLINK("https://klasma.github.io/Logging_2321/tillsynsmail/A 58082-2022 tillsynsbegäran mail.docx", "A 58082-2022")</f>
        <v/>
      </c>
      <c r="Z738">
        <f>HYPERLINK("https://klasma.github.io/Logging_2321/fåglar/A 58082-2022 prioriterade fågelarter.docx", "A 58082-2022")</f>
        <v/>
      </c>
    </row>
    <row r="739" ht="15" customHeight="1">
      <c r="A739" t="inlineStr">
        <is>
          <t>A 58737-2022</t>
        </is>
      </c>
      <c r="B739" s="1" t="n">
        <v>44902</v>
      </c>
      <c r="C739" s="1" t="n">
        <v>45363</v>
      </c>
      <c r="D739" t="inlineStr">
        <is>
          <t>JÄMTLANDS LÄN</t>
        </is>
      </c>
      <c r="E739" t="inlineStr">
        <is>
          <t>RAGUNDA</t>
        </is>
      </c>
      <c r="F739" t="inlineStr">
        <is>
          <t>SCA</t>
        </is>
      </c>
      <c r="G739" t="n">
        <v>2.7</v>
      </c>
      <c r="H739" t="n">
        <v>0</v>
      </c>
      <c r="I739" t="n">
        <v>2</v>
      </c>
      <c r="J739" t="n">
        <v>1</v>
      </c>
      <c r="K739" t="n">
        <v>0</v>
      </c>
      <c r="L739" t="n">
        <v>0</v>
      </c>
      <c r="M739" t="n">
        <v>0</v>
      </c>
      <c r="N739" t="n">
        <v>0</v>
      </c>
      <c r="O739" t="n">
        <v>1</v>
      </c>
      <c r="P739" t="n">
        <v>0</v>
      </c>
      <c r="Q739" t="n">
        <v>3</v>
      </c>
      <c r="R739" s="2" t="inlineStr">
        <is>
          <t>Garnlav
Källmossor
Stuplav</t>
        </is>
      </c>
      <c r="S739">
        <f>HYPERLINK("https://klasma.github.io/Logging_2303/artfynd/A 58737-2022 artfynd.xlsx", "A 58737-2022")</f>
        <v/>
      </c>
      <c r="T739">
        <f>HYPERLINK("https://klasma.github.io/Logging_2303/kartor/A 58737-2022 karta.png", "A 58737-2022")</f>
        <v/>
      </c>
      <c r="V739">
        <f>HYPERLINK("https://klasma.github.io/Logging_2303/klagomål/A 58737-2022 FSC-klagomål.docx", "A 58737-2022")</f>
        <v/>
      </c>
      <c r="W739">
        <f>HYPERLINK("https://klasma.github.io/Logging_2303/klagomålsmail/A 58737-2022 FSC-klagomål mail.docx", "A 58737-2022")</f>
        <v/>
      </c>
      <c r="X739">
        <f>HYPERLINK("https://klasma.github.io/Logging_2303/tillsyn/A 58737-2022 tillsynsbegäran.docx", "A 58737-2022")</f>
        <v/>
      </c>
      <c r="Y739">
        <f>HYPERLINK("https://klasma.github.io/Logging_2303/tillsynsmail/A 58737-2022 tillsynsbegäran mail.docx", "A 58737-2022")</f>
        <v/>
      </c>
    </row>
    <row r="740" ht="15" customHeight="1">
      <c r="A740" t="inlineStr">
        <is>
          <t>A 59237-2022</t>
        </is>
      </c>
      <c r="B740" s="1" t="n">
        <v>44904</v>
      </c>
      <c r="C740" s="1" t="n">
        <v>45363</v>
      </c>
      <c r="D740" t="inlineStr">
        <is>
          <t>JÄMTLANDS LÄN</t>
        </is>
      </c>
      <c r="E740" t="inlineStr">
        <is>
          <t>ÅRE</t>
        </is>
      </c>
      <c r="G740" t="n">
        <v>33.7</v>
      </c>
      <c r="H740" t="n">
        <v>1</v>
      </c>
      <c r="I740" t="n">
        <v>0</v>
      </c>
      <c r="J740" t="n">
        <v>3</v>
      </c>
      <c r="K740" t="n">
        <v>0</v>
      </c>
      <c r="L740" t="n">
        <v>0</v>
      </c>
      <c r="M740" t="n">
        <v>0</v>
      </c>
      <c r="N740" t="n">
        <v>0</v>
      </c>
      <c r="O740" t="n">
        <v>3</v>
      </c>
      <c r="P740" t="n">
        <v>0</v>
      </c>
      <c r="Q740" t="n">
        <v>3</v>
      </c>
      <c r="R740" s="2" t="inlineStr">
        <is>
          <t>Granticka
Tretåig hackspett
Vitgrynig nållav</t>
        </is>
      </c>
      <c r="S740">
        <f>HYPERLINK("https://klasma.github.io/Logging_2321/artfynd/A 59237-2022 artfynd.xlsx", "A 59237-2022")</f>
        <v/>
      </c>
      <c r="T740">
        <f>HYPERLINK("https://klasma.github.io/Logging_2321/kartor/A 59237-2022 karta.png", "A 59237-2022")</f>
        <v/>
      </c>
      <c r="V740">
        <f>HYPERLINK("https://klasma.github.io/Logging_2321/klagomål/A 59237-2022 FSC-klagomål.docx", "A 59237-2022")</f>
        <v/>
      </c>
      <c r="W740">
        <f>HYPERLINK("https://klasma.github.io/Logging_2321/klagomålsmail/A 59237-2022 FSC-klagomål mail.docx", "A 59237-2022")</f>
        <v/>
      </c>
      <c r="X740">
        <f>HYPERLINK("https://klasma.github.io/Logging_2321/tillsyn/A 59237-2022 tillsynsbegäran.docx", "A 59237-2022")</f>
        <v/>
      </c>
      <c r="Y740">
        <f>HYPERLINK("https://klasma.github.io/Logging_2321/tillsynsmail/A 59237-2022 tillsynsbegäran mail.docx", "A 59237-2022")</f>
        <v/>
      </c>
      <c r="Z740">
        <f>HYPERLINK("https://klasma.github.io/Logging_2321/fåglar/A 59237-2022 prioriterade fågelarter.docx", "A 59237-2022")</f>
        <v/>
      </c>
    </row>
    <row r="741" ht="15" customHeight="1">
      <c r="A741" t="inlineStr">
        <is>
          <t>A 60565-2022</t>
        </is>
      </c>
      <c r="B741" s="1" t="n">
        <v>44904</v>
      </c>
      <c r="C741" s="1" t="n">
        <v>45363</v>
      </c>
      <c r="D741" t="inlineStr">
        <is>
          <t>JÄMTLANDS LÄN</t>
        </is>
      </c>
      <c r="E741" t="inlineStr">
        <is>
          <t>ÖSTERSUND</t>
        </is>
      </c>
      <c r="G741" t="n">
        <v>2.5</v>
      </c>
      <c r="H741" t="n">
        <v>2</v>
      </c>
      <c r="I741" t="n">
        <v>0</v>
      </c>
      <c r="J741" t="n">
        <v>2</v>
      </c>
      <c r="K741" t="n">
        <v>0</v>
      </c>
      <c r="L741" t="n">
        <v>0</v>
      </c>
      <c r="M741" t="n">
        <v>0</v>
      </c>
      <c r="N741" t="n">
        <v>0</v>
      </c>
      <c r="O741" t="n">
        <v>2</v>
      </c>
      <c r="P741" t="n">
        <v>0</v>
      </c>
      <c r="Q741" t="n">
        <v>3</v>
      </c>
      <c r="R741" s="2" t="inlineStr">
        <is>
          <t>Garnlav
Talltita
Revlummer</t>
        </is>
      </c>
      <c r="S741">
        <f>HYPERLINK("https://klasma.github.io/Logging_2380/artfynd/A 60565-2022 artfynd.xlsx", "A 60565-2022")</f>
        <v/>
      </c>
      <c r="T741">
        <f>HYPERLINK("https://klasma.github.io/Logging_2380/kartor/A 60565-2022 karta.png", "A 60565-2022")</f>
        <v/>
      </c>
      <c r="V741">
        <f>HYPERLINK("https://klasma.github.io/Logging_2380/klagomål/A 60565-2022 FSC-klagomål.docx", "A 60565-2022")</f>
        <v/>
      </c>
      <c r="W741">
        <f>HYPERLINK("https://klasma.github.io/Logging_2380/klagomålsmail/A 60565-2022 FSC-klagomål mail.docx", "A 60565-2022")</f>
        <v/>
      </c>
      <c r="X741">
        <f>HYPERLINK("https://klasma.github.io/Logging_2380/tillsyn/A 60565-2022 tillsynsbegäran.docx", "A 60565-2022")</f>
        <v/>
      </c>
      <c r="Y741">
        <f>HYPERLINK("https://klasma.github.io/Logging_2380/tillsynsmail/A 60565-2022 tillsynsbegäran mail.docx", "A 60565-2022")</f>
        <v/>
      </c>
      <c r="Z741">
        <f>HYPERLINK("https://klasma.github.io/Logging_2380/fåglar/A 60565-2022 prioriterade fågelarter.docx", "A 60565-2022")</f>
        <v/>
      </c>
    </row>
    <row r="742" ht="15" customHeight="1">
      <c r="A742" t="inlineStr">
        <is>
          <t>A 5100-2023</t>
        </is>
      </c>
      <c r="B742" s="1" t="n">
        <v>44956</v>
      </c>
      <c r="C742" s="1" t="n">
        <v>45363</v>
      </c>
      <c r="D742" t="inlineStr">
        <is>
          <t>JÄMTLANDS LÄN</t>
        </is>
      </c>
      <c r="E742" t="inlineStr">
        <is>
          <t>ÖSTERSUND</t>
        </is>
      </c>
      <c r="G742" t="n">
        <v>2.6</v>
      </c>
      <c r="H742" t="n">
        <v>0</v>
      </c>
      <c r="I742" t="n">
        <v>2</v>
      </c>
      <c r="J742" t="n">
        <v>0</v>
      </c>
      <c r="K742" t="n">
        <v>0</v>
      </c>
      <c r="L742" t="n">
        <v>1</v>
      </c>
      <c r="M742" t="n">
        <v>0</v>
      </c>
      <c r="N742" t="n">
        <v>0</v>
      </c>
      <c r="O742" t="n">
        <v>1</v>
      </c>
      <c r="P742" t="n">
        <v>1</v>
      </c>
      <c r="Q742" t="n">
        <v>3</v>
      </c>
      <c r="R742" s="2" t="inlineStr">
        <is>
          <t>Trolldruvemätare
Svart trolldruva
Tibast</t>
        </is>
      </c>
      <c r="S742">
        <f>HYPERLINK("https://klasma.github.io/Logging_2380/artfynd/A 5100-2023 artfynd.xlsx", "A 5100-2023")</f>
        <v/>
      </c>
      <c r="T742">
        <f>HYPERLINK("https://klasma.github.io/Logging_2380/kartor/A 5100-2023 karta.png", "A 5100-2023")</f>
        <v/>
      </c>
      <c r="V742">
        <f>HYPERLINK("https://klasma.github.io/Logging_2380/klagomål/A 5100-2023 FSC-klagomål.docx", "A 5100-2023")</f>
        <v/>
      </c>
      <c r="W742">
        <f>HYPERLINK("https://klasma.github.io/Logging_2380/klagomålsmail/A 5100-2023 FSC-klagomål mail.docx", "A 5100-2023")</f>
        <v/>
      </c>
      <c r="X742">
        <f>HYPERLINK("https://klasma.github.io/Logging_2380/tillsyn/A 5100-2023 tillsynsbegäran.docx", "A 5100-2023")</f>
        <v/>
      </c>
      <c r="Y742">
        <f>HYPERLINK("https://klasma.github.io/Logging_2380/tillsynsmail/A 5100-2023 tillsynsbegäran mail.docx", "A 5100-2023")</f>
        <v/>
      </c>
    </row>
    <row r="743" ht="15" customHeight="1">
      <c r="A743" t="inlineStr">
        <is>
          <t>A 7519-2023</t>
        </is>
      </c>
      <c r="B743" s="1" t="n">
        <v>44971</v>
      </c>
      <c r="C743" s="1" t="n">
        <v>45363</v>
      </c>
      <c r="D743" t="inlineStr">
        <is>
          <t>JÄMTLANDS LÄN</t>
        </is>
      </c>
      <c r="E743" t="inlineStr">
        <is>
          <t>RAGUNDA</t>
        </is>
      </c>
      <c r="F743" t="inlineStr">
        <is>
          <t>SCA</t>
        </is>
      </c>
      <c r="G743" t="n">
        <v>3.2</v>
      </c>
      <c r="H743" t="n">
        <v>0</v>
      </c>
      <c r="I743" t="n">
        <v>1</v>
      </c>
      <c r="J743" t="n">
        <v>2</v>
      </c>
      <c r="K743" t="n">
        <v>0</v>
      </c>
      <c r="L743" t="n">
        <v>0</v>
      </c>
      <c r="M743" t="n">
        <v>0</v>
      </c>
      <c r="N743" t="n">
        <v>0</v>
      </c>
      <c r="O743" t="n">
        <v>2</v>
      </c>
      <c r="P743" t="n">
        <v>0</v>
      </c>
      <c r="Q743" t="n">
        <v>3</v>
      </c>
      <c r="R743" s="2" t="inlineStr">
        <is>
          <t>Granticka
Lunglav
Stor aspticka</t>
        </is>
      </c>
      <c r="S743">
        <f>HYPERLINK("https://klasma.github.io/Logging_2303/artfynd/A 7519-2023 artfynd.xlsx", "A 7519-2023")</f>
        <v/>
      </c>
      <c r="T743">
        <f>HYPERLINK("https://klasma.github.io/Logging_2303/kartor/A 7519-2023 karta.png", "A 7519-2023")</f>
        <v/>
      </c>
      <c r="V743">
        <f>HYPERLINK("https://klasma.github.io/Logging_2303/klagomål/A 7519-2023 FSC-klagomål.docx", "A 7519-2023")</f>
        <v/>
      </c>
      <c r="W743">
        <f>HYPERLINK("https://klasma.github.io/Logging_2303/klagomålsmail/A 7519-2023 FSC-klagomål mail.docx", "A 7519-2023")</f>
        <v/>
      </c>
      <c r="X743">
        <f>HYPERLINK("https://klasma.github.io/Logging_2303/tillsyn/A 7519-2023 tillsynsbegäran.docx", "A 7519-2023")</f>
        <v/>
      </c>
      <c r="Y743">
        <f>HYPERLINK("https://klasma.github.io/Logging_2303/tillsynsmail/A 7519-2023 tillsynsbegäran mail.docx", "A 7519-2023")</f>
        <v/>
      </c>
    </row>
    <row r="744" ht="15" customHeight="1">
      <c r="A744" t="inlineStr">
        <is>
          <t>A 8438-2023</t>
        </is>
      </c>
      <c r="B744" s="1" t="n">
        <v>44977</v>
      </c>
      <c r="C744" s="1" t="n">
        <v>45363</v>
      </c>
      <c r="D744" t="inlineStr">
        <is>
          <t>JÄMTLANDS LÄN</t>
        </is>
      </c>
      <c r="E744" t="inlineStr">
        <is>
          <t>ÅRE</t>
        </is>
      </c>
      <c r="F744" t="inlineStr">
        <is>
          <t>Övriga Aktiebolag</t>
        </is>
      </c>
      <c r="G744" t="n">
        <v>0.6</v>
      </c>
      <c r="H744" t="n">
        <v>1</v>
      </c>
      <c r="I744" t="n">
        <v>0</v>
      </c>
      <c r="J744" t="n">
        <v>3</v>
      </c>
      <c r="K744" t="n">
        <v>0</v>
      </c>
      <c r="L744" t="n">
        <v>0</v>
      </c>
      <c r="M744" t="n">
        <v>0</v>
      </c>
      <c r="N744" t="n">
        <v>0</v>
      </c>
      <c r="O744" t="n">
        <v>3</v>
      </c>
      <c r="P744" t="n">
        <v>0</v>
      </c>
      <c r="Q744" t="n">
        <v>3</v>
      </c>
      <c r="R744" s="2" t="inlineStr">
        <is>
          <t>Garnlav
Granticka
Tretåig hackspett</t>
        </is>
      </c>
      <c r="S744">
        <f>HYPERLINK("https://klasma.github.io/Logging_2321/artfynd/A 8438-2023 artfynd.xlsx", "A 8438-2023")</f>
        <v/>
      </c>
      <c r="T744">
        <f>HYPERLINK("https://klasma.github.io/Logging_2321/kartor/A 8438-2023 karta.png", "A 8438-2023")</f>
        <v/>
      </c>
      <c r="V744">
        <f>HYPERLINK("https://klasma.github.io/Logging_2321/klagomål/A 8438-2023 FSC-klagomål.docx", "A 8438-2023")</f>
        <v/>
      </c>
      <c r="W744">
        <f>HYPERLINK("https://klasma.github.io/Logging_2321/klagomålsmail/A 8438-2023 FSC-klagomål mail.docx", "A 8438-2023")</f>
        <v/>
      </c>
      <c r="X744">
        <f>HYPERLINK("https://klasma.github.io/Logging_2321/tillsyn/A 8438-2023 tillsynsbegäran.docx", "A 8438-2023")</f>
        <v/>
      </c>
      <c r="Y744">
        <f>HYPERLINK("https://klasma.github.io/Logging_2321/tillsynsmail/A 8438-2023 tillsynsbegäran mail.docx", "A 8438-2023")</f>
        <v/>
      </c>
      <c r="Z744">
        <f>HYPERLINK("https://klasma.github.io/Logging_2321/fåglar/A 8438-2023 prioriterade fågelarter.docx", "A 8438-2023")</f>
        <v/>
      </c>
    </row>
    <row r="745" ht="15" customHeight="1">
      <c r="A745" t="inlineStr">
        <is>
          <t>A 8470-2023</t>
        </is>
      </c>
      <c r="B745" s="1" t="n">
        <v>44977</v>
      </c>
      <c r="C745" s="1" t="n">
        <v>45363</v>
      </c>
      <c r="D745" t="inlineStr">
        <is>
          <t>JÄMTLANDS LÄN</t>
        </is>
      </c>
      <c r="E745" t="inlineStr">
        <is>
          <t>ÅRE</t>
        </is>
      </c>
      <c r="F745" t="inlineStr">
        <is>
          <t>Övriga Aktiebolag</t>
        </is>
      </c>
      <c r="G745" t="n">
        <v>8.699999999999999</v>
      </c>
      <c r="H745" t="n">
        <v>1</v>
      </c>
      <c r="I745" t="n">
        <v>1</v>
      </c>
      <c r="J745" t="n">
        <v>2</v>
      </c>
      <c r="K745" t="n">
        <v>0</v>
      </c>
      <c r="L745" t="n">
        <v>0</v>
      </c>
      <c r="M745" t="n">
        <v>0</v>
      </c>
      <c r="N745" t="n">
        <v>0</v>
      </c>
      <c r="O745" t="n">
        <v>2</v>
      </c>
      <c r="P745" t="n">
        <v>0</v>
      </c>
      <c r="Q745" t="n">
        <v>3</v>
      </c>
      <c r="R745" s="2" t="inlineStr">
        <is>
          <t>Granticka
Tretåig hackspett
Skinnlav</t>
        </is>
      </c>
      <c r="S745">
        <f>HYPERLINK("https://klasma.github.io/Logging_2321/artfynd/A 8470-2023 artfynd.xlsx", "A 8470-2023")</f>
        <v/>
      </c>
      <c r="T745">
        <f>HYPERLINK("https://klasma.github.io/Logging_2321/kartor/A 8470-2023 karta.png", "A 8470-2023")</f>
        <v/>
      </c>
      <c r="V745">
        <f>HYPERLINK("https://klasma.github.io/Logging_2321/klagomål/A 8470-2023 FSC-klagomål.docx", "A 8470-2023")</f>
        <v/>
      </c>
      <c r="W745">
        <f>HYPERLINK("https://klasma.github.io/Logging_2321/klagomålsmail/A 8470-2023 FSC-klagomål mail.docx", "A 8470-2023")</f>
        <v/>
      </c>
      <c r="X745">
        <f>HYPERLINK("https://klasma.github.io/Logging_2321/tillsyn/A 8470-2023 tillsynsbegäran.docx", "A 8470-2023")</f>
        <v/>
      </c>
      <c r="Y745">
        <f>HYPERLINK("https://klasma.github.io/Logging_2321/tillsynsmail/A 8470-2023 tillsynsbegäran mail.docx", "A 8470-2023")</f>
        <v/>
      </c>
      <c r="Z745">
        <f>HYPERLINK("https://klasma.github.io/Logging_2321/fåglar/A 8470-2023 prioriterade fågelarter.docx", "A 8470-2023")</f>
        <v/>
      </c>
    </row>
    <row r="746" ht="15" customHeight="1">
      <c r="A746" t="inlineStr">
        <is>
          <t>A 10627-2023</t>
        </is>
      </c>
      <c r="B746" s="1" t="n">
        <v>44984</v>
      </c>
      <c r="C746" s="1" t="n">
        <v>45363</v>
      </c>
      <c r="D746" t="inlineStr">
        <is>
          <t>JÄMTLANDS LÄN</t>
        </is>
      </c>
      <c r="E746" t="inlineStr">
        <is>
          <t>ÅRE</t>
        </is>
      </c>
      <c r="G746" t="n">
        <v>29.1</v>
      </c>
      <c r="H746" t="n">
        <v>1</v>
      </c>
      <c r="I746" t="n">
        <v>0</v>
      </c>
      <c r="J746" t="n">
        <v>3</v>
      </c>
      <c r="K746" t="n">
        <v>0</v>
      </c>
      <c r="L746" t="n">
        <v>0</v>
      </c>
      <c r="M746" t="n">
        <v>0</v>
      </c>
      <c r="N746" t="n">
        <v>0</v>
      </c>
      <c r="O746" t="n">
        <v>3</v>
      </c>
      <c r="P746" t="n">
        <v>0</v>
      </c>
      <c r="Q746" t="n">
        <v>3</v>
      </c>
      <c r="R746" s="2" t="inlineStr">
        <is>
          <t>Harticka
Tretåig hackspett
Vitgrynig nållav</t>
        </is>
      </c>
      <c r="S746">
        <f>HYPERLINK("https://klasma.github.io/Logging_2321/artfynd/A 10627-2023 artfynd.xlsx", "A 10627-2023")</f>
        <v/>
      </c>
      <c r="T746">
        <f>HYPERLINK("https://klasma.github.io/Logging_2321/kartor/A 10627-2023 karta.png", "A 10627-2023")</f>
        <v/>
      </c>
      <c r="V746">
        <f>HYPERLINK("https://klasma.github.io/Logging_2321/klagomål/A 10627-2023 FSC-klagomål.docx", "A 10627-2023")</f>
        <v/>
      </c>
      <c r="W746">
        <f>HYPERLINK("https://klasma.github.io/Logging_2321/klagomålsmail/A 10627-2023 FSC-klagomål mail.docx", "A 10627-2023")</f>
        <v/>
      </c>
      <c r="X746">
        <f>HYPERLINK("https://klasma.github.io/Logging_2321/tillsyn/A 10627-2023 tillsynsbegäran.docx", "A 10627-2023")</f>
        <v/>
      </c>
      <c r="Y746">
        <f>HYPERLINK("https://klasma.github.io/Logging_2321/tillsynsmail/A 10627-2023 tillsynsbegäran mail.docx", "A 10627-2023")</f>
        <v/>
      </c>
      <c r="Z746">
        <f>HYPERLINK("https://klasma.github.io/Logging_2321/fåglar/A 10627-2023 prioriterade fågelarter.docx", "A 10627-2023")</f>
        <v/>
      </c>
    </row>
    <row r="747" ht="15" customHeight="1">
      <c r="A747" t="inlineStr">
        <is>
          <t>A 10065-2023</t>
        </is>
      </c>
      <c r="B747" s="1" t="n">
        <v>44985</v>
      </c>
      <c r="C747" s="1" t="n">
        <v>45363</v>
      </c>
      <c r="D747" t="inlineStr">
        <is>
          <t>JÄMTLANDS LÄN</t>
        </is>
      </c>
      <c r="E747" t="inlineStr">
        <is>
          <t>STRÖMSUND</t>
        </is>
      </c>
      <c r="G747" t="n">
        <v>0.6</v>
      </c>
      <c r="H747" t="n">
        <v>1</v>
      </c>
      <c r="I747" t="n">
        <v>2</v>
      </c>
      <c r="J747" t="n">
        <v>1</v>
      </c>
      <c r="K747" t="n">
        <v>0</v>
      </c>
      <c r="L747" t="n">
        <v>0</v>
      </c>
      <c r="M747" t="n">
        <v>0</v>
      </c>
      <c r="N747" t="n">
        <v>0</v>
      </c>
      <c r="O747" t="n">
        <v>1</v>
      </c>
      <c r="P747" t="n">
        <v>0</v>
      </c>
      <c r="Q747" t="n">
        <v>3</v>
      </c>
      <c r="R747" s="2" t="inlineStr">
        <is>
          <t>Orange taggsvamp
Grönkulla
Svart trolldruva</t>
        </is>
      </c>
      <c r="S747">
        <f>HYPERLINK("https://klasma.github.io/Logging_2313/artfynd/A 10065-2023 artfynd.xlsx", "A 10065-2023")</f>
        <v/>
      </c>
      <c r="T747">
        <f>HYPERLINK("https://klasma.github.io/Logging_2313/kartor/A 10065-2023 karta.png", "A 10065-2023")</f>
        <v/>
      </c>
      <c r="V747">
        <f>HYPERLINK("https://klasma.github.io/Logging_2313/klagomål/A 10065-2023 FSC-klagomål.docx", "A 10065-2023")</f>
        <v/>
      </c>
      <c r="W747">
        <f>HYPERLINK("https://klasma.github.io/Logging_2313/klagomålsmail/A 10065-2023 FSC-klagomål mail.docx", "A 10065-2023")</f>
        <v/>
      </c>
      <c r="X747">
        <f>HYPERLINK("https://klasma.github.io/Logging_2313/tillsyn/A 10065-2023 tillsynsbegäran.docx", "A 10065-2023")</f>
        <v/>
      </c>
      <c r="Y747">
        <f>HYPERLINK("https://klasma.github.io/Logging_2313/tillsynsmail/A 10065-2023 tillsynsbegäran mail.docx", "A 10065-2023")</f>
        <v/>
      </c>
    </row>
    <row r="748" ht="15" customHeight="1">
      <c r="A748" t="inlineStr">
        <is>
          <t>A 10531-2023</t>
        </is>
      </c>
      <c r="B748" s="1" t="n">
        <v>44987</v>
      </c>
      <c r="C748" s="1" t="n">
        <v>45363</v>
      </c>
      <c r="D748" t="inlineStr">
        <is>
          <t>JÄMTLANDS LÄN</t>
        </is>
      </c>
      <c r="E748" t="inlineStr">
        <is>
          <t>RAGUNDA</t>
        </is>
      </c>
      <c r="G748" t="n">
        <v>27.1</v>
      </c>
      <c r="H748" t="n">
        <v>0</v>
      </c>
      <c r="I748" t="n">
        <v>1</v>
      </c>
      <c r="J748" t="n">
        <v>2</v>
      </c>
      <c r="K748" t="n">
        <v>0</v>
      </c>
      <c r="L748" t="n">
        <v>0</v>
      </c>
      <c r="M748" t="n">
        <v>0</v>
      </c>
      <c r="N748" t="n">
        <v>0</v>
      </c>
      <c r="O748" t="n">
        <v>2</v>
      </c>
      <c r="P748" t="n">
        <v>0</v>
      </c>
      <c r="Q748" t="n">
        <v>3</v>
      </c>
      <c r="R748" s="2" t="inlineStr">
        <is>
          <t>Blanksvart spiklav
Stiftgelélav
Dropptaggsvamp</t>
        </is>
      </c>
      <c r="S748">
        <f>HYPERLINK("https://klasma.github.io/Logging_2303/artfynd/A 10531-2023 artfynd.xlsx", "A 10531-2023")</f>
        <v/>
      </c>
      <c r="T748">
        <f>HYPERLINK("https://klasma.github.io/Logging_2303/kartor/A 10531-2023 karta.png", "A 10531-2023")</f>
        <v/>
      </c>
      <c r="U748">
        <f>HYPERLINK("https://klasma.github.io/Logging_2303/knärot/A 10531-2023 karta knärot.png", "A 10531-2023")</f>
        <v/>
      </c>
      <c r="V748">
        <f>HYPERLINK("https://klasma.github.io/Logging_2303/klagomål/A 10531-2023 FSC-klagomål.docx", "A 10531-2023")</f>
        <v/>
      </c>
      <c r="W748">
        <f>HYPERLINK("https://klasma.github.io/Logging_2303/klagomålsmail/A 10531-2023 FSC-klagomål mail.docx", "A 10531-2023")</f>
        <v/>
      </c>
      <c r="X748">
        <f>HYPERLINK("https://klasma.github.io/Logging_2303/tillsyn/A 10531-2023 tillsynsbegäran.docx", "A 10531-2023")</f>
        <v/>
      </c>
      <c r="Y748">
        <f>HYPERLINK("https://klasma.github.io/Logging_2303/tillsynsmail/A 10531-2023 tillsynsbegäran mail.docx", "A 10531-2023")</f>
        <v/>
      </c>
    </row>
    <row r="749" ht="15" customHeight="1">
      <c r="A749" t="inlineStr">
        <is>
          <t>A 14060-2023</t>
        </is>
      </c>
      <c r="B749" s="1" t="n">
        <v>45007</v>
      </c>
      <c r="C749" s="1" t="n">
        <v>45363</v>
      </c>
      <c r="D749" t="inlineStr">
        <is>
          <t>JÄMTLANDS LÄN</t>
        </is>
      </c>
      <c r="E749" t="inlineStr">
        <is>
          <t>HÄRJEDALEN</t>
        </is>
      </c>
      <c r="F749" t="inlineStr">
        <is>
          <t>Bergvik skog väst AB</t>
        </is>
      </c>
      <c r="G749" t="n">
        <v>6.7</v>
      </c>
      <c r="H749" t="n">
        <v>0</v>
      </c>
      <c r="I749" t="n">
        <v>0</v>
      </c>
      <c r="J749" t="n">
        <v>0</v>
      </c>
      <c r="K749" t="n">
        <v>2</v>
      </c>
      <c r="L749" t="n">
        <v>1</v>
      </c>
      <c r="M749" t="n">
        <v>0</v>
      </c>
      <c r="N749" t="n">
        <v>0</v>
      </c>
      <c r="O749" t="n">
        <v>3</v>
      </c>
      <c r="P749" t="n">
        <v>3</v>
      </c>
      <c r="Q749" t="n">
        <v>3</v>
      </c>
      <c r="R749" s="2" t="inlineStr">
        <is>
          <t>Urskogsporing
Fläckporing
Gräddporing</t>
        </is>
      </c>
      <c r="S749">
        <f>HYPERLINK("https://klasma.github.io/Logging_2361/artfynd/A 14060-2023 artfynd.xlsx", "A 14060-2023")</f>
        <v/>
      </c>
      <c r="T749">
        <f>HYPERLINK("https://klasma.github.io/Logging_2361/kartor/A 14060-2023 karta.png", "A 14060-2023")</f>
        <v/>
      </c>
      <c r="V749">
        <f>HYPERLINK("https://klasma.github.io/Logging_2361/klagomål/A 14060-2023 FSC-klagomål.docx", "A 14060-2023")</f>
        <v/>
      </c>
      <c r="W749">
        <f>HYPERLINK("https://klasma.github.io/Logging_2361/klagomålsmail/A 14060-2023 FSC-klagomål mail.docx", "A 14060-2023")</f>
        <v/>
      </c>
      <c r="X749">
        <f>HYPERLINK("https://klasma.github.io/Logging_2361/tillsyn/A 14060-2023 tillsynsbegäran.docx", "A 14060-2023")</f>
        <v/>
      </c>
      <c r="Y749">
        <f>HYPERLINK("https://klasma.github.io/Logging_2361/tillsynsmail/A 14060-2023 tillsynsbegäran mail.docx", "A 14060-2023")</f>
        <v/>
      </c>
    </row>
    <row r="750" ht="15" customHeight="1">
      <c r="A750" t="inlineStr">
        <is>
          <t>A 15368-2023</t>
        </is>
      </c>
      <c r="B750" s="1" t="n">
        <v>45016</v>
      </c>
      <c r="C750" s="1" t="n">
        <v>45363</v>
      </c>
      <c r="D750" t="inlineStr">
        <is>
          <t>JÄMTLANDS LÄN</t>
        </is>
      </c>
      <c r="E750" t="inlineStr">
        <is>
          <t>RAGUNDA</t>
        </is>
      </c>
      <c r="G750" t="n">
        <v>13</v>
      </c>
      <c r="H750" t="n">
        <v>0</v>
      </c>
      <c r="I750" t="n">
        <v>0</v>
      </c>
      <c r="J750" t="n">
        <v>3</v>
      </c>
      <c r="K750" t="n">
        <v>0</v>
      </c>
      <c r="L750" t="n">
        <v>0</v>
      </c>
      <c r="M750" t="n">
        <v>0</v>
      </c>
      <c r="N750" t="n">
        <v>0</v>
      </c>
      <c r="O750" t="n">
        <v>3</v>
      </c>
      <c r="P750" t="n">
        <v>0</v>
      </c>
      <c r="Q750" t="n">
        <v>3</v>
      </c>
      <c r="R750" s="2" t="inlineStr">
        <is>
          <t>Lunglav
Rosenticka
Ullticka</t>
        </is>
      </c>
      <c r="S750">
        <f>HYPERLINK("https://klasma.github.io/Logging_2303/artfynd/A 15368-2023 artfynd.xlsx", "A 15368-2023")</f>
        <v/>
      </c>
      <c r="T750">
        <f>HYPERLINK("https://klasma.github.io/Logging_2303/kartor/A 15368-2023 karta.png", "A 15368-2023")</f>
        <v/>
      </c>
      <c r="V750">
        <f>HYPERLINK("https://klasma.github.io/Logging_2303/klagomål/A 15368-2023 FSC-klagomål.docx", "A 15368-2023")</f>
        <v/>
      </c>
      <c r="W750">
        <f>HYPERLINK("https://klasma.github.io/Logging_2303/klagomålsmail/A 15368-2023 FSC-klagomål mail.docx", "A 15368-2023")</f>
        <v/>
      </c>
      <c r="X750">
        <f>HYPERLINK("https://klasma.github.io/Logging_2303/tillsyn/A 15368-2023 tillsynsbegäran.docx", "A 15368-2023")</f>
        <v/>
      </c>
      <c r="Y750">
        <f>HYPERLINK("https://klasma.github.io/Logging_2303/tillsynsmail/A 15368-2023 tillsynsbegäran mail.docx", "A 15368-2023")</f>
        <v/>
      </c>
    </row>
    <row r="751" ht="15" customHeight="1">
      <c r="A751" t="inlineStr">
        <is>
          <t>A 19439-2023</t>
        </is>
      </c>
      <c r="B751" s="1" t="n">
        <v>45049</v>
      </c>
      <c r="C751" s="1" t="n">
        <v>45363</v>
      </c>
      <c r="D751" t="inlineStr">
        <is>
          <t>JÄMTLANDS LÄN</t>
        </is>
      </c>
      <c r="E751" t="inlineStr">
        <is>
          <t>RAGUNDA</t>
        </is>
      </c>
      <c r="F751" t="inlineStr">
        <is>
          <t>SCA</t>
        </is>
      </c>
      <c r="G751" t="n">
        <v>1.7</v>
      </c>
      <c r="H751" t="n">
        <v>2</v>
      </c>
      <c r="I751" t="n">
        <v>0</v>
      </c>
      <c r="J751" t="n">
        <v>1</v>
      </c>
      <c r="K751" t="n">
        <v>0</v>
      </c>
      <c r="L751" t="n">
        <v>0</v>
      </c>
      <c r="M751" t="n">
        <v>0</v>
      </c>
      <c r="N751" t="n">
        <v>0</v>
      </c>
      <c r="O751" t="n">
        <v>1</v>
      </c>
      <c r="P751" t="n">
        <v>0</v>
      </c>
      <c r="Q751" t="n">
        <v>3</v>
      </c>
      <c r="R751" s="2" t="inlineStr">
        <is>
          <t>Lunglav
Nattviol
Blåsippa</t>
        </is>
      </c>
      <c r="S751">
        <f>HYPERLINK("https://klasma.github.io/Logging_2303/artfynd/A 19439-2023 artfynd.xlsx", "A 19439-2023")</f>
        <v/>
      </c>
      <c r="T751">
        <f>HYPERLINK("https://klasma.github.io/Logging_2303/kartor/A 19439-2023 karta.png", "A 19439-2023")</f>
        <v/>
      </c>
      <c r="V751">
        <f>HYPERLINK("https://klasma.github.io/Logging_2303/klagomål/A 19439-2023 FSC-klagomål.docx", "A 19439-2023")</f>
        <v/>
      </c>
      <c r="W751">
        <f>HYPERLINK("https://klasma.github.io/Logging_2303/klagomålsmail/A 19439-2023 FSC-klagomål mail.docx", "A 19439-2023")</f>
        <v/>
      </c>
      <c r="X751">
        <f>HYPERLINK("https://klasma.github.io/Logging_2303/tillsyn/A 19439-2023 tillsynsbegäran.docx", "A 19439-2023")</f>
        <v/>
      </c>
      <c r="Y751">
        <f>HYPERLINK("https://klasma.github.io/Logging_2303/tillsynsmail/A 19439-2023 tillsynsbegäran mail.docx", "A 19439-2023")</f>
        <v/>
      </c>
    </row>
    <row r="752" ht="15" customHeight="1">
      <c r="A752" t="inlineStr">
        <is>
          <t>A 19520-2023</t>
        </is>
      </c>
      <c r="B752" s="1" t="n">
        <v>45049</v>
      </c>
      <c r="C752" s="1" t="n">
        <v>45363</v>
      </c>
      <c r="D752" t="inlineStr">
        <is>
          <t>JÄMTLANDS LÄN</t>
        </is>
      </c>
      <c r="E752" t="inlineStr">
        <is>
          <t>ÖSTERSUND</t>
        </is>
      </c>
      <c r="G752" t="n">
        <v>2</v>
      </c>
      <c r="H752" t="n">
        <v>0</v>
      </c>
      <c r="I752" t="n">
        <v>2</v>
      </c>
      <c r="J752" t="n">
        <v>0</v>
      </c>
      <c r="K752" t="n">
        <v>0</v>
      </c>
      <c r="L752" t="n">
        <v>1</v>
      </c>
      <c r="M752" t="n">
        <v>0</v>
      </c>
      <c r="N752" t="n">
        <v>0</v>
      </c>
      <c r="O752" t="n">
        <v>1</v>
      </c>
      <c r="P752" t="n">
        <v>1</v>
      </c>
      <c r="Q752" t="n">
        <v>3</v>
      </c>
      <c r="R752" s="2" t="inlineStr">
        <is>
          <t>Trolldruvemätare
Svart trolldruva
Svavelriska</t>
        </is>
      </c>
      <c r="S752">
        <f>HYPERLINK("https://klasma.github.io/Logging_2380/artfynd/A 19520-2023 artfynd.xlsx", "A 19520-2023")</f>
        <v/>
      </c>
      <c r="T752">
        <f>HYPERLINK("https://klasma.github.io/Logging_2380/kartor/A 19520-2023 karta.png", "A 19520-2023")</f>
        <v/>
      </c>
      <c r="V752">
        <f>HYPERLINK("https://klasma.github.io/Logging_2380/klagomål/A 19520-2023 FSC-klagomål.docx", "A 19520-2023")</f>
        <v/>
      </c>
      <c r="W752">
        <f>HYPERLINK("https://klasma.github.io/Logging_2380/klagomålsmail/A 19520-2023 FSC-klagomål mail.docx", "A 19520-2023")</f>
        <v/>
      </c>
      <c r="X752">
        <f>HYPERLINK("https://klasma.github.io/Logging_2380/tillsyn/A 19520-2023 tillsynsbegäran.docx", "A 19520-2023")</f>
        <v/>
      </c>
      <c r="Y752">
        <f>HYPERLINK("https://klasma.github.io/Logging_2380/tillsynsmail/A 19520-2023 tillsynsbegäran mail.docx", "A 19520-2023")</f>
        <v/>
      </c>
    </row>
    <row r="753" ht="15" customHeight="1">
      <c r="A753" t="inlineStr">
        <is>
          <t>A 19659-2023</t>
        </is>
      </c>
      <c r="B753" s="1" t="n">
        <v>45050</v>
      </c>
      <c r="C753" s="1" t="n">
        <v>45363</v>
      </c>
      <c r="D753" t="inlineStr">
        <is>
          <t>JÄMTLANDS LÄN</t>
        </is>
      </c>
      <c r="E753" t="inlineStr">
        <is>
          <t>HÄRJEDALEN</t>
        </is>
      </c>
      <c r="F753" t="inlineStr">
        <is>
          <t>Bergvik skog väst AB</t>
        </is>
      </c>
      <c r="G753" t="n">
        <v>2.8</v>
      </c>
      <c r="H753" t="n">
        <v>0</v>
      </c>
      <c r="I753" t="n">
        <v>0</v>
      </c>
      <c r="J753" t="n">
        <v>3</v>
      </c>
      <c r="K753" t="n">
        <v>0</v>
      </c>
      <c r="L753" t="n">
        <v>0</v>
      </c>
      <c r="M753" t="n">
        <v>0</v>
      </c>
      <c r="N753" t="n">
        <v>0</v>
      </c>
      <c r="O753" t="n">
        <v>3</v>
      </c>
      <c r="P753" t="n">
        <v>0</v>
      </c>
      <c r="Q753" t="n">
        <v>3</v>
      </c>
      <c r="R753" s="2" t="inlineStr">
        <is>
          <t>Gäckporing
Nordtagging
Vedskivlav</t>
        </is>
      </c>
      <c r="S753">
        <f>HYPERLINK("https://klasma.github.io/Logging_2361/artfynd/A 19659-2023 artfynd.xlsx", "A 19659-2023")</f>
        <v/>
      </c>
      <c r="T753">
        <f>HYPERLINK("https://klasma.github.io/Logging_2361/kartor/A 19659-2023 karta.png", "A 19659-2023")</f>
        <v/>
      </c>
      <c r="V753">
        <f>HYPERLINK("https://klasma.github.io/Logging_2361/klagomål/A 19659-2023 FSC-klagomål.docx", "A 19659-2023")</f>
        <v/>
      </c>
      <c r="W753">
        <f>HYPERLINK("https://klasma.github.io/Logging_2361/klagomålsmail/A 19659-2023 FSC-klagomål mail.docx", "A 19659-2023")</f>
        <v/>
      </c>
      <c r="X753">
        <f>HYPERLINK("https://klasma.github.io/Logging_2361/tillsyn/A 19659-2023 tillsynsbegäran.docx", "A 19659-2023")</f>
        <v/>
      </c>
      <c r="Y753">
        <f>HYPERLINK("https://klasma.github.io/Logging_2361/tillsynsmail/A 19659-2023 tillsynsbegäran mail.docx", "A 19659-2023")</f>
        <v/>
      </c>
    </row>
    <row r="754" ht="15" customHeight="1">
      <c r="A754" t="inlineStr">
        <is>
          <t>A 20124-2023</t>
        </is>
      </c>
      <c r="B754" s="1" t="n">
        <v>45055</v>
      </c>
      <c r="C754" s="1" t="n">
        <v>45363</v>
      </c>
      <c r="D754" t="inlineStr">
        <is>
          <t>JÄMTLANDS LÄN</t>
        </is>
      </c>
      <c r="E754" t="inlineStr">
        <is>
          <t>ÅRE</t>
        </is>
      </c>
      <c r="G754" t="n">
        <v>3.4</v>
      </c>
      <c r="H754" t="n">
        <v>0</v>
      </c>
      <c r="I754" t="n">
        <v>3</v>
      </c>
      <c r="J754" t="n">
        <v>0</v>
      </c>
      <c r="K754" t="n">
        <v>0</v>
      </c>
      <c r="L754" t="n">
        <v>0</v>
      </c>
      <c r="M754" t="n">
        <v>0</v>
      </c>
      <c r="N754" t="n">
        <v>0</v>
      </c>
      <c r="O754" t="n">
        <v>0</v>
      </c>
      <c r="P754" t="n">
        <v>0</v>
      </c>
      <c r="Q754" t="n">
        <v>3</v>
      </c>
      <c r="R754" s="2" t="inlineStr">
        <is>
          <t>Finbräken
Svart trolldruva
Underviol</t>
        </is>
      </c>
      <c r="S754">
        <f>HYPERLINK("https://klasma.github.io/Logging_2321/artfynd/A 20124-2023 artfynd.xlsx", "A 20124-2023")</f>
        <v/>
      </c>
      <c r="T754">
        <f>HYPERLINK("https://klasma.github.io/Logging_2321/kartor/A 20124-2023 karta.png", "A 20124-2023")</f>
        <v/>
      </c>
      <c r="V754">
        <f>HYPERLINK("https://klasma.github.io/Logging_2321/klagomål/A 20124-2023 FSC-klagomål.docx", "A 20124-2023")</f>
        <v/>
      </c>
      <c r="W754">
        <f>HYPERLINK("https://klasma.github.io/Logging_2321/klagomålsmail/A 20124-2023 FSC-klagomål mail.docx", "A 20124-2023")</f>
        <v/>
      </c>
      <c r="X754">
        <f>HYPERLINK("https://klasma.github.io/Logging_2321/tillsyn/A 20124-2023 tillsynsbegäran.docx", "A 20124-2023")</f>
        <v/>
      </c>
      <c r="Y754">
        <f>HYPERLINK("https://klasma.github.io/Logging_2321/tillsynsmail/A 20124-2023 tillsynsbegäran mail.docx", "A 20124-2023")</f>
        <v/>
      </c>
    </row>
    <row r="755" ht="15" customHeight="1">
      <c r="A755" t="inlineStr">
        <is>
          <t>A 21752-2023</t>
        </is>
      </c>
      <c r="B755" s="1" t="n">
        <v>45063</v>
      </c>
      <c r="C755" s="1" t="n">
        <v>45363</v>
      </c>
      <c r="D755" t="inlineStr">
        <is>
          <t>JÄMTLANDS LÄN</t>
        </is>
      </c>
      <c r="E755" t="inlineStr">
        <is>
          <t>ÖSTERSUND</t>
        </is>
      </c>
      <c r="G755" t="n">
        <v>1.5</v>
      </c>
      <c r="H755" t="n">
        <v>3</v>
      </c>
      <c r="I755" t="n">
        <v>1</v>
      </c>
      <c r="J755" t="n">
        <v>0</v>
      </c>
      <c r="K755" t="n">
        <v>1</v>
      </c>
      <c r="L755" t="n">
        <v>0</v>
      </c>
      <c r="M755" t="n">
        <v>0</v>
      </c>
      <c r="N755" t="n">
        <v>0</v>
      </c>
      <c r="O755" t="n">
        <v>1</v>
      </c>
      <c r="P755" t="n">
        <v>1</v>
      </c>
      <c r="Q755" t="n">
        <v>3</v>
      </c>
      <c r="R755" s="2" t="inlineStr">
        <is>
          <t>Knärot
Spindelblomster
Fläcknycklar</t>
        </is>
      </c>
      <c r="S755">
        <f>HYPERLINK("https://klasma.github.io/Logging_2380/artfynd/A 21752-2023 artfynd.xlsx", "A 21752-2023")</f>
        <v/>
      </c>
      <c r="T755">
        <f>HYPERLINK("https://klasma.github.io/Logging_2380/kartor/A 21752-2023 karta.png", "A 21752-2023")</f>
        <v/>
      </c>
      <c r="U755">
        <f>HYPERLINK("https://klasma.github.io/Logging_2380/knärot/A 21752-2023 karta knärot.png", "A 21752-2023")</f>
        <v/>
      </c>
      <c r="V755">
        <f>HYPERLINK("https://klasma.github.io/Logging_2380/klagomål/A 21752-2023 FSC-klagomål.docx", "A 21752-2023")</f>
        <v/>
      </c>
      <c r="W755">
        <f>HYPERLINK("https://klasma.github.io/Logging_2380/klagomålsmail/A 21752-2023 FSC-klagomål mail.docx", "A 21752-2023")</f>
        <v/>
      </c>
      <c r="X755">
        <f>HYPERLINK("https://klasma.github.io/Logging_2380/tillsyn/A 21752-2023 tillsynsbegäran.docx", "A 21752-2023")</f>
        <v/>
      </c>
      <c r="Y755">
        <f>HYPERLINK("https://klasma.github.io/Logging_2380/tillsynsmail/A 21752-2023 tillsynsbegäran mail.docx", "A 21752-2023")</f>
        <v/>
      </c>
    </row>
    <row r="756" ht="15" customHeight="1">
      <c r="A756" t="inlineStr">
        <is>
          <t>A 22730-2023</t>
        </is>
      </c>
      <c r="B756" s="1" t="n">
        <v>45071</v>
      </c>
      <c r="C756" s="1" t="n">
        <v>45363</v>
      </c>
      <c r="D756" t="inlineStr">
        <is>
          <t>JÄMTLANDS LÄN</t>
        </is>
      </c>
      <c r="E756" t="inlineStr">
        <is>
          <t>RAGUNDA</t>
        </is>
      </c>
      <c r="G756" t="n">
        <v>3.6</v>
      </c>
      <c r="H756" t="n">
        <v>0</v>
      </c>
      <c r="I756" t="n">
        <v>0</v>
      </c>
      <c r="J756" t="n">
        <v>3</v>
      </c>
      <c r="K756" t="n">
        <v>0</v>
      </c>
      <c r="L756" t="n">
        <v>0</v>
      </c>
      <c r="M756" t="n">
        <v>0</v>
      </c>
      <c r="N756" t="n">
        <v>0</v>
      </c>
      <c r="O756" t="n">
        <v>3</v>
      </c>
      <c r="P756" t="n">
        <v>0</v>
      </c>
      <c r="Q756" t="n">
        <v>3</v>
      </c>
      <c r="R756" s="2" t="inlineStr">
        <is>
          <t>Garnlav
Lunglav
Vitgrynig nållav</t>
        </is>
      </c>
      <c r="S756">
        <f>HYPERLINK("https://klasma.github.io/Logging_2303/artfynd/A 22730-2023 artfynd.xlsx", "A 22730-2023")</f>
        <v/>
      </c>
      <c r="T756">
        <f>HYPERLINK("https://klasma.github.io/Logging_2303/kartor/A 22730-2023 karta.png", "A 22730-2023")</f>
        <v/>
      </c>
      <c r="V756">
        <f>HYPERLINK("https://klasma.github.io/Logging_2303/klagomål/A 22730-2023 FSC-klagomål.docx", "A 22730-2023")</f>
        <v/>
      </c>
      <c r="W756">
        <f>HYPERLINK("https://klasma.github.io/Logging_2303/klagomålsmail/A 22730-2023 FSC-klagomål mail.docx", "A 22730-2023")</f>
        <v/>
      </c>
      <c r="X756">
        <f>HYPERLINK("https://klasma.github.io/Logging_2303/tillsyn/A 22730-2023 tillsynsbegäran.docx", "A 22730-2023")</f>
        <v/>
      </c>
      <c r="Y756">
        <f>HYPERLINK("https://klasma.github.io/Logging_2303/tillsynsmail/A 22730-2023 tillsynsbegäran mail.docx", "A 22730-2023")</f>
        <v/>
      </c>
    </row>
    <row r="757" ht="15" customHeight="1">
      <c r="A757" t="inlineStr">
        <is>
          <t>A 23638-2023</t>
        </is>
      </c>
      <c r="B757" s="1" t="n">
        <v>45072</v>
      </c>
      <c r="C757" s="1" t="n">
        <v>45363</v>
      </c>
      <c r="D757" t="inlineStr">
        <is>
          <t>JÄMTLANDS LÄN</t>
        </is>
      </c>
      <c r="E757" t="inlineStr">
        <is>
          <t>ÅRE</t>
        </is>
      </c>
      <c r="G757" t="n">
        <v>11.2</v>
      </c>
      <c r="H757" t="n">
        <v>1</v>
      </c>
      <c r="I757" t="n">
        <v>0</v>
      </c>
      <c r="J757" t="n">
        <v>3</v>
      </c>
      <c r="K757" t="n">
        <v>0</v>
      </c>
      <c r="L757" t="n">
        <v>0</v>
      </c>
      <c r="M757" t="n">
        <v>0</v>
      </c>
      <c r="N757" t="n">
        <v>0</v>
      </c>
      <c r="O757" t="n">
        <v>3</v>
      </c>
      <c r="P757" t="n">
        <v>0</v>
      </c>
      <c r="Q757" t="n">
        <v>3</v>
      </c>
      <c r="R757" s="2" t="inlineStr">
        <is>
          <t>Garnlav
Granticka
Tretåig hackspett</t>
        </is>
      </c>
      <c r="S757">
        <f>HYPERLINK("https://klasma.github.io/Logging_2321/artfynd/A 23638-2023 artfynd.xlsx", "A 23638-2023")</f>
        <v/>
      </c>
      <c r="T757">
        <f>HYPERLINK("https://klasma.github.io/Logging_2321/kartor/A 23638-2023 karta.png", "A 23638-2023")</f>
        <v/>
      </c>
      <c r="V757">
        <f>HYPERLINK("https://klasma.github.io/Logging_2321/klagomål/A 23638-2023 FSC-klagomål.docx", "A 23638-2023")</f>
        <v/>
      </c>
      <c r="W757">
        <f>HYPERLINK("https://klasma.github.io/Logging_2321/klagomålsmail/A 23638-2023 FSC-klagomål mail.docx", "A 23638-2023")</f>
        <v/>
      </c>
      <c r="X757">
        <f>HYPERLINK("https://klasma.github.io/Logging_2321/tillsyn/A 23638-2023 tillsynsbegäran.docx", "A 23638-2023")</f>
        <v/>
      </c>
      <c r="Y757">
        <f>HYPERLINK("https://klasma.github.io/Logging_2321/tillsynsmail/A 23638-2023 tillsynsbegäran mail.docx", "A 23638-2023")</f>
        <v/>
      </c>
      <c r="Z757">
        <f>HYPERLINK("https://klasma.github.io/Logging_2321/fåglar/A 23638-2023 prioriterade fågelarter.docx", "A 23638-2023")</f>
        <v/>
      </c>
    </row>
    <row r="758" ht="15" customHeight="1">
      <c r="A758" t="inlineStr">
        <is>
          <t>A 23729-2023</t>
        </is>
      </c>
      <c r="B758" s="1" t="n">
        <v>45072</v>
      </c>
      <c r="C758" s="1" t="n">
        <v>45363</v>
      </c>
      <c r="D758" t="inlineStr">
        <is>
          <t>JÄMTLANDS LÄN</t>
        </is>
      </c>
      <c r="E758" t="inlineStr">
        <is>
          <t>ÅRE</t>
        </is>
      </c>
      <c r="G758" t="n">
        <v>4.3</v>
      </c>
      <c r="H758" t="n">
        <v>1</v>
      </c>
      <c r="I758" t="n">
        <v>0</v>
      </c>
      <c r="J758" t="n">
        <v>3</v>
      </c>
      <c r="K758" t="n">
        <v>0</v>
      </c>
      <c r="L758" t="n">
        <v>0</v>
      </c>
      <c r="M758" t="n">
        <v>0</v>
      </c>
      <c r="N758" t="n">
        <v>0</v>
      </c>
      <c r="O758" t="n">
        <v>3</v>
      </c>
      <c r="P758" t="n">
        <v>0</v>
      </c>
      <c r="Q758" t="n">
        <v>3</v>
      </c>
      <c r="R758" s="2" t="inlineStr">
        <is>
          <t>Granticka
Lunglav
Tretåig hackspett</t>
        </is>
      </c>
      <c r="S758">
        <f>HYPERLINK("https://klasma.github.io/Logging_2321/artfynd/A 23729-2023 artfynd.xlsx", "A 23729-2023")</f>
        <v/>
      </c>
      <c r="T758">
        <f>HYPERLINK("https://klasma.github.io/Logging_2321/kartor/A 23729-2023 karta.png", "A 23729-2023")</f>
        <v/>
      </c>
      <c r="V758">
        <f>HYPERLINK("https://klasma.github.io/Logging_2321/klagomål/A 23729-2023 FSC-klagomål.docx", "A 23729-2023")</f>
        <v/>
      </c>
      <c r="W758">
        <f>HYPERLINK("https://klasma.github.io/Logging_2321/klagomålsmail/A 23729-2023 FSC-klagomål mail.docx", "A 23729-2023")</f>
        <v/>
      </c>
      <c r="X758">
        <f>HYPERLINK("https://klasma.github.io/Logging_2321/tillsyn/A 23729-2023 tillsynsbegäran.docx", "A 23729-2023")</f>
        <v/>
      </c>
      <c r="Y758">
        <f>HYPERLINK("https://klasma.github.io/Logging_2321/tillsynsmail/A 23729-2023 tillsynsbegäran mail.docx", "A 23729-2023")</f>
        <v/>
      </c>
      <c r="Z758">
        <f>HYPERLINK("https://klasma.github.io/Logging_2321/fåglar/A 23729-2023 prioriterade fågelarter.docx", "A 23729-2023")</f>
        <v/>
      </c>
    </row>
    <row r="759" ht="15" customHeight="1">
      <c r="A759" t="inlineStr">
        <is>
          <t>A 24549-2023</t>
        </is>
      </c>
      <c r="B759" s="1" t="n">
        <v>45082</v>
      </c>
      <c r="C759" s="1" t="n">
        <v>45363</v>
      </c>
      <c r="D759" t="inlineStr">
        <is>
          <t>JÄMTLANDS LÄN</t>
        </is>
      </c>
      <c r="E759" t="inlineStr">
        <is>
          <t>ÅRE</t>
        </is>
      </c>
      <c r="G759" t="n">
        <v>6.4</v>
      </c>
      <c r="H759" t="n">
        <v>2</v>
      </c>
      <c r="I759" t="n">
        <v>2</v>
      </c>
      <c r="J759" t="n">
        <v>0</v>
      </c>
      <c r="K759" t="n">
        <v>0</v>
      </c>
      <c r="L759" t="n">
        <v>0</v>
      </c>
      <c r="M759" t="n">
        <v>0</v>
      </c>
      <c r="N759" t="n">
        <v>0</v>
      </c>
      <c r="O759" t="n">
        <v>0</v>
      </c>
      <c r="P759" t="n">
        <v>0</v>
      </c>
      <c r="Q759" t="n">
        <v>3</v>
      </c>
      <c r="R759" s="2" t="inlineStr">
        <is>
          <t>Spindelblomster
Ögonpyrola
Revlummer</t>
        </is>
      </c>
      <c r="S759">
        <f>HYPERLINK("https://klasma.github.io/Logging_2321/artfynd/A 24549-2023 artfynd.xlsx", "A 24549-2023")</f>
        <v/>
      </c>
      <c r="T759">
        <f>HYPERLINK("https://klasma.github.io/Logging_2321/kartor/A 24549-2023 karta.png", "A 24549-2023")</f>
        <v/>
      </c>
      <c r="V759">
        <f>HYPERLINK("https://klasma.github.io/Logging_2321/klagomål/A 24549-2023 FSC-klagomål.docx", "A 24549-2023")</f>
        <v/>
      </c>
      <c r="W759">
        <f>HYPERLINK("https://klasma.github.io/Logging_2321/klagomålsmail/A 24549-2023 FSC-klagomål mail.docx", "A 24549-2023")</f>
        <v/>
      </c>
      <c r="X759">
        <f>HYPERLINK("https://klasma.github.io/Logging_2321/tillsyn/A 24549-2023 tillsynsbegäran.docx", "A 24549-2023")</f>
        <v/>
      </c>
      <c r="Y759">
        <f>HYPERLINK("https://klasma.github.io/Logging_2321/tillsynsmail/A 24549-2023 tillsynsbegäran mail.docx", "A 24549-2023")</f>
        <v/>
      </c>
    </row>
    <row r="760" ht="15" customHeight="1">
      <c r="A760" t="inlineStr">
        <is>
          <t>A 24836-2023</t>
        </is>
      </c>
      <c r="B760" s="1" t="n">
        <v>45084</v>
      </c>
      <c r="C760" s="1" t="n">
        <v>45363</v>
      </c>
      <c r="D760" t="inlineStr">
        <is>
          <t>JÄMTLANDS LÄN</t>
        </is>
      </c>
      <c r="E760" t="inlineStr">
        <is>
          <t>STRÖMSUND</t>
        </is>
      </c>
      <c r="F760" t="inlineStr">
        <is>
          <t>SCA</t>
        </is>
      </c>
      <c r="G760" t="n">
        <v>8.800000000000001</v>
      </c>
      <c r="H760" t="n">
        <v>0</v>
      </c>
      <c r="I760" t="n">
        <v>2</v>
      </c>
      <c r="J760" t="n">
        <v>1</v>
      </c>
      <c r="K760" t="n">
        <v>0</v>
      </c>
      <c r="L760" t="n">
        <v>0</v>
      </c>
      <c r="M760" t="n">
        <v>0</v>
      </c>
      <c r="N760" t="n">
        <v>0</v>
      </c>
      <c r="O760" t="n">
        <v>1</v>
      </c>
      <c r="P760" t="n">
        <v>0</v>
      </c>
      <c r="Q760" t="n">
        <v>3</v>
      </c>
      <c r="R760" s="2" t="inlineStr">
        <is>
          <t>Lunglav
Skinnlav
Stuplav</t>
        </is>
      </c>
      <c r="S760">
        <f>HYPERLINK("https://klasma.github.io/Logging_2313/artfynd/A 24836-2023 artfynd.xlsx", "A 24836-2023")</f>
        <v/>
      </c>
      <c r="T760">
        <f>HYPERLINK("https://klasma.github.io/Logging_2313/kartor/A 24836-2023 karta.png", "A 24836-2023")</f>
        <v/>
      </c>
      <c r="V760">
        <f>HYPERLINK("https://klasma.github.io/Logging_2313/klagomål/A 24836-2023 FSC-klagomål.docx", "A 24836-2023")</f>
        <v/>
      </c>
      <c r="W760">
        <f>HYPERLINK("https://klasma.github.io/Logging_2313/klagomålsmail/A 24836-2023 FSC-klagomål mail.docx", "A 24836-2023")</f>
        <v/>
      </c>
      <c r="X760">
        <f>HYPERLINK("https://klasma.github.io/Logging_2313/tillsyn/A 24836-2023 tillsynsbegäran.docx", "A 24836-2023")</f>
        <v/>
      </c>
      <c r="Y760">
        <f>HYPERLINK("https://klasma.github.io/Logging_2313/tillsynsmail/A 24836-2023 tillsynsbegäran mail.docx", "A 24836-2023")</f>
        <v/>
      </c>
    </row>
    <row r="761" ht="15" customHeight="1">
      <c r="A761" t="inlineStr">
        <is>
          <t>A 24955-2023</t>
        </is>
      </c>
      <c r="B761" s="1" t="n">
        <v>45085</v>
      </c>
      <c r="C761" s="1" t="n">
        <v>45363</v>
      </c>
      <c r="D761" t="inlineStr">
        <is>
          <t>JÄMTLANDS LÄN</t>
        </is>
      </c>
      <c r="E761" t="inlineStr">
        <is>
          <t>HÄRJEDALEN</t>
        </is>
      </c>
      <c r="G761" t="n">
        <v>7.7</v>
      </c>
      <c r="H761" t="n">
        <v>1</v>
      </c>
      <c r="I761" t="n">
        <v>0</v>
      </c>
      <c r="J761" t="n">
        <v>3</v>
      </c>
      <c r="K761" t="n">
        <v>0</v>
      </c>
      <c r="L761" t="n">
        <v>0</v>
      </c>
      <c r="M761" t="n">
        <v>0</v>
      </c>
      <c r="N761" t="n">
        <v>0</v>
      </c>
      <c r="O761" t="n">
        <v>3</v>
      </c>
      <c r="P761" t="n">
        <v>0</v>
      </c>
      <c r="Q761" t="n">
        <v>3</v>
      </c>
      <c r="R761" s="2" t="inlineStr">
        <is>
          <t>Brunpudrad nållav
Dvärgbägarlav
Tretåig hackspett</t>
        </is>
      </c>
      <c r="S761">
        <f>HYPERLINK("https://klasma.github.io/Logging_2361/artfynd/A 24955-2023 artfynd.xlsx", "A 24955-2023")</f>
        <v/>
      </c>
      <c r="T761">
        <f>HYPERLINK("https://klasma.github.io/Logging_2361/kartor/A 24955-2023 karta.png", "A 24955-2023")</f>
        <v/>
      </c>
      <c r="V761">
        <f>HYPERLINK("https://klasma.github.io/Logging_2361/klagomål/A 24955-2023 FSC-klagomål.docx", "A 24955-2023")</f>
        <v/>
      </c>
      <c r="W761">
        <f>HYPERLINK("https://klasma.github.io/Logging_2361/klagomålsmail/A 24955-2023 FSC-klagomål mail.docx", "A 24955-2023")</f>
        <v/>
      </c>
      <c r="X761">
        <f>HYPERLINK("https://klasma.github.io/Logging_2361/tillsyn/A 24955-2023 tillsynsbegäran.docx", "A 24955-2023")</f>
        <v/>
      </c>
      <c r="Y761">
        <f>HYPERLINK("https://klasma.github.io/Logging_2361/tillsynsmail/A 24955-2023 tillsynsbegäran mail.docx", "A 24955-2023")</f>
        <v/>
      </c>
      <c r="Z761">
        <f>HYPERLINK("https://klasma.github.io/Logging_2361/fåglar/A 24955-2023 prioriterade fågelarter.docx", "A 24955-2023")</f>
        <v/>
      </c>
    </row>
    <row r="762" ht="15" customHeight="1">
      <c r="A762" t="inlineStr">
        <is>
          <t>A 26651-2023</t>
        </is>
      </c>
      <c r="B762" s="1" t="n">
        <v>45092</v>
      </c>
      <c r="C762" s="1" t="n">
        <v>45363</v>
      </c>
      <c r="D762" t="inlineStr">
        <is>
          <t>JÄMTLANDS LÄN</t>
        </is>
      </c>
      <c r="E762" t="inlineStr">
        <is>
          <t>STRÖMSUND</t>
        </is>
      </c>
      <c r="F762" t="inlineStr">
        <is>
          <t>SCA</t>
        </is>
      </c>
      <c r="G762" t="n">
        <v>3.6</v>
      </c>
      <c r="H762" t="n">
        <v>1</v>
      </c>
      <c r="I762" t="n">
        <v>1</v>
      </c>
      <c r="J762" t="n">
        <v>2</v>
      </c>
      <c r="K762" t="n">
        <v>0</v>
      </c>
      <c r="L762" t="n">
        <v>0</v>
      </c>
      <c r="M762" t="n">
        <v>0</v>
      </c>
      <c r="N762" t="n">
        <v>0</v>
      </c>
      <c r="O762" t="n">
        <v>2</v>
      </c>
      <c r="P762" t="n">
        <v>0</v>
      </c>
      <c r="Q762" t="n">
        <v>3</v>
      </c>
      <c r="R762" s="2" t="inlineStr">
        <is>
          <t>Gammelgransskål
Gränsticka
Lappranunkel</t>
        </is>
      </c>
      <c r="S762">
        <f>HYPERLINK("https://klasma.github.io/Logging_2313/artfynd/A 26651-2023 artfynd.xlsx", "A 26651-2023")</f>
        <v/>
      </c>
      <c r="T762">
        <f>HYPERLINK("https://klasma.github.io/Logging_2313/kartor/A 26651-2023 karta.png", "A 26651-2023")</f>
        <v/>
      </c>
      <c r="V762">
        <f>HYPERLINK("https://klasma.github.io/Logging_2313/klagomål/A 26651-2023 FSC-klagomål.docx", "A 26651-2023")</f>
        <v/>
      </c>
      <c r="W762">
        <f>HYPERLINK("https://klasma.github.io/Logging_2313/klagomålsmail/A 26651-2023 FSC-klagomål mail.docx", "A 26651-2023")</f>
        <v/>
      </c>
      <c r="X762">
        <f>HYPERLINK("https://klasma.github.io/Logging_2313/tillsyn/A 26651-2023 tillsynsbegäran.docx", "A 26651-2023")</f>
        <v/>
      </c>
      <c r="Y762">
        <f>HYPERLINK("https://klasma.github.io/Logging_2313/tillsynsmail/A 26651-2023 tillsynsbegäran mail.docx", "A 26651-2023")</f>
        <v/>
      </c>
    </row>
    <row r="763" ht="15" customHeight="1">
      <c r="A763" t="inlineStr">
        <is>
          <t>A 28178-2023</t>
        </is>
      </c>
      <c r="B763" s="1" t="n">
        <v>45093</v>
      </c>
      <c r="C763" s="1" t="n">
        <v>45363</v>
      </c>
      <c r="D763" t="inlineStr">
        <is>
          <t>JÄMTLANDS LÄN</t>
        </is>
      </c>
      <c r="E763" t="inlineStr">
        <is>
          <t>RAGUNDA</t>
        </is>
      </c>
      <c r="G763" t="n">
        <v>5.6</v>
      </c>
      <c r="H763" t="n">
        <v>0</v>
      </c>
      <c r="I763" t="n">
        <v>0</v>
      </c>
      <c r="J763" t="n">
        <v>3</v>
      </c>
      <c r="K763" t="n">
        <v>0</v>
      </c>
      <c r="L763" t="n">
        <v>0</v>
      </c>
      <c r="M763" t="n">
        <v>0</v>
      </c>
      <c r="N763" t="n">
        <v>0</v>
      </c>
      <c r="O763" t="n">
        <v>3</v>
      </c>
      <c r="P763" t="n">
        <v>0</v>
      </c>
      <c r="Q763" t="n">
        <v>3</v>
      </c>
      <c r="R763" s="2" t="inlineStr">
        <is>
          <t>Garnlav
Gultoppig fingersvamp
Violettgrå tagellav</t>
        </is>
      </c>
      <c r="S763">
        <f>HYPERLINK("https://klasma.github.io/Logging_2303/artfynd/A 28178-2023 artfynd.xlsx", "A 28178-2023")</f>
        <v/>
      </c>
      <c r="T763">
        <f>HYPERLINK("https://klasma.github.io/Logging_2303/kartor/A 28178-2023 karta.png", "A 28178-2023")</f>
        <v/>
      </c>
      <c r="V763">
        <f>HYPERLINK("https://klasma.github.io/Logging_2303/klagomål/A 28178-2023 FSC-klagomål.docx", "A 28178-2023")</f>
        <v/>
      </c>
      <c r="W763">
        <f>HYPERLINK("https://klasma.github.io/Logging_2303/klagomålsmail/A 28178-2023 FSC-klagomål mail.docx", "A 28178-2023")</f>
        <v/>
      </c>
      <c r="X763">
        <f>HYPERLINK("https://klasma.github.io/Logging_2303/tillsyn/A 28178-2023 tillsynsbegäran.docx", "A 28178-2023")</f>
        <v/>
      </c>
      <c r="Y763">
        <f>HYPERLINK("https://klasma.github.io/Logging_2303/tillsynsmail/A 28178-2023 tillsynsbegäran mail.docx", "A 28178-2023")</f>
        <v/>
      </c>
    </row>
    <row r="764" ht="15" customHeight="1">
      <c r="A764" t="inlineStr">
        <is>
          <t>A 27686-2023</t>
        </is>
      </c>
      <c r="B764" s="1" t="n">
        <v>45097</v>
      </c>
      <c r="C764" s="1" t="n">
        <v>45363</v>
      </c>
      <c r="D764" t="inlineStr">
        <is>
          <t>JÄMTLANDS LÄN</t>
        </is>
      </c>
      <c r="E764" t="inlineStr">
        <is>
          <t>STRÖMSUND</t>
        </is>
      </c>
      <c r="F764" t="inlineStr">
        <is>
          <t>SCA</t>
        </is>
      </c>
      <c r="G764" t="n">
        <v>8.699999999999999</v>
      </c>
      <c r="H764" t="n">
        <v>0</v>
      </c>
      <c r="I764" t="n">
        <v>0</v>
      </c>
      <c r="J764" t="n">
        <v>3</v>
      </c>
      <c r="K764" t="n">
        <v>0</v>
      </c>
      <c r="L764" t="n">
        <v>0</v>
      </c>
      <c r="M764" t="n">
        <v>0</v>
      </c>
      <c r="N764" t="n">
        <v>0</v>
      </c>
      <c r="O764" t="n">
        <v>3</v>
      </c>
      <c r="P764" t="n">
        <v>0</v>
      </c>
      <c r="Q764" t="n">
        <v>3</v>
      </c>
      <c r="R764" s="2" t="inlineStr">
        <is>
          <t>Gammelgransskål
Garnlav
Harticka</t>
        </is>
      </c>
      <c r="S764">
        <f>HYPERLINK("https://klasma.github.io/Logging_2313/artfynd/A 27686-2023 artfynd.xlsx", "A 27686-2023")</f>
        <v/>
      </c>
      <c r="T764">
        <f>HYPERLINK("https://klasma.github.io/Logging_2313/kartor/A 27686-2023 karta.png", "A 27686-2023")</f>
        <v/>
      </c>
      <c r="V764">
        <f>HYPERLINK("https://klasma.github.io/Logging_2313/klagomål/A 27686-2023 FSC-klagomål.docx", "A 27686-2023")</f>
        <v/>
      </c>
      <c r="W764">
        <f>HYPERLINK("https://klasma.github.io/Logging_2313/klagomålsmail/A 27686-2023 FSC-klagomål mail.docx", "A 27686-2023")</f>
        <v/>
      </c>
      <c r="X764">
        <f>HYPERLINK("https://klasma.github.io/Logging_2313/tillsyn/A 27686-2023 tillsynsbegäran.docx", "A 27686-2023")</f>
        <v/>
      </c>
      <c r="Y764">
        <f>HYPERLINK("https://klasma.github.io/Logging_2313/tillsynsmail/A 27686-2023 tillsynsbegäran mail.docx", "A 27686-2023")</f>
        <v/>
      </c>
    </row>
    <row r="765" ht="15" customHeight="1">
      <c r="A765" t="inlineStr">
        <is>
          <t>A 29072-2023</t>
        </is>
      </c>
      <c r="B765" s="1" t="n">
        <v>45104</v>
      </c>
      <c r="C765" s="1" t="n">
        <v>45363</v>
      </c>
      <c r="D765" t="inlineStr">
        <is>
          <t>JÄMTLANDS LÄN</t>
        </is>
      </c>
      <c r="E765" t="inlineStr">
        <is>
          <t>STRÖMSUND</t>
        </is>
      </c>
      <c r="F765" t="inlineStr">
        <is>
          <t>SCA</t>
        </is>
      </c>
      <c r="G765" t="n">
        <v>12.6</v>
      </c>
      <c r="H765" t="n">
        <v>0</v>
      </c>
      <c r="I765" t="n">
        <v>1</v>
      </c>
      <c r="J765" t="n">
        <v>1</v>
      </c>
      <c r="K765" t="n">
        <v>1</v>
      </c>
      <c r="L765" t="n">
        <v>0</v>
      </c>
      <c r="M765" t="n">
        <v>0</v>
      </c>
      <c r="N765" t="n">
        <v>0</v>
      </c>
      <c r="O765" t="n">
        <v>2</v>
      </c>
      <c r="P765" t="n">
        <v>1</v>
      </c>
      <c r="Q765" t="n">
        <v>3</v>
      </c>
      <c r="R765" s="2" t="inlineStr">
        <is>
          <t>Rynkskinn
Rosenticka
Stor aspticka</t>
        </is>
      </c>
      <c r="S765">
        <f>HYPERLINK("https://klasma.github.io/Logging_2313/artfynd/A 29072-2023 artfynd.xlsx", "A 29072-2023")</f>
        <v/>
      </c>
      <c r="T765">
        <f>HYPERLINK("https://klasma.github.io/Logging_2313/kartor/A 29072-2023 karta.png", "A 29072-2023")</f>
        <v/>
      </c>
      <c r="V765">
        <f>HYPERLINK("https://klasma.github.io/Logging_2313/klagomål/A 29072-2023 FSC-klagomål.docx", "A 29072-2023")</f>
        <v/>
      </c>
      <c r="W765">
        <f>HYPERLINK("https://klasma.github.io/Logging_2313/klagomålsmail/A 29072-2023 FSC-klagomål mail.docx", "A 29072-2023")</f>
        <v/>
      </c>
      <c r="X765">
        <f>HYPERLINK("https://klasma.github.io/Logging_2313/tillsyn/A 29072-2023 tillsynsbegäran.docx", "A 29072-2023")</f>
        <v/>
      </c>
      <c r="Y765">
        <f>HYPERLINK("https://klasma.github.io/Logging_2313/tillsynsmail/A 29072-2023 tillsynsbegäran mail.docx", "A 29072-2023")</f>
        <v/>
      </c>
    </row>
    <row r="766" ht="15" customHeight="1">
      <c r="A766" t="inlineStr">
        <is>
          <t>A 29606-2023</t>
        </is>
      </c>
      <c r="B766" s="1" t="n">
        <v>45106</v>
      </c>
      <c r="C766" s="1" t="n">
        <v>45363</v>
      </c>
      <c r="D766" t="inlineStr">
        <is>
          <t>JÄMTLANDS LÄN</t>
        </is>
      </c>
      <c r="E766" t="inlineStr">
        <is>
          <t>STRÖMSUND</t>
        </is>
      </c>
      <c r="F766" t="inlineStr">
        <is>
          <t>SCA</t>
        </is>
      </c>
      <c r="G766" t="n">
        <v>5.2</v>
      </c>
      <c r="H766" t="n">
        <v>0</v>
      </c>
      <c r="I766" t="n">
        <v>0</v>
      </c>
      <c r="J766" t="n">
        <v>3</v>
      </c>
      <c r="K766" t="n">
        <v>0</v>
      </c>
      <c r="L766" t="n">
        <v>0</v>
      </c>
      <c r="M766" t="n">
        <v>0</v>
      </c>
      <c r="N766" t="n">
        <v>0</v>
      </c>
      <c r="O766" t="n">
        <v>3</v>
      </c>
      <c r="P766" t="n">
        <v>0</v>
      </c>
      <c r="Q766" t="n">
        <v>3</v>
      </c>
      <c r="R766" s="2" t="inlineStr">
        <is>
          <t>Doftskinn
Garnlav
Ullticka</t>
        </is>
      </c>
      <c r="S766">
        <f>HYPERLINK("https://klasma.github.io/Logging_2313/artfynd/A 29606-2023 artfynd.xlsx", "A 29606-2023")</f>
        <v/>
      </c>
      <c r="T766">
        <f>HYPERLINK("https://klasma.github.io/Logging_2313/kartor/A 29606-2023 karta.png", "A 29606-2023")</f>
        <v/>
      </c>
      <c r="V766">
        <f>HYPERLINK("https://klasma.github.io/Logging_2313/klagomål/A 29606-2023 FSC-klagomål.docx", "A 29606-2023")</f>
        <v/>
      </c>
      <c r="W766">
        <f>HYPERLINK("https://klasma.github.io/Logging_2313/klagomålsmail/A 29606-2023 FSC-klagomål mail.docx", "A 29606-2023")</f>
        <v/>
      </c>
      <c r="X766">
        <f>HYPERLINK("https://klasma.github.io/Logging_2313/tillsyn/A 29606-2023 tillsynsbegäran.docx", "A 29606-2023")</f>
        <v/>
      </c>
      <c r="Y766">
        <f>HYPERLINK("https://klasma.github.io/Logging_2313/tillsynsmail/A 29606-2023 tillsynsbegäran mail.docx", "A 29606-2023")</f>
        <v/>
      </c>
    </row>
    <row r="767" ht="15" customHeight="1">
      <c r="A767" t="inlineStr">
        <is>
          <t>A 32725-2023</t>
        </is>
      </c>
      <c r="B767" s="1" t="n">
        <v>45121</v>
      </c>
      <c r="C767" s="1" t="n">
        <v>45363</v>
      </c>
      <c r="D767" t="inlineStr">
        <is>
          <t>JÄMTLANDS LÄN</t>
        </is>
      </c>
      <c r="E767" t="inlineStr">
        <is>
          <t>BRÄCKE</t>
        </is>
      </c>
      <c r="F767" t="inlineStr">
        <is>
          <t>SCA</t>
        </is>
      </c>
      <c r="G767" t="n">
        <v>10.9</v>
      </c>
      <c r="H767" t="n">
        <v>1</v>
      </c>
      <c r="I767" t="n">
        <v>0</v>
      </c>
      <c r="J767" t="n">
        <v>3</v>
      </c>
      <c r="K767" t="n">
        <v>0</v>
      </c>
      <c r="L767" t="n">
        <v>0</v>
      </c>
      <c r="M767" t="n">
        <v>0</v>
      </c>
      <c r="N767" t="n">
        <v>0</v>
      </c>
      <c r="O767" t="n">
        <v>3</v>
      </c>
      <c r="P767" t="n">
        <v>0</v>
      </c>
      <c r="Q767" t="n">
        <v>3</v>
      </c>
      <c r="R767" s="2" t="inlineStr">
        <is>
          <t>Doftskinn
Garnlav
Tretåig hackspett</t>
        </is>
      </c>
      <c r="S767">
        <f>HYPERLINK("https://klasma.github.io/Logging_2305/artfynd/A 32725-2023 artfynd.xlsx", "A 32725-2023")</f>
        <v/>
      </c>
      <c r="T767">
        <f>HYPERLINK("https://klasma.github.io/Logging_2305/kartor/A 32725-2023 karta.png", "A 32725-2023")</f>
        <v/>
      </c>
      <c r="V767">
        <f>HYPERLINK("https://klasma.github.io/Logging_2305/klagomål/A 32725-2023 FSC-klagomål.docx", "A 32725-2023")</f>
        <v/>
      </c>
      <c r="W767">
        <f>HYPERLINK("https://klasma.github.io/Logging_2305/klagomålsmail/A 32725-2023 FSC-klagomål mail.docx", "A 32725-2023")</f>
        <v/>
      </c>
      <c r="X767">
        <f>HYPERLINK("https://klasma.github.io/Logging_2305/tillsyn/A 32725-2023 tillsynsbegäran.docx", "A 32725-2023")</f>
        <v/>
      </c>
      <c r="Y767">
        <f>HYPERLINK("https://klasma.github.io/Logging_2305/tillsynsmail/A 32725-2023 tillsynsbegäran mail.docx", "A 32725-2023")</f>
        <v/>
      </c>
      <c r="Z767">
        <f>HYPERLINK("https://klasma.github.io/Logging_2305/fåglar/A 32725-2023 prioriterade fågelarter.docx", "A 32725-2023")</f>
        <v/>
      </c>
    </row>
    <row r="768" ht="15" customHeight="1">
      <c r="A768" t="inlineStr">
        <is>
          <t>A 33329-2023</t>
        </is>
      </c>
      <c r="B768" s="1" t="n">
        <v>45127</v>
      </c>
      <c r="C768" s="1" t="n">
        <v>45363</v>
      </c>
      <c r="D768" t="inlineStr">
        <is>
          <t>JÄMTLANDS LÄN</t>
        </is>
      </c>
      <c r="E768" t="inlineStr">
        <is>
          <t>STRÖMSUND</t>
        </is>
      </c>
      <c r="F768" t="inlineStr">
        <is>
          <t>SCA</t>
        </is>
      </c>
      <c r="G768" t="n">
        <v>6.4</v>
      </c>
      <c r="H768" t="n">
        <v>0</v>
      </c>
      <c r="I768" t="n">
        <v>0</v>
      </c>
      <c r="J768" t="n">
        <v>3</v>
      </c>
      <c r="K768" t="n">
        <v>0</v>
      </c>
      <c r="L768" t="n">
        <v>0</v>
      </c>
      <c r="M768" t="n">
        <v>0</v>
      </c>
      <c r="N768" t="n">
        <v>0</v>
      </c>
      <c r="O768" t="n">
        <v>3</v>
      </c>
      <c r="P768" t="n">
        <v>0</v>
      </c>
      <c r="Q768" t="n">
        <v>3</v>
      </c>
      <c r="R768" s="2" t="inlineStr">
        <is>
          <t>Dvärgbägarlav
Kortskaftad ärgspik
Vedflamlav</t>
        </is>
      </c>
      <c r="S768">
        <f>HYPERLINK("https://klasma.github.io/Logging_2313/artfynd/A 33329-2023 artfynd.xlsx", "A 33329-2023")</f>
        <v/>
      </c>
      <c r="T768">
        <f>HYPERLINK("https://klasma.github.io/Logging_2313/kartor/A 33329-2023 karta.png", "A 33329-2023")</f>
        <v/>
      </c>
      <c r="V768">
        <f>HYPERLINK("https://klasma.github.io/Logging_2313/klagomål/A 33329-2023 FSC-klagomål.docx", "A 33329-2023")</f>
        <v/>
      </c>
      <c r="W768">
        <f>HYPERLINK("https://klasma.github.io/Logging_2313/klagomålsmail/A 33329-2023 FSC-klagomål mail.docx", "A 33329-2023")</f>
        <v/>
      </c>
      <c r="X768">
        <f>HYPERLINK("https://klasma.github.io/Logging_2313/tillsyn/A 33329-2023 tillsynsbegäran.docx", "A 33329-2023")</f>
        <v/>
      </c>
      <c r="Y768">
        <f>HYPERLINK("https://klasma.github.io/Logging_2313/tillsynsmail/A 33329-2023 tillsynsbegäran mail.docx", "A 33329-2023")</f>
        <v/>
      </c>
    </row>
    <row r="769" ht="15" customHeight="1">
      <c r="A769" t="inlineStr">
        <is>
          <t>A 36260-2023</t>
        </is>
      </c>
      <c r="B769" s="1" t="n">
        <v>45151</v>
      </c>
      <c r="C769" s="1" t="n">
        <v>45363</v>
      </c>
      <c r="D769" t="inlineStr">
        <is>
          <t>JÄMTLANDS LÄN</t>
        </is>
      </c>
      <c r="E769" t="inlineStr">
        <is>
          <t>ÅRE</t>
        </is>
      </c>
      <c r="G769" t="n">
        <v>2.6</v>
      </c>
      <c r="H769" t="n">
        <v>0</v>
      </c>
      <c r="I769" t="n">
        <v>3</v>
      </c>
      <c r="J769" t="n">
        <v>0</v>
      </c>
      <c r="K769" t="n">
        <v>0</v>
      </c>
      <c r="L769" t="n">
        <v>0</v>
      </c>
      <c r="M769" t="n">
        <v>0</v>
      </c>
      <c r="N769" t="n">
        <v>0</v>
      </c>
      <c r="O769" t="n">
        <v>0</v>
      </c>
      <c r="P769" t="n">
        <v>0</v>
      </c>
      <c r="Q769" t="n">
        <v>3</v>
      </c>
      <c r="R769" s="2" t="inlineStr">
        <is>
          <t>Svavelriska
Underviol
Vedticka</t>
        </is>
      </c>
      <c r="S769">
        <f>HYPERLINK("https://klasma.github.io/Logging_2321/artfynd/A 36260-2023 artfynd.xlsx", "A 36260-2023")</f>
        <v/>
      </c>
      <c r="T769">
        <f>HYPERLINK("https://klasma.github.io/Logging_2321/kartor/A 36260-2023 karta.png", "A 36260-2023")</f>
        <v/>
      </c>
      <c r="V769">
        <f>HYPERLINK("https://klasma.github.io/Logging_2321/klagomål/A 36260-2023 FSC-klagomål.docx", "A 36260-2023")</f>
        <v/>
      </c>
      <c r="W769">
        <f>HYPERLINK("https://klasma.github.io/Logging_2321/klagomålsmail/A 36260-2023 FSC-klagomål mail.docx", "A 36260-2023")</f>
        <v/>
      </c>
      <c r="X769">
        <f>HYPERLINK("https://klasma.github.io/Logging_2321/tillsyn/A 36260-2023 tillsynsbegäran.docx", "A 36260-2023")</f>
        <v/>
      </c>
      <c r="Y769">
        <f>HYPERLINK("https://klasma.github.io/Logging_2321/tillsynsmail/A 36260-2023 tillsynsbegäran mail.docx", "A 36260-2023")</f>
        <v/>
      </c>
    </row>
    <row r="770" ht="15" customHeight="1">
      <c r="A770" t="inlineStr">
        <is>
          <t>A 36504-2023</t>
        </is>
      </c>
      <c r="B770" s="1" t="n">
        <v>45152</v>
      </c>
      <c r="C770" s="1" t="n">
        <v>45363</v>
      </c>
      <c r="D770" t="inlineStr">
        <is>
          <t>JÄMTLANDS LÄN</t>
        </is>
      </c>
      <c r="E770" t="inlineStr">
        <is>
          <t>RAGUNDA</t>
        </is>
      </c>
      <c r="F770" t="inlineStr">
        <is>
          <t>SCA</t>
        </is>
      </c>
      <c r="G770" t="n">
        <v>2</v>
      </c>
      <c r="H770" t="n">
        <v>0</v>
      </c>
      <c r="I770" t="n">
        <v>0</v>
      </c>
      <c r="J770" t="n">
        <v>3</v>
      </c>
      <c r="K770" t="n">
        <v>0</v>
      </c>
      <c r="L770" t="n">
        <v>0</v>
      </c>
      <c r="M770" t="n">
        <v>0</v>
      </c>
      <c r="N770" t="n">
        <v>0</v>
      </c>
      <c r="O770" t="n">
        <v>3</v>
      </c>
      <c r="P770" t="n">
        <v>0</v>
      </c>
      <c r="Q770" t="n">
        <v>3</v>
      </c>
      <c r="R770" s="2" t="inlineStr">
        <is>
          <t>Gammelgransskål
Garnlav
Granticka</t>
        </is>
      </c>
      <c r="S770">
        <f>HYPERLINK("https://klasma.github.io/Logging_2303/artfynd/A 36504-2023 artfynd.xlsx", "A 36504-2023")</f>
        <v/>
      </c>
      <c r="T770">
        <f>HYPERLINK("https://klasma.github.io/Logging_2303/kartor/A 36504-2023 karta.png", "A 36504-2023")</f>
        <v/>
      </c>
      <c r="V770">
        <f>HYPERLINK("https://klasma.github.io/Logging_2303/klagomål/A 36504-2023 FSC-klagomål.docx", "A 36504-2023")</f>
        <v/>
      </c>
      <c r="W770">
        <f>HYPERLINK("https://klasma.github.io/Logging_2303/klagomålsmail/A 36504-2023 FSC-klagomål mail.docx", "A 36504-2023")</f>
        <v/>
      </c>
      <c r="X770">
        <f>HYPERLINK("https://klasma.github.io/Logging_2303/tillsyn/A 36504-2023 tillsynsbegäran.docx", "A 36504-2023")</f>
        <v/>
      </c>
      <c r="Y770">
        <f>HYPERLINK("https://klasma.github.io/Logging_2303/tillsynsmail/A 36504-2023 tillsynsbegäran mail.docx", "A 36504-2023")</f>
        <v/>
      </c>
    </row>
    <row r="771" ht="15" customHeight="1">
      <c r="A771" t="inlineStr">
        <is>
          <t>A 36756-2023</t>
        </is>
      </c>
      <c r="B771" s="1" t="n">
        <v>45153</v>
      </c>
      <c r="C771" s="1" t="n">
        <v>45363</v>
      </c>
      <c r="D771" t="inlineStr">
        <is>
          <t>JÄMTLANDS LÄN</t>
        </is>
      </c>
      <c r="E771" t="inlineStr">
        <is>
          <t>RAGUNDA</t>
        </is>
      </c>
      <c r="G771" t="n">
        <v>8.5</v>
      </c>
      <c r="H771" t="n">
        <v>2</v>
      </c>
      <c r="I771" t="n">
        <v>0</v>
      </c>
      <c r="J771" t="n">
        <v>3</v>
      </c>
      <c r="K771" t="n">
        <v>0</v>
      </c>
      <c r="L771" t="n">
        <v>0</v>
      </c>
      <c r="M771" t="n">
        <v>0</v>
      </c>
      <c r="N771" t="n">
        <v>0</v>
      </c>
      <c r="O771" t="n">
        <v>3</v>
      </c>
      <c r="P771" t="n">
        <v>0</v>
      </c>
      <c r="Q771" t="n">
        <v>3</v>
      </c>
      <c r="R771" s="2" t="inlineStr">
        <is>
          <t>Granticka
Spillkråka
Tretåig hackspett</t>
        </is>
      </c>
      <c r="S771">
        <f>HYPERLINK("https://klasma.github.io/Logging_2303/artfynd/A 36756-2023 artfynd.xlsx", "A 36756-2023")</f>
        <v/>
      </c>
      <c r="T771">
        <f>HYPERLINK("https://klasma.github.io/Logging_2303/kartor/A 36756-2023 karta.png", "A 36756-2023")</f>
        <v/>
      </c>
      <c r="V771">
        <f>HYPERLINK("https://klasma.github.io/Logging_2303/klagomål/A 36756-2023 FSC-klagomål.docx", "A 36756-2023")</f>
        <v/>
      </c>
      <c r="W771">
        <f>HYPERLINK("https://klasma.github.io/Logging_2303/klagomålsmail/A 36756-2023 FSC-klagomål mail.docx", "A 36756-2023")</f>
        <v/>
      </c>
      <c r="X771">
        <f>HYPERLINK("https://klasma.github.io/Logging_2303/tillsyn/A 36756-2023 tillsynsbegäran.docx", "A 36756-2023")</f>
        <v/>
      </c>
      <c r="Y771">
        <f>HYPERLINK("https://klasma.github.io/Logging_2303/tillsynsmail/A 36756-2023 tillsynsbegäran mail.docx", "A 36756-2023")</f>
        <v/>
      </c>
      <c r="Z771">
        <f>HYPERLINK("https://klasma.github.io/Logging_2303/fåglar/A 36756-2023 prioriterade fågelarter.docx", "A 36756-2023")</f>
        <v/>
      </c>
    </row>
    <row r="772" ht="15" customHeight="1">
      <c r="A772" t="inlineStr">
        <is>
          <t>A 37235-2023</t>
        </is>
      </c>
      <c r="B772" s="1" t="n">
        <v>45155</v>
      </c>
      <c r="C772" s="1" t="n">
        <v>45363</v>
      </c>
      <c r="D772" t="inlineStr">
        <is>
          <t>JÄMTLANDS LÄN</t>
        </is>
      </c>
      <c r="E772" t="inlineStr">
        <is>
          <t>RAGUNDA</t>
        </is>
      </c>
      <c r="F772" t="inlineStr">
        <is>
          <t>SCA</t>
        </is>
      </c>
      <c r="G772" t="n">
        <v>12.4</v>
      </c>
      <c r="H772" t="n">
        <v>3</v>
      </c>
      <c r="I772" t="n">
        <v>1</v>
      </c>
      <c r="J772" t="n">
        <v>0</v>
      </c>
      <c r="K772" t="n">
        <v>1</v>
      </c>
      <c r="L772" t="n">
        <v>0</v>
      </c>
      <c r="M772" t="n">
        <v>0</v>
      </c>
      <c r="N772" t="n">
        <v>0</v>
      </c>
      <c r="O772" t="n">
        <v>1</v>
      </c>
      <c r="P772" t="n">
        <v>1</v>
      </c>
      <c r="Q772" t="n">
        <v>3</v>
      </c>
      <c r="R772" s="2" t="inlineStr">
        <is>
          <t>Knärot
Tvåblad
Nattviol</t>
        </is>
      </c>
      <c r="S772">
        <f>HYPERLINK("https://klasma.github.io/Logging_2303/artfynd/A 37235-2023 artfynd.xlsx", "A 37235-2023")</f>
        <v/>
      </c>
      <c r="T772">
        <f>HYPERLINK("https://klasma.github.io/Logging_2303/kartor/A 37235-2023 karta.png", "A 37235-2023")</f>
        <v/>
      </c>
      <c r="U772">
        <f>HYPERLINK("https://klasma.github.io/Logging_2303/knärot/A 37235-2023 karta knärot.png", "A 37235-2023")</f>
        <v/>
      </c>
      <c r="V772">
        <f>HYPERLINK("https://klasma.github.io/Logging_2303/klagomål/A 37235-2023 FSC-klagomål.docx", "A 37235-2023")</f>
        <v/>
      </c>
      <c r="W772">
        <f>HYPERLINK("https://klasma.github.io/Logging_2303/klagomålsmail/A 37235-2023 FSC-klagomål mail.docx", "A 37235-2023")</f>
        <v/>
      </c>
      <c r="X772">
        <f>HYPERLINK("https://klasma.github.io/Logging_2303/tillsyn/A 37235-2023 tillsynsbegäran.docx", "A 37235-2023")</f>
        <v/>
      </c>
      <c r="Y772">
        <f>HYPERLINK("https://klasma.github.io/Logging_2303/tillsynsmail/A 37235-2023 tillsynsbegäran mail.docx", "A 37235-2023")</f>
        <v/>
      </c>
    </row>
    <row r="773" ht="15" customHeight="1">
      <c r="A773" t="inlineStr">
        <is>
          <t>A 40245-2023</t>
        </is>
      </c>
      <c r="B773" s="1" t="n">
        <v>45167</v>
      </c>
      <c r="C773" s="1" t="n">
        <v>45363</v>
      </c>
      <c r="D773" t="inlineStr">
        <is>
          <t>JÄMTLANDS LÄN</t>
        </is>
      </c>
      <c r="E773" t="inlineStr">
        <is>
          <t>ÅRE</t>
        </is>
      </c>
      <c r="G773" t="n">
        <v>18.8</v>
      </c>
      <c r="H773" t="n">
        <v>1</v>
      </c>
      <c r="I773" t="n">
        <v>0</v>
      </c>
      <c r="J773" t="n">
        <v>3</v>
      </c>
      <c r="K773" t="n">
        <v>0</v>
      </c>
      <c r="L773" t="n">
        <v>0</v>
      </c>
      <c r="M773" t="n">
        <v>0</v>
      </c>
      <c r="N773" t="n">
        <v>0</v>
      </c>
      <c r="O773" t="n">
        <v>3</v>
      </c>
      <c r="P773" t="n">
        <v>0</v>
      </c>
      <c r="Q773" t="n">
        <v>3</v>
      </c>
      <c r="R773" s="2" t="inlineStr">
        <is>
          <t>Lunglav
Skrovellav
Tretåig hackspett</t>
        </is>
      </c>
      <c r="S773">
        <f>HYPERLINK("https://klasma.github.io/Logging_2321/artfynd/A 40245-2023 artfynd.xlsx", "A 40245-2023")</f>
        <v/>
      </c>
      <c r="T773">
        <f>HYPERLINK("https://klasma.github.io/Logging_2321/kartor/A 40245-2023 karta.png", "A 40245-2023")</f>
        <v/>
      </c>
      <c r="V773">
        <f>HYPERLINK("https://klasma.github.io/Logging_2321/klagomål/A 40245-2023 FSC-klagomål.docx", "A 40245-2023")</f>
        <v/>
      </c>
      <c r="W773">
        <f>HYPERLINK("https://klasma.github.io/Logging_2321/klagomålsmail/A 40245-2023 FSC-klagomål mail.docx", "A 40245-2023")</f>
        <v/>
      </c>
      <c r="X773">
        <f>HYPERLINK("https://klasma.github.io/Logging_2321/tillsyn/A 40245-2023 tillsynsbegäran.docx", "A 40245-2023")</f>
        <v/>
      </c>
      <c r="Y773">
        <f>HYPERLINK("https://klasma.github.io/Logging_2321/tillsynsmail/A 40245-2023 tillsynsbegäran mail.docx", "A 40245-2023")</f>
        <v/>
      </c>
      <c r="Z773">
        <f>HYPERLINK("https://klasma.github.io/Logging_2321/fåglar/A 40245-2023 prioriterade fågelarter.docx", "A 40245-2023")</f>
        <v/>
      </c>
    </row>
    <row r="774" ht="15" customHeight="1">
      <c r="A774" t="inlineStr">
        <is>
          <t>A 40107-2023</t>
        </is>
      </c>
      <c r="B774" s="1" t="n">
        <v>45168</v>
      </c>
      <c r="C774" s="1" t="n">
        <v>45363</v>
      </c>
      <c r="D774" t="inlineStr">
        <is>
          <t>JÄMTLANDS LÄN</t>
        </is>
      </c>
      <c r="E774" t="inlineStr">
        <is>
          <t>STRÖMSUND</t>
        </is>
      </c>
      <c r="F774" t="inlineStr">
        <is>
          <t>SCA</t>
        </is>
      </c>
      <c r="G774" t="n">
        <v>4.6</v>
      </c>
      <c r="H774" t="n">
        <v>1</v>
      </c>
      <c r="I774" t="n">
        <v>1</v>
      </c>
      <c r="J774" t="n">
        <v>2</v>
      </c>
      <c r="K774" t="n">
        <v>0</v>
      </c>
      <c r="L774" t="n">
        <v>0</v>
      </c>
      <c r="M774" t="n">
        <v>0</v>
      </c>
      <c r="N774" t="n">
        <v>0</v>
      </c>
      <c r="O774" t="n">
        <v>2</v>
      </c>
      <c r="P774" t="n">
        <v>0</v>
      </c>
      <c r="Q774" t="n">
        <v>3</v>
      </c>
      <c r="R774" s="2" t="inlineStr">
        <is>
          <t>Gammelgransskål
Ullticka
Korallrot</t>
        </is>
      </c>
      <c r="S774">
        <f>HYPERLINK("https://klasma.github.io/Logging_2313/artfynd/A 40107-2023 artfynd.xlsx", "A 40107-2023")</f>
        <v/>
      </c>
      <c r="T774">
        <f>HYPERLINK("https://klasma.github.io/Logging_2313/kartor/A 40107-2023 karta.png", "A 40107-2023")</f>
        <v/>
      </c>
      <c r="V774">
        <f>HYPERLINK("https://klasma.github.io/Logging_2313/klagomål/A 40107-2023 FSC-klagomål.docx", "A 40107-2023")</f>
        <v/>
      </c>
      <c r="W774">
        <f>HYPERLINK("https://klasma.github.io/Logging_2313/klagomålsmail/A 40107-2023 FSC-klagomål mail.docx", "A 40107-2023")</f>
        <v/>
      </c>
      <c r="X774">
        <f>HYPERLINK("https://klasma.github.io/Logging_2313/tillsyn/A 40107-2023 tillsynsbegäran.docx", "A 40107-2023")</f>
        <v/>
      </c>
      <c r="Y774">
        <f>HYPERLINK("https://klasma.github.io/Logging_2313/tillsynsmail/A 40107-2023 tillsynsbegäran mail.docx", "A 40107-2023")</f>
        <v/>
      </c>
    </row>
    <row r="775" ht="15" customHeight="1">
      <c r="A775" t="inlineStr">
        <is>
          <t>A 40406-2023</t>
        </is>
      </c>
      <c r="B775" s="1" t="n">
        <v>45169</v>
      </c>
      <c r="C775" s="1" t="n">
        <v>45363</v>
      </c>
      <c r="D775" t="inlineStr">
        <is>
          <t>JÄMTLANDS LÄN</t>
        </is>
      </c>
      <c r="E775" t="inlineStr">
        <is>
          <t>BRÄCKE</t>
        </is>
      </c>
      <c r="G775" t="n">
        <v>8.1</v>
      </c>
      <c r="H775" t="n">
        <v>0</v>
      </c>
      <c r="I775" t="n">
        <v>2</v>
      </c>
      <c r="J775" t="n">
        <v>0</v>
      </c>
      <c r="K775" t="n">
        <v>1</v>
      </c>
      <c r="L775" t="n">
        <v>0</v>
      </c>
      <c r="M775" t="n">
        <v>0</v>
      </c>
      <c r="N775" t="n">
        <v>0</v>
      </c>
      <c r="O775" t="n">
        <v>1</v>
      </c>
      <c r="P775" t="n">
        <v>1</v>
      </c>
      <c r="Q775" t="n">
        <v>3</v>
      </c>
      <c r="R775" s="2" t="inlineStr">
        <is>
          <t>Gräddporing
Dropptaggsvamp
Gräsull</t>
        </is>
      </c>
      <c r="S775">
        <f>HYPERLINK("https://klasma.github.io/Logging_2305/artfynd/A 40406-2023 artfynd.xlsx", "A 40406-2023")</f>
        <v/>
      </c>
      <c r="T775">
        <f>HYPERLINK("https://klasma.github.io/Logging_2305/kartor/A 40406-2023 karta.png", "A 40406-2023")</f>
        <v/>
      </c>
      <c r="V775">
        <f>HYPERLINK("https://klasma.github.io/Logging_2305/klagomål/A 40406-2023 FSC-klagomål.docx", "A 40406-2023")</f>
        <v/>
      </c>
      <c r="W775">
        <f>HYPERLINK("https://klasma.github.io/Logging_2305/klagomålsmail/A 40406-2023 FSC-klagomål mail.docx", "A 40406-2023")</f>
        <v/>
      </c>
      <c r="X775">
        <f>HYPERLINK("https://klasma.github.io/Logging_2305/tillsyn/A 40406-2023 tillsynsbegäran.docx", "A 40406-2023")</f>
        <v/>
      </c>
      <c r="Y775">
        <f>HYPERLINK("https://klasma.github.io/Logging_2305/tillsynsmail/A 40406-2023 tillsynsbegäran mail.docx", "A 40406-2023")</f>
        <v/>
      </c>
    </row>
    <row r="776" ht="15" customHeight="1">
      <c r="A776" t="inlineStr">
        <is>
          <t>A 40827-2023</t>
        </is>
      </c>
      <c r="B776" s="1" t="n">
        <v>45171</v>
      </c>
      <c r="C776" s="1" t="n">
        <v>45363</v>
      </c>
      <c r="D776" t="inlineStr">
        <is>
          <t>JÄMTLANDS LÄN</t>
        </is>
      </c>
      <c r="E776" t="inlineStr">
        <is>
          <t>BRÄCKE</t>
        </is>
      </c>
      <c r="G776" t="n">
        <v>16.7</v>
      </c>
      <c r="H776" t="n">
        <v>2</v>
      </c>
      <c r="I776" t="n">
        <v>1</v>
      </c>
      <c r="J776" t="n">
        <v>1</v>
      </c>
      <c r="K776" t="n">
        <v>0</v>
      </c>
      <c r="L776" t="n">
        <v>0</v>
      </c>
      <c r="M776" t="n">
        <v>0</v>
      </c>
      <c r="N776" t="n">
        <v>0</v>
      </c>
      <c r="O776" t="n">
        <v>1</v>
      </c>
      <c r="P776" t="n">
        <v>0</v>
      </c>
      <c r="Q776" t="n">
        <v>3</v>
      </c>
      <c r="R776" s="2" t="inlineStr">
        <is>
          <t>Brunklöver
Plattlummer
Revlummer</t>
        </is>
      </c>
      <c r="S776">
        <f>HYPERLINK("https://klasma.github.io/Logging_2305/artfynd/A 40827-2023 artfynd.xlsx", "A 40827-2023")</f>
        <v/>
      </c>
      <c r="T776">
        <f>HYPERLINK("https://klasma.github.io/Logging_2305/kartor/A 40827-2023 karta.png", "A 40827-2023")</f>
        <v/>
      </c>
      <c r="V776">
        <f>HYPERLINK("https://klasma.github.io/Logging_2305/klagomål/A 40827-2023 FSC-klagomål.docx", "A 40827-2023")</f>
        <v/>
      </c>
      <c r="W776">
        <f>HYPERLINK("https://klasma.github.io/Logging_2305/klagomålsmail/A 40827-2023 FSC-klagomål mail.docx", "A 40827-2023")</f>
        <v/>
      </c>
      <c r="X776">
        <f>HYPERLINK("https://klasma.github.io/Logging_2305/tillsyn/A 40827-2023 tillsynsbegäran.docx", "A 40827-2023")</f>
        <v/>
      </c>
      <c r="Y776">
        <f>HYPERLINK("https://klasma.github.io/Logging_2305/tillsynsmail/A 40827-2023 tillsynsbegäran mail.docx", "A 40827-2023")</f>
        <v/>
      </c>
    </row>
    <row r="777" ht="15" customHeight="1">
      <c r="A777" t="inlineStr">
        <is>
          <t>A 43981-2023</t>
        </is>
      </c>
      <c r="B777" s="1" t="n">
        <v>45187</v>
      </c>
      <c r="C777" s="1" t="n">
        <v>45363</v>
      </c>
      <c r="D777" t="inlineStr">
        <is>
          <t>JÄMTLANDS LÄN</t>
        </is>
      </c>
      <c r="E777" t="inlineStr">
        <is>
          <t>ÖSTERSUND</t>
        </is>
      </c>
      <c r="F777" t="inlineStr">
        <is>
          <t>SCA</t>
        </is>
      </c>
      <c r="G777" t="n">
        <v>7.5</v>
      </c>
      <c r="H777" t="n">
        <v>1</v>
      </c>
      <c r="I777" t="n">
        <v>0</v>
      </c>
      <c r="J777" t="n">
        <v>2</v>
      </c>
      <c r="K777" t="n">
        <v>1</v>
      </c>
      <c r="L777" t="n">
        <v>0</v>
      </c>
      <c r="M777" t="n">
        <v>0</v>
      </c>
      <c r="N777" t="n">
        <v>0</v>
      </c>
      <c r="O777" t="n">
        <v>3</v>
      </c>
      <c r="P777" t="n">
        <v>1</v>
      </c>
      <c r="Q777" t="n">
        <v>3</v>
      </c>
      <c r="R777" s="2" t="inlineStr">
        <is>
          <t>Knärot
Lunglav
Ullticka</t>
        </is>
      </c>
      <c r="S777">
        <f>HYPERLINK("https://klasma.github.io/Logging_2380/artfynd/A 43981-2023 artfynd.xlsx", "A 43981-2023")</f>
        <v/>
      </c>
      <c r="T777">
        <f>HYPERLINK("https://klasma.github.io/Logging_2380/kartor/A 43981-2023 karta.png", "A 43981-2023")</f>
        <v/>
      </c>
      <c r="U777">
        <f>HYPERLINK("https://klasma.github.io/Logging_2380/knärot/A 43981-2023 karta knärot.png", "A 43981-2023")</f>
        <v/>
      </c>
      <c r="V777">
        <f>HYPERLINK("https://klasma.github.io/Logging_2380/klagomål/A 43981-2023 FSC-klagomål.docx", "A 43981-2023")</f>
        <v/>
      </c>
      <c r="W777">
        <f>HYPERLINK("https://klasma.github.io/Logging_2380/klagomålsmail/A 43981-2023 FSC-klagomål mail.docx", "A 43981-2023")</f>
        <v/>
      </c>
      <c r="X777">
        <f>HYPERLINK("https://klasma.github.io/Logging_2380/tillsyn/A 43981-2023 tillsynsbegäran.docx", "A 43981-2023")</f>
        <v/>
      </c>
      <c r="Y777">
        <f>HYPERLINK("https://klasma.github.io/Logging_2380/tillsynsmail/A 43981-2023 tillsynsbegäran mail.docx", "A 43981-2023")</f>
        <v/>
      </c>
    </row>
    <row r="778" ht="15" customHeight="1">
      <c r="A778" t="inlineStr">
        <is>
          <t>A 44302-2023</t>
        </is>
      </c>
      <c r="B778" s="1" t="n">
        <v>45188</v>
      </c>
      <c r="C778" s="1" t="n">
        <v>45363</v>
      </c>
      <c r="D778" t="inlineStr">
        <is>
          <t>JÄMTLANDS LÄN</t>
        </is>
      </c>
      <c r="E778" t="inlineStr">
        <is>
          <t>RAGUNDA</t>
        </is>
      </c>
      <c r="G778" t="n">
        <v>9.1</v>
      </c>
      <c r="H778" t="n">
        <v>1</v>
      </c>
      <c r="I778" t="n">
        <v>1</v>
      </c>
      <c r="J778" t="n">
        <v>2</v>
      </c>
      <c r="K778" t="n">
        <v>0</v>
      </c>
      <c r="L778" t="n">
        <v>0</v>
      </c>
      <c r="M778" t="n">
        <v>0</v>
      </c>
      <c r="N778" t="n">
        <v>0</v>
      </c>
      <c r="O778" t="n">
        <v>2</v>
      </c>
      <c r="P778" t="n">
        <v>0</v>
      </c>
      <c r="Q778" t="n">
        <v>3</v>
      </c>
      <c r="R778" s="2" t="inlineStr">
        <is>
          <t>Lunglav
Skrovellav
Korallrot</t>
        </is>
      </c>
      <c r="S778">
        <f>HYPERLINK("https://klasma.github.io/Logging_2303/artfynd/A 44302-2023 artfynd.xlsx", "A 44302-2023")</f>
        <v/>
      </c>
      <c r="T778">
        <f>HYPERLINK("https://klasma.github.io/Logging_2303/kartor/A 44302-2023 karta.png", "A 44302-2023")</f>
        <v/>
      </c>
      <c r="V778">
        <f>HYPERLINK("https://klasma.github.io/Logging_2303/klagomål/A 44302-2023 FSC-klagomål.docx", "A 44302-2023")</f>
        <v/>
      </c>
      <c r="W778">
        <f>HYPERLINK("https://klasma.github.io/Logging_2303/klagomålsmail/A 44302-2023 FSC-klagomål mail.docx", "A 44302-2023")</f>
        <v/>
      </c>
      <c r="X778">
        <f>HYPERLINK("https://klasma.github.io/Logging_2303/tillsyn/A 44302-2023 tillsynsbegäran.docx", "A 44302-2023")</f>
        <v/>
      </c>
      <c r="Y778">
        <f>HYPERLINK("https://klasma.github.io/Logging_2303/tillsynsmail/A 44302-2023 tillsynsbegäran mail.docx", "A 44302-2023")</f>
        <v/>
      </c>
    </row>
    <row r="779" ht="15" customHeight="1">
      <c r="A779" t="inlineStr">
        <is>
          <t>A 44747-2023</t>
        </is>
      </c>
      <c r="B779" s="1" t="n">
        <v>45190</v>
      </c>
      <c r="C779" s="1" t="n">
        <v>45363</v>
      </c>
      <c r="D779" t="inlineStr">
        <is>
          <t>JÄMTLANDS LÄN</t>
        </is>
      </c>
      <c r="E779" t="inlineStr">
        <is>
          <t>STRÖMSUND</t>
        </is>
      </c>
      <c r="F779" t="inlineStr">
        <is>
          <t>Holmen skog AB</t>
        </is>
      </c>
      <c r="G779" t="n">
        <v>10.7</v>
      </c>
      <c r="H779" t="n">
        <v>1</v>
      </c>
      <c r="I779" t="n">
        <v>0</v>
      </c>
      <c r="J779" t="n">
        <v>3</v>
      </c>
      <c r="K779" t="n">
        <v>0</v>
      </c>
      <c r="L779" t="n">
        <v>0</v>
      </c>
      <c r="M779" t="n">
        <v>0</v>
      </c>
      <c r="N779" t="n">
        <v>0</v>
      </c>
      <c r="O779" t="n">
        <v>3</v>
      </c>
      <c r="P779" t="n">
        <v>0</v>
      </c>
      <c r="Q779" t="n">
        <v>3</v>
      </c>
      <c r="R779" s="2" t="inlineStr">
        <is>
          <t>Lunglav
Spillkråka
Ullticka</t>
        </is>
      </c>
      <c r="S779">
        <f>HYPERLINK("https://klasma.github.io/Logging_2313/artfynd/A 44747-2023 artfynd.xlsx", "A 44747-2023")</f>
        <v/>
      </c>
      <c r="T779">
        <f>HYPERLINK("https://klasma.github.io/Logging_2313/kartor/A 44747-2023 karta.png", "A 44747-2023")</f>
        <v/>
      </c>
      <c r="V779">
        <f>HYPERLINK("https://klasma.github.io/Logging_2313/klagomål/A 44747-2023 FSC-klagomål.docx", "A 44747-2023")</f>
        <v/>
      </c>
      <c r="W779">
        <f>HYPERLINK("https://klasma.github.io/Logging_2313/klagomålsmail/A 44747-2023 FSC-klagomål mail.docx", "A 44747-2023")</f>
        <v/>
      </c>
      <c r="X779">
        <f>HYPERLINK("https://klasma.github.io/Logging_2313/tillsyn/A 44747-2023 tillsynsbegäran.docx", "A 44747-2023")</f>
        <v/>
      </c>
      <c r="Y779">
        <f>HYPERLINK("https://klasma.github.io/Logging_2313/tillsynsmail/A 44747-2023 tillsynsbegäran mail.docx", "A 44747-2023")</f>
        <v/>
      </c>
      <c r="Z779">
        <f>HYPERLINK("https://klasma.github.io/Logging_2313/fåglar/A 44747-2023 prioriterade fågelarter.docx", "A 44747-2023")</f>
        <v/>
      </c>
    </row>
    <row r="780" ht="15" customHeight="1">
      <c r="A780" t="inlineStr">
        <is>
          <t>A 46013-2023</t>
        </is>
      </c>
      <c r="B780" s="1" t="n">
        <v>45196</v>
      </c>
      <c r="C780" s="1" t="n">
        <v>45363</v>
      </c>
      <c r="D780" t="inlineStr">
        <is>
          <t>JÄMTLANDS LÄN</t>
        </is>
      </c>
      <c r="E780" t="inlineStr">
        <is>
          <t>KROKOM</t>
        </is>
      </c>
      <c r="G780" t="n">
        <v>8.1</v>
      </c>
      <c r="H780" t="n">
        <v>1</v>
      </c>
      <c r="I780" t="n">
        <v>2</v>
      </c>
      <c r="J780" t="n">
        <v>0</v>
      </c>
      <c r="K780" t="n">
        <v>0</v>
      </c>
      <c r="L780" t="n">
        <v>0</v>
      </c>
      <c r="M780" t="n">
        <v>0</v>
      </c>
      <c r="N780" t="n">
        <v>0</v>
      </c>
      <c r="O780" t="n">
        <v>0</v>
      </c>
      <c r="P780" t="n">
        <v>0</v>
      </c>
      <c r="Q780" t="n">
        <v>3</v>
      </c>
      <c r="R780" s="2" t="inlineStr">
        <is>
          <t>Svavelriska
Underviol
Blåsippa</t>
        </is>
      </c>
      <c r="S780">
        <f>HYPERLINK("https://klasma.github.io/Logging_2309/artfynd/A 46013-2023 artfynd.xlsx", "A 46013-2023")</f>
        <v/>
      </c>
      <c r="T780">
        <f>HYPERLINK("https://klasma.github.io/Logging_2309/kartor/A 46013-2023 karta.png", "A 46013-2023")</f>
        <v/>
      </c>
      <c r="V780">
        <f>HYPERLINK("https://klasma.github.io/Logging_2309/klagomål/A 46013-2023 FSC-klagomål.docx", "A 46013-2023")</f>
        <v/>
      </c>
      <c r="W780">
        <f>HYPERLINK("https://klasma.github.io/Logging_2309/klagomålsmail/A 46013-2023 FSC-klagomål mail.docx", "A 46013-2023")</f>
        <v/>
      </c>
      <c r="X780">
        <f>HYPERLINK("https://klasma.github.io/Logging_2309/tillsyn/A 46013-2023 tillsynsbegäran.docx", "A 46013-2023")</f>
        <v/>
      </c>
      <c r="Y780">
        <f>HYPERLINK("https://klasma.github.io/Logging_2309/tillsynsmail/A 46013-2023 tillsynsbegäran mail.docx", "A 46013-2023")</f>
        <v/>
      </c>
    </row>
    <row r="781" ht="15" customHeight="1">
      <c r="A781" t="inlineStr">
        <is>
          <t>A 46267-2023</t>
        </is>
      </c>
      <c r="B781" s="1" t="n">
        <v>45196</v>
      </c>
      <c r="C781" s="1" t="n">
        <v>45363</v>
      </c>
      <c r="D781" t="inlineStr">
        <is>
          <t>JÄMTLANDS LÄN</t>
        </is>
      </c>
      <c r="E781" t="inlineStr">
        <is>
          <t>STRÖMSUND</t>
        </is>
      </c>
      <c r="F781" t="inlineStr">
        <is>
          <t>SCA</t>
        </is>
      </c>
      <c r="G781" t="n">
        <v>7.5</v>
      </c>
      <c r="H781" t="n">
        <v>1</v>
      </c>
      <c r="I781" t="n">
        <v>0</v>
      </c>
      <c r="J781" t="n">
        <v>3</v>
      </c>
      <c r="K781" t="n">
        <v>0</v>
      </c>
      <c r="L781" t="n">
        <v>0</v>
      </c>
      <c r="M781" t="n">
        <v>0</v>
      </c>
      <c r="N781" t="n">
        <v>0</v>
      </c>
      <c r="O781" t="n">
        <v>3</v>
      </c>
      <c r="P781" t="n">
        <v>0</v>
      </c>
      <c r="Q781" t="n">
        <v>3</v>
      </c>
      <c r="R781" s="2" t="inlineStr">
        <is>
          <t>Rosenticka
Tretåig hackspett
Ullticka</t>
        </is>
      </c>
      <c r="S781">
        <f>HYPERLINK("https://klasma.github.io/Logging_2313/artfynd/A 46267-2023 artfynd.xlsx", "A 46267-2023")</f>
        <v/>
      </c>
      <c r="T781">
        <f>HYPERLINK("https://klasma.github.io/Logging_2313/kartor/A 46267-2023 karta.png", "A 46267-2023")</f>
        <v/>
      </c>
      <c r="V781">
        <f>HYPERLINK("https://klasma.github.io/Logging_2313/klagomål/A 46267-2023 FSC-klagomål.docx", "A 46267-2023")</f>
        <v/>
      </c>
      <c r="W781">
        <f>HYPERLINK("https://klasma.github.io/Logging_2313/klagomålsmail/A 46267-2023 FSC-klagomål mail.docx", "A 46267-2023")</f>
        <v/>
      </c>
      <c r="X781">
        <f>HYPERLINK("https://klasma.github.io/Logging_2313/tillsyn/A 46267-2023 tillsynsbegäran.docx", "A 46267-2023")</f>
        <v/>
      </c>
      <c r="Y781">
        <f>HYPERLINK("https://klasma.github.io/Logging_2313/tillsynsmail/A 46267-2023 tillsynsbegäran mail.docx", "A 46267-2023")</f>
        <v/>
      </c>
      <c r="Z781">
        <f>HYPERLINK("https://klasma.github.io/Logging_2313/fåglar/A 46267-2023 prioriterade fågelarter.docx", "A 46267-2023")</f>
        <v/>
      </c>
    </row>
    <row r="782" ht="15" customHeight="1">
      <c r="A782" t="inlineStr">
        <is>
          <t>A 46705-2023</t>
        </is>
      </c>
      <c r="B782" s="1" t="n">
        <v>45198</v>
      </c>
      <c r="C782" s="1" t="n">
        <v>45363</v>
      </c>
      <c r="D782" t="inlineStr">
        <is>
          <t>JÄMTLANDS LÄN</t>
        </is>
      </c>
      <c r="E782" t="inlineStr">
        <is>
          <t>ÖSTERSUND</t>
        </is>
      </c>
      <c r="F782" t="inlineStr">
        <is>
          <t>Sveaskog</t>
        </is>
      </c>
      <c r="G782" t="n">
        <v>7.5</v>
      </c>
      <c r="H782" t="n">
        <v>1</v>
      </c>
      <c r="I782" t="n">
        <v>3</v>
      </c>
      <c r="J782" t="n">
        <v>0</v>
      </c>
      <c r="K782" t="n">
        <v>0</v>
      </c>
      <c r="L782" t="n">
        <v>0</v>
      </c>
      <c r="M782" t="n">
        <v>0</v>
      </c>
      <c r="N782" t="n">
        <v>0</v>
      </c>
      <c r="O782" t="n">
        <v>0</v>
      </c>
      <c r="P782" t="n">
        <v>0</v>
      </c>
      <c r="Q782" t="n">
        <v>3</v>
      </c>
      <c r="R782" s="2" t="inlineStr">
        <is>
          <t>Finbräken
Guckusko
Ögonpyrola</t>
        </is>
      </c>
      <c r="S782">
        <f>HYPERLINK("https://klasma.github.io/Logging_2380/artfynd/A 46705-2023 artfynd.xlsx", "A 46705-2023")</f>
        <v/>
      </c>
      <c r="T782">
        <f>HYPERLINK("https://klasma.github.io/Logging_2380/kartor/A 46705-2023 karta.png", "A 46705-2023")</f>
        <v/>
      </c>
      <c r="V782">
        <f>HYPERLINK("https://klasma.github.io/Logging_2380/klagomål/A 46705-2023 FSC-klagomål.docx", "A 46705-2023")</f>
        <v/>
      </c>
      <c r="W782">
        <f>HYPERLINK("https://klasma.github.io/Logging_2380/klagomålsmail/A 46705-2023 FSC-klagomål mail.docx", "A 46705-2023")</f>
        <v/>
      </c>
      <c r="X782">
        <f>HYPERLINK("https://klasma.github.io/Logging_2380/tillsyn/A 46705-2023 tillsynsbegäran.docx", "A 46705-2023")</f>
        <v/>
      </c>
      <c r="Y782">
        <f>HYPERLINK("https://klasma.github.io/Logging_2380/tillsynsmail/A 46705-2023 tillsynsbegäran mail.docx", "A 46705-2023")</f>
        <v/>
      </c>
    </row>
    <row r="783" ht="15" customHeight="1">
      <c r="A783" t="inlineStr">
        <is>
          <t>A 47165-2023</t>
        </is>
      </c>
      <c r="B783" s="1" t="n">
        <v>45201</v>
      </c>
      <c r="C783" s="1" t="n">
        <v>45363</v>
      </c>
      <c r="D783" t="inlineStr">
        <is>
          <t>JÄMTLANDS LÄN</t>
        </is>
      </c>
      <c r="E783" t="inlineStr">
        <is>
          <t>STRÖMSUND</t>
        </is>
      </c>
      <c r="F783" t="inlineStr">
        <is>
          <t>SCA</t>
        </is>
      </c>
      <c r="G783" t="n">
        <v>9.300000000000001</v>
      </c>
      <c r="H783" t="n">
        <v>0</v>
      </c>
      <c r="I783" t="n">
        <v>0</v>
      </c>
      <c r="J783" t="n">
        <v>3</v>
      </c>
      <c r="K783" t="n">
        <v>0</v>
      </c>
      <c r="L783" t="n">
        <v>0</v>
      </c>
      <c r="M783" t="n">
        <v>0</v>
      </c>
      <c r="N783" t="n">
        <v>0</v>
      </c>
      <c r="O783" t="n">
        <v>3</v>
      </c>
      <c r="P783" t="n">
        <v>0</v>
      </c>
      <c r="Q783" t="n">
        <v>3</v>
      </c>
      <c r="R783" s="2" t="inlineStr">
        <is>
          <t>Lunglav
Vedtrappmossa
Violmussling</t>
        </is>
      </c>
      <c r="S783">
        <f>HYPERLINK("https://klasma.github.io/Logging_2313/artfynd/A 47165-2023 artfynd.xlsx", "A 47165-2023")</f>
        <v/>
      </c>
      <c r="T783">
        <f>HYPERLINK("https://klasma.github.io/Logging_2313/kartor/A 47165-2023 karta.png", "A 47165-2023")</f>
        <v/>
      </c>
      <c r="V783">
        <f>HYPERLINK("https://klasma.github.io/Logging_2313/klagomål/A 47165-2023 FSC-klagomål.docx", "A 47165-2023")</f>
        <v/>
      </c>
      <c r="W783">
        <f>HYPERLINK("https://klasma.github.io/Logging_2313/klagomålsmail/A 47165-2023 FSC-klagomål mail.docx", "A 47165-2023")</f>
        <v/>
      </c>
      <c r="X783">
        <f>HYPERLINK("https://klasma.github.io/Logging_2313/tillsyn/A 47165-2023 tillsynsbegäran.docx", "A 47165-2023")</f>
        <v/>
      </c>
      <c r="Y783">
        <f>HYPERLINK("https://klasma.github.io/Logging_2313/tillsynsmail/A 47165-2023 tillsynsbegäran mail.docx", "A 47165-2023")</f>
        <v/>
      </c>
    </row>
    <row r="784" ht="15" customHeight="1">
      <c r="A784" t="inlineStr">
        <is>
          <t>A 47753-2023</t>
        </is>
      </c>
      <c r="B784" s="1" t="n">
        <v>45203</v>
      </c>
      <c r="C784" s="1" t="n">
        <v>45363</v>
      </c>
      <c r="D784" t="inlineStr">
        <is>
          <t>JÄMTLANDS LÄN</t>
        </is>
      </c>
      <c r="E784" t="inlineStr">
        <is>
          <t>STRÖMSUND</t>
        </is>
      </c>
      <c r="F784" t="inlineStr">
        <is>
          <t>Holmen skog AB</t>
        </is>
      </c>
      <c r="G784" t="n">
        <v>2.5</v>
      </c>
      <c r="H784" t="n">
        <v>0</v>
      </c>
      <c r="I784" t="n">
        <v>2</v>
      </c>
      <c r="J784" t="n">
        <v>1</v>
      </c>
      <c r="K784" t="n">
        <v>0</v>
      </c>
      <c r="L784" t="n">
        <v>0</v>
      </c>
      <c r="M784" t="n">
        <v>0</v>
      </c>
      <c r="N784" t="n">
        <v>0</v>
      </c>
      <c r="O784" t="n">
        <v>1</v>
      </c>
      <c r="P784" t="n">
        <v>0</v>
      </c>
      <c r="Q784" t="n">
        <v>3</v>
      </c>
      <c r="R784" s="2" t="inlineStr">
        <is>
          <t>Rosenticka
Gytterlav
Vedticka</t>
        </is>
      </c>
      <c r="S784">
        <f>HYPERLINK("https://klasma.github.io/Logging_2313/artfynd/A 47753-2023 artfynd.xlsx", "A 47753-2023")</f>
        <v/>
      </c>
      <c r="T784">
        <f>HYPERLINK("https://klasma.github.io/Logging_2313/kartor/A 47753-2023 karta.png", "A 47753-2023")</f>
        <v/>
      </c>
      <c r="V784">
        <f>HYPERLINK("https://klasma.github.io/Logging_2313/klagomål/A 47753-2023 FSC-klagomål.docx", "A 47753-2023")</f>
        <v/>
      </c>
      <c r="W784">
        <f>HYPERLINK("https://klasma.github.io/Logging_2313/klagomålsmail/A 47753-2023 FSC-klagomål mail.docx", "A 47753-2023")</f>
        <v/>
      </c>
      <c r="X784">
        <f>HYPERLINK("https://klasma.github.io/Logging_2313/tillsyn/A 47753-2023 tillsynsbegäran.docx", "A 47753-2023")</f>
        <v/>
      </c>
      <c r="Y784">
        <f>HYPERLINK("https://klasma.github.io/Logging_2313/tillsynsmail/A 47753-2023 tillsynsbegäran mail.docx", "A 47753-2023")</f>
        <v/>
      </c>
    </row>
    <row r="785" ht="15" customHeight="1">
      <c r="A785" t="inlineStr">
        <is>
          <t>A 48067-2023</t>
        </is>
      </c>
      <c r="B785" s="1" t="n">
        <v>45204</v>
      </c>
      <c r="C785" s="1" t="n">
        <v>45363</v>
      </c>
      <c r="D785" t="inlineStr">
        <is>
          <t>JÄMTLANDS LÄN</t>
        </is>
      </c>
      <c r="E785" t="inlineStr">
        <is>
          <t>BRÄCKE</t>
        </is>
      </c>
      <c r="F785" t="inlineStr">
        <is>
          <t>SCA</t>
        </is>
      </c>
      <c r="G785" t="n">
        <v>1.2</v>
      </c>
      <c r="H785" t="n">
        <v>0</v>
      </c>
      <c r="I785" t="n">
        <v>2</v>
      </c>
      <c r="J785" t="n">
        <v>1</v>
      </c>
      <c r="K785" t="n">
        <v>0</v>
      </c>
      <c r="L785" t="n">
        <v>0</v>
      </c>
      <c r="M785" t="n">
        <v>0</v>
      </c>
      <c r="N785" t="n">
        <v>0</v>
      </c>
      <c r="O785" t="n">
        <v>1</v>
      </c>
      <c r="P785" t="n">
        <v>0</v>
      </c>
      <c r="Q785" t="n">
        <v>3</v>
      </c>
      <c r="R785" s="2" t="inlineStr">
        <is>
          <t>Lunglav
Gytterlav
Korallblylav</t>
        </is>
      </c>
      <c r="S785">
        <f>HYPERLINK("https://klasma.github.io/Logging_2305/artfynd/A 48067-2023 artfynd.xlsx", "A 48067-2023")</f>
        <v/>
      </c>
      <c r="T785">
        <f>HYPERLINK("https://klasma.github.io/Logging_2305/kartor/A 48067-2023 karta.png", "A 48067-2023")</f>
        <v/>
      </c>
      <c r="V785">
        <f>HYPERLINK("https://klasma.github.io/Logging_2305/klagomål/A 48067-2023 FSC-klagomål.docx", "A 48067-2023")</f>
        <v/>
      </c>
      <c r="W785">
        <f>HYPERLINK("https://klasma.github.io/Logging_2305/klagomålsmail/A 48067-2023 FSC-klagomål mail.docx", "A 48067-2023")</f>
        <v/>
      </c>
      <c r="X785">
        <f>HYPERLINK("https://klasma.github.io/Logging_2305/tillsyn/A 48067-2023 tillsynsbegäran.docx", "A 48067-2023")</f>
        <v/>
      </c>
      <c r="Y785">
        <f>HYPERLINK("https://klasma.github.io/Logging_2305/tillsynsmail/A 48067-2023 tillsynsbegäran mail.docx", "A 48067-2023")</f>
        <v/>
      </c>
    </row>
    <row r="786" ht="15" customHeight="1">
      <c r="A786" t="inlineStr">
        <is>
          <t>A 48475-2023</t>
        </is>
      </c>
      <c r="B786" s="1" t="n">
        <v>45206</v>
      </c>
      <c r="C786" s="1" t="n">
        <v>45363</v>
      </c>
      <c r="D786" t="inlineStr">
        <is>
          <t>JÄMTLANDS LÄN</t>
        </is>
      </c>
      <c r="E786" t="inlineStr">
        <is>
          <t>STRÖMSUND</t>
        </is>
      </c>
      <c r="F786" t="inlineStr">
        <is>
          <t>SCA</t>
        </is>
      </c>
      <c r="G786" t="n">
        <v>3.7</v>
      </c>
      <c r="H786" t="n">
        <v>0</v>
      </c>
      <c r="I786" t="n">
        <v>1</v>
      </c>
      <c r="J786" t="n">
        <v>2</v>
      </c>
      <c r="K786" t="n">
        <v>0</v>
      </c>
      <c r="L786" t="n">
        <v>0</v>
      </c>
      <c r="M786" t="n">
        <v>0</v>
      </c>
      <c r="N786" t="n">
        <v>0</v>
      </c>
      <c r="O786" t="n">
        <v>2</v>
      </c>
      <c r="P786" t="n">
        <v>0</v>
      </c>
      <c r="Q786" t="n">
        <v>3</v>
      </c>
      <c r="R786" s="2" t="inlineStr">
        <is>
          <t>Lunglav
Ullticka
Korallblylav</t>
        </is>
      </c>
      <c r="S786">
        <f>HYPERLINK("https://klasma.github.io/Logging_2313/artfynd/A 48475-2023 artfynd.xlsx", "A 48475-2023")</f>
        <v/>
      </c>
      <c r="T786">
        <f>HYPERLINK("https://klasma.github.io/Logging_2313/kartor/A 48475-2023 karta.png", "A 48475-2023")</f>
        <v/>
      </c>
      <c r="V786">
        <f>HYPERLINK("https://klasma.github.io/Logging_2313/klagomål/A 48475-2023 FSC-klagomål.docx", "A 48475-2023")</f>
        <v/>
      </c>
      <c r="W786">
        <f>HYPERLINK("https://klasma.github.io/Logging_2313/klagomålsmail/A 48475-2023 FSC-klagomål mail.docx", "A 48475-2023")</f>
        <v/>
      </c>
      <c r="X786">
        <f>HYPERLINK("https://klasma.github.io/Logging_2313/tillsyn/A 48475-2023 tillsynsbegäran.docx", "A 48475-2023")</f>
        <v/>
      </c>
      <c r="Y786">
        <f>HYPERLINK("https://klasma.github.io/Logging_2313/tillsynsmail/A 48475-2023 tillsynsbegäran mail.docx", "A 48475-2023")</f>
        <v/>
      </c>
    </row>
    <row r="787" ht="15" customHeight="1">
      <c r="A787" t="inlineStr">
        <is>
          <t>A 49047-2023</t>
        </is>
      </c>
      <c r="B787" s="1" t="n">
        <v>45209</v>
      </c>
      <c r="C787" s="1" t="n">
        <v>45363</v>
      </c>
      <c r="D787" t="inlineStr">
        <is>
          <t>JÄMTLANDS LÄN</t>
        </is>
      </c>
      <c r="E787" t="inlineStr">
        <is>
          <t>RAGUNDA</t>
        </is>
      </c>
      <c r="F787" t="inlineStr">
        <is>
          <t>SCA</t>
        </is>
      </c>
      <c r="G787" t="n">
        <v>6.9</v>
      </c>
      <c r="H787" t="n">
        <v>0</v>
      </c>
      <c r="I787" t="n">
        <v>0</v>
      </c>
      <c r="J787" t="n">
        <v>3</v>
      </c>
      <c r="K787" t="n">
        <v>0</v>
      </c>
      <c r="L787" t="n">
        <v>0</v>
      </c>
      <c r="M787" t="n">
        <v>0</v>
      </c>
      <c r="N787" t="n">
        <v>0</v>
      </c>
      <c r="O787" t="n">
        <v>3</v>
      </c>
      <c r="P787" t="n">
        <v>0</v>
      </c>
      <c r="Q787" t="n">
        <v>3</v>
      </c>
      <c r="R787" s="2" t="inlineStr">
        <is>
          <t>Lunglav
Rosenticka
Skrovellav</t>
        </is>
      </c>
      <c r="S787">
        <f>HYPERLINK("https://klasma.github.io/Logging_2303/artfynd/A 49047-2023 artfynd.xlsx", "A 49047-2023")</f>
        <v/>
      </c>
      <c r="T787">
        <f>HYPERLINK("https://klasma.github.io/Logging_2303/kartor/A 49047-2023 karta.png", "A 49047-2023")</f>
        <v/>
      </c>
      <c r="V787">
        <f>HYPERLINK("https://klasma.github.io/Logging_2303/klagomål/A 49047-2023 FSC-klagomål.docx", "A 49047-2023")</f>
        <v/>
      </c>
      <c r="W787">
        <f>HYPERLINK("https://klasma.github.io/Logging_2303/klagomålsmail/A 49047-2023 FSC-klagomål mail.docx", "A 49047-2023")</f>
        <v/>
      </c>
      <c r="X787">
        <f>HYPERLINK("https://klasma.github.io/Logging_2303/tillsyn/A 49047-2023 tillsynsbegäran.docx", "A 49047-2023")</f>
        <v/>
      </c>
      <c r="Y787">
        <f>HYPERLINK("https://klasma.github.io/Logging_2303/tillsynsmail/A 49047-2023 tillsynsbegäran mail.docx", "A 49047-2023")</f>
        <v/>
      </c>
    </row>
    <row r="788" ht="15" customHeight="1">
      <c r="A788" t="inlineStr">
        <is>
          <t>A 49336-2023</t>
        </is>
      </c>
      <c r="B788" s="1" t="n">
        <v>45210</v>
      </c>
      <c r="C788" s="1" t="n">
        <v>45363</v>
      </c>
      <c r="D788" t="inlineStr">
        <is>
          <t>JÄMTLANDS LÄN</t>
        </is>
      </c>
      <c r="E788" t="inlineStr">
        <is>
          <t>BRÄCKE</t>
        </is>
      </c>
      <c r="F788" t="inlineStr">
        <is>
          <t>SCA</t>
        </is>
      </c>
      <c r="G788" t="n">
        <v>3.5</v>
      </c>
      <c r="H788" t="n">
        <v>2</v>
      </c>
      <c r="I788" t="n">
        <v>1</v>
      </c>
      <c r="J788" t="n">
        <v>1</v>
      </c>
      <c r="K788" t="n">
        <v>1</v>
      </c>
      <c r="L788" t="n">
        <v>0</v>
      </c>
      <c r="M788" t="n">
        <v>0</v>
      </c>
      <c r="N788" t="n">
        <v>0</v>
      </c>
      <c r="O788" t="n">
        <v>2</v>
      </c>
      <c r="P788" t="n">
        <v>1</v>
      </c>
      <c r="Q788" t="n">
        <v>3</v>
      </c>
      <c r="R788" s="2" t="inlineStr">
        <is>
          <t>Knärot
Ullticka
Grönkulla</t>
        </is>
      </c>
      <c r="S788">
        <f>HYPERLINK("https://klasma.github.io/Logging_2305/artfynd/A 49336-2023 artfynd.xlsx", "A 49336-2023")</f>
        <v/>
      </c>
      <c r="T788">
        <f>HYPERLINK("https://klasma.github.io/Logging_2305/kartor/A 49336-2023 karta.png", "A 49336-2023")</f>
        <v/>
      </c>
      <c r="U788">
        <f>HYPERLINK("https://klasma.github.io/Logging_2305/knärot/A 49336-2023 karta knärot.png", "A 49336-2023")</f>
        <v/>
      </c>
      <c r="V788">
        <f>HYPERLINK("https://klasma.github.io/Logging_2305/klagomål/A 49336-2023 FSC-klagomål.docx", "A 49336-2023")</f>
        <v/>
      </c>
      <c r="W788">
        <f>HYPERLINK("https://klasma.github.io/Logging_2305/klagomålsmail/A 49336-2023 FSC-klagomål mail.docx", "A 49336-2023")</f>
        <v/>
      </c>
      <c r="X788">
        <f>HYPERLINK("https://klasma.github.io/Logging_2305/tillsyn/A 49336-2023 tillsynsbegäran.docx", "A 49336-2023")</f>
        <v/>
      </c>
      <c r="Y788">
        <f>HYPERLINK("https://klasma.github.io/Logging_2305/tillsynsmail/A 49336-2023 tillsynsbegäran mail.docx", "A 49336-2023")</f>
        <v/>
      </c>
    </row>
    <row r="789" ht="15" customHeight="1">
      <c r="A789" t="inlineStr">
        <is>
          <t>A 49943-2023</t>
        </is>
      </c>
      <c r="B789" s="1" t="n">
        <v>45215</v>
      </c>
      <c r="C789" s="1" t="n">
        <v>45363</v>
      </c>
      <c r="D789" t="inlineStr">
        <is>
          <t>JÄMTLANDS LÄN</t>
        </is>
      </c>
      <c r="E789" t="inlineStr">
        <is>
          <t>STRÖMSUND</t>
        </is>
      </c>
      <c r="F789" t="inlineStr">
        <is>
          <t>Holmen skog AB</t>
        </is>
      </c>
      <c r="G789" t="n">
        <v>15</v>
      </c>
      <c r="H789" t="n">
        <v>0</v>
      </c>
      <c r="I789" t="n">
        <v>0</v>
      </c>
      <c r="J789" t="n">
        <v>3</v>
      </c>
      <c r="K789" t="n">
        <v>0</v>
      </c>
      <c r="L789" t="n">
        <v>0</v>
      </c>
      <c r="M789" t="n">
        <v>0</v>
      </c>
      <c r="N789" t="n">
        <v>0</v>
      </c>
      <c r="O789" t="n">
        <v>3</v>
      </c>
      <c r="P789" t="n">
        <v>0</v>
      </c>
      <c r="Q789" t="n">
        <v>3</v>
      </c>
      <c r="R789" s="2" t="inlineStr">
        <is>
          <t>Granticka
Lunglav
Skrovellav</t>
        </is>
      </c>
      <c r="S789">
        <f>HYPERLINK("https://klasma.github.io/Logging_2313/artfynd/A 49943-2023 artfynd.xlsx", "A 49943-2023")</f>
        <v/>
      </c>
      <c r="T789">
        <f>HYPERLINK("https://klasma.github.io/Logging_2313/kartor/A 49943-2023 karta.png", "A 49943-2023")</f>
        <v/>
      </c>
      <c r="V789">
        <f>HYPERLINK("https://klasma.github.io/Logging_2313/klagomål/A 49943-2023 FSC-klagomål.docx", "A 49943-2023")</f>
        <v/>
      </c>
      <c r="W789">
        <f>HYPERLINK("https://klasma.github.io/Logging_2313/klagomålsmail/A 49943-2023 FSC-klagomål mail.docx", "A 49943-2023")</f>
        <v/>
      </c>
      <c r="X789">
        <f>HYPERLINK("https://klasma.github.io/Logging_2313/tillsyn/A 49943-2023 tillsynsbegäran.docx", "A 49943-2023")</f>
        <v/>
      </c>
      <c r="Y789">
        <f>HYPERLINK("https://klasma.github.io/Logging_2313/tillsynsmail/A 49943-2023 tillsynsbegäran mail.docx", "A 49943-2023")</f>
        <v/>
      </c>
    </row>
    <row r="790" ht="15" customHeight="1">
      <c r="A790" t="inlineStr">
        <is>
          <t>A 51877-2023</t>
        </is>
      </c>
      <c r="B790" s="1" t="n">
        <v>45215</v>
      </c>
      <c r="C790" s="1" t="n">
        <v>45363</v>
      </c>
      <c r="D790" t="inlineStr">
        <is>
          <t>JÄMTLANDS LÄN</t>
        </is>
      </c>
      <c r="E790" t="inlineStr">
        <is>
          <t>ÖSTERSUND</t>
        </is>
      </c>
      <c r="G790" t="n">
        <v>10.5</v>
      </c>
      <c r="H790" t="n">
        <v>1</v>
      </c>
      <c r="I790" t="n">
        <v>1</v>
      </c>
      <c r="J790" t="n">
        <v>2</v>
      </c>
      <c r="K790" t="n">
        <v>0</v>
      </c>
      <c r="L790" t="n">
        <v>0</v>
      </c>
      <c r="M790" t="n">
        <v>0</v>
      </c>
      <c r="N790" t="n">
        <v>0</v>
      </c>
      <c r="O790" t="n">
        <v>2</v>
      </c>
      <c r="P790" t="n">
        <v>0</v>
      </c>
      <c r="Q790" t="n">
        <v>3</v>
      </c>
      <c r="R790" s="2" t="inlineStr">
        <is>
          <t>Garnlav
Talltita
Nästlav</t>
        </is>
      </c>
      <c r="S790">
        <f>HYPERLINK("https://klasma.github.io/Logging_2380/artfynd/A 51877-2023 artfynd.xlsx", "A 51877-2023")</f>
        <v/>
      </c>
      <c r="T790">
        <f>HYPERLINK("https://klasma.github.io/Logging_2380/kartor/A 51877-2023 karta.png", "A 51877-2023")</f>
        <v/>
      </c>
      <c r="V790">
        <f>HYPERLINK("https://klasma.github.io/Logging_2380/klagomål/A 51877-2023 FSC-klagomål.docx", "A 51877-2023")</f>
        <v/>
      </c>
      <c r="W790">
        <f>HYPERLINK("https://klasma.github.io/Logging_2380/klagomålsmail/A 51877-2023 FSC-klagomål mail.docx", "A 51877-2023")</f>
        <v/>
      </c>
      <c r="X790">
        <f>HYPERLINK("https://klasma.github.io/Logging_2380/tillsyn/A 51877-2023 tillsynsbegäran.docx", "A 51877-2023")</f>
        <v/>
      </c>
      <c r="Y790">
        <f>HYPERLINK("https://klasma.github.io/Logging_2380/tillsynsmail/A 51877-2023 tillsynsbegäran mail.docx", "A 51877-2023")</f>
        <v/>
      </c>
      <c r="Z790">
        <f>HYPERLINK("https://klasma.github.io/Logging_2380/fåglar/A 51877-2023 prioriterade fågelarter.docx", "A 51877-2023")</f>
        <v/>
      </c>
    </row>
    <row r="791" ht="15" customHeight="1">
      <c r="A791" t="inlineStr">
        <is>
          <t>A 52284-2023</t>
        </is>
      </c>
      <c r="B791" s="1" t="n">
        <v>45217</v>
      </c>
      <c r="C791" s="1" t="n">
        <v>45363</v>
      </c>
      <c r="D791" t="inlineStr">
        <is>
          <t>JÄMTLANDS LÄN</t>
        </is>
      </c>
      <c r="E791" t="inlineStr">
        <is>
          <t>STRÖMSUND</t>
        </is>
      </c>
      <c r="G791" t="n">
        <v>11.3</v>
      </c>
      <c r="H791" t="n">
        <v>1</v>
      </c>
      <c r="I791" t="n">
        <v>0</v>
      </c>
      <c r="J791" t="n">
        <v>3</v>
      </c>
      <c r="K791" t="n">
        <v>0</v>
      </c>
      <c r="L791" t="n">
        <v>0</v>
      </c>
      <c r="M791" t="n">
        <v>0</v>
      </c>
      <c r="N791" t="n">
        <v>0</v>
      </c>
      <c r="O791" t="n">
        <v>3</v>
      </c>
      <c r="P791" t="n">
        <v>0</v>
      </c>
      <c r="Q791" t="n">
        <v>3</v>
      </c>
      <c r="R791" s="2" t="inlineStr">
        <is>
          <t>Granticka
Lunglav
Spillkråka</t>
        </is>
      </c>
      <c r="S791">
        <f>HYPERLINK("https://klasma.github.io/Logging_2313/artfynd/A 52284-2023 artfynd.xlsx", "A 52284-2023")</f>
        <v/>
      </c>
      <c r="T791">
        <f>HYPERLINK("https://klasma.github.io/Logging_2313/kartor/A 52284-2023 karta.png", "A 52284-2023")</f>
        <v/>
      </c>
      <c r="V791">
        <f>HYPERLINK("https://klasma.github.io/Logging_2313/klagomål/A 52284-2023 FSC-klagomål.docx", "A 52284-2023")</f>
        <v/>
      </c>
      <c r="W791">
        <f>HYPERLINK("https://klasma.github.io/Logging_2313/klagomålsmail/A 52284-2023 FSC-klagomål mail.docx", "A 52284-2023")</f>
        <v/>
      </c>
      <c r="X791">
        <f>HYPERLINK("https://klasma.github.io/Logging_2313/tillsyn/A 52284-2023 tillsynsbegäran.docx", "A 52284-2023")</f>
        <v/>
      </c>
      <c r="Y791">
        <f>HYPERLINK("https://klasma.github.io/Logging_2313/tillsynsmail/A 52284-2023 tillsynsbegäran mail.docx", "A 52284-2023")</f>
        <v/>
      </c>
      <c r="Z791">
        <f>HYPERLINK("https://klasma.github.io/Logging_2313/fåglar/A 52284-2023 prioriterade fågelarter.docx", "A 52284-2023")</f>
        <v/>
      </c>
    </row>
    <row r="792" ht="15" customHeight="1">
      <c r="A792" t="inlineStr">
        <is>
          <t>A 53043-2023</t>
        </is>
      </c>
      <c r="B792" s="1" t="n">
        <v>45226</v>
      </c>
      <c r="C792" s="1" t="n">
        <v>45363</v>
      </c>
      <c r="D792" t="inlineStr">
        <is>
          <t>JÄMTLANDS LÄN</t>
        </is>
      </c>
      <c r="E792" t="inlineStr">
        <is>
          <t>STRÖMSUND</t>
        </is>
      </c>
      <c r="F792" t="inlineStr">
        <is>
          <t>SCA</t>
        </is>
      </c>
      <c r="G792" t="n">
        <v>1.1</v>
      </c>
      <c r="H792" t="n">
        <v>1</v>
      </c>
      <c r="I792" t="n">
        <v>0</v>
      </c>
      <c r="J792" t="n">
        <v>3</v>
      </c>
      <c r="K792" t="n">
        <v>0</v>
      </c>
      <c r="L792" t="n">
        <v>0</v>
      </c>
      <c r="M792" t="n">
        <v>0</v>
      </c>
      <c r="N792" t="n">
        <v>0</v>
      </c>
      <c r="O792" t="n">
        <v>3</v>
      </c>
      <c r="P792" t="n">
        <v>0</v>
      </c>
      <c r="Q792" t="n">
        <v>3</v>
      </c>
      <c r="R792" s="2" t="inlineStr">
        <is>
          <t>Blanksvart spiklav
Lunglav
Spillkråka</t>
        </is>
      </c>
      <c r="S792">
        <f>HYPERLINK("https://klasma.github.io/Logging_2313/artfynd/A 53043-2023 artfynd.xlsx", "A 53043-2023")</f>
        <v/>
      </c>
      <c r="T792">
        <f>HYPERLINK("https://klasma.github.io/Logging_2313/kartor/A 53043-2023 karta.png", "A 53043-2023")</f>
        <v/>
      </c>
      <c r="V792">
        <f>HYPERLINK("https://klasma.github.io/Logging_2313/klagomål/A 53043-2023 FSC-klagomål.docx", "A 53043-2023")</f>
        <v/>
      </c>
      <c r="W792">
        <f>HYPERLINK("https://klasma.github.io/Logging_2313/klagomålsmail/A 53043-2023 FSC-klagomål mail.docx", "A 53043-2023")</f>
        <v/>
      </c>
      <c r="X792">
        <f>HYPERLINK("https://klasma.github.io/Logging_2313/tillsyn/A 53043-2023 tillsynsbegäran.docx", "A 53043-2023")</f>
        <v/>
      </c>
      <c r="Y792">
        <f>HYPERLINK("https://klasma.github.io/Logging_2313/tillsynsmail/A 53043-2023 tillsynsbegäran mail.docx", "A 53043-2023")</f>
        <v/>
      </c>
      <c r="Z792">
        <f>HYPERLINK("https://klasma.github.io/Logging_2313/fåglar/A 53043-2023 prioriterade fågelarter.docx", "A 53043-2023")</f>
        <v/>
      </c>
    </row>
    <row r="793" ht="15" customHeight="1">
      <c r="A793" t="inlineStr">
        <is>
          <t>A 54078-2023</t>
        </is>
      </c>
      <c r="B793" s="1" t="n">
        <v>45231</v>
      </c>
      <c r="C793" s="1" t="n">
        <v>45363</v>
      </c>
      <c r="D793" t="inlineStr">
        <is>
          <t>JÄMTLANDS LÄN</t>
        </is>
      </c>
      <c r="E793" t="inlineStr">
        <is>
          <t>STRÖMSUND</t>
        </is>
      </c>
      <c r="F793" t="inlineStr">
        <is>
          <t>SCA</t>
        </is>
      </c>
      <c r="G793" t="n">
        <v>1.1</v>
      </c>
      <c r="H793" t="n">
        <v>1</v>
      </c>
      <c r="I793" t="n">
        <v>0</v>
      </c>
      <c r="J793" t="n">
        <v>3</v>
      </c>
      <c r="K793" t="n">
        <v>0</v>
      </c>
      <c r="L793" t="n">
        <v>0</v>
      </c>
      <c r="M793" t="n">
        <v>0</v>
      </c>
      <c r="N793" t="n">
        <v>0</v>
      </c>
      <c r="O793" t="n">
        <v>3</v>
      </c>
      <c r="P793" t="n">
        <v>0</v>
      </c>
      <c r="Q793" t="n">
        <v>3</v>
      </c>
      <c r="R793" s="2" t="inlineStr">
        <is>
          <t>Blanksvart spiklav
Lunglav
Spillkråka</t>
        </is>
      </c>
      <c r="S793">
        <f>HYPERLINK("https://klasma.github.io/Logging_2313/artfynd/A 54078-2023 artfynd.xlsx", "A 54078-2023")</f>
        <v/>
      </c>
      <c r="T793">
        <f>HYPERLINK("https://klasma.github.io/Logging_2313/kartor/A 54078-2023 karta.png", "A 54078-2023")</f>
        <v/>
      </c>
      <c r="V793">
        <f>HYPERLINK("https://klasma.github.io/Logging_2313/klagomål/A 54078-2023 FSC-klagomål.docx", "A 54078-2023")</f>
        <v/>
      </c>
      <c r="W793">
        <f>HYPERLINK("https://klasma.github.io/Logging_2313/klagomålsmail/A 54078-2023 FSC-klagomål mail.docx", "A 54078-2023")</f>
        <v/>
      </c>
      <c r="X793">
        <f>HYPERLINK("https://klasma.github.io/Logging_2313/tillsyn/A 54078-2023 tillsynsbegäran.docx", "A 54078-2023")</f>
        <v/>
      </c>
      <c r="Y793">
        <f>HYPERLINK("https://klasma.github.io/Logging_2313/tillsynsmail/A 54078-2023 tillsynsbegäran mail.docx", "A 54078-2023")</f>
        <v/>
      </c>
      <c r="Z793">
        <f>HYPERLINK("https://klasma.github.io/Logging_2313/fåglar/A 54078-2023 prioriterade fågelarter.docx", "A 54078-2023")</f>
        <v/>
      </c>
    </row>
    <row r="794" ht="15" customHeight="1">
      <c r="A794" t="inlineStr">
        <is>
          <t>A 54494-2023</t>
        </is>
      </c>
      <c r="B794" s="1" t="n">
        <v>45233</v>
      </c>
      <c r="C794" s="1" t="n">
        <v>45363</v>
      </c>
      <c r="D794" t="inlineStr">
        <is>
          <t>JÄMTLANDS LÄN</t>
        </is>
      </c>
      <c r="E794" t="inlineStr">
        <is>
          <t>KROKOM</t>
        </is>
      </c>
      <c r="G794" t="n">
        <v>6.2</v>
      </c>
      <c r="H794" t="n">
        <v>1</v>
      </c>
      <c r="I794" t="n">
        <v>2</v>
      </c>
      <c r="J794" t="n">
        <v>0</v>
      </c>
      <c r="K794" t="n">
        <v>0</v>
      </c>
      <c r="L794" t="n">
        <v>0</v>
      </c>
      <c r="M794" t="n">
        <v>0</v>
      </c>
      <c r="N794" t="n">
        <v>0</v>
      </c>
      <c r="O794" t="n">
        <v>0</v>
      </c>
      <c r="P794" t="n">
        <v>0</v>
      </c>
      <c r="Q794" t="n">
        <v>3</v>
      </c>
      <c r="R794" s="2" t="inlineStr">
        <is>
          <t>Finbräken
Tibast
Blåsippa</t>
        </is>
      </c>
      <c r="S794">
        <f>HYPERLINK("https://klasma.github.io/Logging_2309/artfynd/A 54494-2023 artfynd.xlsx", "A 54494-2023")</f>
        <v/>
      </c>
      <c r="T794">
        <f>HYPERLINK("https://klasma.github.io/Logging_2309/kartor/A 54494-2023 karta.png", "A 54494-2023")</f>
        <v/>
      </c>
      <c r="V794">
        <f>HYPERLINK("https://klasma.github.io/Logging_2309/klagomål/A 54494-2023 FSC-klagomål.docx", "A 54494-2023")</f>
        <v/>
      </c>
      <c r="W794">
        <f>HYPERLINK("https://klasma.github.io/Logging_2309/klagomålsmail/A 54494-2023 FSC-klagomål mail.docx", "A 54494-2023")</f>
        <v/>
      </c>
      <c r="X794">
        <f>HYPERLINK("https://klasma.github.io/Logging_2309/tillsyn/A 54494-2023 tillsynsbegäran.docx", "A 54494-2023")</f>
        <v/>
      </c>
      <c r="Y794">
        <f>HYPERLINK("https://klasma.github.io/Logging_2309/tillsynsmail/A 54494-2023 tillsynsbegäran mail.docx", "A 54494-2023")</f>
        <v/>
      </c>
    </row>
    <row r="795" ht="15" customHeight="1">
      <c r="A795" t="inlineStr">
        <is>
          <t>A 54999-2023</t>
        </is>
      </c>
      <c r="B795" s="1" t="n">
        <v>45237</v>
      </c>
      <c r="C795" s="1" t="n">
        <v>45363</v>
      </c>
      <c r="D795" t="inlineStr">
        <is>
          <t>JÄMTLANDS LÄN</t>
        </is>
      </c>
      <c r="E795" t="inlineStr">
        <is>
          <t>BERG</t>
        </is>
      </c>
      <c r="F795" t="inlineStr">
        <is>
          <t>SCA</t>
        </is>
      </c>
      <c r="G795" t="n">
        <v>2.6</v>
      </c>
      <c r="H795" t="n">
        <v>0</v>
      </c>
      <c r="I795" t="n">
        <v>0</v>
      </c>
      <c r="J795" t="n">
        <v>2</v>
      </c>
      <c r="K795" t="n">
        <v>1</v>
      </c>
      <c r="L795" t="n">
        <v>0</v>
      </c>
      <c r="M795" t="n">
        <v>0</v>
      </c>
      <c r="N795" t="n">
        <v>0</v>
      </c>
      <c r="O795" t="n">
        <v>3</v>
      </c>
      <c r="P795" t="n">
        <v>1</v>
      </c>
      <c r="Q795" t="n">
        <v>3</v>
      </c>
      <c r="R795" s="2" t="inlineStr">
        <is>
          <t>Gräddporing
Blågrå svartspik
Dvärgbägarlav</t>
        </is>
      </c>
      <c r="S795">
        <f>HYPERLINK("https://klasma.github.io/Logging_2326/artfynd/A 54999-2023 artfynd.xlsx", "A 54999-2023")</f>
        <v/>
      </c>
      <c r="T795">
        <f>HYPERLINK("https://klasma.github.io/Logging_2326/kartor/A 54999-2023 karta.png", "A 54999-2023")</f>
        <v/>
      </c>
      <c r="V795">
        <f>HYPERLINK("https://klasma.github.io/Logging_2326/klagomål/A 54999-2023 FSC-klagomål.docx", "A 54999-2023")</f>
        <v/>
      </c>
      <c r="W795">
        <f>HYPERLINK("https://klasma.github.io/Logging_2326/klagomålsmail/A 54999-2023 FSC-klagomål mail.docx", "A 54999-2023")</f>
        <v/>
      </c>
      <c r="X795">
        <f>HYPERLINK("https://klasma.github.io/Logging_2326/tillsyn/A 54999-2023 tillsynsbegäran.docx", "A 54999-2023")</f>
        <v/>
      </c>
      <c r="Y795">
        <f>HYPERLINK("https://klasma.github.io/Logging_2326/tillsynsmail/A 54999-2023 tillsynsbegäran mail.docx", "A 54999-2023")</f>
        <v/>
      </c>
    </row>
    <row r="796" ht="15" customHeight="1">
      <c r="A796" t="inlineStr">
        <is>
          <t>A 54993-2023</t>
        </is>
      </c>
      <c r="B796" s="1" t="n">
        <v>45237</v>
      </c>
      <c r="C796" s="1" t="n">
        <v>45363</v>
      </c>
      <c r="D796" t="inlineStr">
        <is>
          <t>JÄMTLANDS LÄN</t>
        </is>
      </c>
      <c r="E796" t="inlineStr">
        <is>
          <t>BERG</t>
        </is>
      </c>
      <c r="F796" t="inlineStr">
        <is>
          <t>SCA</t>
        </is>
      </c>
      <c r="G796" t="n">
        <v>19</v>
      </c>
      <c r="H796" t="n">
        <v>0</v>
      </c>
      <c r="I796" t="n">
        <v>0</v>
      </c>
      <c r="J796" t="n">
        <v>1</v>
      </c>
      <c r="K796" t="n">
        <v>2</v>
      </c>
      <c r="L796" t="n">
        <v>0</v>
      </c>
      <c r="M796" t="n">
        <v>0</v>
      </c>
      <c r="N796" t="n">
        <v>0</v>
      </c>
      <c r="O796" t="n">
        <v>3</v>
      </c>
      <c r="P796" t="n">
        <v>2</v>
      </c>
      <c r="Q796" t="n">
        <v>3</v>
      </c>
      <c r="R796" s="2" t="inlineStr">
        <is>
          <t>Fläckporing
Gräddporing
Dvärgbägarlav</t>
        </is>
      </c>
      <c r="S796">
        <f>HYPERLINK("https://klasma.github.io/Logging_2326/artfynd/A 54993-2023 artfynd.xlsx", "A 54993-2023")</f>
        <v/>
      </c>
      <c r="T796">
        <f>HYPERLINK("https://klasma.github.io/Logging_2326/kartor/A 54993-2023 karta.png", "A 54993-2023")</f>
        <v/>
      </c>
      <c r="V796">
        <f>HYPERLINK("https://klasma.github.io/Logging_2326/klagomål/A 54993-2023 FSC-klagomål.docx", "A 54993-2023")</f>
        <v/>
      </c>
      <c r="W796">
        <f>HYPERLINK("https://klasma.github.io/Logging_2326/klagomålsmail/A 54993-2023 FSC-klagomål mail.docx", "A 54993-2023")</f>
        <v/>
      </c>
      <c r="X796">
        <f>HYPERLINK("https://klasma.github.io/Logging_2326/tillsyn/A 54993-2023 tillsynsbegäran.docx", "A 54993-2023")</f>
        <v/>
      </c>
      <c r="Y796">
        <f>HYPERLINK("https://klasma.github.io/Logging_2326/tillsynsmail/A 54993-2023 tillsynsbegäran mail.docx", "A 54993-2023")</f>
        <v/>
      </c>
    </row>
    <row r="797" ht="15" customHeight="1">
      <c r="A797" t="inlineStr">
        <is>
          <t>A 57483-2023</t>
        </is>
      </c>
      <c r="B797" s="1" t="n">
        <v>45240</v>
      </c>
      <c r="C797" s="1" t="n">
        <v>45363</v>
      </c>
      <c r="D797" t="inlineStr">
        <is>
          <t>JÄMTLANDS LÄN</t>
        </is>
      </c>
      <c r="E797" t="inlineStr">
        <is>
          <t>STRÖMSUND</t>
        </is>
      </c>
      <c r="G797" t="n">
        <v>2.7</v>
      </c>
      <c r="H797" t="n">
        <v>2</v>
      </c>
      <c r="I797" t="n">
        <v>1</v>
      </c>
      <c r="J797" t="n">
        <v>2</v>
      </c>
      <c r="K797" t="n">
        <v>0</v>
      </c>
      <c r="L797" t="n">
        <v>0</v>
      </c>
      <c r="M797" t="n">
        <v>0</v>
      </c>
      <c r="N797" t="n">
        <v>0</v>
      </c>
      <c r="O797" t="n">
        <v>2</v>
      </c>
      <c r="P797" t="n">
        <v>0</v>
      </c>
      <c r="Q797" t="n">
        <v>3</v>
      </c>
      <c r="R797" s="2" t="inlineStr">
        <is>
          <t>Garnlav
Järpe
Spindelblomster</t>
        </is>
      </c>
      <c r="S797">
        <f>HYPERLINK("https://klasma.github.io/Logging_2313/artfynd/A 57483-2023 artfynd.xlsx", "A 57483-2023")</f>
        <v/>
      </c>
      <c r="T797">
        <f>HYPERLINK("https://klasma.github.io/Logging_2313/kartor/A 57483-2023 karta.png", "A 57483-2023")</f>
        <v/>
      </c>
      <c r="V797">
        <f>HYPERLINK("https://klasma.github.io/Logging_2313/klagomål/A 57483-2023 FSC-klagomål.docx", "A 57483-2023")</f>
        <v/>
      </c>
      <c r="W797">
        <f>HYPERLINK("https://klasma.github.io/Logging_2313/klagomålsmail/A 57483-2023 FSC-klagomål mail.docx", "A 57483-2023")</f>
        <v/>
      </c>
      <c r="X797">
        <f>HYPERLINK("https://klasma.github.io/Logging_2313/tillsyn/A 57483-2023 tillsynsbegäran.docx", "A 57483-2023")</f>
        <v/>
      </c>
      <c r="Y797">
        <f>HYPERLINK("https://klasma.github.io/Logging_2313/tillsynsmail/A 57483-2023 tillsynsbegäran mail.docx", "A 57483-2023")</f>
        <v/>
      </c>
      <c r="Z797">
        <f>HYPERLINK("https://klasma.github.io/Logging_2313/fåglar/A 57483-2023 prioriterade fågelarter.docx", "A 57483-2023")</f>
        <v/>
      </c>
    </row>
    <row r="798" ht="15" customHeight="1">
      <c r="A798" t="inlineStr">
        <is>
          <t>A 57572-2023</t>
        </is>
      </c>
      <c r="B798" s="1" t="n">
        <v>45246</v>
      </c>
      <c r="C798" s="1" t="n">
        <v>45363</v>
      </c>
      <c r="D798" t="inlineStr">
        <is>
          <t>JÄMTLANDS LÄN</t>
        </is>
      </c>
      <c r="E798" t="inlineStr">
        <is>
          <t>HÄRJEDALEN</t>
        </is>
      </c>
      <c r="G798" t="n">
        <v>40.5</v>
      </c>
      <c r="H798" t="n">
        <v>0</v>
      </c>
      <c r="I798" t="n">
        <v>0</v>
      </c>
      <c r="J798" t="n">
        <v>2</v>
      </c>
      <c r="K798" t="n">
        <v>1</v>
      </c>
      <c r="L798" t="n">
        <v>0</v>
      </c>
      <c r="M798" t="n">
        <v>0</v>
      </c>
      <c r="N798" t="n">
        <v>0</v>
      </c>
      <c r="O798" t="n">
        <v>3</v>
      </c>
      <c r="P798" t="n">
        <v>1</v>
      </c>
      <c r="Q798" t="n">
        <v>3</v>
      </c>
      <c r="R798" s="2" t="inlineStr">
        <is>
          <t>Gräddporing
Nordtagging
Skrovellav</t>
        </is>
      </c>
      <c r="S798">
        <f>HYPERLINK("https://klasma.github.io/Logging_2361/artfynd/A 57572-2023 artfynd.xlsx", "A 57572-2023")</f>
        <v/>
      </c>
      <c r="T798">
        <f>HYPERLINK("https://klasma.github.io/Logging_2361/kartor/A 57572-2023 karta.png", "A 57572-2023")</f>
        <v/>
      </c>
      <c r="V798">
        <f>HYPERLINK("https://klasma.github.io/Logging_2361/klagomål/A 57572-2023 FSC-klagomål.docx", "A 57572-2023")</f>
        <v/>
      </c>
      <c r="W798">
        <f>HYPERLINK("https://klasma.github.io/Logging_2361/klagomålsmail/A 57572-2023 FSC-klagomål mail.docx", "A 57572-2023")</f>
        <v/>
      </c>
      <c r="X798">
        <f>HYPERLINK("https://klasma.github.io/Logging_2361/tillsyn/A 57572-2023 tillsynsbegäran.docx", "A 57572-2023")</f>
        <v/>
      </c>
      <c r="Y798">
        <f>HYPERLINK("https://klasma.github.io/Logging_2361/tillsynsmail/A 57572-2023 tillsynsbegäran mail.docx", "A 57572-2023")</f>
        <v/>
      </c>
    </row>
    <row r="799" ht="15" customHeight="1">
      <c r="A799" t="inlineStr">
        <is>
          <t>A 58387-2023</t>
        </is>
      </c>
      <c r="B799" s="1" t="n">
        <v>45250</v>
      </c>
      <c r="C799" s="1" t="n">
        <v>45363</v>
      </c>
      <c r="D799" t="inlineStr">
        <is>
          <t>JÄMTLANDS LÄN</t>
        </is>
      </c>
      <c r="E799" t="inlineStr">
        <is>
          <t>ÅRE</t>
        </is>
      </c>
      <c r="G799" t="n">
        <v>24.7</v>
      </c>
      <c r="H799" t="n">
        <v>3</v>
      </c>
      <c r="I799" t="n">
        <v>0</v>
      </c>
      <c r="J799" t="n">
        <v>2</v>
      </c>
      <c r="K799" t="n">
        <v>0</v>
      </c>
      <c r="L799" t="n">
        <v>0</v>
      </c>
      <c r="M799" t="n">
        <v>0</v>
      </c>
      <c r="N799" t="n">
        <v>0</v>
      </c>
      <c r="O799" t="n">
        <v>2</v>
      </c>
      <c r="P799" t="n">
        <v>0</v>
      </c>
      <c r="Q799" t="n">
        <v>3</v>
      </c>
      <c r="R799" s="2" t="inlineStr">
        <is>
          <t>Spillkråka
Tretåig hackspett
Lavskrika</t>
        </is>
      </c>
      <c r="S799">
        <f>HYPERLINK("https://klasma.github.io/Logging_2321/artfynd/A 58387-2023 artfynd.xlsx", "A 58387-2023")</f>
        <v/>
      </c>
      <c r="T799">
        <f>HYPERLINK("https://klasma.github.io/Logging_2321/kartor/A 58387-2023 karta.png", "A 58387-2023")</f>
        <v/>
      </c>
      <c r="V799">
        <f>HYPERLINK("https://klasma.github.io/Logging_2321/klagomål/A 58387-2023 FSC-klagomål.docx", "A 58387-2023")</f>
        <v/>
      </c>
      <c r="W799">
        <f>HYPERLINK("https://klasma.github.io/Logging_2321/klagomålsmail/A 58387-2023 FSC-klagomål mail.docx", "A 58387-2023")</f>
        <v/>
      </c>
      <c r="X799">
        <f>HYPERLINK("https://klasma.github.io/Logging_2321/tillsyn/A 58387-2023 tillsynsbegäran.docx", "A 58387-2023")</f>
        <v/>
      </c>
      <c r="Y799">
        <f>HYPERLINK("https://klasma.github.io/Logging_2321/tillsynsmail/A 58387-2023 tillsynsbegäran mail.docx", "A 58387-2023")</f>
        <v/>
      </c>
      <c r="Z799">
        <f>HYPERLINK("https://klasma.github.io/Logging_2321/fåglar/A 58387-2023 prioriterade fågelarter.docx", "A 58387-2023")</f>
        <v/>
      </c>
    </row>
    <row r="800" ht="15" customHeight="1">
      <c r="A800" t="inlineStr">
        <is>
          <t>A 61790-2023</t>
        </is>
      </c>
      <c r="B800" s="1" t="n">
        <v>45265</v>
      </c>
      <c r="C800" s="1" t="n">
        <v>45363</v>
      </c>
      <c r="D800" t="inlineStr">
        <is>
          <t>JÄMTLANDS LÄN</t>
        </is>
      </c>
      <c r="E800" t="inlineStr">
        <is>
          <t>RAGUNDA</t>
        </is>
      </c>
      <c r="F800" t="inlineStr">
        <is>
          <t>SCA</t>
        </is>
      </c>
      <c r="G800" t="n">
        <v>6.1</v>
      </c>
      <c r="H800" t="n">
        <v>0</v>
      </c>
      <c r="I800" t="n">
        <v>0</v>
      </c>
      <c r="J800" t="n">
        <v>3</v>
      </c>
      <c r="K800" t="n">
        <v>0</v>
      </c>
      <c r="L800" t="n">
        <v>0</v>
      </c>
      <c r="M800" t="n">
        <v>0</v>
      </c>
      <c r="N800" t="n">
        <v>0</v>
      </c>
      <c r="O800" t="n">
        <v>3</v>
      </c>
      <c r="P800" t="n">
        <v>0</v>
      </c>
      <c r="Q800" t="n">
        <v>3</v>
      </c>
      <c r="R800" s="2" t="inlineStr">
        <is>
          <t>Gammelgransskål
Lunglav
Skrovellav</t>
        </is>
      </c>
      <c r="S800">
        <f>HYPERLINK("https://klasma.github.io/Logging_2303/artfynd/A 61790-2023 artfynd.xlsx", "A 61790-2023")</f>
        <v/>
      </c>
      <c r="T800">
        <f>HYPERLINK("https://klasma.github.io/Logging_2303/kartor/A 61790-2023 karta.png", "A 61790-2023")</f>
        <v/>
      </c>
      <c r="V800">
        <f>HYPERLINK("https://klasma.github.io/Logging_2303/klagomål/A 61790-2023 FSC-klagomål.docx", "A 61790-2023")</f>
        <v/>
      </c>
      <c r="W800">
        <f>HYPERLINK("https://klasma.github.io/Logging_2303/klagomålsmail/A 61790-2023 FSC-klagomål mail.docx", "A 61790-2023")</f>
        <v/>
      </c>
      <c r="X800">
        <f>HYPERLINK("https://klasma.github.io/Logging_2303/tillsyn/A 61790-2023 tillsynsbegäran.docx", "A 61790-2023")</f>
        <v/>
      </c>
      <c r="Y800">
        <f>HYPERLINK("https://klasma.github.io/Logging_2303/tillsynsmail/A 61790-2023 tillsynsbegäran mail.docx", "A 61790-2023")</f>
        <v/>
      </c>
    </row>
    <row r="801" ht="15" customHeight="1">
      <c r="A801" t="inlineStr">
        <is>
          <t>A 2061-2024</t>
        </is>
      </c>
      <c r="B801" s="1" t="n">
        <v>45308</v>
      </c>
      <c r="C801" s="1" t="n">
        <v>45363</v>
      </c>
      <c r="D801" t="inlineStr">
        <is>
          <t>JÄMTLANDS LÄN</t>
        </is>
      </c>
      <c r="E801" t="inlineStr">
        <is>
          <t>BRÄCKE</t>
        </is>
      </c>
      <c r="F801" t="inlineStr">
        <is>
          <t>SCA</t>
        </is>
      </c>
      <c r="G801" t="n">
        <v>3.5</v>
      </c>
      <c r="H801" t="n">
        <v>0</v>
      </c>
      <c r="I801" t="n">
        <v>1</v>
      </c>
      <c r="J801" t="n">
        <v>2</v>
      </c>
      <c r="K801" t="n">
        <v>0</v>
      </c>
      <c r="L801" t="n">
        <v>0</v>
      </c>
      <c r="M801" t="n">
        <v>0</v>
      </c>
      <c r="N801" t="n">
        <v>0</v>
      </c>
      <c r="O801" t="n">
        <v>2</v>
      </c>
      <c r="P801" t="n">
        <v>0</v>
      </c>
      <c r="Q801" t="n">
        <v>3</v>
      </c>
      <c r="R801" s="2" t="inlineStr">
        <is>
          <t>Lunglav
Stiftgelélav
Skinnlav</t>
        </is>
      </c>
      <c r="S801">
        <f>HYPERLINK("https://klasma.github.io/Logging_2305/artfynd/A 2061-2024 artfynd.xlsx", "A 2061-2024")</f>
        <v/>
      </c>
      <c r="T801">
        <f>HYPERLINK("https://klasma.github.io/Logging_2305/kartor/A 2061-2024 karta.png", "A 2061-2024")</f>
        <v/>
      </c>
      <c r="V801">
        <f>HYPERLINK("https://klasma.github.io/Logging_2305/klagomål/A 2061-2024 FSC-klagomål.docx", "A 2061-2024")</f>
        <v/>
      </c>
      <c r="W801">
        <f>HYPERLINK("https://klasma.github.io/Logging_2305/klagomålsmail/A 2061-2024 FSC-klagomål mail.docx", "A 2061-2024")</f>
        <v/>
      </c>
      <c r="X801">
        <f>HYPERLINK("https://klasma.github.io/Logging_2305/tillsyn/A 2061-2024 tillsynsbegäran.docx", "A 2061-2024")</f>
        <v/>
      </c>
      <c r="Y801">
        <f>HYPERLINK("https://klasma.github.io/Logging_2305/tillsynsmail/A 2061-2024 tillsynsbegäran mail.docx", "A 2061-2024")</f>
        <v/>
      </c>
    </row>
    <row r="802" ht="15" customHeight="1">
      <c r="A802" t="inlineStr">
        <is>
          <t>A 2592-2024</t>
        </is>
      </c>
      <c r="B802" s="1" t="n">
        <v>45313</v>
      </c>
      <c r="C802" s="1" t="n">
        <v>45363</v>
      </c>
      <c r="D802" t="inlineStr">
        <is>
          <t>JÄMTLANDS LÄN</t>
        </is>
      </c>
      <c r="E802" t="inlineStr">
        <is>
          <t>KROKOM</t>
        </is>
      </c>
      <c r="G802" t="n">
        <v>28.5</v>
      </c>
      <c r="H802" t="n">
        <v>2</v>
      </c>
      <c r="I802" t="n">
        <v>0</v>
      </c>
      <c r="J802" t="n">
        <v>2</v>
      </c>
      <c r="K802" t="n">
        <v>1</v>
      </c>
      <c r="L802" t="n">
        <v>0</v>
      </c>
      <c r="M802" t="n">
        <v>0</v>
      </c>
      <c r="N802" t="n">
        <v>0</v>
      </c>
      <c r="O802" t="n">
        <v>3</v>
      </c>
      <c r="P802" t="n">
        <v>1</v>
      </c>
      <c r="Q802" t="n">
        <v>3</v>
      </c>
      <c r="R802" s="2" t="inlineStr">
        <is>
          <t>Doftticka
Granticka
Tretåig hackspett</t>
        </is>
      </c>
      <c r="S802">
        <f>HYPERLINK("https://klasma.github.io/Logging_2309/artfynd/A 2592-2024 artfynd.xlsx", "A 2592-2024")</f>
        <v/>
      </c>
      <c r="T802">
        <f>HYPERLINK("https://klasma.github.io/Logging_2309/kartor/A 2592-2024 karta.png", "A 2592-2024")</f>
        <v/>
      </c>
      <c r="V802">
        <f>HYPERLINK("https://klasma.github.io/Logging_2309/klagomål/A 2592-2024 FSC-klagomål.docx", "A 2592-2024")</f>
        <v/>
      </c>
      <c r="W802">
        <f>HYPERLINK("https://klasma.github.io/Logging_2309/klagomålsmail/A 2592-2024 FSC-klagomål mail.docx", "A 2592-2024")</f>
        <v/>
      </c>
      <c r="X802">
        <f>HYPERLINK("https://klasma.github.io/Logging_2309/tillsyn/A 2592-2024 tillsynsbegäran.docx", "A 2592-2024")</f>
        <v/>
      </c>
      <c r="Y802">
        <f>HYPERLINK("https://klasma.github.io/Logging_2309/tillsynsmail/A 2592-2024 tillsynsbegäran mail.docx", "A 2592-2024")</f>
        <v/>
      </c>
      <c r="Z802">
        <f>HYPERLINK("https://klasma.github.io/Logging_2309/fåglar/A 2592-2024 prioriterade fågelarter.docx", "A 2592-2024")</f>
        <v/>
      </c>
    </row>
    <row r="803" ht="15" customHeight="1">
      <c r="A803" t="inlineStr">
        <is>
          <t>A 8121-2024</t>
        </is>
      </c>
      <c r="B803" s="1" t="n">
        <v>45351</v>
      </c>
      <c r="C803" s="1" t="n">
        <v>45363</v>
      </c>
      <c r="D803" t="inlineStr">
        <is>
          <t>JÄMTLANDS LÄN</t>
        </is>
      </c>
      <c r="E803" t="inlineStr">
        <is>
          <t>ÅRE</t>
        </is>
      </c>
      <c r="F803" t="inlineStr">
        <is>
          <t>Övriga Aktiebolag</t>
        </is>
      </c>
      <c r="G803" t="n">
        <v>14.7</v>
      </c>
      <c r="H803" t="n">
        <v>0</v>
      </c>
      <c r="I803" t="n">
        <v>0</v>
      </c>
      <c r="J803" t="n">
        <v>3</v>
      </c>
      <c r="K803" t="n">
        <v>0</v>
      </c>
      <c r="L803" t="n">
        <v>0</v>
      </c>
      <c r="M803" t="n">
        <v>0</v>
      </c>
      <c r="N803" t="n">
        <v>0</v>
      </c>
      <c r="O803" t="n">
        <v>3</v>
      </c>
      <c r="P803" t="n">
        <v>0</v>
      </c>
      <c r="Q803" t="n">
        <v>3</v>
      </c>
      <c r="R803" s="2" t="inlineStr">
        <is>
          <t>Dvärgbägarlav
Nordtagging
Skrovellav</t>
        </is>
      </c>
      <c r="S803">
        <f>HYPERLINK("https://klasma.github.io/Logging_2321/artfynd/A 8121-2024 artfynd.xlsx", "A 8121-2024")</f>
        <v/>
      </c>
      <c r="T803">
        <f>HYPERLINK("https://klasma.github.io/Logging_2321/kartor/A 8121-2024 karta.png", "A 8121-2024")</f>
        <v/>
      </c>
      <c r="V803">
        <f>HYPERLINK("https://klasma.github.io/Logging_2321/klagomål/A 8121-2024 FSC-klagomål.docx", "A 8121-2024")</f>
        <v/>
      </c>
      <c r="W803">
        <f>HYPERLINK("https://klasma.github.io/Logging_2321/klagomålsmail/A 8121-2024 FSC-klagomål mail.docx", "A 8121-2024")</f>
        <v/>
      </c>
      <c r="X803">
        <f>HYPERLINK("https://klasma.github.io/Logging_2321/tillsyn/A 8121-2024 tillsynsbegäran.docx", "A 8121-2024")</f>
        <v/>
      </c>
      <c r="Y803">
        <f>HYPERLINK("https://klasma.github.io/Logging_2321/tillsynsmail/A 8121-2024 tillsynsbegäran mail.docx", "A 8121-2024")</f>
        <v/>
      </c>
    </row>
    <row r="804" ht="15" customHeight="1">
      <c r="A804" t="inlineStr">
        <is>
          <t>A 35991-2018</t>
        </is>
      </c>
      <c r="B804" s="1" t="n">
        <v>43326</v>
      </c>
      <c r="C804" s="1" t="n">
        <v>45363</v>
      </c>
      <c r="D804" t="inlineStr">
        <is>
          <t>JÄMTLANDS LÄN</t>
        </is>
      </c>
      <c r="E804" t="inlineStr">
        <is>
          <t>STRÖMSUND</t>
        </is>
      </c>
      <c r="G804" t="n">
        <v>5.7</v>
      </c>
      <c r="H804" t="n">
        <v>1</v>
      </c>
      <c r="I804" t="n">
        <v>0</v>
      </c>
      <c r="J804" t="n">
        <v>2</v>
      </c>
      <c r="K804" t="n">
        <v>0</v>
      </c>
      <c r="L804" t="n">
        <v>0</v>
      </c>
      <c r="M804" t="n">
        <v>0</v>
      </c>
      <c r="N804" t="n">
        <v>0</v>
      </c>
      <c r="O804" t="n">
        <v>2</v>
      </c>
      <c r="P804" t="n">
        <v>0</v>
      </c>
      <c r="Q804" t="n">
        <v>2</v>
      </c>
      <c r="R804" s="2" t="inlineStr">
        <is>
          <t>Garnlav
Tretåig hackspett</t>
        </is>
      </c>
      <c r="S804">
        <f>HYPERLINK("https://klasma.github.io/Logging_2313/artfynd/A 35991-2018 artfynd.xlsx", "A 35991-2018")</f>
        <v/>
      </c>
      <c r="T804">
        <f>HYPERLINK("https://klasma.github.io/Logging_2313/kartor/A 35991-2018 karta.png", "A 35991-2018")</f>
        <v/>
      </c>
      <c r="V804">
        <f>HYPERLINK("https://klasma.github.io/Logging_2313/klagomål/A 35991-2018 FSC-klagomål.docx", "A 35991-2018")</f>
        <v/>
      </c>
      <c r="W804">
        <f>HYPERLINK("https://klasma.github.io/Logging_2313/klagomålsmail/A 35991-2018 FSC-klagomål mail.docx", "A 35991-2018")</f>
        <v/>
      </c>
      <c r="X804">
        <f>HYPERLINK("https://klasma.github.io/Logging_2313/tillsyn/A 35991-2018 tillsynsbegäran.docx", "A 35991-2018")</f>
        <v/>
      </c>
      <c r="Y804">
        <f>HYPERLINK("https://klasma.github.io/Logging_2313/tillsynsmail/A 35991-2018 tillsynsbegäran mail.docx", "A 35991-2018")</f>
        <v/>
      </c>
      <c r="Z804">
        <f>HYPERLINK("https://klasma.github.io/Logging_2313/fåglar/A 35991-2018 prioriterade fågelarter.docx", "A 35991-2018")</f>
        <v/>
      </c>
    </row>
    <row r="805" ht="15" customHeight="1">
      <c r="A805" t="inlineStr">
        <is>
          <t>A 36701-2018</t>
        </is>
      </c>
      <c r="B805" s="1" t="n">
        <v>43329</v>
      </c>
      <c r="C805" s="1" t="n">
        <v>45363</v>
      </c>
      <c r="D805" t="inlineStr">
        <is>
          <t>JÄMTLANDS LÄN</t>
        </is>
      </c>
      <c r="E805" t="inlineStr">
        <is>
          <t>RAGUNDA</t>
        </is>
      </c>
      <c r="G805" t="n">
        <v>39.9</v>
      </c>
      <c r="H805" t="n">
        <v>0</v>
      </c>
      <c r="I805" t="n">
        <v>0</v>
      </c>
      <c r="J805" t="n">
        <v>2</v>
      </c>
      <c r="K805" t="n">
        <v>0</v>
      </c>
      <c r="L805" t="n">
        <v>0</v>
      </c>
      <c r="M805" t="n">
        <v>0</v>
      </c>
      <c r="N805" t="n">
        <v>0</v>
      </c>
      <c r="O805" t="n">
        <v>2</v>
      </c>
      <c r="P805" t="n">
        <v>0</v>
      </c>
      <c r="Q805" t="n">
        <v>2</v>
      </c>
      <c r="R805" s="2" t="inlineStr">
        <is>
          <t>Lunglav
Ullticka</t>
        </is>
      </c>
      <c r="S805">
        <f>HYPERLINK("https://klasma.github.io/Logging_2303/artfynd/A 36701-2018 artfynd.xlsx", "A 36701-2018")</f>
        <v/>
      </c>
      <c r="T805">
        <f>HYPERLINK("https://klasma.github.io/Logging_2303/kartor/A 36701-2018 karta.png", "A 36701-2018")</f>
        <v/>
      </c>
      <c r="V805">
        <f>HYPERLINK("https://klasma.github.io/Logging_2303/klagomål/A 36701-2018 FSC-klagomål.docx", "A 36701-2018")</f>
        <v/>
      </c>
      <c r="W805">
        <f>HYPERLINK("https://klasma.github.io/Logging_2303/klagomålsmail/A 36701-2018 FSC-klagomål mail.docx", "A 36701-2018")</f>
        <v/>
      </c>
      <c r="X805">
        <f>HYPERLINK("https://klasma.github.io/Logging_2303/tillsyn/A 36701-2018 tillsynsbegäran.docx", "A 36701-2018")</f>
        <v/>
      </c>
      <c r="Y805">
        <f>HYPERLINK("https://klasma.github.io/Logging_2303/tillsynsmail/A 36701-2018 tillsynsbegäran mail.docx", "A 36701-2018")</f>
        <v/>
      </c>
    </row>
    <row r="806" ht="15" customHeight="1">
      <c r="A806" t="inlineStr">
        <is>
          <t>A 42165-2018</t>
        </is>
      </c>
      <c r="B806" s="1" t="n">
        <v>43353</v>
      </c>
      <c r="C806" s="1" t="n">
        <v>45363</v>
      </c>
      <c r="D806" t="inlineStr">
        <is>
          <t>JÄMTLANDS LÄN</t>
        </is>
      </c>
      <c r="E806" t="inlineStr">
        <is>
          <t>KROKOM</t>
        </is>
      </c>
      <c r="G806" t="n">
        <v>2.9</v>
      </c>
      <c r="H806" t="n">
        <v>2</v>
      </c>
      <c r="I806" t="n">
        <v>0</v>
      </c>
      <c r="J806" t="n">
        <v>1</v>
      </c>
      <c r="K806" t="n">
        <v>0</v>
      </c>
      <c r="L806" t="n">
        <v>0</v>
      </c>
      <c r="M806" t="n">
        <v>0</v>
      </c>
      <c r="N806" t="n">
        <v>0</v>
      </c>
      <c r="O806" t="n">
        <v>1</v>
      </c>
      <c r="P806" t="n">
        <v>0</v>
      </c>
      <c r="Q806" t="n">
        <v>2</v>
      </c>
      <c r="R806" s="2" t="inlineStr">
        <is>
          <t>Buskskvätta
Törnskata</t>
        </is>
      </c>
      <c r="S806">
        <f>HYPERLINK("https://klasma.github.io/Logging_2309/artfynd/A 42165-2018 artfynd.xlsx", "A 42165-2018")</f>
        <v/>
      </c>
      <c r="T806">
        <f>HYPERLINK("https://klasma.github.io/Logging_2309/kartor/A 42165-2018 karta.png", "A 42165-2018")</f>
        <v/>
      </c>
      <c r="V806">
        <f>HYPERLINK("https://klasma.github.io/Logging_2309/klagomål/A 42165-2018 FSC-klagomål.docx", "A 42165-2018")</f>
        <v/>
      </c>
      <c r="W806">
        <f>HYPERLINK("https://klasma.github.io/Logging_2309/klagomålsmail/A 42165-2018 FSC-klagomål mail.docx", "A 42165-2018")</f>
        <v/>
      </c>
      <c r="X806">
        <f>HYPERLINK("https://klasma.github.io/Logging_2309/tillsyn/A 42165-2018 tillsynsbegäran.docx", "A 42165-2018")</f>
        <v/>
      </c>
      <c r="Y806">
        <f>HYPERLINK("https://klasma.github.io/Logging_2309/tillsynsmail/A 42165-2018 tillsynsbegäran mail.docx", "A 42165-2018")</f>
        <v/>
      </c>
      <c r="Z806">
        <f>HYPERLINK("https://klasma.github.io/Logging_2309/fåglar/A 42165-2018 prioriterade fågelarter.docx", "A 42165-2018")</f>
        <v/>
      </c>
    </row>
    <row r="807" ht="15" customHeight="1">
      <c r="A807" t="inlineStr">
        <is>
          <t>A 45382-2018</t>
        </is>
      </c>
      <c r="B807" s="1" t="n">
        <v>43362</v>
      </c>
      <c r="C807" s="1" t="n">
        <v>45363</v>
      </c>
      <c r="D807" t="inlineStr">
        <is>
          <t>JÄMTLANDS LÄN</t>
        </is>
      </c>
      <c r="E807" t="inlineStr">
        <is>
          <t>KROKOM</t>
        </is>
      </c>
      <c r="G807" t="n">
        <v>8.199999999999999</v>
      </c>
      <c r="H807" t="n">
        <v>0</v>
      </c>
      <c r="I807" t="n">
        <v>1</v>
      </c>
      <c r="J807" t="n">
        <v>1</v>
      </c>
      <c r="K807" t="n">
        <v>0</v>
      </c>
      <c r="L807" t="n">
        <v>0</v>
      </c>
      <c r="M807" t="n">
        <v>0</v>
      </c>
      <c r="N807" t="n">
        <v>0</v>
      </c>
      <c r="O807" t="n">
        <v>1</v>
      </c>
      <c r="P807" t="n">
        <v>0</v>
      </c>
      <c r="Q807" t="n">
        <v>2</v>
      </c>
      <c r="R807" s="2" t="inlineStr">
        <is>
          <t>Gammelgransskål
Stuplav</t>
        </is>
      </c>
      <c r="S807">
        <f>HYPERLINK("https://klasma.github.io/Logging_2309/artfynd/A 45382-2018 artfynd.xlsx", "A 45382-2018")</f>
        <v/>
      </c>
      <c r="T807">
        <f>HYPERLINK("https://klasma.github.io/Logging_2309/kartor/A 45382-2018 karta.png", "A 45382-2018")</f>
        <v/>
      </c>
      <c r="V807">
        <f>HYPERLINK("https://klasma.github.io/Logging_2309/klagomål/A 45382-2018 FSC-klagomål.docx", "A 45382-2018")</f>
        <v/>
      </c>
      <c r="W807">
        <f>HYPERLINK("https://klasma.github.io/Logging_2309/klagomålsmail/A 45382-2018 FSC-klagomål mail.docx", "A 45382-2018")</f>
        <v/>
      </c>
      <c r="X807">
        <f>HYPERLINK("https://klasma.github.io/Logging_2309/tillsyn/A 45382-2018 tillsynsbegäran.docx", "A 45382-2018")</f>
        <v/>
      </c>
      <c r="Y807">
        <f>HYPERLINK("https://klasma.github.io/Logging_2309/tillsynsmail/A 45382-2018 tillsynsbegäran mail.docx", "A 45382-2018")</f>
        <v/>
      </c>
    </row>
    <row r="808" ht="15" customHeight="1">
      <c r="A808" t="inlineStr">
        <is>
          <t>A 46950-2018</t>
        </is>
      </c>
      <c r="B808" s="1" t="n">
        <v>43369</v>
      </c>
      <c r="C808" s="1" t="n">
        <v>45363</v>
      </c>
      <c r="D808" t="inlineStr">
        <is>
          <t>JÄMTLANDS LÄN</t>
        </is>
      </c>
      <c r="E808" t="inlineStr">
        <is>
          <t>STRÖMSUND</t>
        </is>
      </c>
      <c r="G808" t="n">
        <v>19.3</v>
      </c>
      <c r="H808" t="n">
        <v>0</v>
      </c>
      <c r="I808" t="n">
        <v>1</v>
      </c>
      <c r="J808" t="n">
        <v>1</v>
      </c>
      <c r="K808" t="n">
        <v>0</v>
      </c>
      <c r="L808" t="n">
        <v>0</v>
      </c>
      <c r="M808" t="n">
        <v>0</v>
      </c>
      <c r="N808" t="n">
        <v>0</v>
      </c>
      <c r="O808" t="n">
        <v>1</v>
      </c>
      <c r="P808" t="n">
        <v>0</v>
      </c>
      <c r="Q808" t="n">
        <v>2</v>
      </c>
      <c r="R808" s="2" t="inlineStr">
        <is>
          <t>Garnlav
Källpraktmossa</t>
        </is>
      </c>
      <c r="S808">
        <f>HYPERLINK("https://klasma.github.io/Logging_2313/artfynd/A 46950-2018 artfynd.xlsx", "A 46950-2018")</f>
        <v/>
      </c>
      <c r="T808">
        <f>HYPERLINK("https://klasma.github.io/Logging_2313/kartor/A 46950-2018 karta.png", "A 46950-2018")</f>
        <v/>
      </c>
      <c r="V808">
        <f>HYPERLINK("https://klasma.github.io/Logging_2313/klagomål/A 46950-2018 FSC-klagomål.docx", "A 46950-2018")</f>
        <v/>
      </c>
      <c r="W808">
        <f>HYPERLINK("https://klasma.github.io/Logging_2313/klagomålsmail/A 46950-2018 FSC-klagomål mail.docx", "A 46950-2018")</f>
        <v/>
      </c>
      <c r="X808">
        <f>HYPERLINK("https://klasma.github.io/Logging_2313/tillsyn/A 46950-2018 tillsynsbegäran.docx", "A 46950-2018")</f>
        <v/>
      </c>
      <c r="Y808">
        <f>HYPERLINK("https://klasma.github.io/Logging_2313/tillsynsmail/A 46950-2018 tillsynsbegäran mail.docx", "A 46950-2018")</f>
        <v/>
      </c>
    </row>
    <row r="809" ht="15" customHeight="1">
      <c r="A809" t="inlineStr">
        <is>
          <t>A 50332-2018</t>
        </is>
      </c>
      <c r="B809" s="1" t="n">
        <v>43378</v>
      </c>
      <c r="C809" s="1" t="n">
        <v>45363</v>
      </c>
      <c r="D809" t="inlineStr">
        <is>
          <t>JÄMTLANDS LÄN</t>
        </is>
      </c>
      <c r="E809" t="inlineStr">
        <is>
          <t>ÖSTERSUND</t>
        </is>
      </c>
      <c r="G809" t="n">
        <v>15.9</v>
      </c>
      <c r="H809" t="n">
        <v>0</v>
      </c>
      <c r="I809" t="n">
        <v>0</v>
      </c>
      <c r="J809" t="n">
        <v>1</v>
      </c>
      <c r="K809" t="n">
        <v>1</v>
      </c>
      <c r="L809" t="n">
        <v>0</v>
      </c>
      <c r="M809" t="n">
        <v>0</v>
      </c>
      <c r="N809" t="n">
        <v>0</v>
      </c>
      <c r="O809" t="n">
        <v>2</v>
      </c>
      <c r="P809" t="n">
        <v>1</v>
      </c>
      <c r="Q809" t="n">
        <v>2</v>
      </c>
      <c r="R809" s="2" t="inlineStr">
        <is>
          <t>Liten aspgelélav
Lunglav</t>
        </is>
      </c>
      <c r="S809">
        <f>HYPERLINK("https://klasma.github.io/Logging_2380/artfynd/A 50332-2018 artfynd.xlsx", "A 50332-2018")</f>
        <v/>
      </c>
      <c r="T809">
        <f>HYPERLINK("https://klasma.github.io/Logging_2380/kartor/A 50332-2018 karta.png", "A 50332-2018")</f>
        <v/>
      </c>
      <c r="V809">
        <f>HYPERLINK("https://klasma.github.io/Logging_2380/klagomål/A 50332-2018 FSC-klagomål.docx", "A 50332-2018")</f>
        <v/>
      </c>
      <c r="W809">
        <f>HYPERLINK("https://klasma.github.io/Logging_2380/klagomålsmail/A 50332-2018 FSC-klagomål mail.docx", "A 50332-2018")</f>
        <v/>
      </c>
      <c r="X809">
        <f>HYPERLINK("https://klasma.github.io/Logging_2380/tillsyn/A 50332-2018 tillsynsbegäran.docx", "A 50332-2018")</f>
        <v/>
      </c>
      <c r="Y809">
        <f>HYPERLINK("https://klasma.github.io/Logging_2380/tillsynsmail/A 50332-2018 tillsynsbegäran mail.docx", "A 50332-2018")</f>
        <v/>
      </c>
    </row>
    <row r="810" ht="15" customHeight="1">
      <c r="A810" t="inlineStr">
        <is>
          <t>A 59960-2018</t>
        </is>
      </c>
      <c r="B810" s="1" t="n">
        <v>43411</v>
      </c>
      <c r="C810" s="1" t="n">
        <v>45363</v>
      </c>
      <c r="D810" t="inlineStr">
        <is>
          <t>JÄMTLANDS LÄN</t>
        </is>
      </c>
      <c r="E810" t="inlineStr">
        <is>
          <t>RAGUNDA</t>
        </is>
      </c>
      <c r="G810" t="n">
        <v>5</v>
      </c>
      <c r="H810" t="n">
        <v>0</v>
      </c>
      <c r="I810" t="n">
        <v>0</v>
      </c>
      <c r="J810" t="n">
        <v>2</v>
      </c>
      <c r="K810" t="n">
        <v>0</v>
      </c>
      <c r="L810" t="n">
        <v>0</v>
      </c>
      <c r="M810" t="n">
        <v>0</v>
      </c>
      <c r="N810" t="n">
        <v>0</v>
      </c>
      <c r="O810" t="n">
        <v>2</v>
      </c>
      <c r="P810" t="n">
        <v>0</v>
      </c>
      <c r="Q810" t="n">
        <v>2</v>
      </c>
      <c r="R810" s="2" t="inlineStr">
        <is>
          <t>Garnlav
Lunglav</t>
        </is>
      </c>
      <c r="S810">
        <f>HYPERLINK("https://klasma.github.io/Logging_2303/artfynd/A 59960-2018 artfynd.xlsx", "A 59960-2018")</f>
        <v/>
      </c>
      <c r="T810">
        <f>HYPERLINK("https://klasma.github.io/Logging_2303/kartor/A 59960-2018 karta.png", "A 59960-2018")</f>
        <v/>
      </c>
      <c r="V810">
        <f>HYPERLINK("https://klasma.github.io/Logging_2303/klagomål/A 59960-2018 FSC-klagomål.docx", "A 59960-2018")</f>
        <v/>
      </c>
      <c r="W810">
        <f>HYPERLINK("https://klasma.github.io/Logging_2303/klagomålsmail/A 59960-2018 FSC-klagomål mail.docx", "A 59960-2018")</f>
        <v/>
      </c>
      <c r="X810">
        <f>HYPERLINK("https://klasma.github.io/Logging_2303/tillsyn/A 59960-2018 tillsynsbegäran.docx", "A 59960-2018")</f>
        <v/>
      </c>
      <c r="Y810">
        <f>HYPERLINK("https://klasma.github.io/Logging_2303/tillsynsmail/A 59960-2018 tillsynsbegäran mail.docx", "A 59960-2018")</f>
        <v/>
      </c>
    </row>
    <row r="811" ht="15" customHeight="1">
      <c r="A811" t="inlineStr">
        <is>
          <t>A 65468-2018</t>
        </is>
      </c>
      <c r="B811" s="1" t="n">
        <v>43433</v>
      </c>
      <c r="C811" s="1" t="n">
        <v>45363</v>
      </c>
      <c r="D811" t="inlineStr">
        <is>
          <t>JÄMTLANDS LÄN</t>
        </is>
      </c>
      <c r="E811" t="inlineStr">
        <is>
          <t>KROKOM</t>
        </is>
      </c>
      <c r="G811" t="n">
        <v>1.5</v>
      </c>
      <c r="H811" t="n">
        <v>2</v>
      </c>
      <c r="I811" t="n">
        <v>0</v>
      </c>
      <c r="J811" t="n">
        <v>0</v>
      </c>
      <c r="K811" t="n">
        <v>1</v>
      </c>
      <c r="L811" t="n">
        <v>0</v>
      </c>
      <c r="M811" t="n">
        <v>0</v>
      </c>
      <c r="N811" t="n">
        <v>0</v>
      </c>
      <c r="O811" t="n">
        <v>1</v>
      </c>
      <c r="P811" t="n">
        <v>1</v>
      </c>
      <c r="Q811" t="n">
        <v>2</v>
      </c>
      <c r="R811" s="2" t="inlineStr">
        <is>
          <t>Knärot
Blåsippa</t>
        </is>
      </c>
      <c r="S811">
        <f>HYPERLINK("https://klasma.github.io/Logging_2309/artfynd/A 65468-2018 artfynd.xlsx", "A 65468-2018")</f>
        <v/>
      </c>
      <c r="T811">
        <f>HYPERLINK("https://klasma.github.io/Logging_2309/kartor/A 65468-2018 karta.png", "A 65468-2018")</f>
        <v/>
      </c>
      <c r="U811">
        <f>HYPERLINK("https://klasma.github.io/Logging_2309/knärot/A 65468-2018 karta knärot.png", "A 65468-2018")</f>
        <v/>
      </c>
      <c r="V811">
        <f>HYPERLINK("https://klasma.github.io/Logging_2309/klagomål/A 65468-2018 FSC-klagomål.docx", "A 65468-2018")</f>
        <v/>
      </c>
      <c r="W811">
        <f>HYPERLINK("https://klasma.github.io/Logging_2309/klagomålsmail/A 65468-2018 FSC-klagomål mail.docx", "A 65468-2018")</f>
        <v/>
      </c>
      <c r="X811">
        <f>HYPERLINK("https://klasma.github.io/Logging_2309/tillsyn/A 65468-2018 tillsynsbegäran.docx", "A 65468-2018")</f>
        <v/>
      </c>
      <c r="Y811">
        <f>HYPERLINK("https://klasma.github.io/Logging_2309/tillsynsmail/A 65468-2018 tillsynsbegäran mail.docx", "A 65468-2018")</f>
        <v/>
      </c>
    </row>
    <row r="812" ht="15" customHeight="1">
      <c r="A812" t="inlineStr">
        <is>
          <t>A 65834-2018</t>
        </is>
      </c>
      <c r="B812" s="1" t="n">
        <v>43433</v>
      </c>
      <c r="C812" s="1" t="n">
        <v>45363</v>
      </c>
      <c r="D812" t="inlineStr">
        <is>
          <t>JÄMTLANDS LÄN</t>
        </is>
      </c>
      <c r="E812" t="inlineStr">
        <is>
          <t>BERG</t>
        </is>
      </c>
      <c r="F812" t="inlineStr">
        <is>
          <t>SCA</t>
        </is>
      </c>
      <c r="G812" t="n">
        <v>2.8</v>
      </c>
      <c r="H812" t="n">
        <v>0</v>
      </c>
      <c r="I812" t="n">
        <v>0</v>
      </c>
      <c r="J812" t="n">
        <v>2</v>
      </c>
      <c r="K812" t="n">
        <v>0</v>
      </c>
      <c r="L812" t="n">
        <v>0</v>
      </c>
      <c r="M812" t="n">
        <v>0</v>
      </c>
      <c r="N812" t="n">
        <v>0</v>
      </c>
      <c r="O812" t="n">
        <v>2</v>
      </c>
      <c r="P812" t="n">
        <v>0</v>
      </c>
      <c r="Q812" t="n">
        <v>2</v>
      </c>
      <c r="R812" s="2" t="inlineStr">
        <is>
          <t>Garnlav
Lunglav</t>
        </is>
      </c>
      <c r="S812">
        <f>HYPERLINK("https://klasma.github.io/Logging_2326/artfynd/A 65834-2018 artfynd.xlsx", "A 65834-2018")</f>
        <v/>
      </c>
      <c r="T812">
        <f>HYPERLINK("https://klasma.github.io/Logging_2326/kartor/A 65834-2018 karta.png", "A 65834-2018")</f>
        <v/>
      </c>
      <c r="V812">
        <f>HYPERLINK("https://klasma.github.io/Logging_2326/klagomål/A 65834-2018 FSC-klagomål.docx", "A 65834-2018")</f>
        <v/>
      </c>
      <c r="W812">
        <f>HYPERLINK("https://klasma.github.io/Logging_2326/klagomålsmail/A 65834-2018 FSC-klagomål mail.docx", "A 65834-2018")</f>
        <v/>
      </c>
      <c r="X812">
        <f>HYPERLINK("https://klasma.github.io/Logging_2326/tillsyn/A 65834-2018 tillsynsbegäran.docx", "A 65834-2018")</f>
        <v/>
      </c>
      <c r="Y812">
        <f>HYPERLINK("https://klasma.github.io/Logging_2326/tillsynsmail/A 65834-2018 tillsynsbegäran mail.docx", "A 65834-2018")</f>
        <v/>
      </c>
    </row>
    <row r="813" ht="15" customHeight="1">
      <c r="A813" t="inlineStr">
        <is>
          <t>A 70401-2018</t>
        </is>
      </c>
      <c r="B813" s="1" t="n">
        <v>43446</v>
      </c>
      <c r="C813" s="1" t="n">
        <v>45363</v>
      </c>
      <c r="D813" t="inlineStr">
        <is>
          <t>JÄMTLANDS LÄN</t>
        </is>
      </c>
      <c r="E813" t="inlineStr">
        <is>
          <t>ÖSTERSUND</t>
        </is>
      </c>
      <c r="G813" t="n">
        <v>2.8</v>
      </c>
      <c r="H813" t="n">
        <v>1</v>
      </c>
      <c r="I813" t="n">
        <v>1</v>
      </c>
      <c r="J813" t="n">
        <v>0</v>
      </c>
      <c r="K813" t="n">
        <v>0</v>
      </c>
      <c r="L813" t="n">
        <v>0</v>
      </c>
      <c r="M813" t="n">
        <v>0</v>
      </c>
      <c r="N813" t="n">
        <v>0</v>
      </c>
      <c r="O813" t="n">
        <v>0</v>
      </c>
      <c r="P813" t="n">
        <v>0</v>
      </c>
      <c r="Q813" t="n">
        <v>2</v>
      </c>
      <c r="R813" s="2" t="inlineStr">
        <is>
          <t>Svart trolldruva
Blåsippa</t>
        </is>
      </c>
      <c r="S813">
        <f>HYPERLINK("https://klasma.github.io/Logging_2380/artfynd/A 70401-2018 artfynd.xlsx", "A 70401-2018")</f>
        <v/>
      </c>
      <c r="T813">
        <f>HYPERLINK("https://klasma.github.io/Logging_2380/kartor/A 70401-2018 karta.png", "A 70401-2018")</f>
        <v/>
      </c>
      <c r="V813">
        <f>HYPERLINK("https://klasma.github.io/Logging_2380/klagomål/A 70401-2018 FSC-klagomål.docx", "A 70401-2018")</f>
        <v/>
      </c>
      <c r="W813">
        <f>HYPERLINK("https://klasma.github.io/Logging_2380/klagomålsmail/A 70401-2018 FSC-klagomål mail.docx", "A 70401-2018")</f>
        <v/>
      </c>
      <c r="X813">
        <f>HYPERLINK("https://klasma.github.io/Logging_2380/tillsyn/A 70401-2018 tillsynsbegäran.docx", "A 70401-2018")</f>
        <v/>
      </c>
      <c r="Y813">
        <f>HYPERLINK("https://klasma.github.io/Logging_2380/tillsynsmail/A 70401-2018 tillsynsbegäran mail.docx", "A 70401-2018")</f>
        <v/>
      </c>
    </row>
    <row r="814" ht="15" customHeight="1">
      <c r="A814" t="inlineStr">
        <is>
          <t>A 8266-2019</t>
        </is>
      </c>
      <c r="B814" s="1" t="n">
        <v>43501</v>
      </c>
      <c r="C814" s="1" t="n">
        <v>45363</v>
      </c>
      <c r="D814" t="inlineStr">
        <is>
          <t>JÄMTLANDS LÄN</t>
        </is>
      </c>
      <c r="E814" t="inlineStr">
        <is>
          <t>STRÖMSUND</t>
        </is>
      </c>
      <c r="G814" t="n">
        <v>15.1</v>
      </c>
      <c r="H814" t="n">
        <v>1</v>
      </c>
      <c r="I814" t="n">
        <v>0</v>
      </c>
      <c r="J814" t="n">
        <v>1</v>
      </c>
      <c r="K814" t="n">
        <v>0</v>
      </c>
      <c r="L814" t="n">
        <v>0</v>
      </c>
      <c r="M814" t="n">
        <v>0</v>
      </c>
      <c r="N814" t="n">
        <v>0</v>
      </c>
      <c r="O814" t="n">
        <v>1</v>
      </c>
      <c r="P814" t="n">
        <v>0</v>
      </c>
      <c r="Q814" t="n">
        <v>2</v>
      </c>
      <c r="R814" s="2" t="inlineStr">
        <is>
          <t>Garnlav
Vanlig groda</t>
        </is>
      </c>
      <c r="S814">
        <f>HYPERLINK("https://klasma.github.io/Logging_2313/artfynd/A 8266-2019 artfynd.xlsx", "A 8266-2019")</f>
        <v/>
      </c>
      <c r="T814">
        <f>HYPERLINK("https://klasma.github.io/Logging_2313/kartor/A 8266-2019 karta.png", "A 8266-2019")</f>
        <v/>
      </c>
      <c r="V814">
        <f>HYPERLINK("https://klasma.github.io/Logging_2313/klagomål/A 8266-2019 FSC-klagomål.docx", "A 8266-2019")</f>
        <v/>
      </c>
      <c r="W814">
        <f>HYPERLINK("https://klasma.github.io/Logging_2313/klagomålsmail/A 8266-2019 FSC-klagomål mail.docx", "A 8266-2019")</f>
        <v/>
      </c>
      <c r="X814">
        <f>HYPERLINK("https://klasma.github.io/Logging_2313/tillsyn/A 8266-2019 tillsynsbegäran.docx", "A 8266-2019")</f>
        <v/>
      </c>
      <c r="Y814">
        <f>HYPERLINK("https://klasma.github.io/Logging_2313/tillsynsmail/A 8266-2019 tillsynsbegäran mail.docx", "A 8266-2019")</f>
        <v/>
      </c>
    </row>
    <row r="815" ht="15" customHeight="1">
      <c r="A815" t="inlineStr">
        <is>
          <t>A 8909-2019</t>
        </is>
      </c>
      <c r="B815" s="1" t="n">
        <v>43503</v>
      </c>
      <c r="C815" s="1" t="n">
        <v>45363</v>
      </c>
      <c r="D815" t="inlineStr">
        <is>
          <t>JÄMTLANDS LÄN</t>
        </is>
      </c>
      <c r="E815" t="inlineStr">
        <is>
          <t>KROKOM</t>
        </is>
      </c>
      <c r="F815" t="inlineStr">
        <is>
          <t>Övriga Aktiebolag</t>
        </is>
      </c>
      <c r="G815" t="n">
        <v>22.7</v>
      </c>
      <c r="H815" t="n">
        <v>0</v>
      </c>
      <c r="I815" t="n">
        <v>1</v>
      </c>
      <c r="J815" t="n">
        <v>1</v>
      </c>
      <c r="K815" t="n">
        <v>0</v>
      </c>
      <c r="L815" t="n">
        <v>0</v>
      </c>
      <c r="M815" t="n">
        <v>0</v>
      </c>
      <c r="N815" t="n">
        <v>0</v>
      </c>
      <c r="O815" t="n">
        <v>1</v>
      </c>
      <c r="P815" t="n">
        <v>0</v>
      </c>
      <c r="Q815" t="n">
        <v>2</v>
      </c>
      <c r="R815" s="2" t="inlineStr">
        <is>
          <t>Granticka
Luddlav</t>
        </is>
      </c>
      <c r="S815">
        <f>HYPERLINK("https://klasma.github.io/Logging_2309/artfynd/A 8909-2019 artfynd.xlsx", "A 8909-2019")</f>
        <v/>
      </c>
      <c r="T815">
        <f>HYPERLINK("https://klasma.github.io/Logging_2309/kartor/A 8909-2019 karta.png", "A 8909-2019")</f>
        <v/>
      </c>
      <c r="V815">
        <f>HYPERLINK("https://klasma.github.io/Logging_2309/klagomål/A 8909-2019 FSC-klagomål.docx", "A 8909-2019")</f>
        <v/>
      </c>
      <c r="W815">
        <f>HYPERLINK("https://klasma.github.io/Logging_2309/klagomålsmail/A 8909-2019 FSC-klagomål mail.docx", "A 8909-2019")</f>
        <v/>
      </c>
      <c r="X815">
        <f>HYPERLINK("https://klasma.github.io/Logging_2309/tillsyn/A 8909-2019 tillsynsbegäran.docx", "A 8909-2019")</f>
        <v/>
      </c>
      <c r="Y815">
        <f>HYPERLINK("https://klasma.github.io/Logging_2309/tillsynsmail/A 8909-2019 tillsynsbegäran mail.docx", "A 8909-2019")</f>
        <v/>
      </c>
    </row>
    <row r="816" ht="15" customHeight="1">
      <c r="A816" t="inlineStr">
        <is>
          <t>A 12120-2019</t>
        </is>
      </c>
      <c r="B816" s="1" t="n">
        <v>43522</v>
      </c>
      <c r="C816" s="1" t="n">
        <v>45363</v>
      </c>
      <c r="D816" t="inlineStr">
        <is>
          <t>JÄMTLANDS LÄN</t>
        </is>
      </c>
      <c r="E816" t="inlineStr">
        <is>
          <t>ÅRE</t>
        </is>
      </c>
      <c r="G816" t="n">
        <v>2.5</v>
      </c>
      <c r="H816" t="n">
        <v>1</v>
      </c>
      <c r="I816" t="n">
        <v>1</v>
      </c>
      <c r="J816" t="n">
        <v>1</v>
      </c>
      <c r="K816" t="n">
        <v>0</v>
      </c>
      <c r="L816" t="n">
        <v>0</v>
      </c>
      <c r="M816" t="n">
        <v>0</v>
      </c>
      <c r="N816" t="n">
        <v>0</v>
      </c>
      <c r="O816" t="n">
        <v>1</v>
      </c>
      <c r="P816" t="n">
        <v>0</v>
      </c>
      <c r="Q816" t="n">
        <v>2</v>
      </c>
      <c r="R816" s="2" t="inlineStr">
        <is>
          <t>Gränsticka
Spindelblomster</t>
        </is>
      </c>
      <c r="S816">
        <f>HYPERLINK("https://klasma.github.io/Logging_2321/artfynd/A 12120-2019 artfynd.xlsx", "A 12120-2019")</f>
        <v/>
      </c>
      <c r="T816">
        <f>HYPERLINK("https://klasma.github.io/Logging_2321/kartor/A 12120-2019 karta.png", "A 12120-2019")</f>
        <v/>
      </c>
      <c r="V816">
        <f>HYPERLINK("https://klasma.github.io/Logging_2321/klagomål/A 12120-2019 FSC-klagomål.docx", "A 12120-2019")</f>
        <v/>
      </c>
      <c r="W816">
        <f>HYPERLINK("https://klasma.github.io/Logging_2321/klagomålsmail/A 12120-2019 FSC-klagomål mail.docx", "A 12120-2019")</f>
        <v/>
      </c>
      <c r="X816">
        <f>HYPERLINK("https://klasma.github.io/Logging_2321/tillsyn/A 12120-2019 tillsynsbegäran.docx", "A 12120-2019")</f>
        <v/>
      </c>
      <c r="Y816">
        <f>HYPERLINK("https://klasma.github.io/Logging_2321/tillsynsmail/A 12120-2019 tillsynsbegäran mail.docx", "A 12120-2019")</f>
        <v/>
      </c>
    </row>
    <row r="817" ht="15" customHeight="1">
      <c r="A817" t="inlineStr">
        <is>
          <t>A 16861-2019</t>
        </is>
      </c>
      <c r="B817" s="1" t="n">
        <v>43549</v>
      </c>
      <c r="C817" s="1" t="n">
        <v>45363</v>
      </c>
      <c r="D817" t="inlineStr">
        <is>
          <t>JÄMTLANDS LÄN</t>
        </is>
      </c>
      <c r="E817" t="inlineStr">
        <is>
          <t>BRÄCKE</t>
        </is>
      </c>
      <c r="G817" t="n">
        <v>3.7</v>
      </c>
      <c r="H817" t="n">
        <v>0</v>
      </c>
      <c r="I817" t="n">
        <v>2</v>
      </c>
      <c r="J817" t="n">
        <v>0</v>
      </c>
      <c r="K817" t="n">
        <v>0</v>
      </c>
      <c r="L817" t="n">
        <v>0</v>
      </c>
      <c r="M817" t="n">
        <v>0</v>
      </c>
      <c r="N817" t="n">
        <v>0</v>
      </c>
      <c r="O817" t="n">
        <v>0</v>
      </c>
      <c r="P817" t="n">
        <v>0</v>
      </c>
      <c r="Q817" t="n">
        <v>2</v>
      </c>
      <c r="R817" s="2" t="inlineStr">
        <is>
          <t>Robust tickgnagare
Skinnlav</t>
        </is>
      </c>
      <c r="S817">
        <f>HYPERLINK("https://klasma.github.io/Logging_2305/artfynd/A 16861-2019 artfynd.xlsx", "A 16861-2019")</f>
        <v/>
      </c>
      <c r="T817">
        <f>HYPERLINK("https://klasma.github.io/Logging_2305/kartor/A 16861-2019 karta.png", "A 16861-2019")</f>
        <v/>
      </c>
      <c r="V817">
        <f>HYPERLINK("https://klasma.github.io/Logging_2305/klagomål/A 16861-2019 FSC-klagomål.docx", "A 16861-2019")</f>
        <v/>
      </c>
      <c r="W817">
        <f>HYPERLINK("https://klasma.github.io/Logging_2305/klagomålsmail/A 16861-2019 FSC-klagomål mail.docx", "A 16861-2019")</f>
        <v/>
      </c>
      <c r="X817">
        <f>HYPERLINK("https://klasma.github.io/Logging_2305/tillsyn/A 16861-2019 tillsynsbegäran.docx", "A 16861-2019")</f>
        <v/>
      </c>
      <c r="Y817">
        <f>HYPERLINK("https://klasma.github.io/Logging_2305/tillsynsmail/A 16861-2019 tillsynsbegäran mail.docx", "A 16861-2019")</f>
        <v/>
      </c>
    </row>
    <row r="818" ht="15" customHeight="1">
      <c r="A818" t="inlineStr">
        <is>
          <t>A 25930-2019</t>
        </is>
      </c>
      <c r="B818" s="1" t="n">
        <v>43608</v>
      </c>
      <c r="C818" s="1" t="n">
        <v>45363</v>
      </c>
      <c r="D818" t="inlineStr">
        <is>
          <t>JÄMTLANDS LÄN</t>
        </is>
      </c>
      <c r="E818" t="inlineStr">
        <is>
          <t>KROKOM</t>
        </is>
      </c>
      <c r="F818" t="inlineStr">
        <is>
          <t>Övriga Aktiebolag</t>
        </is>
      </c>
      <c r="G818" t="n">
        <v>34.6</v>
      </c>
      <c r="H818" t="n">
        <v>0</v>
      </c>
      <c r="I818" t="n">
        <v>2</v>
      </c>
      <c r="J818" t="n">
        <v>0</v>
      </c>
      <c r="K818" t="n">
        <v>0</v>
      </c>
      <c r="L818" t="n">
        <v>0</v>
      </c>
      <c r="M818" t="n">
        <v>0</v>
      </c>
      <c r="N818" t="n">
        <v>0</v>
      </c>
      <c r="O818" t="n">
        <v>0</v>
      </c>
      <c r="P818" t="n">
        <v>0</v>
      </c>
      <c r="Q818" t="n">
        <v>2</v>
      </c>
      <c r="R818" s="2" t="inlineStr">
        <is>
          <t>Finbräken
Kransrams</t>
        </is>
      </c>
      <c r="S818">
        <f>HYPERLINK("https://klasma.github.io/Logging_2309/artfynd/A 25930-2019 artfynd.xlsx", "A 25930-2019")</f>
        <v/>
      </c>
      <c r="T818">
        <f>HYPERLINK("https://klasma.github.io/Logging_2309/kartor/A 25930-2019 karta.png", "A 25930-2019")</f>
        <v/>
      </c>
      <c r="V818">
        <f>HYPERLINK("https://klasma.github.io/Logging_2309/klagomål/A 25930-2019 FSC-klagomål.docx", "A 25930-2019")</f>
        <v/>
      </c>
      <c r="W818">
        <f>HYPERLINK("https://klasma.github.io/Logging_2309/klagomålsmail/A 25930-2019 FSC-klagomål mail.docx", "A 25930-2019")</f>
        <v/>
      </c>
      <c r="X818">
        <f>HYPERLINK("https://klasma.github.io/Logging_2309/tillsyn/A 25930-2019 tillsynsbegäran.docx", "A 25930-2019")</f>
        <v/>
      </c>
      <c r="Y818">
        <f>HYPERLINK("https://klasma.github.io/Logging_2309/tillsynsmail/A 25930-2019 tillsynsbegäran mail.docx", "A 25930-2019")</f>
        <v/>
      </c>
    </row>
    <row r="819" ht="15" customHeight="1">
      <c r="A819" t="inlineStr">
        <is>
          <t>A 26194-2019</t>
        </is>
      </c>
      <c r="B819" s="1" t="n">
        <v>43609</v>
      </c>
      <c r="C819" s="1" t="n">
        <v>45363</v>
      </c>
      <c r="D819" t="inlineStr">
        <is>
          <t>JÄMTLANDS LÄN</t>
        </is>
      </c>
      <c r="E819" t="inlineStr">
        <is>
          <t>BERG</t>
        </is>
      </c>
      <c r="G819" t="n">
        <v>11</v>
      </c>
      <c r="H819" t="n">
        <v>0</v>
      </c>
      <c r="I819" t="n">
        <v>0</v>
      </c>
      <c r="J819" t="n">
        <v>2</v>
      </c>
      <c r="K819" t="n">
        <v>0</v>
      </c>
      <c r="L819" t="n">
        <v>0</v>
      </c>
      <c r="M819" t="n">
        <v>0</v>
      </c>
      <c r="N819" t="n">
        <v>0</v>
      </c>
      <c r="O819" t="n">
        <v>2</v>
      </c>
      <c r="P819" t="n">
        <v>0</v>
      </c>
      <c r="Q819" t="n">
        <v>2</v>
      </c>
      <c r="R819" s="2" t="inlineStr">
        <is>
          <t>Vedflamlav
Vedskivlav</t>
        </is>
      </c>
      <c r="S819">
        <f>HYPERLINK("https://klasma.github.io/Logging_2326/artfynd/A 26194-2019 artfynd.xlsx", "A 26194-2019")</f>
        <v/>
      </c>
      <c r="T819">
        <f>HYPERLINK("https://klasma.github.io/Logging_2326/kartor/A 26194-2019 karta.png", "A 26194-2019")</f>
        <v/>
      </c>
      <c r="V819">
        <f>HYPERLINK("https://klasma.github.io/Logging_2326/klagomål/A 26194-2019 FSC-klagomål.docx", "A 26194-2019")</f>
        <v/>
      </c>
      <c r="W819">
        <f>HYPERLINK("https://klasma.github.io/Logging_2326/klagomålsmail/A 26194-2019 FSC-klagomål mail.docx", "A 26194-2019")</f>
        <v/>
      </c>
      <c r="X819">
        <f>HYPERLINK("https://klasma.github.io/Logging_2326/tillsyn/A 26194-2019 tillsynsbegäran.docx", "A 26194-2019")</f>
        <v/>
      </c>
      <c r="Y819">
        <f>HYPERLINK("https://klasma.github.io/Logging_2326/tillsynsmail/A 26194-2019 tillsynsbegäran mail.docx", "A 26194-2019")</f>
        <v/>
      </c>
    </row>
    <row r="820" ht="15" customHeight="1">
      <c r="A820" t="inlineStr">
        <is>
          <t>A 28321-2019</t>
        </is>
      </c>
      <c r="B820" s="1" t="n">
        <v>43623</v>
      </c>
      <c r="C820" s="1" t="n">
        <v>45363</v>
      </c>
      <c r="D820" t="inlineStr">
        <is>
          <t>JÄMTLANDS LÄN</t>
        </is>
      </c>
      <c r="E820" t="inlineStr">
        <is>
          <t>HÄRJEDALEN</t>
        </is>
      </c>
      <c r="F820" t="inlineStr">
        <is>
          <t>Sveaskog</t>
        </is>
      </c>
      <c r="G820" t="n">
        <v>3.3</v>
      </c>
      <c r="H820" t="n">
        <v>0</v>
      </c>
      <c r="I820" t="n">
        <v>0</v>
      </c>
      <c r="J820" t="n">
        <v>2</v>
      </c>
      <c r="K820" t="n">
        <v>0</v>
      </c>
      <c r="L820" t="n">
        <v>0</v>
      </c>
      <c r="M820" t="n">
        <v>0</v>
      </c>
      <c r="N820" t="n">
        <v>0</v>
      </c>
      <c r="O820" t="n">
        <v>2</v>
      </c>
      <c r="P820" t="n">
        <v>0</v>
      </c>
      <c r="Q820" t="n">
        <v>2</v>
      </c>
      <c r="R820" s="2" t="inlineStr">
        <is>
          <t>Garnlav
Kolflarnlav</t>
        </is>
      </c>
      <c r="S820">
        <f>HYPERLINK("https://klasma.github.io/Logging_2361/artfynd/A 28321-2019 artfynd.xlsx", "A 28321-2019")</f>
        <v/>
      </c>
      <c r="T820">
        <f>HYPERLINK("https://klasma.github.io/Logging_2361/kartor/A 28321-2019 karta.png", "A 28321-2019")</f>
        <v/>
      </c>
      <c r="V820">
        <f>HYPERLINK("https://klasma.github.io/Logging_2361/klagomål/A 28321-2019 FSC-klagomål.docx", "A 28321-2019")</f>
        <v/>
      </c>
      <c r="W820">
        <f>HYPERLINK("https://klasma.github.io/Logging_2361/klagomålsmail/A 28321-2019 FSC-klagomål mail.docx", "A 28321-2019")</f>
        <v/>
      </c>
      <c r="X820">
        <f>HYPERLINK("https://klasma.github.io/Logging_2361/tillsyn/A 28321-2019 tillsynsbegäran.docx", "A 28321-2019")</f>
        <v/>
      </c>
      <c r="Y820">
        <f>HYPERLINK("https://klasma.github.io/Logging_2361/tillsynsmail/A 28321-2019 tillsynsbegäran mail.docx", "A 28321-2019")</f>
        <v/>
      </c>
    </row>
    <row r="821" ht="15" customHeight="1">
      <c r="A821" t="inlineStr">
        <is>
          <t>A 28341-2019</t>
        </is>
      </c>
      <c r="B821" s="1" t="n">
        <v>43623</v>
      </c>
      <c r="C821" s="1" t="n">
        <v>45363</v>
      </c>
      <c r="D821" t="inlineStr">
        <is>
          <t>JÄMTLANDS LÄN</t>
        </is>
      </c>
      <c r="E821" t="inlineStr">
        <is>
          <t>BRÄCKE</t>
        </is>
      </c>
      <c r="F821" t="inlineStr">
        <is>
          <t>SCA</t>
        </is>
      </c>
      <c r="G821" t="n">
        <v>5.4</v>
      </c>
      <c r="H821" t="n">
        <v>0</v>
      </c>
      <c r="I821" t="n">
        <v>1</v>
      </c>
      <c r="J821" t="n">
        <v>0</v>
      </c>
      <c r="K821" t="n">
        <v>1</v>
      </c>
      <c r="L821" t="n">
        <v>0</v>
      </c>
      <c r="M821" t="n">
        <v>0</v>
      </c>
      <c r="N821" t="n">
        <v>0</v>
      </c>
      <c r="O821" t="n">
        <v>1</v>
      </c>
      <c r="P821" t="n">
        <v>1</v>
      </c>
      <c r="Q821" t="n">
        <v>2</v>
      </c>
      <c r="R821" s="2" t="inlineStr">
        <is>
          <t>Liten hornflikmossa
Stor aspticka</t>
        </is>
      </c>
      <c r="S821">
        <f>HYPERLINK("https://klasma.github.io/Logging_2305/artfynd/A 28341-2019 artfynd.xlsx", "A 28341-2019")</f>
        <v/>
      </c>
      <c r="T821">
        <f>HYPERLINK("https://klasma.github.io/Logging_2305/kartor/A 28341-2019 karta.png", "A 28341-2019")</f>
        <v/>
      </c>
      <c r="V821">
        <f>HYPERLINK("https://klasma.github.io/Logging_2305/klagomål/A 28341-2019 FSC-klagomål.docx", "A 28341-2019")</f>
        <v/>
      </c>
      <c r="W821">
        <f>HYPERLINK("https://klasma.github.io/Logging_2305/klagomålsmail/A 28341-2019 FSC-klagomål mail.docx", "A 28341-2019")</f>
        <v/>
      </c>
      <c r="X821">
        <f>HYPERLINK("https://klasma.github.io/Logging_2305/tillsyn/A 28341-2019 tillsynsbegäran.docx", "A 28341-2019")</f>
        <v/>
      </c>
      <c r="Y821">
        <f>HYPERLINK("https://klasma.github.io/Logging_2305/tillsynsmail/A 28341-2019 tillsynsbegäran mail.docx", "A 28341-2019")</f>
        <v/>
      </c>
    </row>
    <row r="822" ht="15" customHeight="1">
      <c r="A822" t="inlineStr">
        <is>
          <t>A 29265-2019</t>
        </is>
      </c>
      <c r="B822" s="1" t="n">
        <v>43629</v>
      </c>
      <c r="C822" s="1" t="n">
        <v>45363</v>
      </c>
      <c r="D822" t="inlineStr">
        <is>
          <t>JÄMTLANDS LÄN</t>
        </is>
      </c>
      <c r="E822" t="inlineStr">
        <is>
          <t>HÄRJEDALEN</t>
        </is>
      </c>
      <c r="F822" t="inlineStr">
        <is>
          <t>Holmen skog AB</t>
        </is>
      </c>
      <c r="G822" t="n">
        <v>2.2</v>
      </c>
      <c r="H822" t="n">
        <v>0</v>
      </c>
      <c r="I822" t="n">
        <v>0</v>
      </c>
      <c r="J822" t="n">
        <v>1</v>
      </c>
      <c r="K822" t="n">
        <v>1</v>
      </c>
      <c r="L822" t="n">
        <v>0</v>
      </c>
      <c r="M822" t="n">
        <v>0</v>
      </c>
      <c r="N822" t="n">
        <v>0</v>
      </c>
      <c r="O822" t="n">
        <v>2</v>
      </c>
      <c r="P822" t="n">
        <v>1</v>
      </c>
      <c r="Q822" t="n">
        <v>2</v>
      </c>
      <c r="R822" s="2" t="inlineStr">
        <is>
          <t>Goliatmusseron
Blå taggsvamp</t>
        </is>
      </c>
      <c r="S822">
        <f>HYPERLINK("https://klasma.github.io/Logging_2361/artfynd/A 29265-2019 artfynd.xlsx", "A 29265-2019")</f>
        <v/>
      </c>
      <c r="T822">
        <f>HYPERLINK("https://klasma.github.io/Logging_2361/kartor/A 29265-2019 karta.png", "A 29265-2019")</f>
        <v/>
      </c>
      <c r="V822">
        <f>HYPERLINK("https://klasma.github.io/Logging_2361/klagomål/A 29265-2019 FSC-klagomål.docx", "A 29265-2019")</f>
        <v/>
      </c>
      <c r="W822">
        <f>HYPERLINK("https://klasma.github.io/Logging_2361/klagomålsmail/A 29265-2019 FSC-klagomål mail.docx", "A 29265-2019")</f>
        <v/>
      </c>
      <c r="X822">
        <f>HYPERLINK("https://klasma.github.io/Logging_2361/tillsyn/A 29265-2019 tillsynsbegäran.docx", "A 29265-2019")</f>
        <v/>
      </c>
      <c r="Y822">
        <f>HYPERLINK("https://klasma.github.io/Logging_2361/tillsynsmail/A 29265-2019 tillsynsbegäran mail.docx", "A 29265-2019")</f>
        <v/>
      </c>
    </row>
    <row r="823" ht="15" customHeight="1">
      <c r="A823" t="inlineStr">
        <is>
          <t>A 32481-2019</t>
        </is>
      </c>
      <c r="B823" s="1" t="n">
        <v>43644</v>
      </c>
      <c r="C823" s="1" t="n">
        <v>45363</v>
      </c>
      <c r="D823" t="inlineStr">
        <is>
          <t>JÄMTLANDS LÄN</t>
        </is>
      </c>
      <c r="E823" t="inlineStr">
        <is>
          <t>HÄRJEDALEN</t>
        </is>
      </c>
      <c r="F823" t="inlineStr">
        <is>
          <t>SCA</t>
        </is>
      </c>
      <c r="G823" t="n">
        <v>2.3</v>
      </c>
      <c r="H823" t="n">
        <v>0</v>
      </c>
      <c r="I823" t="n">
        <v>0</v>
      </c>
      <c r="J823" t="n">
        <v>2</v>
      </c>
      <c r="K823" t="n">
        <v>0</v>
      </c>
      <c r="L823" t="n">
        <v>0</v>
      </c>
      <c r="M823" t="n">
        <v>0</v>
      </c>
      <c r="N823" t="n">
        <v>0</v>
      </c>
      <c r="O823" t="n">
        <v>2</v>
      </c>
      <c r="P823" t="n">
        <v>0</v>
      </c>
      <c r="Q823" t="n">
        <v>2</v>
      </c>
      <c r="R823" s="2" t="inlineStr">
        <is>
          <t>Blågrå svartspik
Mörk kolflarnlav</t>
        </is>
      </c>
      <c r="S823">
        <f>HYPERLINK("https://klasma.github.io/Logging_2361/artfynd/A 32481-2019 artfynd.xlsx", "A 32481-2019")</f>
        <v/>
      </c>
      <c r="T823">
        <f>HYPERLINK("https://klasma.github.io/Logging_2361/kartor/A 32481-2019 karta.png", "A 32481-2019")</f>
        <v/>
      </c>
      <c r="V823">
        <f>HYPERLINK("https://klasma.github.io/Logging_2361/klagomål/A 32481-2019 FSC-klagomål.docx", "A 32481-2019")</f>
        <v/>
      </c>
      <c r="W823">
        <f>HYPERLINK("https://klasma.github.io/Logging_2361/klagomålsmail/A 32481-2019 FSC-klagomål mail.docx", "A 32481-2019")</f>
        <v/>
      </c>
      <c r="X823">
        <f>HYPERLINK("https://klasma.github.io/Logging_2361/tillsyn/A 32481-2019 tillsynsbegäran.docx", "A 32481-2019")</f>
        <v/>
      </c>
      <c r="Y823">
        <f>HYPERLINK("https://klasma.github.io/Logging_2361/tillsynsmail/A 32481-2019 tillsynsbegäran mail.docx", "A 32481-2019")</f>
        <v/>
      </c>
    </row>
    <row r="824" ht="15" customHeight="1">
      <c r="A824" t="inlineStr">
        <is>
          <t>A 35996-2019</t>
        </is>
      </c>
      <c r="B824" s="1" t="n">
        <v>43656</v>
      </c>
      <c r="C824" s="1" t="n">
        <v>45363</v>
      </c>
      <c r="D824" t="inlineStr">
        <is>
          <t>JÄMTLANDS LÄN</t>
        </is>
      </c>
      <c r="E824" t="inlineStr">
        <is>
          <t>ÖSTERSUND</t>
        </is>
      </c>
      <c r="F824" t="inlineStr">
        <is>
          <t>SCA</t>
        </is>
      </c>
      <c r="G824" t="n">
        <v>1.4</v>
      </c>
      <c r="H824" t="n">
        <v>1</v>
      </c>
      <c r="I824" t="n">
        <v>0</v>
      </c>
      <c r="J824" t="n">
        <v>1</v>
      </c>
      <c r="K824" t="n">
        <v>0</v>
      </c>
      <c r="L824" t="n">
        <v>0</v>
      </c>
      <c r="M824" t="n">
        <v>0</v>
      </c>
      <c r="N824" t="n">
        <v>0</v>
      </c>
      <c r="O824" t="n">
        <v>1</v>
      </c>
      <c r="P824" t="n">
        <v>0</v>
      </c>
      <c r="Q824" t="n">
        <v>2</v>
      </c>
      <c r="R824" s="2" t="inlineStr">
        <is>
          <t>Kolflarnlav
Blåsippa</t>
        </is>
      </c>
      <c r="S824">
        <f>HYPERLINK("https://klasma.github.io/Logging_2380/artfynd/A 35996-2019 artfynd.xlsx", "A 35996-2019")</f>
        <v/>
      </c>
      <c r="T824">
        <f>HYPERLINK("https://klasma.github.io/Logging_2380/kartor/A 35996-2019 karta.png", "A 35996-2019")</f>
        <v/>
      </c>
      <c r="V824">
        <f>HYPERLINK("https://klasma.github.io/Logging_2380/klagomål/A 35996-2019 FSC-klagomål.docx", "A 35996-2019")</f>
        <v/>
      </c>
      <c r="W824">
        <f>HYPERLINK("https://klasma.github.io/Logging_2380/klagomålsmail/A 35996-2019 FSC-klagomål mail.docx", "A 35996-2019")</f>
        <v/>
      </c>
      <c r="X824">
        <f>HYPERLINK("https://klasma.github.io/Logging_2380/tillsyn/A 35996-2019 tillsynsbegäran.docx", "A 35996-2019")</f>
        <v/>
      </c>
      <c r="Y824">
        <f>HYPERLINK("https://klasma.github.io/Logging_2380/tillsynsmail/A 35996-2019 tillsynsbegäran mail.docx", "A 35996-2019")</f>
        <v/>
      </c>
    </row>
    <row r="825" ht="15" customHeight="1">
      <c r="A825" t="inlineStr">
        <is>
          <t>A 35409-2019</t>
        </is>
      </c>
      <c r="B825" s="1" t="n">
        <v>43661</v>
      </c>
      <c r="C825" s="1" t="n">
        <v>45363</v>
      </c>
      <c r="D825" t="inlineStr">
        <is>
          <t>JÄMTLANDS LÄN</t>
        </is>
      </c>
      <c r="E825" t="inlineStr">
        <is>
          <t>ÅRE</t>
        </is>
      </c>
      <c r="G825" t="n">
        <v>2.5</v>
      </c>
      <c r="H825" t="n">
        <v>0</v>
      </c>
      <c r="I825" t="n">
        <v>1</v>
      </c>
      <c r="J825" t="n">
        <v>1</v>
      </c>
      <c r="K825" t="n">
        <v>0</v>
      </c>
      <c r="L825" t="n">
        <v>0</v>
      </c>
      <c r="M825" t="n">
        <v>0</v>
      </c>
      <c r="N825" t="n">
        <v>0</v>
      </c>
      <c r="O825" t="n">
        <v>1</v>
      </c>
      <c r="P825" t="n">
        <v>0</v>
      </c>
      <c r="Q825" t="n">
        <v>2</v>
      </c>
      <c r="R825" s="2" t="inlineStr">
        <is>
          <t>Garnlav
Trådticka</t>
        </is>
      </c>
      <c r="S825">
        <f>HYPERLINK("https://klasma.github.io/Logging_2321/artfynd/A 35409-2019 artfynd.xlsx", "A 35409-2019")</f>
        <v/>
      </c>
      <c r="T825">
        <f>HYPERLINK("https://klasma.github.io/Logging_2321/kartor/A 35409-2019 karta.png", "A 35409-2019")</f>
        <v/>
      </c>
      <c r="V825">
        <f>HYPERLINK("https://klasma.github.io/Logging_2321/klagomål/A 35409-2019 FSC-klagomål.docx", "A 35409-2019")</f>
        <v/>
      </c>
      <c r="W825">
        <f>HYPERLINK("https://klasma.github.io/Logging_2321/klagomålsmail/A 35409-2019 FSC-klagomål mail.docx", "A 35409-2019")</f>
        <v/>
      </c>
      <c r="X825">
        <f>HYPERLINK("https://klasma.github.io/Logging_2321/tillsyn/A 35409-2019 tillsynsbegäran.docx", "A 35409-2019")</f>
        <v/>
      </c>
      <c r="Y825">
        <f>HYPERLINK("https://klasma.github.io/Logging_2321/tillsynsmail/A 35409-2019 tillsynsbegäran mail.docx", "A 35409-2019")</f>
        <v/>
      </c>
    </row>
    <row r="826" ht="15" customHeight="1">
      <c r="A826" t="inlineStr">
        <is>
          <t>A 37877-2019</t>
        </is>
      </c>
      <c r="B826" s="1" t="n">
        <v>43682</v>
      </c>
      <c r="C826" s="1" t="n">
        <v>45363</v>
      </c>
      <c r="D826" t="inlineStr">
        <is>
          <t>JÄMTLANDS LÄN</t>
        </is>
      </c>
      <c r="E826" t="inlineStr">
        <is>
          <t>KROKOM</t>
        </is>
      </c>
      <c r="F826" t="inlineStr">
        <is>
          <t>SCA</t>
        </is>
      </c>
      <c r="G826" t="n">
        <v>4.1</v>
      </c>
      <c r="H826" t="n">
        <v>0</v>
      </c>
      <c r="I826" t="n">
        <v>1</v>
      </c>
      <c r="J826" t="n">
        <v>1</v>
      </c>
      <c r="K826" t="n">
        <v>0</v>
      </c>
      <c r="L826" t="n">
        <v>0</v>
      </c>
      <c r="M826" t="n">
        <v>0</v>
      </c>
      <c r="N826" t="n">
        <v>0</v>
      </c>
      <c r="O826" t="n">
        <v>1</v>
      </c>
      <c r="P826" t="n">
        <v>0</v>
      </c>
      <c r="Q826" t="n">
        <v>2</v>
      </c>
      <c r="R826" s="2" t="inlineStr">
        <is>
          <t>Skrovellav
Luddlav</t>
        </is>
      </c>
      <c r="S826">
        <f>HYPERLINK("https://klasma.github.io/Logging_2309/artfynd/A 37877-2019 artfynd.xlsx", "A 37877-2019")</f>
        <v/>
      </c>
      <c r="T826">
        <f>HYPERLINK("https://klasma.github.io/Logging_2309/kartor/A 37877-2019 karta.png", "A 37877-2019")</f>
        <v/>
      </c>
      <c r="V826">
        <f>HYPERLINK("https://klasma.github.io/Logging_2309/klagomål/A 37877-2019 FSC-klagomål.docx", "A 37877-2019")</f>
        <v/>
      </c>
      <c r="W826">
        <f>HYPERLINK("https://klasma.github.io/Logging_2309/klagomålsmail/A 37877-2019 FSC-klagomål mail.docx", "A 37877-2019")</f>
        <v/>
      </c>
      <c r="X826">
        <f>HYPERLINK("https://klasma.github.io/Logging_2309/tillsyn/A 37877-2019 tillsynsbegäran.docx", "A 37877-2019")</f>
        <v/>
      </c>
      <c r="Y826">
        <f>HYPERLINK("https://klasma.github.io/Logging_2309/tillsynsmail/A 37877-2019 tillsynsbegäran mail.docx", "A 37877-2019")</f>
        <v/>
      </c>
    </row>
    <row r="827" ht="15" customHeight="1">
      <c r="A827" t="inlineStr">
        <is>
          <t>A 42067-2019</t>
        </is>
      </c>
      <c r="B827" s="1" t="n">
        <v>43700</v>
      </c>
      <c r="C827" s="1" t="n">
        <v>45363</v>
      </c>
      <c r="D827" t="inlineStr">
        <is>
          <t>JÄMTLANDS LÄN</t>
        </is>
      </c>
      <c r="E827" t="inlineStr">
        <is>
          <t>STRÖMSUND</t>
        </is>
      </c>
      <c r="F827" t="inlineStr">
        <is>
          <t>SCA</t>
        </is>
      </c>
      <c r="G827" t="n">
        <v>1.9</v>
      </c>
      <c r="H827" t="n">
        <v>0</v>
      </c>
      <c r="I827" t="n">
        <v>1</v>
      </c>
      <c r="J827" t="n">
        <v>1</v>
      </c>
      <c r="K827" t="n">
        <v>0</v>
      </c>
      <c r="L827" t="n">
        <v>0</v>
      </c>
      <c r="M827" t="n">
        <v>0</v>
      </c>
      <c r="N827" t="n">
        <v>0</v>
      </c>
      <c r="O827" t="n">
        <v>1</v>
      </c>
      <c r="P827" t="n">
        <v>0</v>
      </c>
      <c r="Q827" t="n">
        <v>2</v>
      </c>
      <c r="R827" s="2" t="inlineStr">
        <is>
          <t>Gränsticka
Stuplav</t>
        </is>
      </c>
      <c r="S827">
        <f>HYPERLINK("https://klasma.github.io/Logging_2313/artfynd/A 42067-2019 artfynd.xlsx", "A 42067-2019")</f>
        <v/>
      </c>
      <c r="T827">
        <f>HYPERLINK("https://klasma.github.io/Logging_2313/kartor/A 42067-2019 karta.png", "A 42067-2019")</f>
        <v/>
      </c>
      <c r="V827">
        <f>HYPERLINK("https://klasma.github.io/Logging_2313/klagomål/A 42067-2019 FSC-klagomål.docx", "A 42067-2019")</f>
        <v/>
      </c>
      <c r="W827">
        <f>HYPERLINK("https://klasma.github.io/Logging_2313/klagomålsmail/A 42067-2019 FSC-klagomål mail.docx", "A 42067-2019")</f>
        <v/>
      </c>
      <c r="X827">
        <f>HYPERLINK("https://klasma.github.io/Logging_2313/tillsyn/A 42067-2019 tillsynsbegäran.docx", "A 42067-2019")</f>
        <v/>
      </c>
      <c r="Y827">
        <f>HYPERLINK("https://klasma.github.io/Logging_2313/tillsynsmail/A 42067-2019 tillsynsbegäran mail.docx", "A 42067-2019")</f>
        <v/>
      </c>
    </row>
    <row r="828" ht="15" customHeight="1">
      <c r="A828" t="inlineStr">
        <is>
          <t>A 43760-2019</t>
        </is>
      </c>
      <c r="B828" s="1" t="n">
        <v>43707</v>
      </c>
      <c r="C828" s="1" t="n">
        <v>45363</v>
      </c>
      <c r="D828" t="inlineStr">
        <is>
          <t>JÄMTLANDS LÄN</t>
        </is>
      </c>
      <c r="E828" t="inlineStr">
        <is>
          <t>RAGUNDA</t>
        </is>
      </c>
      <c r="G828" t="n">
        <v>3.5</v>
      </c>
      <c r="H828" t="n">
        <v>1</v>
      </c>
      <c r="I828" t="n">
        <v>0</v>
      </c>
      <c r="J828" t="n">
        <v>1</v>
      </c>
      <c r="K828" t="n">
        <v>1</v>
      </c>
      <c r="L828" t="n">
        <v>0</v>
      </c>
      <c r="M828" t="n">
        <v>0</v>
      </c>
      <c r="N828" t="n">
        <v>0</v>
      </c>
      <c r="O828" t="n">
        <v>2</v>
      </c>
      <c r="P828" t="n">
        <v>1</v>
      </c>
      <c r="Q828" t="n">
        <v>2</v>
      </c>
      <c r="R828" s="2" t="inlineStr">
        <is>
          <t>Knärot
Lunglav</t>
        </is>
      </c>
      <c r="S828">
        <f>HYPERLINK("https://klasma.github.io/Logging_2303/artfynd/A 43760-2019 artfynd.xlsx", "A 43760-2019")</f>
        <v/>
      </c>
      <c r="T828">
        <f>HYPERLINK("https://klasma.github.io/Logging_2303/kartor/A 43760-2019 karta.png", "A 43760-2019")</f>
        <v/>
      </c>
      <c r="U828">
        <f>HYPERLINK("https://klasma.github.io/Logging_2303/knärot/A 43760-2019 karta knärot.png", "A 43760-2019")</f>
        <v/>
      </c>
      <c r="V828">
        <f>HYPERLINK("https://klasma.github.io/Logging_2303/klagomål/A 43760-2019 FSC-klagomål.docx", "A 43760-2019")</f>
        <v/>
      </c>
      <c r="W828">
        <f>HYPERLINK("https://klasma.github.io/Logging_2303/klagomålsmail/A 43760-2019 FSC-klagomål mail.docx", "A 43760-2019")</f>
        <v/>
      </c>
      <c r="X828">
        <f>HYPERLINK("https://klasma.github.io/Logging_2303/tillsyn/A 43760-2019 tillsynsbegäran.docx", "A 43760-2019")</f>
        <v/>
      </c>
      <c r="Y828">
        <f>HYPERLINK("https://klasma.github.io/Logging_2303/tillsynsmail/A 43760-2019 tillsynsbegäran mail.docx", "A 43760-2019")</f>
        <v/>
      </c>
    </row>
    <row r="829" ht="15" customHeight="1">
      <c r="A829" t="inlineStr">
        <is>
          <t>A 44014-2019</t>
        </is>
      </c>
      <c r="B829" s="1" t="n">
        <v>43709</v>
      </c>
      <c r="C829" s="1" t="n">
        <v>45363</v>
      </c>
      <c r="D829" t="inlineStr">
        <is>
          <t>JÄMTLANDS LÄN</t>
        </is>
      </c>
      <c r="E829" t="inlineStr">
        <is>
          <t>STRÖMSUND</t>
        </is>
      </c>
      <c r="F829" t="inlineStr">
        <is>
          <t>SCA</t>
        </is>
      </c>
      <c r="G829" t="n">
        <v>6.7</v>
      </c>
      <c r="H829" t="n">
        <v>0</v>
      </c>
      <c r="I829" t="n">
        <v>0</v>
      </c>
      <c r="J829" t="n">
        <v>1</v>
      </c>
      <c r="K829" t="n">
        <v>1</v>
      </c>
      <c r="L829" t="n">
        <v>0</v>
      </c>
      <c r="M829" t="n">
        <v>0</v>
      </c>
      <c r="N829" t="n">
        <v>0</v>
      </c>
      <c r="O829" t="n">
        <v>2</v>
      </c>
      <c r="P829" t="n">
        <v>1</v>
      </c>
      <c r="Q829" t="n">
        <v>2</v>
      </c>
      <c r="R829" s="2" t="inlineStr">
        <is>
          <t>Liten sotlav
Gränsticka</t>
        </is>
      </c>
      <c r="S829">
        <f>HYPERLINK("https://klasma.github.io/Logging_2313/artfynd/A 44014-2019 artfynd.xlsx", "A 44014-2019")</f>
        <v/>
      </c>
      <c r="T829">
        <f>HYPERLINK("https://klasma.github.io/Logging_2313/kartor/A 44014-2019 karta.png", "A 44014-2019")</f>
        <v/>
      </c>
      <c r="V829">
        <f>HYPERLINK("https://klasma.github.io/Logging_2313/klagomål/A 44014-2019 FSC-klagomål.docx", "A 44014-2019")</f>
        <v/>
      </c>
      <c r="W829">
        <f>HYPERLINK("https://klasma.github.io/Logging_2313/klagomålsmail/A 44014-2019 FSC-klagomål mail.docx", "A 44014-2019")</f>
        <v/>
      </c>
      <c r="X829">
        <f>HYPERLINK("https://klasma.github.io/Logging_2313/tillsyn/A 44014-2019 tillsynsbegäran.docx", "A 44014-2019")</f>
        <v/>
      </c>
      <c r="Y829">
        <f>HYPERLINK("https://klasma.github.io/Logging_2313/tillsynsmail/A 44014-2019 tillsynsbegäran mail.docx", "A 44014-2019")</f>
        <v/>
      </c>
    </row>
    <row r="830" ht="15" customHeight="1">
      <c r="A830" t="inlineStr">
        <is>
          <t>A 46012-2019</t>
        </is>
      </c>
      <c r="B830" s="1" t="n">
        <v>43718</v>
      </c>
      <c r="C830" s="1" t="n">
        <v>45363</v>
      </c>
      <c r="D830" t="inlineStr">
        <is>
          <t>JÄMTLANDS LÄN</t>
        </is>
      </c>
      <c r="E830" t="inlineStr">
        <is>
          <t>ÅRE</t>
        </is>
      </c>
      <c r="F830" t="inlineStr">
        <is>
          <t>Kommuner</t>
        </is>
      </c>
      <c r="G830" t="n">
        <v>13.4</v>
      </c>
      <c r="H830" t="n">
        <v>1</v>
      </c>
      <c r="I830" t="n">
        <v>0</v>
      </c>
      <c r="J830" t="n">
        <v>1</v>
      </c>
      <c r="K830" t="n">
        <v>1</v>
      </c>
      <c r="L830" t="n">
        <v>0</v>
      </c>
      <c r="M830" t="n">
        <v>0</v>
      </c>
      <c r="N830" t="n">
        <v>0</v>
      </c>
      <c r="O830" t="n">
        <v>2</v>
      </c>
      <c r="P830" t="n">
        <v>1</v>
      </c>
      <c r="Q830" t="n">
        <v>2</v>
      </c>
      <c r="R830" s="2" t="inlineStr">
        <is>
          <t>Knärot
Ullticka</t>
        </is>
      </c>
      <c r="S830">
        <f>HYPERLINK("https://klasma.github.io/Logging_2321/artfynd/A 46012-2019 artfynd.xlsx", "A 46012-2019")</f>
        <v/>
      </c>
      <c r="T830">
        <f>HYPERLINK("https://klasma.github.io/Logging_2321/kartor/A 46012-2019 karta.png", "A 46012-2019")</f>
        <v/>
      </c>
      <c r="U830">
        <f>HYPERLINK("https://klasma.github.io/Logging_2321/knärot/A 46012-2019 karta knärot.png", "A 46012-2019")</f>
        <v/>
      </c>
      <c r="V830">
        <f>HYPERLINK("https://klasma.github.io/Logging_2321/klagomål/A 46012-2019 FSC-klagomål.docx", "A 46012-2019")</f>
        <v/>
      </c>
      <c r="W830">
        <f>HYPERLINK("https://klasma.github.io/Logging_2321/klagomålsmail/A 46012-2019 FSC-klagomål mail.docx", "A 46012-2019")</f>
        <v/>
      </c>
      <c r="X830">
        <f>HYPERLINK("https://klasma.github.io/Logging_2321/tillsyn/A 46012-2019 tillsynsbegäran.docx", "A 46012-2019")</f>
        <v/>
      </c>
      <c r="Y830">
        <f>HYPERLINK("https://klasma.github.io/Logging_2321/tillsynsmail/A 46012-2019 tillsynsbegäran mail.docx", "A 46012-2019")</f>
        <v/>
      </c>
    </row>
    <row r="831" ht="15" customHeight="1">
      <c r="A831" t="inlineStr">
        <is>
          <t>A 48992-2019</t>
        </is>
      </c>
      <c r="B831" s="1" t="n">
        <v>43729</v>
      </c>
      <c r="C831" s="1" t="n">
        <v>45363</v>
      </c>
      <c r="D831" t="inlineStr">
        <is>
          <t>JÄMTLANDS LÄN</t>
        </is>
      </c>
      <c r="E831" t="inlineStr">
        <is>
          <t>BRÄCKE</t>
        </is>
      </c>
      <c r="F831" t="inlineStr">
        <is>
          <t>SCA</t>
        </is>
      </c>
      <c r="G831" t="n">
        <v>7.2</v>
      </c>
      <c r="H831" t="n">
        <v>0</v>
      </c>
      <c r="I831" t="n">
        <v>1</v>
      </c>
      <c r="J831" t="n">
        <v>0</v>
      </c>
      <c r="K831" t="n">
        <v>0</v>
      </c>
      <c r="L831" t="n">
        <v>1</v>
      </c>
      <c r="M831" t="n">
        <v>0</v>
      </c>
      <c r="N831" t="n">
        <v>0</v>
      </c>
      <c r="O831" t="n">
        <v>1</v>
      </c>
      <c r="P831" t="n">
        <v>1</v>
      </c>
      <c r="Q831" t="n">
        <v>2</v>
      </c>
      <c r="R831" s="2" t="inlineStr">
        <is>
          <t>Trolldruvemätare
Svart trolldruva</t>
        </is>
      </c>
      <c r="S831">
        <f>HYPERLINK("https://klasma.github.io/Logging_2305/artfynd/A 48992-2019 artfynd.xlsx", "A 48992-2019")</f>
        <v/>
      </c>
      <c r="T831">
        <f>HYPERLINK("https://klasma.github.io/Logging_2305/kartor/A 48992-2019 karta.png", "A 48992-2019")</f>
        <v/>
      </c>
      <c r="V831">
        <f>HYPERLINK("https://klasma.github.io/Logging_2305/klagomål/A 48992-2019 FSC-klagomål.docx", "A 48992-2019")</f>
        <v/>
      </c>
      <c r="W831">
        <f>HYPERLINK("https://klasma.github.io/Logging_2305/klagomålsmail/A 48992-2019 FSC-klagomål mail.docx", "A 48992-2019")</f>
        <v/>
      </c>
      <c r="X831">
        <f>HYPERLINK("https://klasma.github.io/Logging_2305/tillsyn/A 48992-2019 tillsynsbegäran.docx", "A 48992-2019")</f>
        <v/>
      </c>
      <c r="Y831">
        <f>HYPERLINK("https://klasma.github.io/Logging_2305/tillsynsmail/A 48992-2019 tillsynsbegäran mail.docx", "A 48992-2019")</f>
        <v/>
      </c>
    </row>
    <row r="832" ht="15" customHeight="1">
      <c r="A832" t="inlineStr">
        <is>
          <t>A 59325-2019</t>
        </is>
      </c>
      <c r="B832" s="1" t="n">
        <v>43775</v>
      </c>
      <c r="C832" s="1" t="n">
        <v>45363</v>
      </c>
      <c r="D832" t="inlineStr">
        <is>
          <t>JÄMTLANDS LÄN</t>
        </is>
      </c>
      <c r="E832" t="inlineStr">
        <is>
          <t>BRÄCKE</t>
        </is>
      </c>
      <c r="G832" t="n">
        <v>2.3</v>
      </c>
      <c r="H832" t="n">
        <v>0</v>
      </c>
      <c r="I832" t="n">
        <v>0</v>
      </c>
      <c r="J832" t="n">
        <v>2</v>
      </c>
      <c r="K832" t="n">
        <v>0</v>
      </c>
      <c r="L832" t="n">
        <v>0</v>
      </c>
      <c r="M832" t="n">
        <v>0</v>
      </c>
      <c r="N832" t="n">
        <v>0</v>
      </c>
      <c r="O832" t="n">
        <v>2</v>
      </c>
      <c r="P832" t="n">
        <v>0</v>
      </c>
      <c r="Q832" t="n">
        <v>2</v>
      </c>
      <c r="R832" s="2" t="inlineStr">
        <is>
          <t>Dvärgbägarlav
Vedskivlav</t>
        </is>
      </c>
      <c r="S832">
        <f>HYPERLINK("https://klasma.github.io/Logging_2305/artfynd/A 59325-2019 artfynd.xlsx", "A 59325-2019")</f>
        <v/>
      </c>
      <c r="T832">
        <f>HYPERLINK("https://klasma.github.io/Logging_2305/kartor/A 59325-2019 karta.png", "A 59325-2019")</f>
        <v/>
      </c>
      <c r="V832">
        <f>HYPERLINK("https://klasma.github.io/Logging_2305/klagomål/A 59325-2019 FSC-klagomål.docx", "A 59325-2019")</f>
        <v/>
      </c>
      <c r="W832">
        <f>HYPERLINK("https://klasma.github.io/Logging_2305/klagomålsmail/A 59325-2019 FSC-klagomål mail.docx", "A 59325-2019")</f>
        <v/>
      </c>
      <c r="X832">
        <f>HYPERLINK("https://klasma.github.io/Logging_2305/tillsyn/A 59325-2019 tillsynsbegäran.docx", "A 59325-2019")</f>
        <v/>
      </c>
      <c r="Y832">
        <f>HYPERLINK("https://klasma.github.io/Logging_2305/tillsynsmail/A 59325-2019 tillsynsbegäran mail.docx", "A 59325-2019")</f>
        <v/>
      </c>
    </row>
    <row r="833" ht="15" customHeight="1">
      <c r="A833" t="inlineStr">
        <is>
          <t>A 64471-2019</t>
        </is>
      </c>
      <c r="B833" s="1" t="n">
        <v>43797</v>
      </c>
      <c r="C833" s="1" t="n">
        <v>45363</v>
      </c>
      <c r="D833" t="inlineStr">
        <is>
          <t>JÄMTLANDS LÄN</t>
        </is>
      </c>
      <c r="E833" t="inlineStr">
        <is>
          <t>BRÄCKE</t>
        </is>
      </c>
      <c r="F833" t="inlineStr">
        <is>
          <t>SCA</t>
        </is>
      </c>
      <c r="G833" t="n">
        <v>6.4</v>
      </c>
      <c r="H833" t="n">
        <v>1</v>
      </c>
      <c r="I833" t="n">
        <v>1</v>
      </c>
      <c r="J833" t="n">
        <v>1</v>
      </c>
      <c r="K833" t="n">
        <v>0</v>
      </c>
      <c r="L833" t="n">
        <v>0</v>
      </c>
      <c r="M833" t="n">
        <v>0</v>
      </c>
      <c r="N833" t="n">
        <v>0</v>
      </c>
      <c r="O833" t="n">
        <v>1</v>
      </c>
      <c r="P833" t="n">
        <v>0</v>
      </c>
      <c r="Q833" t="n">
        <v>2</v>
      </c>
      <c r="R833" s="2" t="inlineStr">
        <is>
          <t>Garnlav
Korallrot</t>
        </is>
      </c>
      <c r="S833">
        <f>HYPERLINK("https://klasma.github.io/Logging_2305/artfynd/A 64471-2019 artfynd.xlsx", "A 64471-2019")</f>
        <v/>
      </c>
      <c r="T833">
        <f>HYPERLINK("https://klasma.github.io/Logging_2305/kartor/A 64471-2019 karta.png", "A 64471-2019")</f>
        <v/>
      </c>
      <c r="V833">
        <f>HYPERLINK("https://klasma.github.io/Logging_2305/klagomål/A 64471-2019 FSC-klagomål.docx", "A 64471-2019")</f>
        <v/>
      </c>
      <c r="W833">
        <f>HYPERLINK("https://klasma.github.io/Logging_2305/klagomålsmail/A 64471-2019 FSC-klagomål mail.docx", "A 64471-2019")</f>
        <v/>
      </c>
      <c r="X833">
        <f>HYPERLINK("https://klasma.github.io/Logging_2305/tillsyn/A 64471-2019 tillsynsbegäran.docx", "A 64471-2019")</f>
        <v/>
      </c>
      <c r="Y833">
        <f>HYPERLINK("https://klasma.github.io/Logging_2305/tillsynsmail/A 64471-2019 tillsynsbegäran mail.docx", "A 64471-2019")</f>
        <v/>
      </c>
    </row>
    <row r="834" ht="15" customHeight="1">
      <c r="A834" t="inlineStr">
        <is>
          <t>A 67215-2019</t>
        </is>
      </c>
      <c r="B834" s="1" t="n">
        <v>43811</v>
      </c>
      <c r="C834" s="1" t="n">
        <v>45363</v>
      </c>
      <c r="D834" t="inlineStr">
        <is>
          <t>JÄMTLANDS LÄN</t>
        </is>
      </c>
      <c r="E834" t="inlineStr">
        <is>
          <t>KROKOM</t>
        </is>
      </c>
      <c r="G834" t="n">
        <v>6.7</v>
      </c>
      <c r="H834" t="n">
        <v>0</v>
      </c>
      <c r="I834" t="n">
        <v>1</v>
      </c>
      <c r="J834" t="n">
        <v>0</v>
      </c>
      <c r="K834" t="n">
        <v>1</v>
      </c>
      <c r="L834" t="n">
        <v>0</v>
      </c>
      <c r="M834" t="n">
        <v>0</v>
      </c>
      <c r="N834" t="n">
        <v>0</v>
      </c>
      <c r="O834" t="n">
        <v>1</v>
      </c>
      <c r="P834" t="n">
        <v>1</v>
      </c>
      <c r="Q834" t="n">
        <v>2</v>
      </c>
      <c r="R834" s="2" t="inlineStr">
        <is>
          <t>Blåfotad fagerspindling
Svavelriska</t>
        </is>
      </c>
      <c r="S834">
        <f>HYPERLINK("https://klasma.github.io/Logging_2309/artfynd/A 67215-2019 artfynd.xlsx", "A 67215-2019")</f>
        <v/>
      </c>
      <c r="T834">
        <f>HYPERLINK("https://klasma.github.io/Logging_2309/kartor/A 67215-2019 karta.png", "A 67215-2019")</f>
        <v/>
      </c>
      <c r="V834">
        <f>HYPERLINK("https://klasma.github.io/Logging_2309/klagomål/A 67215-2019 FSC-klagomål.docx", "A 67215-2019")</f>
        <v/>
      </c>
      <c r="W834">
        <f>HYPERLINK("https://klasma.github.io/Logging_2309/klagomålsmail/A 67215-2019 FSC-klagomål mail.docx", "A 67215-2019")</f>
        <v/>
      </c>
      <c r="X834">
        <f>HYPERLINK("https://klasma.github.io/Logging_2309/tillsyn/A 67215-2019 tillsynsbegäran.docx", "A 67215-2019")</f>
        <v/>
      </c>
      <c r="Y834">
        <f>HYPERLINK("https://klasma.github.io/Logging_2309/tillsynsmail/A 67215-2019 tillsynsbegäran mail.docx", "A 67215-2019")</f>
        <v/>
      </c>
    </row>
    <row r="835" ht="15" customHeight="1">
      <c r="A835" t="inlineStr">
        <is>
          <t>A 68075-2019</t>
        </is>
      </c>
      <c r="B835" s="1" t="n">
        <v>43816</v>
      </c>
      <c r="C835" s="1" t="n">
        <v>45363</v>
      </c>
      <c r="D835" t="inlineStr">
        <is>
          <t>JÄMTLANDS LÄN</t>
        </is>
      </c>
      <c r="E835" t="inlineStr">
        <is>
          <t>KROKOM</t>
        </is>
      </c>
      <c r="F835" t="inlineStr">
        <is>
          <t>SCA</t>
        </is>
      </c>
      <c r="G835" t="n">
        <v>11.3</v>
      </c>
      <c r="H835" t="n">
        <v>0</v>
      </c>
      <c r="I835" t="n">
        <v>0</v>
      </c>
      <c r="J835" t="n">
        <v>2</v>
      </c>
      <c r="K835" t="n">
        <v>0</v>
      </c>
      <c r="L835" t="n">
        <v>0</v>
      </c>
      <c r="M835" t="n">
        <v>0</v>
      </c>
      <c r="N835" t="n">
        <v>0</v>
      </c>
      <c r="O835" t="n">
        <v>2</v>
      </c>
      <c r="P835" t="n">
        <v>0</v>
      </c>
      <c r="Q835" t="n">
        <v>2</v>
      </c>
      <c r="R835" s="2" t="inlineStr">
        <is>
          <t>Garnlav
Lunglav</t>
        </is>
      </c>
      <c r="S835">
        <f>HYPERLINK("https://klasma.github.io/Logging_2309/artfynd/A 68075-2019 artfynd.xlsx", "A 68075-2019")</f>
        <v/>
      </c>
      <c r="T835">
        <f>HYPERLINK("https://klasma.github.io/Logging_2309/kartor/A 68075-2019 karta.png", "A 68075-2019")</f>
        <v/>
      </c>
      <c r="V835">
        <f>HYPERLINK("https://klasma.github.io/Logging_2309/klagomål/A 68075-2019 FSC-klagomål.docx", "A 68075-2019")</f>
        <v/>
      </c>
      <c r="W835">
        <f>HYPERLINK("https://klasma.github.io/Logging_2309/klagomålsmail/A 68075-2019 FSC-klagomål mail.docx", "A 68075-2019")</f>
        <v/>
      </c>
      <c r="X835">
        <f>HYPERLINK("https://klasma.github.io/Logging_2309/tillsyn/A 68075-2019 tillsynsbegäran.docx", "A 68075-2019")</f>
        <v/>
      </c>
      <c r="Y835">
        <f>HYPERLINK("https://klasma.github.io/Logging_2309/tillsynsmail/A 68075-2019 tillsynsbegäran mail.docx", "A 68075-2019")</f>
        <v/>
      </c>
    </row>
    <row r="836" ht="15" customHeight="1">
      <c r="A836" t="inlineStr">
        <is>
          <t>A 4356-2020</t>
        </is>
      </c>
      <c r="B836" s="1" t="n">
        <v>43857</v>
      </c>
      <c r="C836" s="1" t="n">
        <v>45363</v>
      </c>
      <c r="D836" t="inlineStr">
        <is>
          <t>JÄMTLANDS LÄN</t>
        </is>
      </c>
      <c r="E836" t="inlineStr">
        <is>
          <t>HÄRJEDALEN</t>
        </is>
      </c>
      <c r="F836" t="inlineStr">
        <is>
          <t>Bergvik skog väst AB</t>
        </is>
      </c>
      <c r="G836" t="n">
        <v>51.2</v>
      </c>
      <c r="H836" t="n">
        <v>1</v>
      </c>
      <c r="I836" t="n">
        <v>0</v>
      </c>
      <c r="J836" t="n">
        <v>2</v>
      </c>
      <c r="K836" t="n">
        <v>0</v>
      </c>
      <c r="L836" t="n">
        <v>0</v>
      </c>
      <c r="M836" t="n">
        <v>0</v>
      </c>
      <c r="N836" t="n">
        <v>0</v>
      </c>
      <c r="O836" t="n">
        <v>2</v>
      </c>
      <c r="P836" t="n">
        <v>0</v>
      </c>
      <c r="Q836" t="n">
        <v>2</v>
      </c>
      <c r="R836" s="2" t="inlineStr">
        <is>
          <t>Harticka
Tretåig hackspett</t>
        </is>
      </c>
      <c r="S836">
        <f>HYPERLINK("https://klasma.github.io/Logging_2361/artfynd/A 4356-2020 artfynd.xlsx", "A 4356-2020")</f>
        <v/>
      </c>
      <c r="T836">
        <f>HYPERLINK("https://klasma.github.io/Logging_2361/kartor/A 4356-2020 karta.png", "A 4356-2020")</f>
        <v/>
      </c>
      <c r="V836">
        <f>HYPERLINK("https://klasma.github.io/Logging_2361/klagomål/A 4356-2020 FSC-klagomål.docx", "A 4356-2020")</f>
        <v/>
      </c>
      <c r="W836">
        <f>HYPERLINK("https://klasma.github.io/Logging_2361/klagomålsmail/A 4356-2020 FSC-klagomål mail.docx", "A 4356-2020")</f>
        <v/>
      </c>
      <c r="X836">
        <f>HYPERLINK("https://klasma.github.io/Logging_2361/tillsyn/A 4356-2020 tillsynsbegäran.docx", "A 4356-2020")</f>
        <v/>
      </c>
      <c r="Y836">
        <f>HYPERLINK("https://klasma.github.io/Logging_2361/tillsynsmail/A 4356-2020 tillsynsbegäran mail.docx", "A 4356-2020")</f>
        <v/>
      </c>
      <c r="Z836">
        <f>HYPERLINK("https://klasma.github.io/Logging_2361/fåglar/A 4356-2020 prioriterade fågelarter.docx", "A 4356-2020")</f>
        <v/>
      </c>
    </row>
    <row r="837" ht="15" customHeight="1">
      <c r="A837" t="inlineStr">
        <is>
          <t>A 6884-2020</t>
        </is>
      </c>
      <c r="B837" s="1" t="n">
        <v>43867</v>
      </c>
      <c r="C837" s="1" t="n">
        <v>45363</v>
      </c>
      <c r="D837" t="inlineStr">
        <is>
          <t>JÄMTLANDS LÄN</t>
        </is>
      </c>
      <c r="E837" t="inlineStr">
        <is>
          <t>STRÖMSUND</t>
        </is>
      </c>
      <c r="F837" t="inlineStr">
        <is>
          <t>SCA</t>
        </is>
      </c>
      <c r="G837" t="n">
        <v>10.1</v>
      </c>
      <c r="H837" t="n">
        <v>0</v>
      </c>
      <c r="I837" t="n">
        <v>0</v>
      </c>
      <c r="J837" t="n">
        <v>1</v>
      </c>
      <c r="K837" t="n">
        <v>1</v>
      </c>
      <c r="L837" t="n">
        <v>0</v>
      </c>
      <c r="M837" t="n">
        <v>0</v>
      </c>
      <c r="N837" t="n">
        <v>0</v>
      </c>
      <c r="O837" t="n">
        <v>2</v>
      </c>
      <c r="P837" t="n">
        <v>1</v>
      </c>
      <c r="Q837" t="n">
        <v>2</v>
      </c>
      <c r="R837" s="2" t="inlineStr">
        <is>
          <t>Rynkskinn
Brunpudrad nållav</t>
        </is>
      </c>
      <c r="S837">
        <f>HYPERLINK("https://klasma.github.io/Logging_2313/artfynd/A 6884-2020 artfynd.xlsx", "A 6884-2020")</f>
        <v/>
      </c>
      <c r="T837">
        <f>HYPERLINK("https://klasma.github.io/Logging_2313/kartor/A 6884-2020 karta.png", "A 6884-2020")</f>
        <v/>
      </c>
      <c r="V837">
        <f>HYPERLINK("https://klasma.github.io/Logging_2313/klagomål/A 6884-2020 FSC-klagomål.docx", "A 6884-2020")</f>
        <v/>
      </c>
      <c r="W837">
        <f>HYPERLINK("https://klasma.github.io/Logging_2313/klagomålsmail/A 6884-2020 FSC-klagomål mail.docx", "A 6884-2020")</f>
        <v/>
      </c>
      <c r="X837">
        <f>HYPERLINK("https://klasma.github.io/Logging_2313/tillsyn/A 6884-2020 tillsynsbegäran.docx", "A 6884-2020")</f>
        <v/>
      </c>
      <c r="Y837">
        <f>HYPERLINK("https://klasma.github.io/Logging_2313/tillsynsmail/A 6884-2020 tillsynsbegäran mail.docx", "A 6884-2020")</f>
        <v/>
      </c>
    </row>
    <row r="838" ht="15" customHeight="1">
      <c r="A838" t="inlineStr">
        <is>
          <t>A 9510-2020</t>
        </is>
      </c>
      <c r="B838" s="1" t="n">
        <v>43880</v>
      </c>
      <c r="C838" s="1" t="n">
        <v>45363</v>
      </c>
      <c r="D838" t="inlineStr">
        <is>
          <t>JÄMTLANDS LÄN</t>
        </is>
      </c>
      <c r="E838" t="inlineStr">
        <is>
          <t>HÄRJEDALEN</t>
        </is>
      </c>
      <c r="F838" t="inlineStr">
        <is>
          <t>Bergvik skog väst AB</t>
        </is>
      </c>
      <c r="G838" t="n">
        <v>18.7</v>
      </c>
      <c r="H838" t="n">
        <v>1</v>
      </c>
      <c r="I838" t="n">
        <v>0</v>
      </c>
      <c r="J838" t="n">
        <v>2</v>
      </c>
      <c r="K838" t="n">
        <v>0</v>
      </c>
      <c r="L838" t="n">
        <v>0</v>
      </c>
      <c r="M838" t="n">
        <v>0</v>
      </c>
      <c r="N838" t="n">
        <v>0</v>
      </c>
      <c r="O838" t="n">
        <v>2</v>
      </c>
      <c r="P838" t="n">
        <v>0</v>
      </c>
      <c r="Q838" t="n">
        <v>2</v>
      </c>
      <c r="R838" s="2" t="inlineStr">
        <is>
          <t>Garnlav
Tretåig hackspett</t>
        </is>
      </c>
      <c r="S838">
        <f>HYPERLINK("https://klasma.github.io/Logging_2361/artfynd/A 9510-2020 artfynd.xlsx", "A 9510-2020")</f>
        <v/>
      </c>
      <c r="T838">
        <f>HYPERLINK("https://klasma.github.io/Logging_2361/kartor/A 9510-2020 karta.png", "A 9510-2020")</f>
        <v/>
      </c>
      <c r="V838">
        <f>HYPERLINK("https://klasma.github.io/Logging_2361/klagomål/A 9510-2020 FSC-klagomål.docx", "A 9510-2020")</f>
        <v/>
      </c>
      <c r="W838">
        <f>HYPERLINK("https://klasma.github.io/Logging_2361/klagomålsmail/A 9510-2020 FSC-klagomål mail.docx", "A 9510-2020")</f>
        <v/>
      </c>
      <c r="X838">
        <f>HYPERLINK("https://klasma.github.io/Logging_2361/tillsyn/A 9510-2020 tillsynsbegäran.docx", "A 9510-2020")</f>
        <v/>
      </c>
      <c r="Y838">
        <f>HYPERLINK("https://klasma.github.io/Logging_2361/tillsynsmail/A 9510-2020 tillsynsbegäran mail.docx", "A 9510-2020")</f>
        <v/>
      </c>
      <c r="Z838">
        <f>HYPERLINK("https://klasma.github.io/Logging_2361/fåglar/A 9510-2020 prioriterade fågelarter.docx", "A 9510-2020")</f>
        <v/>
      </c>
    </row>
    <row r="839" ht="15" customHeight="1">
      <c r="A839" t="inlineStr">
        <is>
          <t>A 12954-2020</t>
        </is>
      </c>
      <c r="B839" s="1" t="n">
        <v>43900</v>
      </c>
      <c r="C839" s="1" t="n">
        <v>45363</v>
      </c>
      <c r="D839" t="inlineStr">
        <is>
          <t>JÄMTLANDS LÄN</t>
        </is>
      </c>
      <c r="E839" t="inlineStr">
        <is>
          <t>HÄRJEDALEN</t>
        </is>
      </c>
      <c r="F839" t="inlineStr">
        <is>
          <t>Bergvik skog väst AB</t>
        </is>
      </c>
      <c r="G839" t="n">
        <v>12.1</v>
      </c>
      <c r="H839" t="n">
        <v>0</v>
      </c>
      <c r="I839" t="n">
        <v>2</v>
      </c>
      <c r="J839" t="n">
        <v>0</v>
      </c>
      <c r="K839" t="n">
        <v>0</v>
      </c>
      <c r="L839" t="n">
        <v>0</v>
      </c>
      <c r="M839" t="n">
        <v>0</v>
      </c>
      <c r="N839" t="n">
        <v>0</v>
      </c>
      <c r="O839" t="n">
        <v>0</v>
      </c>
      <c r="P839" t="n">
        <v>0</v>
      </c>
      <c r="Q839" t="n">
        <v>2</v>
      </c>
      <c r="R839" s="2" t="inlineStr">
        <is>
          <t>Blodticka
Vedticka</t>
        </is>
      </c>
      <c r="S839">
        <f>HYPERLINK("https://klasma.github.io/Logging_2361/artfynd/A 12954-2020 artfynd.xlsx", "A 12954-2020")</f>
        <v/>
      </c>
      <c r="T839">
        <f>HYPERLINK("https://klasma.github.io/Logging_2361/kartor/A 12954-2020 karta.png", "A 12954-2020")</f>
        <v/>
      </c>
      <c r="V839">
        <f>HYPERLINK("https://klasma.github.io/Logging_2361/klagomål/A 12954-2020 FSC-klagomål.docx", "A 12954-2020")</f>
        <v/>
      </c>
      <c r="W839">
        <f>HYPERLINK("https://klasma.github.io/Logging_2361/klagomålsmail/A 12954-2020 FSC-klagomål mail.docx", "A 12954-2020")</f>
        <v/>
      </c>
      <c r="X839">
        <f>HYPERLINK("https://klasma.github.io/Logging_2361/tillsyn/A 12954-2020 tillsynsbegäran.docx", "A 12954-2020")</f>
        <v/>
      </c>
      <c r="Y839">
        <f>HYPERLINK("https://klasma.github.io/Logging_2361/tillsynsmail/A 12954-2020 tillsynsbegäran mail.docx", "A 12954-2020")</f>
        <v/>
      </c>
    </row>
    <row r="840" ht="15" customHeight="1">
      <c r="A840" t="inlineStr">
        <is>
          <t>A 20477-2020</t>
        </is>
      </c>
      <c r="B840" s="1" t="n">
        <v>43948</v>
      </c>
      <c r="C840" s="1" t="n">
        <v>45363</v>
      </c>
      <c r="D840" t="inlineStr">
        <is>
          <t>JÄMTLANDS LÄN</t>
        </is>
      </c>
      <c r="E840" t="inlineStr">
        <is>
          <t>RAGUNDA</t>
        </is>
      </c>
      <c r="G840" t="n">
        <v>33.6</v>
      </c>
      <c r="H840" t="n">
        <v>0</v>
      </c>
      <c r="I840" t="n">
        <v>1</v>
      </c>
      <c r="J840" t="n">
        <v>1</v>
      </c>
      <c r="K840" t="n">
        <v>0</v>
      </c>
      <c r="L840" t="n">
        <v>0</v>
      </c>
      <c r="M840" t="n">
        <v>0</v>
      </c>
      <c r="N840" t="n">
        <v>0</v>
      </c>
      <c r="O840" t="n">
        <v>1</v>
      </c>
      <c r="P840" t="n">
        <v>0</v>
      </c>
      <c r="Q840" t="n">
        <v>2</v>
      </c>
      <c r="R840" s="2" t="inlineStr">
        <is>
          <t>Lunglav
Luddlav</t>
        </is>
      </c>
      <c r="S840">
        <f>HYPERLINK("https://klasma.github.io/Logging_2303/artfynd/A 20477-2020 artfynd.xlsx", "A 20477-2020")</f>
        <v/>
      </c>
      <c r="T840">
        <f>HYPERLINK("https://klasma.github.io/Logging_2303/kartor/A 20477-2020 karta.png", "A 20477-2020")</f>
        <v/>
      </c>
      <c r="V840">
        <f>HYPERLINK("https://klasma.github.io/Logging_2303/klagomål/A 20477-2020 FSC-klagomål.docx", "A 20477-2020")</f>
        <v/>
      </c>
      <c r="W840">
        <f>HYPERLINK("https://klasma.github.io/Logging_2303/klagomålsmail/A 20477-2020 FSC-klagomål mail.docx", "A 20477-2020")</f>
        <v/>
      </c>
      <c r="X840">
        <f>HYPERLINK("https://klasma.github.io/Logging_2303/tillsyn/A 20477-2020 tillsynsbegäran.docx", "A 20477-2020")</f>
        <v/>
      </c>
      <c r="Y840">
        <f>HYPERLINK("https://klasma.github.io/Logging_2303/tillsynsmail/A 20477-2020 tillsynsbegäran mail.docx", "A 20477-2020")</f>
        <v/>
      </c>
    </row>
    <row r="841" ht="15" customHeight="1">
      <c r="A841" t="inlineStr">
        <is>
          <t>A 24421-2020</t>
        </is>
      </c>
      <c r="B841" s="1" t="n">
        <v>43976</v>
      </c>
      <c r="C841" s="1" t="n">
        <v>45363</v>
      </c>
      <c r="D841" t="inlineStr">
        <is>
          <t>JÄMTLANDS LÄN</t>
        </is>
      </c>
      <c r="E841" t="inlineStr">
        <is>
          <t>BERG</t>
        </is>
      </c>
      <c r="F841" t="inlineStr">
        <is>
          <t>SCA</t>
        </is>
      </c>
      <c r="G841" t="n">
        <v>15.8</v>
      </c>
      <c r="H841" t="n">
        <v>0</v>
      </c>
      <c r="I841" t="n">
        <v>0</v>
      </c>
      <c r="J841" t="n">
        <v>2</v>
      </c>
      <c r="K841" t="n">
        <v>0</v>
      </c>
      <c r="L841" t="n">
        <v>0</v>
      </c>
      <c r="M841" t="n">
        <v>0</v>
      </c>
      <c r="N841" t="n">
        <v>0</v>
      </c>
      <c r="O841" t="n">
        <v>2</v>
      </c>
      <c r="P841" t="n">
        <v>0</v>
      </c>
      <c r="Q841" t="n">
        <v>2</v>
      </c>
      <c r="R841" s="2" t="inlineStr">
        <is>
          <t>Blanksvart spiklav
Vedflamlav</t>
        </is>
      </c>
      <c r="S841">
        <f>HYPERLINK("https://klasma.github.io/Logging_2326/artfynd/A 24421-2020 artfynd.xlsx", "A 24421-2020")</f>
        <v/>
      </c>
      <c r="T841">
        <f>HYPERLINK("https://klasma.github.io/Logging_2326/kartor/A 24421-2020 karta.png", "A 24421-2020")</f>
        <v/>
      </c>
      <c r="V841">
        <f>HYPERLINK("https://klasma.github.io/Logging_2326/klagomål/A 24421-2020 FSC-klagomål.docx", "A 24421-2020")</f>
        <v/>
      </c>
      <c r="W841">
        <f>HYPERLINK("https://klasma.github.io/Logging_2326/klagomålsmail/A 24421-2020 FSC-klagomål mail.docx", "A 24421-2020")</f>
        <v/>
      </c>
      <c r="X841">
        <f>HYPERLINK("https://klasma.github.io/Logging_2326/tillsyn/A 24421-2020 tillsynsbegäran.docx", "A 24421-2020")</f>
        <v/>
      </c>
      <c r="Y841">
        <f>HYPERLINK("https://klasma.github.io/Logging_2326/tillsynsmail/A 24421-2020 tillsynsbegäran mail.docx", "A 24421-2020")</f>
        <v/>
      </c>
    </row>
    <row r="842" ht="15" customHeight="1">
      <c r="A842" t="inlineStr">
        <is>
          <t>A 32091-2020</t>
        </is>
      </c>
      <c r="B842" s="1" t="n">
        <v>44015</v>
      </c>
      <c r="C842" s="1" t="n">
        <v>45363</v>
      </c>
      <c r="D842" t="inlineStr">
        <is>
          <t>JÄMTLANDS LÄN</t>
        </is>
      </c>
      <c r="E842" t="inlineStr">
        <is>
          <t>STRÖMSUND</t>
        </is>
      </c>
      <c r="F842" t="inlineStr">
        <is>
          <t>Holmen skog AB</t>
        </is>
      </c>
      <c r="G842" t="n">
        <v>3.6</v>
      </c>
      <c r="H842" t="n">
        <v>0</v>
      </c>
      <c r="I842" t="n">
        <v>0</v>
      </c>
      <c r="J842" t="n">
        <v>2</v>
      </c>
      <c r="K842" t="n">
        <v>0</v>
      </c>
      <c r="L842" t="n">
        <v>0</v>
      </c>
      <c r="M842" t="n">
        <v>0</v>
      </c>
      <c r="N842" t="n">
        <v>0</v>
      </c>
      <c r="O842" t="n">
        <v>2</v>
      </c>
      <c r="P842" t="n">
        <v>0</v>
      </c>
      <c r="Q842" t="n">
        <v>2</v>
      </c>
      <c r="R842" s="2" t="inlineStr">
        <is>
          <t>Lunglav
Skrovellav</t>
        </is>
      </c>
      <c r="S842">
        <f>HYPERLINK("https://klasma.github.io/Logging_2313/artfynd/A 32091-2020 artfynd.xlsx", "A 32091-2020")</f>
        <v/>
      </c>
      <c r="T842">
        <f>HYPERLINK("https://klasma.github.io/Logging_2313/kartor/A 32091-2020 karta.png", "A 32091-2020")</f>
        <v/>
      </c>
      <c r="V842">
        <f>HYPERLINK("https://klasma.github.io/Logging_2313/klagomål/A 32091-2020 FSC-klagomål.docx", "A 32091-2020")</f>
        <v/>
      </c>
      <c r="W842">
        <f>HYPERLINK("https://klasma.github.io/Logging_2313/klagomålsmail/A 32091-2020 FSC-klagomål mail.docx", "A 32091-2020")</f>
        <v/>
      </c>
      <c r="X842">
        <f>HYPERLINK("https://klasma.github.io/Logging_2313/tillsyn/A 32091-2020 tillsynsbegäran.docx", "A 32091-2020")</f>
        <v/>
      </c>
      <c r="Y842">
        <f>HYPERLINK("https://klasma.github.io/Logging_2313/tillsynsmail/A 32091-2020 tillsynsbegäran mail.docx", "A 32091-2020")</f>
        <v/>
      </c>
    </row>
    <row r="843" ht="15" customHeight="1">
      <c r="A843" t="inlineStr">
        <is>
          <t>A 32661-2020</t>
        </is>
      </c>
      <c r="B843" s="1" t="n">
        <v>44018</v>
      </c>
      <c r="C843" s="1" t="n">
        <v>45363</v>
      </c>
      <c r="D843" t="inlineStr">
        <is>
          <t>JÄMTLANDS LÄN</t>
        </is>
      </c>
      <c r="E843" t="inlineStr">
        <is>
          <t>ÅRE</t>
        </is>
      </c>
      <c r="G843" t="n">
        <v>1.8</v>
      </c>
      <c r="H843" t="n">
        <v>0</v>
      </c>
      <c r="I843" t="n">
        <v>1</v>
      </c>
      <c r="J843" t="n">
        <v>1</v>
      </c>
      <c r="K843" t="n">
        <v>0</v>
      </c>
      <c r="L843" t="n">
        <v>0</v>
      </c>
      <c r="M843" t="n">
        <v>0</v>
      </c>
      <c r="N843" t="n">
        <v>0</v>
      </c>
      <c r="O843" t="n">
        <v>1</v>
      </c>
      <c r="P843" t="n">
        <v>0</v>
      </c>
      <c r="Q843" t="n">
        <v>2</v>
      </c>
      <c r="R843" s="2" t="inlineStr">
        <is>
          <t>Garnlav
Luddlav</t>
        </is>
      </c>
      <c r="S843">
        <f>HYPERLINK("https://klasma.github.io/Logging_2321/artfynd/A 32661-2020 artfynd.xlsx", "A 32661-2020")</f>
        <v/>
      </c>
      <c r="T843">
        <f>HYPERLINK("https://klasma.github.io/Logging_2321/kartor/A 32661-2020 karta.png", "A 32661-2020")</f>
        <v/>
      </c>
      <c r="V843">
        <f>HYPERLINK("https://klasma.github.io/Logging_2321/klagomål/A 32661-2020 FSC-klagomål.docx", "A 32661-2020")</f>
        <v/>
      </c>
      <c r="W843">
        <f>HYPERLINK("https://klasma.github.io/Logging_2321/klagomålsmail/A 32661-2020 FSC-klagomål mail.docx", "A 32661-2020")</f>
        <v/>
      </c>
      <c r="X843">
        <f>HYPERLINK("https://klasma.github.io/Logging_2321/tillsyn/A 32661-2020 tillsynsbegäran.docx", "A 32661-2020")</f>
        <v/>
      </c>
      <c r="Y843">
        <f>HYPERLINK("https://klasma.github.io/Logging_2321/tillsynsmail/A 32661-2020 tillsynsbegäran mail.docx", "A 32661-2020")</f>
        <v/>
      </c>
    </row>
    <row r="844" ht="15" customHeight="1">
      <c r="A844" t="inlineStr">
        <is>
          <t>A 32743-2020</t>
        </is>
      </c>
      <c r="B844" s="1" t="n">
        <v>44019</v>
      </c>
      <c r="C844" s="1" t="n">
        <v>45363</v>
      </c>
      <c r="D844" t="inlineStr">
        <is>
          <t>JÄMTLANDS LÄN</t>
        </is>
      </c>
      <c r="E844" t="inlineStr">
        <is>
          <t>BERG</t>
        </is>
      </c>
      <c r="F844" t="inlineStr">
        <is>
          <t>SCA</t>
        </is>
      </c>
      <c r="G844" t="n">
        <v>2.1</v>
      </c>
      <c r="H844" t="n">
        <v>0</v>
      </c>
      <c r="I844" t="n">
        <v>1</v>
      </c>
      <c r="J844" t="n">
        <v>1</v>
      </c>
      <c r="K844" t="n">
        <v>0</v>
      </c>
      <c r="L844" t="n">
        <v>0</v>
      </c>
      <c r="M844" t="n">
        <v>0</v>
      </c>
      <c r="N844" t="n">
        <v>0</v>
      </c>
      <c r="O844" t="n">
        <v>1</v>
      </c>
      <c r="P844" t="n">
        <v>0</v>
      </c>
      <c r="Q844" t="n">
        <v>2</v>
      </c>
      <c r="R844" s="2" t="inlineStr">
        <is>
          <t>Skrovellav
Barkkornlav</t>
        </is>
      </c>
      <c r="S844">
        <f>HYPERLINK("https://klasma.github.io/Logging_2326/artfynd/A 32743-2020 artfynd.xlsx", "A 32743-2020")</f>
        <v/>
      </c>
      <c r="T844">
        <f>HYPERLINK("https://klasma.github.io/Logging_2326/kartor/A 32743-2020 karta.png", "A 32743-2020")</f>
        <v/>
      </c>
      <c r="V844">
        <f>HYPERLINK("https://klasma.github.io/Logging_2326/klagomål/A 32743-2020 FSC-klagomål.docx", "A 32743-2020")</f>
        <v/>
      </c>
      <c r="W844">
        <f>HYPERLINK("https://klasma.github.io/Logging_2326/klagomålsmail/A 32743-2020 FSC-klagomål mail.docx", "A 32743-2020")</f>
        <v/>
      </c>
      <c r="X844">
        <f>HYPERLINK("https://klasma.github.io/Logging_2326/tillsyn/A 32743-2020 tillsynsbegäran.docx", "A 32743-2020")</f>
        <v/>
      </c>
      <c r="Y844">
        <f>HYPERLINK("https://klasma.github.io/Logging_2326/tillsynsmail/A 32743-2020 tillsynsbegäran mail.docx", "A 32743-2020")</f>
        <v/>
      </c>
    </row>
    <row r="845" ht="15" customHeight="1">
      <c r="A845" t="inlineStr">
        <is>
          <t>A 33664-2020</t>
        </is>
      </c>
      <c r="B845" s="1" t="n">
        <v>44026</v>
      </c>
      <c r="C845" s="1" t="n">
        <v>45363</v>
      </c>
      <c r="D845" t="inlineStr">
        <is>
          <t>JÄMTLANDS LÄN</t>
        </is>
      </c>
      <c r="E845" t="inlineStr">
        <is>
          <t>BRÄCKE</t>
        </is>
      </c>
      <c r="G845" t="n">
        <v>6.3</v>
      </c>
      <c r="H845" t="n">
        <v>0</v>
      </c>
      <c r="I845" t="n">
        <v>0</v>
      </c>
      <c r="J845" t="n">
        <v>2</v>
      </c>
      <c r="K845" t="n">
        <v>0</v>
      </c>
      <c r="L845" t="n">
        <v>0</v>
      </c>
      <c r="M845" t="n">
        <v>0</v>
      </c>
      <c r="N845" t="n">
        <v>0</v>
      </c>
      <c r="O845" t="n">
        <v>2</v>
      </c>
      <c r="P845" t="n">
        <v>0</v>
      </c>
      <c r="Q845" t="n">
        <v>2</v>
      </c>
      <c r="R845" s="2" t="inlineStr">
        <is>
          <t>Lunglav
Skrovellav</t>
        </is>
      </c>
      <c r="S845">
        <f>HYPERLINK("https://klasma.github.io/Logging_2305/artfynd/A 33664-2020 artfynd.xlsx", "A 33664-2020")</f>
        <v/>
      </c>
      <c r="T845">
        <f>HYPERLINK("https://klasma.github.io/Logging_2305/kartor/A 33664-2020 karta.png", "A 33664-2020")</f>
        <v/>
      </c>
      <c r="U845">
        <f>HYPERLINK("https://klasma.github.io/Logging_2305/knärot/A 33664-2020 karta knärot.png", "A 33664-2020")</f>
        <v/>
      </c>
      <c r="V845">
        <f>HYPERLINK("https://klasma.github.io/Logging_2305/klagomål/A 33664-2020 FSC-klagomål.docx", "A 33664-2020")</f>
        <v/>
      </c>
      <c r="W845">
        <f>HYPERLINK("https://klasma.github.io/Logging_2305/klagomålsmail/A 33664-2020 FSC-klagomål mail.docx", "A 33664-2020")</f>
        <v/>
      </c>
      <c r="X845">
        <f>HYPERLINK("https://klasma.github.io/Logging_2305/tillsyn/A 33664-2020 tillsynsbegäran.docx", "A 33664-2020")</f>
        <v/>
      </c>
      <c r="Y845">
        <f>HYPERLINK("https://klasma.github.io/Logging_2305/tillsynsmail/A 33664-2020 tillsynsbegäran mail.docx", "A 33664-2020")</f>
        <v/>
      </c>
    </row>
    <row r="846" ht="15" customHeight="1">
      <c r="A846" t="inlineStr">
        <is>
          <t>A 34577-2020</t>
        </is>
      </c>
      <c r="B846" s="1" t="n">
        <v>44033</v>
      </c>
      <c r="C846" s="1" t="n">
        <v>45363</v>
      </c>
      <c r="D846" t="inlineStr">
        <is>
          <t>JÄMTLANDS LÄN</t>
        </is>
      </c>
      <c r="E846" t="inlineStr">
        <is>
          <t>BERG</t>
        </is>
      </c>
      <c r="F846" t="inlineStr">
        <is>
          <t>SCA</t>
        </is>
      </c>
      <c r="G846" t="n">
        <v>7</v>
      </c>
      <c r="H846" t="n">
        <v>1</v>
      </c>
      <c r="I846" t="n">
        <v>0</v>
      </c>
      <c r="J846" t="n">
        <v>1</v>
      </c>
      <c r="K846" t="n">
        <v>1</v>
      </c>
      <c r="L846" t="n">
        <v>0</v>
      </c>
      <c r="M846" t="n">
        <v>0</v>
      </c>
      <c r="N846" t="n">
        <v>0</v>
      </c>
      <c r="O846" t="n">
        <v>2</v>
      </c>
      <c r="P846" t="n">
        <v>1</v>
      </c>
      <c r="Q846" t="n">
        <v>2</v>
      </c>
      <c r="R846" s="2" t="inlineStr">
        <is>
          <t>Doftticka
Skrovellav</t>
        </is>
      </c>
      <c r="S846">
        <f>HYPERLINK("https://klasma.github.io/Logging_2326/artfynd/A 34577-2020 artfynd.xlsx", "A 34577-2020")</f>
        <v/>
      </c>
      <c r="T846">
        <f>HYPERLINK("https://klasma.github.io/Logging_2326/kartor/A 34577-2020 karta.png", "A 34577-2020")</f>
        <v/>
      </c>
      <c r="V846">
        <f>HYPERLINK("https://klasma.github.io/Logging_2326/klagomål/A 34577-2020 FSC-klagomål.docx", "A 34577-2020")</f>
        <v/>
      </c>
      <c r="W846">
        <f>HYPERLINK("https://klasma.github.io/Logging_2326/klagomålsmail/A 34577-2020 FSC-klagomål mail.docx", "A 34577-2020")</f>
        <v/>
      </c>
      <c r="X846">
        <f>HYPERLINK("https://klasma.github.io/Logging_2326/tillsyn/A 34577-2020 tillsynsbegäran.docx", "A 34577-2020")</f>
        <v/>
      </c>
      <c r="Y846">
        <f>HYPERLINK("https://klasma.github.io/Logging_2326/tillsynsmail/A 34577-2020 tillsynsbegäran mail.docx", "A 34577-2020")</f>
        <v/>
      </c>
    </row>
    <row r="847" ht="15" customHeight="1">
      <c r="A847" t="inlineStr">
        <is>
          <t>A 35623-2020</t>
        </is>
      </c>
      <c r="B847" s="1" t="n">
        <v>44046</v>
      </c>
      <c r="C847" s="1" t="n">
        <v>45363</v>
      </c>
      <c r="D847" t="inlineStr">
        <is>
          <t>JÄMTLANDS LÄN</t>
        </is>
      </c>
      <c r="E847" t="inlineStr">
        <is>
          <t>ÅRE</t>
        </is>
      </c>
      <c r="G847" t="n">
        <v>15.8</v>
      </c>
      <c r="H847" t="n">
        <v>0</v>
      </c>
      <c r="I847" t="n">
        <v>0</v>
      </c>
      <c r="J847" t="n">
        <v>1</v>
      </c>
      <c r="K847" t="n">
        <v>1</v>
      </c>
      <c r="L847" t="n">
        <v>0</v>
      </c>
      <c r="M847" t="n">
        <v>0</v>
      </c>
      <c r="N847" t="n">
        <v>0</v>
      </c>
      <c r="O847" t="n">
        <v>2</v>
      </c>
      <c r="P847" t="n">
        <v>1</v>
      </c>
      <c r="Q847" t="n">
        <v>2</v>
      </c>
      <c r="R847" s="2" t="inlineStr">
        <is>
          <t>Norsk näverlav
Gammelgransskål</t>
        </is>
      </c>
      <c r="S847">
        <f>HYPERLINK("https://klasma.github.io/Logging_2321/artfynd/A 35623-2020 artfynd.xlsx", "A 35623-2020")</f>
        <v/>
      </c>
      <c r="T847">
        <f>HYPERLINK("https://klasma.github.io/Logging_2321/kartor/A 35623-2020 karta.png", "A 35623-2020")</f>
        <v/>
      </c>
      <c r="V847">
        <f>HYPERLINK("https://klasma.github.io/Logging_2321/klagomål/A 35623-2020 FSC-klagomål.docx", "A 35623-2020")</f>
        <v/>
      </c>
      <c r="W847">
        <f>HYPERLINK("https://klasma.github.io/Logging_2321/klagomålsmail/A 35623-2020 FSC-klagomål mail.docx", "A 35623-2020")</f>
        <v/>
      </c>
      <c r="X847">
        <f>HYPERLINK("https://klasma.github.io/Logging_2321/tillsyn/A 35623-2020 tillsynsbegäran.docx", "A 35623-2020")</f>
        <v/>
      </c>
      <c r="Y847">
        <f>HYPERLINK("https://klasma.github.io/Logging_2321/tillsynsmail/A 35623-2020 tillsynsbegäran mail.docx", "A 35623-2020")</f>
        <v/>
      </c>
    </row>
    <row r="848" ht="15" customHeight="1">
      <c r="A848" t="inlineStr">
        <is>
          <t>A 36883-2020</t>
        </is>
      </c>
      <c r="B848" s="1" t="n">
        <v>44053</v>
      </c>
      <c r="C848" s="1" t="n">
        <v>45363</v>
      </c>
      <c r="D848" t="inlineStr">
        <is>
          <t>JÄMTLANDS LÄN</t>
        </is>
      </c>
      <c r="E848" t="inlineStr">
        <is>
          <t>STRÖMSUND</t>
        </is>
      </c>
      <c r="F848" t="inlineStr">
        <is>
          <t>Holmen skog AB</t>
        </is>
      </c>
      <c r="G848" t="n">
        <v>11.1</v>
      </c>
      <c r="H848" t="n">
        <v>0</v>
      </c>
      <c r="I848" t="n">
        <v>0</v>
      </c>
      <c r="J848" t="n">
        <v>2</v>
      </c>
      <c r="K848" t="n">
        <v>0</v>
      </c>
      <c r="L848" t="n">
        <v>0</v>
      </c>
      <c r="M848" t="n">
        <v>0</v>
      </c>
      <c r="N848" t="n">
        <v>0</v>
      </c>
      <c r="O848" t="n">
        <v>2</v>
      </c>
      <c r="P848" t="n">
        <v>0</v>
      </c>
      <c r="Q848" t="n">
        <v>2</v>
      </c>
      <c r="R848" s="2" t="inlineStr">
        <is>
          <t>Lunglav
Skrovellav</t>
        </is>
      </c>
      <c r="S848">
        <f>HYPERLINK("https://klasma.github.io/Logging_2313/artfynd/A 36883-2020 artfynd.xlsx", "A 36883-2020")</f>
        <v/>
      </c>
      <c r="T848">
        <f>HYPERLINK("https://klasma.github.io/Logging_2313/kartor/A 36883-2020 karta.png", "A 36883-2020")</f>
        <v/>
      </c>
      <c r="V848">
        <f>HYPERLINK("https://klasma.github.io/Logging_2313/klagomål/A 36883-2020 FSC-klagomål.docx", "A 36883-2020")</f>
        <v/>
      </c>
      <c r="W848">
        <f>HYPERLINK("https://klasma.github.io/Logging_2313/klagomålsmail/A 36883-2020 FSC-klagomål mail.docx", "A 36883-2020")</f>
        <v/>
      </c>
      <c r="X848">
        <f>HYPERLINK("https://klasma.github.io/Logging_2313/tillsyn/A 36883-2020 tillsynsbegäran.docx", "A 36883-2020")</f>
        <v/>
      </c>
      <c r="Y848">
        <f>HYPERLINK("https://klasma.github.io/Logging_2313/tillsynsmail/A 36883-2020 tillsynsbegäran mail.docx", "A 36883-2020")</f>
        <v/>
      </c>
    </row>
    <row r="849" ht="15" customHeight="1">
      <c r="A849" t="inlineStr">
        <is>
          <t>A 38458-2020</t>
        </is>
      </c>
      <c r="B849" s="1" t="n">
        <v>44060</v>
      </c>
      <c r="C849" s="1" t="n">
        <v>45363</v>
      </c>
      <c r="D849" t="inlineStr">
        <is>
          <t>JÄMTLANDS LÄN</t>
        </is>
      </c>
      <c r="E849" t="inlineStr">
        <is>
          <t>BRÄCKE</t>
        </is>
      </c>
      <c r="G849" t="n">
        <v>5.4</v>
      </c>
      <c r="H849" t="n">
        <v>0</v>
      </c>
      <c r="I849" t="n">
        <v>1</v>
      </c>
      <c r="J849" t="n">
        <v>1</v>
      </c>
      <c r="K849" t="n">
        <v>0</v>
      </c>
      <c r="L849" t="n">
        <v>0</v>
      </c>
      <c r="M849" t="n">
        <v>0</v>
      </c>
      <c r="N849" t="n">
        <v>0</v>
      </c>
      <c r="O849" t="n">
        <v>1</v>
      </c>
      <c r="P849" t="n">
        <v>0</v>
      </c>
      <c r="Q849" t="n">
        <v>2</v>
      </c>
      <c r="R849" s="2" t="inlineStr">
        <is>
          <t>Lunglav
Luddlav</t>
        </is>
      </c>
      <c r="S849">
        <f>HYPERLINK("https://klasma.github.io/Logging_2305/artfynd/A 38458-2020 artfynd.xlsx", "A 38458-2020")</f>
        <v/>
      </c>
      <c r="T849">
        <f>HYPERLINK("https://klasma.github.io/Logging_2305/kartor/A 38458-2020 karta.png", "A 38458-2020")</f>
        <v/>
      </c>
      <c r="V849">
        <f>HYPERLINK("https://klasma.github.io/Logging_2305/klagomål/A 38458-2020 FSC-klagomål.docx", "A 38458-2020")</f>
        <v/>
      </c>
      <c r="W849">
        <f>HYPERLINK("https://klasma.github.io/Logging_2305/klagomålsmail/A 38458-2020 FSC-klagomål mail.docx", "A 38458-2020")</f>
        <v/>
      </c>
      <c r="X849">
        <f>HYPERLINK("https://klasma.github.io/Logging_2305/tillsyn/A 38458-2020 tillsynsbegäran.docx", "A 38458-2020")</f>
        <v/>
      </c>
      <c r="Y849">
        <f>HYPERLINK("https://klasma.github.io/Logging_2305/tillsynsmail/A 38458-2020 tillsynsbegäran mail.docx", "A 38458-2020")</f>
        <v/>
      </c>
    </row>
    <row r="850" ht="15" customHeight="1">
      <c r="A850" t="inlineStr">
        <is>
          <t>A 39356-2020</t>
        </is>
      </c>
      <c r="B850" s="1" t="n">
        <v>44063</v>
      </c>
      <c r="C850" s="1" t="n">
        <v>45363</v>
      </c>
      <c r="D850" t="inlineStr">
        <is>
          <t>JÄMTLANDS LÄN</t>
        </is>
      </c>
      <c r="E850" t="inlineStr">
        <is>
          <t>STRÖMSUND</t>
        </is>
      </c>
      <c r="F850" t="inlineStr">
        <is>
          <t>SCA</t>
        </is>
      </c>
      <c r="G850" t="n">
        <v>3.9</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HYPERLINK("https://klasma.github.io/Logging_2313/artfynd/A 39356-2020 artfynd.xlsx", "A 39356-2020")</f>
        <v/>
      </c>
      <c r="T850">
        <f>HYPERLINK("https://klasma.github.io/Logging_2313/kartor/A 39356-2020 karta.png", "A 39356-2020")</f>
        <v/>
      </c>
      <c r="V850">
        <f>HYPERLINK("https://klasma.github.io/Logging_2313/klagomål/A 39356-2020 FSC-klagomål.docx", "A 39356-2020")</f>
        <v/>
      </c>
      <c r="W850">
        <f>HYPERLINK("https://klasma.github.io/Logging_2313/klagomålsmail/A 39356-2020 FSC-klagomål mail.docx", "A 39356-2020")</f>
        <v/>
      </c>
      <c r="X850">
        <f>HYPERLINK("https://klasma.github.io/Logging_2313/tillsyn/A 39356-2020 tillsynsbegäran.docx", "A 39356-2020")</f>
        <v/>
      </c>
      <c r="Y850">
        <f>HYPERLINK("https://klasma.github.io/Logging_2313/tillsynsmail/A 39356-2020 tillsynsbegäran mail.docx", "A 39356-2020")</f>
        <v/>
      </c>
    </row>
    <row r="851" ht="15" customHeight="1">
      <c r="A851" t="inlineStr">
        <is>
          <t>A 52778-2020</t>
        </is>
      </c>
      <c r="B851" s="1" t="n">
        <v>44119</v>
      </c>
      <c r="C851" s="1" t="n">
        <v>45363</v>
      </c>
      <c r="D851" t="inlineStr">
        <is>
          <t>JÄMTLANDS LÄN</t>
        </is>
      </c>
      <c r="E851" t="inlineStr">
        <is>
          <t>ÅRE</t>
        </is>
      </c>
      <c r="G851" t="n">
        <v>16.5</v>
      </c>
      <c r="H851" t="n">
        <v>0</v>
      </c>
      <c r="I851" t="n">
        <v>0</v>
      </c>
      <c r="J851" t="n">
        <v>2</v>
      </c>
      <c r="K851" t="n">
        <v>0</v>
      </c>
      <c r="L851" t="n">
        <v>0</v>
      </c>
      <c r="M851" t="n">
        <v>0</v>
      </c>
      <c r="N851" t="n">
        <v>0</v>
      </c>
      <c r="O851" t="n">
        <v>2</v>
      </c>
      <c r="P851" t="n">
        <v>0</v>
      </c>
      <c r="Q851" t="n">
        <v>2</v>
      </c>
      <c r="R851" s="2" t="inlineStr">
        <is>
          <t>Garnlav
Granticka</t>
        </is>
      </c>
      <c r="S851">
        <f>HYPERLINK("https://klasma.github.io/Logging_2321/artfynd/A 52778-2020 artfynd.xlsx", "A 52778-2020")</f>
        <v/>
      </c>
      <c r="T851">
        <f>HYPERLINK("https://klasma.github.io/Logging_2321/kartor/A 52778-2020 karta.png", "A 52778-2020")</f>
        <v/>
      </c>
      <c r="V851">
        <f>HYPERLINK("https://klasma.github.io/Logging_2321/klagomål/A 52778-2020 FSC-klagomål.docx", "A 52778-2020")</f>
        <v/>
      </c>
      <c r="W851">
        <f>HYPERLINK("https://klasma.github.io/Logging_2321/klagomålsmail/A 52778-2020 FSC-klagomål mail.docx", "A 52778-2020")</f>
        <v/>
      </c>
      <c r="X851">
        <f>HYPERLINK("https://klasma.github.io/Logging_2321/tillsyn/A 52778-2020 tillsynsbegäran.docx", "A 52778-2020")</f>
        <v/>
      </c>
      <c r="Y851">
        <f>HYPERLINK("https://klasma.github.io/Logging_2321/tillsynsmail/A 52778-2020 tillsynsbegäran mail.docx", "A 52778-2020")</f>
        <v/>
      </c>
    </row>
    <row r="852" ht="15" customHeight="1">
      <c r="A852" t="inlineStr">
        <is>
          <t>A 53072-2020</t>
        </is>
      </c>
      <c r="B852" s="1" t="n">
        <v>44120</v>
      </c>
      <c r="C852" s="1" t="n">
        <v>45363</v>
      </c>
      <c r="D852" t="inlineStr">
        <is>
          <t>JÄMTLANDS LÄN</t>
        </is>
      </c>
      <c r="E852" t="inlineStr">
        <is>
          <t>STRÖMSUND</t>
        </is>
      </c>
      <c r="F852" t="inlineStr">
        <is>
          <t>Holmen skog AB</t>
        </is>
      </c>
      <c r="G852" t="n">
        <v>2.4</v>
      </c>
      <c r="H852" t="n">
        <v>0</v>
      </c>
      <c r="I852" t="n">
        <v>0</v>
      </c>
      <c r="J852" t="n">
        <v>2</v>
      </c>
      <c r="K852" t="n">
        <v>0</v>
      </c>
      <c r="L852" t="n">
        <v>0</v>
      </c>
      <c r="M852" t="n">
        <v>0</v>
      </c>
      <c r="N852" t="n">
        <v>0</v>
      </c>
      <c r="O852" t="n">
        <v>2</v>
      </c>
      <c r="P852" t="n">
        <v>0</v>
      </c>
      <c r="Q852" t="n">
        <v>2</v>
      </c>
      <c r="R852" s="2" t="inlineStr">
        <is>
          <t>Garnlav
Granticka</t>
        </is>
      </c>
      <c r="S852">
        <f>HYPERLINK("https://klasma.github.io/Logging_2313/artfynd/A 53072-2020 artfynd.xlsx", "A 53072-2020")</f>
        <v/>
      </c>
      <c r="T852">
        <f>HYPERLINK("https://klasma.github.io/Logging_2313/kartor/A 53072-2020 karta.png", "A 53072-2020")</f>
        <v/>
      </c>
      <c r="V852">
        <f>HYPERLINK("https://klasma.github.io/Logging_2313/klagomål/A 53072-2020 FSC-klagomål.docx", "A 53072-2020")</f>
        <v/>
      </c>
      <c r="W852">
        <f>HYPERLINK("https://klasma.github.io/Logging_2313/klagomålsmail/A 53072-2020 FSC-klagomål mail.docx", "A 53072-2020")</f>
        <v/>
      </c>
      <c r="X852">
        <f>HYPERLINK("https://klasma.github.io/Logging_2313/tillsyn/A 53072-2020 tillsynsbegäran.docx", "A 53072-2020")</f>
        <v/>
      </c>
      <c r="Y852">
        <f>HYPERLINK("https://klasma.github.io/Logging_2313/tillsynsmail/A 53072-2020 tillsynsbegäran mail.docx", "A 53072-2020")</f>
        <v/>
      </c>
    </row>
    <row r="853" ht="15" customHeight="1">
      <c r="A853" t="inlineStr">
        <is>
          <t>A 54387-2020</t>
        </is>
      </c>
      <c r="B853" s="1" t="n">
        <v>44123</v>
      </c>
      <c r="C853" s="1" t="n">
        <v>45363</v>
      </c>
      <c r="D853" t="inlineStr">
        <is>
          <t>JÄMTLANDS LÄN</t>
        </is>
      </c>
      <c r="E853" t="inlineStr">
        <is>
          <t>KROKOM</t>
        </is>
      </c>
      <c r="G853" t="n">
        <v>4.3</v>
      </c>
      <c r="H853" t="n">
        <v>1</v>
      </c>
      <c r="I853" t="n">
        <v>1</v>
      </c>
      <c r="J853" t="n">
        <v>0</v>
      </c>
      <c r="K853" t="n">
        <v>0</v>
      </c>
      <c r="L853" t="n">
        <v>1</v>
      </c>
      <c r="M853" t="n">
        <v>0</v>
      </c>
      <c r="N853" t="n">
        <v>0</v>
      </c>
      <c r="O853" t="n">
        <v>1</v>
      </c>
      <c r="P853" t="n">
        <v>1</v>
      </c>
      <c r="Q853" t="n">
        <v>2</v>
      </c>
      <c r="R853" s="2" t="inlineStr">
        <is>
          <t>Violett guldvinge
Luddlav</t>
        </is>
      </c>
      <c r="S853">
        <f>HYPERLINK("https://klasma.github.io/Logging_2309/artfynd/A 54387-2020 artfynd.xlsx", "A 54387-2020")</f>
        <v/>
      </c>
      <c r="T853">
        <f>HYPERLINK("https://klasma.github.io/Logging_2309/kartor/A 54387-2020 karta.png", "A 54387-2020")</f>
        <v/>
      </c>
      <c r="V853">
        <f>HYPERLINK("https://klasma.github.io/Logging_2309/klagomål/A 54387-2020 FSC-klagomål.docx", "A 54387-2020")</f>
        <v/>
      </c>
      <c r="W853">
        <f>HYPERLINK("https://klasma.github.io/Logging_2309/klagomålsmail/A 54387-2020 FSC-klagomål mail.docx", "A 54387-2020")</f>
        <v/>
      </c>
      <c r="X853">
        <f>HYPERLINK("https://klasma.github.io/Logging_2309/tillsyn/A 54387-2020 tillsynsbegäran.docx", "A 54387-2020")</f>
        <v/>
      </c>
      <c r="Y853">
        <f>HYPERLINK("https://klasma.github.io/Logging_2309/tillsynsmail/A 54387-2020 tillsynsbegäran mail.docx", "A 54387-2020")</f>
        <v/>
      </c>
    </row>
    <row r="854" ht="15" customHeight="1">
      <c r="A854" t="inlineStr">
        <is>
          <t>A 55641-2020</t>
        </is>
      </c>
      <c r="B854" s="1" t="n">
        <v>44131</v>
      </c>
      <c r="C854" s="1" t="n">
        <v>45363</v>
      </c>
      <c r="D854" t="inlineStr">
        <is>
          <t>JÄMTLANDS LÄN</t>
        </is>
      </c>
      <c r="E854" t="inlineStr">
        <is>
          <t>STRÖMSUND</t>
        </is>
      </c>
      <c r="G854" t="n">
        <v>60.4</v>
      </c>
      <c r="H854" t="n">
        <v>0</v>
      </c>
      <c r="I854" t="n">
        <v>0</v>
      </c>
      <c r="J854" t="n">
        <v>1</v>
      </c>
      <c r="K854" t="n">
        <v>1</v>
      </c>
      <c r="L854" t="n">
        <v>0</v>
      </c>
      <c r="M854" t="n">
        <v>0</v>
      </c>
      <c r="N854" t="n">
        <v>0</v>
      </c>
      <c r="O854" t="n">
        <v>2</v>
      </c>
      <c r="P854" t="n">
        <v>1</v>
      </c>
      <c r="Q854" t="n">
        <v>2</v>
      </c>
      <c r="R854" s="2" t="inlineStr">
        <is>
          <t>Norsk näverlav
Luddfingersvamp</t>
        </is>
      </c>
      <c r="S854">
        <f>HYPERLINK("https://klasma.github.io/Logging_2313/artfynd/A 55641-2020 artfynd.xlsx", "A 55641-2020")</f>
        <v/>
      </c>
      <c r="T854">
        <f>HYPERLINK("https://klasma.github.io/Logging_2313/kartor/A 55641-2020 karta.png", "A 55641-2020")</f>
        <v/>
      </c>
      <c r="V854">
        <f>HYPERLINK("https://klasma.github.io/Logging_2313/klagomål/A 55641-2020 FSC-klagomål.docx", "A 55641-2020")</f>
        <v/>
      </c>
      <c r="W854">
        <f>HYPERLINK("https://klasma.github.io/Logging_2313/klagomålsmail/A 55641-2020 FSC-klagomål mail.docx", "A 55641-2020")</f>
        <v/>
      </c>
      <c r="X854">
        <f>HYPERLINK("https://klasma.github.io/Logging_2313/tillsyn/A 55641-2020 tillsynsbegäran.docx", "A 55641-2020")</f>
        <v/>
      </c>
      <c r="Y854">
        <f>HYPERLINK("https://klasma.github.io/Logging_2313/tillsynsmail/A 55641-2020 tillsynsbegäran mail.docx", "A 55641-2020")</f>
        <v/>
      </c>
    </row>
    <row r="855" ht="15" customHeight="1">
      <c r="A855" t="inlineStr">
        <is>
          <t>A 58228-2020</t>
        </is>
      </c>
      <c r="B855" s="1" t="n">
        <v>44144</v>
      </c>
      <c r="C855" s="1" t="n">
        <v>45363</v>
      </c>
      <c r="D855" t="inlineStr">
        <is>
          <t>JÄMTLANDS LÄN</t>
        </is>
      </c>
      <c r="E855" t="inlineStr">
        <is>
          <t>STRÖMSUND</t>
        </is>
      </c>
      <c r="F855" t="inlineStr">
        <is>
          <t>Holmen skog AB</t>
        </is>
      </c>
      <c r="G855" t="n">
        <v>9.199999999999999</v>
      </c>
      <c r="H855" t="n">
        <v>0</v>
      </c>
      <c r="I855" t="n">
        <v>0</v>
      </c>
      <c r="J855" t="n">
        <v>0</v>
      </c>
      <c r="K855" t="n">
        <v>2</v>
      </c>
      <c r="L855" t="n">
        <v>0</v>
      </c>
      <c r="M855" t="n">
        <v>0</v>
      </c>
      <c r="N855" t="n">
        <v>0</v>
      </c>
      <c r="O855" t="n">
        <v>2</v>
      </c>
      <c r="P855" t="n">
        <v>2</v>
      </c>
      <c r="Q855" t="n">
        <v>2</v>
      </c>
      <c r="R855" s="2" t="inlineStr">
        <is>
          <t>Norsk näverlav
Smalskaftslav</t>
        </is>
      </c>
      <c r="S855">
        <f>HYPERLINK("https://klasma.github.io/Logging_2313/artfynd/A 58228-2020 artfynd.xlsx", "A 58228-2020")</f>
        <v/>
      </c>
      <c r="T855">
        <f>HYPERLINK("https://klasma.github.io/Logging_2313/kartor/A 58228-2020 karta.png", "A 58228-2020")</f>
        <v/>
      </c>
      <c r="V855">
        <f>HYPERLINK("https://klasma.github.io/Logging_2313/klagomål/A 58228-2020 FSC-klagomål.docx", "A 58228-2020")</f>
        <v/>
      </c>
      <c r="W855">
        <f>HYPERLINK("https://klasma.github.io/Logging_2313/klagomålsmail/A 58228-2020 FSC-klagomål mail.docx", "A 58228-2020")</f>
        <v/>
      </c>
      <c r="X855">
        <f>HYPERLINK("https://klasma.github.io/Logging_2313/tillsyn/A 58228-2020 tillsynsbegäran.docx", "A 58228-2020")</f>
        <v/>
      </c>
      <c r="Y855">
        <f>HYPERLINK("https://klasma.github.io/Logging_2313/tillsynsmail/A 58228-2020 tillsynsbegäran mail.docx", "A 58228-2020")</f>
        <v/>
      </c>
    </row>
    <row r="856" ht="15" customHeight="1">
      <c r="A856" t="inlineStr">
        <is>
          <t>A 59786-2020</t>
        </is>
      </c>
      <c r="B856" s="1" t="n">
        <v>44148</v>
      </c>
      <c r="C856" s="1" t="n">
        <v>45363</v>
      </c>
      <c r="D856" t="inlineStr">
        <is>
          <t>JÄMTLANDS LÄN</t>
        </is>
      </c>
      <c r="E856" t="inlineStr">
        <is>
          <t>BERG</t>
        </is>
      </c>
      <c r="F856" t="inlineStr">
        <is>
          <t>Kommuner</t>
        </is>
      </c>
      <c r="G856" t="n">
        <v>9.1</v>
      </c>
      <c r="H856" t="n">
        <v>0</v>
      </c>
      <c r="I856" t="n">
        <v>0</v>
      </c>
      <c r="J856" t="n">
        <v>2</v>
      </c>
      <c r="K856" t="n">
        <v>0</v>
      </c>
      <c r="L856" t="n">
        <v>0</v>
      </c>
      <c r="M856" t="n">
        <v>0</v>
      </c>
      <c r="N856" t="n">
        <v>0</v>
      </c>
      <c r="O856" t="n">
        <v>2</v>
      </c>
      <c r="P856" t="n">
        <v>0</v>
      </c>
      <c r="Q856" t="n">
        <v>2</v>
      </c>
      <c r="R856" s="2" t="inlineStr">
        <is>
          <t>Gränsticka
Rosenticka</t>
        </is>
      </c>
      <c r="S856">
        <f>HYPERLINK("https://klasma.github.io/Logging_2326/artfynd/A 59786-2020 artfynd.xlsx", "A 59786-2020")</f>
        <v/>
      </c>
      <c r="T856">
        <f>HYPERLINK("https://klasma.github.io/Logging_2326/kartor/A 59786-2020 karta.png", "A 59786-2020")</f>
        <v/>
      </c>
      <c r="V856">
        <f>HYPERLINK("https://klasma.github.io/Logging_2326/klagomål/A 59786-2020 FSC-klagomål.docx", "A 59786-2020")</f>
        <v/>
      </c>
      <c r="W856">
        <f>HYPERLINK("https://klasma.github.io/Logging_2326/klagomålsmail/A 59786-2020 FSC-klagomål mail.docx", "A 59786-2020")</f>
        <v/>
      </c>
      <c r="X856">
        <f>HYPERLINK("https://klasma.github.io/Logging_2326/tillsyn/A 59786-2020 tillsynsbegäran.docx", "A 59786-2020")</f>
        <v/>
      </c>
      <c r="Y856">
        <f>HYPERLINK("https://klasma.github.io/Logging_2326/tillsynsmail/A 59786-2020 tillsynsbegäran mail.docx", "A 59786-2020")</f>
        <v/>
      </c>
    </row>
    <row r="857" ht="15" customHeight="1">
      <c r="A857" t="inlineStr">
        <is>
          <t>A 60116-2020</t>
        </is>
      </c>
      <c r="B857" s="1" t="n">
        <v>44151</v>
      </c>
      <c r="C857" s="1" t="n">
        <v>45363</v>
      </c>
      <c r="D857" t="inlineStr">
        <is>
          <t>JÄMTLANDS LÄN</t>
        </is>
      </c>
      <c r="E857" t="inlineStr">
        <is>
          <t>STRÖMSUND</t>
        </is>
      </c>
      <c r="G857" t="n">
        <v>13.7</v>
      </c>
      <c r="H857" t="n">
        <v>0</v>
      </c>
      <c r="I857" t="n">
        <v>1</v>
      </c>
      <c r="J857" t="n">
        <v>1</v>
      </c>
      <c r="K857" t="n">
        <v>0</v>
      </c>
      <c r="L857" t="n">
        <v>0</v>
      </c>
      <c r="M857" t="n">
        <v>0</v>
      </c>
      <c r="N857" t="n">
        <v>0</v>
      </c>
      <c r="O857" t="n">
        <v>1</v>
      </c>
      <c r="P857" t="n">
        <v>0</v>
      </c>
      <c r="Q857" t="n">
        <v>2</v>
      </c>
      <c r="R857" s="2" t="inlineStr">
        <is>
          <t>Skrovellav
Stuplav</t>
        </is>
      </c>
      <c r="S857">
        <f>HYPERLINK("https://klasma.github.io/Logging_2313/artfynd/A 60116-2020 artfynd.xlsx", "A 60116-2020")</f>
        <v/>
      </c>
      <c r="T857">
        <f>HYPERLINK("https://klasma.github.io/Logging_2313/kartor/A 60116-2020 karta.png", "A 60116-2020")</f>
        <v/>
      </c>
      <c r="V857">
        <f>HYPERLINK("https://klasma.github.io/Logging_2313/klagomål/A 60116-2020 FSC-klagomål.docx", "A 60116-2020")</f>
        <v/>
      </c>
      <c r="W857">
        <f>HYPERLINK("https://klasma.github.io/Logging_2313/klagomålsmail/A 60116-2020 FSC-klagomål mail.docx", "A 60116-2020")</f>
        <v/>
      </c>
      <c r="X857">
        <f>HYPERLINK("https://klasma.github.io/Logging_2313/tillsyn/A 60116-2020 tillsynsbegäran.docx", "A 60116-2020")</f>
        <v/>
      </c>
      <c r="Y857">
        <f>HYPERLINK("https://klasma.github.io/Logging_2313/tillsynsmail/A 60116-2020 tillsynsbegäran mail.docx", "A 60116-2020")</f>
        <v/>
      </c>
    </row>
    <row r="858" ht="15" customHeight="1">
      <c r="A858" t="inlineStr">
        <is>
          <t>A 62641-2020</t>
        </is>
      </c>
      <c r="B858" s="1" t="n">
        <v>44161</v>
      </c>
      <c r="C858" s="1" t="n">
        <v>45363</v>
      </c>
      <c r="D858" t="inlineStr">
        <is>
          <t>JÄMTLANDS LÄN</t>
        </is>
      </c>
      <c r="E858" t="inlineStr">
        <is>
          <t>KROKOM</t>
        </is>
      </c>
      <c r="G858" t="n">
        <v>5.3</v>
      </c>
      <c r="H858" t="n">
        <v>1</v>
      </c>
      <c r="I858" t="n">
        <v>1</v>
      </c>
      <c r="J858" t="n">
        <v>0</v>
      </c>
      <c r="K858" t="n">
        <v>0</v>
      </c>
      <c r="L858" t="n">
        <v>0</v>
      </c>
      <c r="M858" t="n">
        <v>0</v>
      </c>
      <c r="N858" t="n">
        <v>0</v>
      </c>
      <c r="O858" t="n">
        <v>0</v>
      </c>
      <c r="P858" t="n">
        <v>0</v>
      </c>
      <c r="Q858" t="n">
        <v>2</v>
      </c>
      <c r="R858" s="2" t="inlineStr">
        <is>
          <t>Svavelriska
Blåsippa</t>
        </is>
      </c>
      <c r="S858">
        <f>HYPERLINK("https://klasma.github.io/Logging_2309/artfynd/A 62641-2020 artfynd.xlsx", "A 62641-2020")</f>
        <v/>
      </c>
      <c r="T858">
        <f>HYPERLINK("https://klasma.github.io/Logging_2309/kartor/A 62641-2020 karta.png", "A 62641-2020")</f>
        <v/>
      </c>
      <c r="V858">
        <f>HYPERLINK("https://klasma.github.io/Logging_2309/klagomål/A 62641-2020 FSC-klagomål.docx", "A 62641-2020")</f>
        <v/>
      </c>
      <c r="W858">
        <f>HYPERLINK("https://klasma.github.io/Logging_2309/klagomålsmail/A 62641-2020 FSC-klagomål mail.docx", "A 62641-2020")</f>
        <v/>
      </c>
      <c r="X858">
        <f>HYPERLINK("https://klasma.github.io/Logging_2309/tillsyn/A 62641-2020 tillsynsbegäran.docx", "A 62641-2020")</f>
        <v/>
      </c>
      <c r="Y858">
        <f>HYPERLINK("https://klasma.github.io/Logging_2309/tillsynsmail/A 62641-2020 tillsynsbegäran mail.docx", "A 62641-2020")</f>
        <v/>
      </c>
    </row>
    <row r="859" ht="15" customHeight="1">
      <c r="A859" t="inlineStr">
        <is>
          <t>A 66707-2020</t>
        </is>
      </c>
      <c r="B859" s="1" t="n">
        <v>44179</v>
      </c>
      <c r="C859" s="1" t="n">
        <v>45363</v>
      </c>
      <c r="D859" t="inlineStr">
        <is>
          <t>JÄMTLANDS LÄN</t>
        </is>
      </c>
      <c r="E859" t="inlineStr">
        <is>
          <t>STRÖMSUND</t>
        </is>
      </c>
      <c r="G859" t="n">
        <v>29.6</v>
      </c>
      <c r="H859" t="n">
        <v>1</v>
      </c>
      <c r="I859" t="n">
        <v>1</v>
      </c>
      <c r="J859" t="n">
        <v>0</v>
      </c>
      <c r="K859" t="n">
        <v>0</v>
      </c>
      <c r="L859" t="n">
        <v>0</v>
      </c>
      <c r="M859" t="n">
        <v>0</v>
      </c>
      <c r="N859" t="n">
        <v>0</v>
      </c>
      <c r="O859" t="n">
        <v>0</v>
      </c>
      <c r="P859" t="n">
        <v>0</v>
      </c>
      <c r="Q859" t="n">
        <v>2</v>
      </c>
      <c r="R859" s="2" t="inlineStr">
        <is>
          <t>Kransrams
Blåsippa</t>
        </is>
      </c>
      <c r="S859">
        <f>HYPERLINK("https://klasma.github.io/Logging_2313/artfynd/A 66707-2020 artfynd.xlsx", "A 66707-2020")</f>
        <v/>
      </c>
      <c r="T859">
        <f>HYPERLINK("https://klasma.github.io/Logging_2313/kartor/A 66707-2020 karta.png", "A 66707-2020")</f>
        <v/>
      </c>
      <c r="V859">
        <f>HYPERLINK("https://klasma.github.io/Logging_2313/klagomål/A 66707-2020 FSC-klagomål.docx", "A 66707-2020")</f>
        <v/>
      </c>
      <c r="W859">
        <f>HYPERLINK("https://klasma.github.io/Logging_2313/klagomålsmail/A 66707-2020 FSC-klagomål mail.docx", "A 66707-2020")</f>
        <v/>
      </c>
      <c r="X859">
        <f>HYPERLINK("https://klasma.github.io/Logging_2313/tillsyn/A 66707-2020 tillsynsbegäran.docx", "A 66707-2020")</f>
        <v/>
      </c>
      <c r="Y859">
        <f>HYPERLINK("https://klasma.github.io/Logging_2313/tillsynsmail/A 66707-2020 tillsynsbegäran mail.docx", "A 66707-2020")</f>
        <v/>
      </c>
    </row>
    <row r="860" ht="15" customHeight="1">
      <c r="A860" t="inlineStr">
        <is>
          <t>A 68530-2020</t>
        </is>
      </c>
      <c r="B860" s="1" t="n">
        <v>44186</v>
      </c>
      <c r="C860" s="1" t="n">
        <v>45363</v>
      </c>
      <c r="D860" t="inlineStr">
        <is>
          <t>JÄMTLANDS LÄN</t>
        </is>
      </c>
      <c r="E860" t="inlineStr">
        <is>
          <t>STRÖMSUND</t>
        </is>
      </c>
      <c r="F860" t="inlineStr">
        <is>
          <t>Holmen skog AB</t>
        </is>
      </c>
      <c r="G860" t="n">
        <v>82.3</v>
      </c>
      <c r="H860" t="n">
        <v>0</v>
      </c>
      <c r="I860" t="n">
        <v>0</v>
      </c>
      <c r="J860" t="n">
        <v>1</v>
      </c>
      <c r="K860" t="n">
        <v>1</v>
      </c>
      <c r="L860" t="n">
        <v>0</v>
      </c>
      <c r="M860" t="n">
        <v>0</v>
      </c>
      <c r="N860" t="n">
        <v>0</v>
      </c>
      <c r="O860" t="n">
        <v>2</v>
      </c>
      <c r="P860" t="n">
        <v>1</v>
      </c>
      <c r="Q860" t="n">
        <v>2</v>
      </c>
      <c r="R860" s="2" t="inlineStr">
        <is>
          <t>Norsk näverlav
Gränsticka</t>
        </is>
      </c>
      <c r="S860">
        <f>HYPERLINK("https://klasma.github.io/Logging_2313/artfynd/A 68530-2020 artfynd.xlsx", "A 68530-2020")</f>
        <v/>
      </c>
      <c r="T860">
        <f>HYPERLINK("https://klasma.github.io/Logging_2313/kartor/A 68530-2020 karta.png", "A 68530-2020")</f>
        <v/>
      </c>
      <c r="V860">
        <f>HYPERLINK("https://klasma.github.io/Logging_2313/klagomål/A 68530-2020 FSC-klagomål.docx", "A 68530-2020")</f>
        <v/>
      </c>
      <c r="W860">
        <f>HYPERLINK("https://klasma.github.io/Logging_2313/klagomålsmail/A 68530-2020 FSC-klagomål mail.docx", "A 68530-2020")</f>
        <v/>
      </c>
      <c r="X860">
        <f>HYPERLINK("https://klasma.github.io/Logging_2313/tillsyn/A 68530-2020 tillsynsbegäran.docx", "A 68530-2020")</f>
        <v/>
      </c>
      <c r="Y860">
        <f>HYPERLINK("https://klasma.github.io/Logging_2313/tillsynsmail/A 68530-2020 tillsynsbegäran mail.docx", "A 68530-2020")</f>
        <v/>
      </c>
    </row>
    <row r="861" ht="15" customHeight="1">
      <c r="A861" t="inlineStr">
        <is>
          <t>A 68856-2020</t>
        </is>
      </c>
      <c r="B861" s="1" t="n">
        <v>44186</v>
      </c>
      <c r="C861" s="1" t="n">
        <v>45363</v>
      </c>
      <c r="D861" t="inlineStr">
        <is>
          <t>JÄMTLANDS LÄN</t>
        </is>
      </c>
      <c r="E861" t="inlineStr">
        <is>
          <t>HÄRJEDALEN</t>
        </is>
      </c>
      <c r="F861" t="inlineStr">
        <is>
          <t>Holmen skog AB</t>
        </is>
      </c>
      <c r="G861" t="n">
        <v>4.3</v>
      </c>
      <c r="H861" t="n">
        <v>1</v>
      </c>
      <c r="I861" t="n">
        <v>1</v>
      </c>
      <c r="J861" t="n">
        <v>0</v>
      </c>
      <c r="K861" t="n">
        <v>0</v>
      </c>
      <c r="L861" t="n">
        <v>0</v>
      </c>
      <c r="M861" t="n">
        <v>0</v>
      </c>
      <c r="N861" t="n">
        <v>0</v>
      </c>
      <c r="O861" t="n">
        <v>0</v>
      </c>
      <c r="P861" t="n">
        <v>0</v>
      </c>
      <c r="Q861" t="n">
        <v>2</v>
      </c>
      <c r="R861" s="2" t="inlineStr">
        <is>
          <t>Dvärgtufs
Nattviol</t>
        </is>
      </c>
      <c r="S861">
        <f>HYPERLINK("https://klasma.github.io/Logging_2361/artfynd/A 68856-2020 artfynd.xlsx", "A 68856-2020")</f>
        <v/>
      </c>
      <c r="T861">
        <f>HYPERLINK("https://klasma.github.io/Logging_2361/kartor/A 68856-2020 karta.png", "A 68856-2020")</f>
        <v/>
      </c>
      <c r="V861">
        <f>HYPERLINK("https://klasma.github.io/Logging_2361/klagomål/A 68856-2020 FSC-klagomål.docx", "A 68856-2020")</f>
        <v/>
      </c>
      <c r="W861">
        <f>HYPERLINK("https://klasma.github.io/Logging_2361/klagomålsmail/A 68856-2020 FSC-klagomål mail.docx", "A 68856-2020")</f>
        <v/>
      </c>
      <c r="X861">
        <f>HYPERLINK("https://klasma.github.io/Logging_2361/tillsyn/A 68856-2020 tillsynsbegäran.docx", "A 68856-2020")</f>
        <v/>
      </c>
      <c r="Y861">
        <f>HYPERLINK("https://klasma.github.io/Logging_2361/tillsynsmail/A 68856-2020 tillsynsbegäran mail.docx", "A 68856-2020")</f>
        <v/>
      </c>
    </row>
    <row r="862" ht="15" customHeight="1">
      <c r="A862" t="inlineStr">
        <is>
          <t>A 1698-2021</t>
        </is>
      </c>
      <c r="B862" s="1" t="n">
        <v>44209</v>
      </c>
      <c r="C862" s="1" t="n">
        <v>45363</v>
      </c>
      <c r="D862" t="inlineStr">
        <is>
          <t>JÄMTLANDS LÄN</t>
        </is>
      </c>
      <c r="E862" t="inlineStr">
        <is>
          <t>KROKOM</t>
        </is>
      </c>
      <c r="G862" t="n">
        <v>21</v>
      </c>
      <c r="H862" t="n">
        <v>2</v>
      </c>
      <c r="I862" t="n">
        <v>0</v>
      </c>
      <c r="J862" t="n">
        <v>2</v>
      </c>
      <c r="K862" t="n">
        <v>0</v>
      </c>
      <c r="L862" t="n">
        <v>0</v>
      </c>
      <c r="M862" t="n">
        <v>0</v>
      </c>
      <c r="N862" t="n">
        <v>0</v>
      </c>
      <c r="O862" t="n">
        <v>2</v>
      </c>
      <c r="P862" t="n">
        <v>0</v>
      </c>
      <c r="Q862" t="n">
        <v>2</v>
      </c>
      <c r="R862" s="2" t="inlineStr">
        <is>
          <t>Spillkråka
Tretåig hackspett</t>
        </is>
      </c>
      <c r="S862">
        <f>HYPERLINK("https://klasma.github.io/Logging_2309/artfynd/A 1698-2021 artfynd.xlsx", "A 1698-2021")</f>
        <v/>
      </c>
      <c r="T862">
        <f>HYPERLINK("https://klasma.github.io/Logging_2309/kartor/A 1698-2021 karta.png", "A 1698-2021")</f>
        <v/>
      </c>
      <c r="V862">
        <f>HYPERLINK("https://klasma.github.io/Logging_2309/klagomål/A 1698-2021 FSC-klagomål.docx", "A 1698-2021")</f>
        <v/>
      </c>
      <c r="W862">
        <f>HYPERLINK("https://klasma.github.io/Logging_2309/klagomålsmail/A 1698-2021 FSC-klagomål mail.docx", "A 1698-2021")</f>
        <v/>
      </c>
      <c r="X862">
        <f>HYPERLINK("https://klasma.github.io/Logging_2309/tillsyn/A 1698-2021 tillsynsbegäran.docx", "A 1698-2021")</f>
        <v/>
      </c>
      <c r="Y862">
        <f>HYPERLINK("https://klasma.github.io/Logging_2309/tillsynsmail/A 1698-2021 tillsynsbegäran mail.docx", "A 1698-2021")</f>
        <v/>
      </c>
      <c r="Z862">
        <f>HYPERLINK("https://klasma.github.io/Logging_2309/fåglar/A 1698-2021 prioriterade fågelarter.docx", "A 1698-2021")</f>
        <v/>
      </c>
    </row>
    <row r="863" ht="15" customHeight="1">
      <c r="A863" t="inlineStr">
        <is>
          <t>A 3699-2021</t>
        </is>
      </c>
      <c r="B863" s="1" t="n">
        <v>44221</v>
      </c>
      <c r="C863" s="1" t="n">
        <v>45363</v>
      </c>
      <c r="D863" t="inlineStr">
        <is>
          <t>JÄMTLANDS LÄN</t>
        </is>
      </c>
      <c r="E863" t="inlineStr">
        <is>
          <t>HÄRJEDALEN</t>
        </is>
      </c>
      <c r="G863" t="n">
        <v>10.1</v>
      </c>
      <c r="H863" t="n">
        <v>0</v>
      </c>
      <c r="I863" t="n">
        <v>0</v>
      </c>
      <c r="J863" t="n">
        <v>0</v>
      </c>
      <c r="K863" t="n">
        <v>2</v>
      </c>
      <c r="L863" t="n">
        <v>0</v>
      </c>
      <c r="M863" t="n">
        <v>0</v>
      </c>
      <c r="N863" t="n">
        <v>0</v>
      </c>
      <c r="O863" t="n">
        <v>2</v>
      </c>
      <c r="P863" t="n">
        <v>2</v>
      </c>
      <c r="Q863" t="n">
        <v>2</v>
      </c>
      <c r="R863" s="2" t="inlineStr">
        <is>
          <t>Fläckporing
Gräddporing</t>
        </is>
      </c>
      <c r="S863">
        <f>HYPERLINK("https://klasma.github.io/Logging_2361/artfynd/A 3699-2021 artfynd.xlsx", "A 3699-2021")</f>
        <v/>
      </c>
      <c r="T863">
        <f>HYPERLINK("https://klasma.github.io/Logging_2361/kartor/A 3699-2021 karta.png", "A 3699-2021")</f>
        <v/>
      </c>
      <c r="V863">
        <f>HYPERLINK("https://klasma.github.io/Logging_2361/klagomål/A 3699-2021 FSC-klagomål.docx", "A 3699-2021")</f>
        <v/>
      </c>
      <c r="W863">
        <f>HYPERLINK("https://klasma.github.io/Logging_2361/klagomålsmail/A 3699-2021 FSC-klagomål mail.docx", "A 3699-2021")</f>
        <v/>
      </c>
      <c r="X863">
        <f>HYPERLINK("https://klasma.github.io/Logging_2361/tillsyn/A 3699-2021 tillsynsbegäran.docx", "A 3699-2021")</f>
        <v/>
      </c>
      <c r="Y863">
        <f>HYPERLINK("https://klasma.github.io/Logging_2361/tillsynsmail/A 3699-2021 tillsynsbegäran mail.docx", "A 3699-2021")</f>
        <v/>
      </c>
    </row>
    <row r="864" ht="15" customHeight="1">
      <c r="A864" t="inlineStr">
        <is>
          <t>A 5388-2021</t>
        </is>
      </c>
      <c r="B864" s="1" t="n">
        <v>44229</v>
      </c>
      <c r="C864" s="1" t="n">
        <v>45363</v>
      </c>
      <c r="D864" t="inlineStr">
        <is>
          <t>JÄMTLANDS LÄN</t>
        </is>
      </c>
      <c r="E864" t="inlineStr">
        <is>
          <t>ÅRE</t>
        </is>
      </c>
      <c r="G864" t="n">
        <v>6.9</v>
      </c>
      <c r="H864" t="n">
        <v>1</v>
      </c>
      <c r="I864" t="n">
        <v>0</v>
      </c>
      <c r="J864" t="n">
        <v>2</v>
      </c>
      <c r="K864" t="n">
        <v>0</v>
      </c>
      <c r="L864" t="n">
        <v>0</v>
      </c>
      <c r="M864" t="n">
        <v>0</v>
      </c>
      <c r="N864" t="n">
        <v>0</v>
      </c>
      <c r="O864" t="n">
        <v>2</v>
      </c>
      <c r="P864" t="n">
        <v>0</v>
      </c>
      <c r="Q864" t="n">
        <v>2</v>
      </c>
      <c r="R864" s="2" t="inlineStr">
        <is>
          <t>Tretåig hackspett
Ullticka</t>
        </is>
      </c>
      <c r="S864">
        <f>HYPERLINK("https://klasma.github.io/Logging_2321/artfynd/A 5388-2021 artfynd.xlsx", "A 5388-2021")</f>
        <v/>
      </c>
      <c r="T864">
        <f>HYPERLINK("https://klasma.github.io/Logging_2321/kartor/A 5388-2021 karta.png", "A 5388-2021")</f>
        <v/>
      </c>
      <c r="V864">
        <f>HYPERLINK("https://klasma.github.io/Logging_2321/klagomål/A 5388-2021 FSC-klagomål.docx", "A 5388-2021")</f>
        <v/>
      </c>
      <c r="W864">
        <f>HYPERLINK("https://klasma.github.io/Logging_2321/klagomålsmail/A 5388-2021 FSC-klagomål mail.docx", "A 5388-2021")</f>
        <v/>
      </c>
      <c r="X864">
        <f>HYPERLINK("https://klasma.github.io/Logging_2321/tillsyn/A 5388-2021 tillsynsbegäran.docx", "A 5388-2021")</f>
        <v/>
      </c>
      <c r="Y864">
        <f>HYPERLINK("https://klasma.github.io/Logging_2321/tillsynsmail/A 5388-2021 tillsynsbegäran mail.docx", "A 5388-2021")</f>
        <v/>
      </c>
      <c r="Z864">
        <f>HYPERLINK("https://klasma.github.io/Logging_2321/fåglar/A 5388-2021 prioriterade fågelarter.docx", "A 5388-2021")</f>
        <v/>
      </c>
    </row>
    <row r="865" ht="15" customHeight="1">
      <c r="A865" t="inlineStr">
        <is>
          <t>A 14588-2021</t>
        </is>
      </c>
      <c r="B865" s="1" t="n">
        <v>44279</v>
      </c>
      <c r="C865" s="1" t="n">
        <v>45363</v>
      </c>
      <c r="D865" t="inlineStr">
        <is>
          <t>JÄMTLANDS LÄN</t>
        </is>
      </c>
      <c r="E865" t="inlineStr">
        <is>
          <t>BERG</t>
        </is>
      </c>
      <c r="G865" t="n">
        <v>6.3</v>
      </c>
      <c r="H865" t="n">
        <v>0</v>
      </c>
      <c r="I865" t="n">
        <v>0</v>
      </c>
      <c r="J865" t="n">
        <v>2</v>
      </c>
      <c r="K865" t="n">
        <v>0</v>
      </c>
      <c r="L865" t="n">
        <v>0</v>
      </c>
      <c r="M865" t="n">
        <v>0</v>
      </c>
      <c r="N865" t="n">
        <v>0</v>
      </c>
      <c r="O865" t="n">
        <v>2</v>
      </c>
      <c r="P865" t="n">
        <v>0</v>
      </c>
      <c r="Q865" t="n">
        <v>2</v>
      </c>
      <c r="R865" s="2" t="inlineStr">
        <is>
          <t>Garnlav
Harticka</t>
        </is>
      </c>
      <c r="S865">
        <f>HYPERLINK("https://klasma.github.io/Logging_2326/artfynd/A 14588-2021 artfynd.xlsx", "A 14588-2021")</f>
        <v/>
      </c>
      <c r="T865">
        <f>HYPERLINK("https://klasma.github.io/Logging_2326/kartor/A 14588-2021 karta.png", "A 14588-2021")</f>
        <v/>
      </c>
      <c r="V865">
        <f>HYPERLINK("https://klasma.github.io/Logging_2326/klagomål/A 14588-2021 FSC-klagomål.docx", "A 14588-2021")</f>
        <v/>
      </c>
      <c r="W865">
        <f>HYPERLINK("https://klasma.github.io/Logging_2326/klagomålsmail/A 14588-2021 FSC-klagomål mail.docx", "A 14588-2021")</f>
        <v/>
      </c>
      <c r="X865">
        <f>HYPERLINK("https://klasma.github.io/Logging_2326/tillsyn/A 14588-2021 tillsynsbegäran.docx", "A 14588-2021")</f>
        <v/>
      </c>
      <c r="Y865">
        <f>HYPERLINK("https://klasma.github.io/Logging_2326/tillsynsmail/A 14588-2021 tillsynsbegäran mail.docx", "A 14588-2021")</f>
        <v/>
      </c>
    </row>
    <row r="866" ht="15" customHeight="1">
      <c r="A866" t="inlineStr">
        <is>
          <t>A 14589-2021</t>
        </is>
      </c>
      <c r="B866" s="1" t="n">
        <v>44279</v>
      </c>
      <c r="C866" s="1" t="n">
        <v>45363</v>
      </c>
      <c r="D866" t="inlineStr">
        <is>
          <t>JÄMTLANDS LÄN</t>
        </is>
      </c>
      <c r="E866" t="inlineStr">
        <is>
          <t>KROKOM</t>
        </is>
      </c>
      <c r="G866" t="n">
        <v>8.800000000000001</v>
      </c>
      <c r="H866" t="n">
        <v>2</v>
      </c>
      <c r="I866" t="n">
        <v>0</v>
      </c>
      <c r="J866" t="n">
        <v>1</v>
      </c>
      <c r="K866" t="n">
        <v>0</v>
      </c>
      <c r="L866" t="n">
        <v>0</v>
      </c>
      <c r="M866" t="n">
        <v>0</v>
      </c>
      <c r="N866" t="n">
        <v>0</v>
      </c>
      <c r="O866" t="n">
        <v>1</v>
      </c>
      <c r="P866" t="n">
        <v>0</v>
      </c>
      <c r="Q866" t="n">
        <v>2</v>
      </c>
      <c r="R866" s="2" t="inlineStr">
        <is>
          <t>Utter
Fläcknycklar</t>
        </is>
      </c>
      <c r="S866">
        <f>HYPERLINK("https://klasma.github.io/Logging_2309/artfynd/A 14589-2021 artfynd.xlsx", "A 14589-2021")</f>
        <v/>
      </c>
      <c r="T866">
        <f>HYPERLINK("https://klasma.github.io/Logging_2309/kartor/A 14589-2021 karta.png", "A 14589-2021")</f>
        <v/>
      </c>
      <c r="V866">
        <f>HYPERLINK("https://klasma.github.io/Logging_2309/klagomål/A 14589-2021 FSC-klagomål.docx", "A 14589-2021")</f>
        <v/>
      </c>
      <c r="W866">
        <f>HYPERLINK("https://klasma.github.io/Logging_2309/klagomålsmail/A 14589-2021 FSC-klagomål mail.docx", "A 14589-2021")</f>
        <v/>
      </c>
      <c r="X866">
        <f>HYPERLINK("https://klasma.github.io/Logging_2309/tillsyn/A 14589-2021 tillsynsbegäran.docx", "A 14589-2021")</f>
        <v/>
      </c>
      <c r="Y866">
        <f>HYPERLINK("https://klasma.github.io/Logging_2309/tillsynsmail/A 14589-2021 tillsynsbegäran mail.docx", "A 14589-2021")</f>
        <v/>
      </c>
    </row>
    <row r="867" ht="15" customHeight="1">
      <c r="A867" t="inlineStr">
        <is>
          <t>A 15679-2021</t>
        </is>
      </c>
      <c r="B867" s="1" t="n">
        <v>44286</v>
      </c>
      <c r="C867" s="1" t="n">
        <v>45363</v>
      </c>
      <c r="D867" t="inlineStr">
        <is>
          <t>JÄMTLANDS LÄN</t>
        </is>
      </c>
      <c r="E867" t="inlineStr">
        <is>
          <t>HÄRJEDALEN</t>
        </is>
      </c>
      <c r="G867" t="n">
        <v>20.9</v>
      </c>
      <c r="H867" t="n">
        <v>0</v>
      </c>
      <c r="I867" t="n">
        <v>0</v>
      </c>
      <c r="J867" t="n">
        <v>2</v>
      </c>
      <c r="K867" t="n">
        <v>0</v>
      </c>
      <c r="L867" t="n">
        <v>0</v>
      </c>
      <c r="M867" t="n">
        <v>0</v>
      </c>
      <c r="N867" t="n">
        <v>0</v>
      </c>
      <c r="O867" t="n">
        <v>2</v>
      </c>
      <c r="P867" t="n">
        <v>0</v>
      </c>
      <c r="Q867" t="n">
        <v>2</v>
      </c>
      <c r="R867" s="2" t="inlineStr">
        <is>
          <t>Gränsticka
Hornvaxskinn</t>
        </is>
      </c>
      <c r="S867">
        <f>HYPERLINK("https://klasma.github.io/Logging_2361/artfynd/A 15679-2021 artfynd.xlsx", "A 15679-2021")</f>
        <v/>
      </c>
      <c r="T867">
        <f>HYPERLINK("https://klasma.github.io/Logging_2361/kartor/A 15679-2021 karta.png", "A 15679-2021")</f>
        <v/>
      </c>
      <c r="V867">
        <f>HYPERLINK("https://klasma.github.io/Logging_2361/klagomål/A 15679-2021 FSC-klagomål.docx", "A 15679-2021")</f>
        <v/>
      </c>
      <c r="W867">
        <f>HYPERLINK("https://klasma.github.io/Logging_2361/klagomålsmail/A 15679-2021 FSC-klagomål mail.docx", "A 15679-2021")</f>
        <v/>
      </c>
      <c r="X867">
        <f>HYPERLINK("https://klasma.github.io/Logging_2361/tillsyn/A 15679-2021 tillsynsbegäran.docx", "A 15679-2021")</f>
        <v/>
      </c>
      <c r="Y867">
        <f>HYPERLINK("https://klasma.github.io/Logging_2361/tillsynsmail/A 15679-2021 tillsynsbegäran mail.docx", "A 15679-2021")</f>
        <v/>
      </c>
    </row>
    <row r="868" ht="15" customHeight="1">
      <c r="A868" t="inlineStr">
        <is>
          <t>A 20981-2021</t>
        </is>
      </c>
      <c r="B868" s="1" t="n">
        <v>44316</v>
      </c>
      <c r="C868" s="1" t="n">
        <v>45363</v>
      </c>
      <c r="D868" t="inlineStr">
        <is>
          <t>JÄMTLANDS LÄN</t>
        </is>
      </c>
      <c r="E868" t="inlineStr">
        <is>
          <t>KROKOM</t>
        </is>
      </c>
      <c r="G868" t="n">
        <v>27.4</v>
      </c>
      <c r="H868" t="n">
        <v>0</v>
      </c>
      <c r="I868" t="n">
        <v>1</v>
      </c>
      <c r="J868" t="n">
        <v>1</v>
      </c>
      <c r="K868" t="n">
        <v>0</v>
      </c>
      <c r="L868" t="n">
        <v>0</v>
      </c>
      <c r="M868" t="n">
        <v>0</v>
      </c>
      <c r="N868" t="n">
        <v>0</v>
      </c>
      <c r="O868" t="n">
        <v>1</v>
      </c>
      <c r="P868" t="n">
        <v>0</v>
      </c>
      <c r="Q868" t="n">
        <v>2</v>
      </c>
      <c r="R868" s="2" t="inlineStr">
        <is>
          <t>Harticka
Trådticka</t>
        </is>
      </c>
      <c r="S868">
        <f>HYPERLINK("https://klasma.github.io/Logging_2309/artfynd/A 20981-2021 artfynd.xlsx", "A 20981-2021")</f>
        <v/>
      </c>
      <c r="T868">
        <f>HYPERLINK("https://klasma.github.io/Logging_2309/kartor/A 20981-2021 karta.png", "A 20981-2021")</f>
        <v/>
      </c>
      <c r="V868">
        <f>HYPERLINK("https://klasma.github.io/Logging_2309/klagomål/A 20981-2021 FSC-klagomål.docx", "A 20981-2021")</f>
        <v/>
      </c>
      <c r="W868">
        <f>HYPERLINK("https://klasma.github.io/Logging_2309/klagomålsmail/A 20981-2021 FSC-klagomål mail.docx", "A 20981-2021")</f>
        <v/>
      </c>
      <c r="X868">
        <f>HYPERLINK("https://klasma.github.io/Logging_2309/tillsyn/A 20981-2021 tillsynsbegäran.docx", "A 20981-2021")</f>
        <v/>
      </c>
      <c r="Y868">
        <f>HYPERLINK("https://klasma.github.io/Logging_2309/tillsynsmail/A 20981-2021 tillsynsbegäran mail.docx", "A 20981-2021")</f>
        <v/>
      </c>
    </row>
    <row r="869" ht="15" customHeight="1">
      <c r="A869" t="inlineStr">
        <is>
          <t>A 22526-2021</t>
        </is>
      </c>
      <c r="B869" s="1" t="n">
        <v>44326</v>
      </c>
      <c r="C869" s="1" t="n">
        <v>45363</v>
      </c>
      <c r="D869" t="inlineStr">
        <is>
          <t>JÄMTLANDS LÄN</t>
        </is>
      </c>
      <c r="E869" t="inlineStr">
        <is>
          <t>STRÖMSUND</t>
        </is>
      </c>
      <c r="F869" t="inlineStr">
        <is>
          <t>SCA</t>
        </is>
      </c>
      <c r="G869" t="n">
        <v>2.8</v>
      </c>
      <c r="H869" t="n">
        <v>0</v>
      </c>
      <c r="I869" t="n">
        <v>1</v>
      </c>
      <c r="J869" t="n">
        <v>1</v>
      </c>
      <c r="K869" t="n">
        <v>0</v>
      </c>
      <c r="L869" t="n">
        <v>0</v>
      </c>
      <c r="M869" t="n">
        <v>0</v>
      </c>
      <c r="N869" t="n">
        <v>0</v>
      </c>
      <c r="O869" t="n">
        <v>1</v>
      </c>
      <c r="P869" t="n">
        <v>0</v>
      </c>
      <c r="Q869" t="n">
        <v>2</v>
      </c>
      <c r="R869" s="2" t="inlineStr">
        <is>
          <t>Lunglav
Stuplav</t>
        </is>
      </c>
      <c r="S869">
        <f>HYPERLINK("https://klasma.github.io/Logging_2313/artfynd/A 22526-2021 artfynd.xlsx", "A 22526-2021")</f>
        <v/>
      </c>
      <c r="T869">
        <f>HYPERLINK("https://klasma.github.io/Logging_2313/kartor/A 22526-2021 karta.png", "A 22526-2021")</f>
        <v/>
      </c>
      <c r="V869">
        <f>HYPERLINK("https://klasma.github.io/Logging_2313/klagomål/A 22526-2021 FSC-klagomål.docx", "A 22526-2021")</f>
        <v/>
      </c>
      <c r="W869">
        <f>HYPERLINK("https://klasma.github.io/Logging_2313/klagomålsmail/A 22526-2021 FSC-klagomål mail.docx", "A 22526-2021")</f>
        <v/>
      </c>
      <c r="X869">
        <f>HYPERLINK("https://klasma.github.io/Logging_2313/tillsyn/A 22526-2021 tillsynsbegäran.docx", "A 22526-2021")</f>
        <v/>
      </c>
      <c r="Y869">
        <f>HYPERLINK("https://klasma.github.io/Logging_2313/tillsynsmail/A 22526-2021 tillsynsbegäran mail.docx", "A 22526-2021")</f>
        <v/>
      </c>
    </row>
    <row r="870" ht="15" customHeight="1">
      <c r="A870" t="inlineStr">
        <is>
          <t>A 23566-2021</t>
        </is>
      </c>
      <c r="B870" s="1" t="n">
        <v>44334</v>
      </c>
      <c r="C870" s="1" t="n">
        <v>45363</v>
      </c>
      <c r="D870" t="inlineStr">
        <is>
          <t>JÄMTLANDS LÄN</t>
        </is>
      </c>
      <c r="E870" t="inlineStr">
        <is>
          <t>ÅRE</t>
        </is>
      </c>
      <c r="G870" t="n">
        <v>20</v>
      </c>
      <c r="H870" t="n">
        <v>1</v>
      </c>
      <c r="I870" t="n">
        <v>1</v>
      </c>
      <c r="J870" t="n">
        <v>1</v>
      </c>
      <c r="K870" t="n">
        <v>0</v>
      </c>
      <c r="L870" t="n">
        <v>0</v>
      </c>
      <c r="M870" t="n">
        <v>0</v>
      </c>
      <c r="N870" t="n">
        <v>0</v>
      </c>
      <c r="O870" t="n">
        <v>1</v>
      </c>
      <c r="P870" t="n">
        <v>0</v>
      </c>
      <c r="Q870" t="n">
        <v>2</v>
      </c>
      <c r="R870" s="2" t="inlineStr">
        <is>
          <t>Skrovellav
Spindelblomster</t>
        </is>
      </c>
      <c r="S870">
        <f>HYPERLINK("https://klasma.github.io/Logging_2321/artfynd/A 23566-2021 artfynd.xlsx", "A 23566-2021")</f>
        <v/>
      </c>
      <c r="T870">
        <f>HYPERLINK("https://klasma.github.io/Logging_2321/kartor/A 23566-2021 karta.png", "A 23566-2021")</f>
        <v/>
      </c>
      <c r="V870">
        <f>HYPERLINK("https://klasma.github.io/Logging_2321/klagomål/A 23566-2021 FSC-klagomål.docx", "A 23566-2021")</f>
        <v/>
      </c>
      <c r="W870">
        <f>HYPERLINK("https://klasma.github.io/Logging_2321/klagomålsmail/A 23566-2021 FSC-klagomål mail.docx", "A 23566-2021")</f>
        <v/>
      </c>
      <c r="X870">
        <f>HYPERLINK("https://klasma.github.io/Logging_2321/tillsyn/A 23566-2021 tillsynsbegäran.docx", "A 23566-2021")</f>
        <v/>
      </c>
      <c r="Y870">
        <f>HYPERLINK("https://klasma.github.io/Logging_2321/tillsynsmail/A 23566-2021 tillsynsbegäran mail.docx", "A 23566-2021")</f>
        <v/>
      </c>
    </row>
    <row r="871" ht="15" customHeight="1">
      <c r="A871" t="inlineStr">
        <is>
          <t>A 25696-2021</t>
        </is>
      </c>
      <c r="B871" s="1" t="n">
        <v>44343</v>
      </c>
      <c r="C871" s="1" t="n">
        <v>45363</v>
      </c>
      <c r="D871" t="inlineStr">
        <is>
          <t>JÄMTLANDS LÄN</t>
        </is>
      </c>
      <c r="E871" t="inlineStr">
        <is>
          <t>BRÄCKE</t>
        </is>
      </c>
      <c r="G871" t="n">
        <v>13.4</v>
      </c>
      <c r="H871" t="n">
        <v>0</v>
      </c>
      <c r="I871" t="n">
        <v>0</v>
      </c>
      <c r="J871" t="n">
        <v>2</v>
      </c>
      <c r="K871" t="n">
        <v>0</v>
      </c>
      <c r="L871" t="n">
        <v>0</v>
      </c>
      <c r="M871" t="n">
        <v>0</v>
      </c>
      <c r="N871" t="n">
        <v>0</v>
      </c>
      <c r="O871" t="n">
        <v>2</v>
      </c>
      <c r="P871" t="n">
        <v>0</v>
      </c>
      <c r="Q871" t="n">
        <v>2</v>
      </c>
      <c r="R871" s="2" t="inlineStr">
        <is>
          <t>Rosenticka
Ullticka</t>
        </is>
      </c>
      <c r="S871">
        <f>HYPERLINK("https://klasma.github.io/Logging_2305/artfynd/A 25696-2021 artfynd.xlsx", "A 25696-2021")</f>
        <v/>
      </c>
      <c r="T871">
        <f>HYPERLINK("https://klasma.github.io/Logging_2305/kartor/A 25696-2021 karta.png", "A 25696-2021")</f>
        <v/>
      </c>
      <c r="V871">
        <f>HYPERLINK("https://klasma.github.io/Logging_2305/klagomål/A 25696-2021 FSC-klagomål.docx", "A 25696-2021")</f>
        <v/>
      </c>
      <c r="W871">
        <f>HYPERLINK("https://klasma.github.io/Logging_2305/klagomålsmail/A 25696-2021 FSC-klagomål mail.docx", "A 25696-2021")</f>
        <v/>
      </c>
      <c r="X871">
        <f>HYPERLINK("https://klasma.github.io/Logging_2305/tillsyn/A 25696-2021 tillsynsbegäran.docx", "A 25696-2021")</f>
        <v/>
      </c>
      <c r="Y871">
        <f>HYPERLINK("https://klasma.github.io/Logging_2305/tillsynsmail/A 25696-2021 tillsynsbegäran mail.docx", "A 25696-2021")</f>
        <v/>
      </c>
    </row>
    <row r="872" ht="15" customHeight="1">
      <c r="A872" t="inlineStr">
        <is>
          <t>A 26152-2021</t>
        </is>
      </c>
      <c r="B872" s="1" t="n">
        <v>44346</v>
      </c>
      <c r="C872" s="1" t="n">
        <v>45363</v>
      </c>
      <c r="D872" t="inlineStr">
        <is>
          <t>JÄMTLANDS LÄN</t>
        </is>
      </c>
      <c r="E872" t="inlineStr">
        <is>
          <t>STRÖMSUND</t>
        </is>
      </c>
      <c r="F872" t="inlineStr">
        <is>
          <t>SCA</t>
        </is>
      </c>
      <c r="G872" t="n">
        <v>3</v>
      </c>
      <c r="H872" t="n">
        <v>0</v>
      </c>
      <c r="I872" t="n">
        <v>2</v>
      </c>
      <c r="J872" t="n">
        <v>0</v>
      </c>
      <c r="K872" t="n">
        <v>0</v>
      </c>
      <c r="L872" t="n">
        <v>0</v>
      </c>
      <c r="M872" t="n">
        <v>0</v>
      </c>
      <c r="N872" t="n">
        <v>0</v>
      </c>
      <c r="O872" t="n">
        <v>0</v>
      </c>
      <c r="P872" t="n">
        <v>0</v>
      </c>
      <c r="Q872" t="n">
        <v>2</v>
      </c>
      <c r="R872" s="2" t="inlineStr">
        <is>
          <t>Skinnlav
Stor aspticka</t>
        </is>
      </c>
      <c r="S872">
        <f>HYPERLINK("https://klasma.github.io/Logging_2313/artfynd/A 26152-2021 artfynd.xlsx", "A 26152-2021")</f>
        <v/>
      </c>
      <c r="T872">
        <f>HYPERLINK("https://klasma.github.io/Logging_2313/kartor/A 26152-2021 karta.png", "A 26152-2021")</f>
        <v/>
      </c>
      <c r="V872">
        <f>HYPERLINK("https://klasma.github.io/Logging_2313/klagomål/A 26152-2021 FSC-klagomål.docx", "A 26152-2021")</f>
        <v/>
      </c>
      <c r="W872">
        <f>HYPERLINK("https://klasma.github.io/Logging_2313/klagomålsmail/A 26152-2021 FSC-klagomål mail.docx", "A 26152-2021")</f>
        <v/>
      </c>
      <c r="X872">
        <f>HYPERLINK("https://klasma.github.io/Logging_2313/tillsyn/A 26152-2021 tillsynsbegäran.docx", "A 26152-2021")</f>
        <v/>
      </c>
      <c r="Y872">
        <f>HYPERLINK("https://klasma.github.io/Logging_2313/tillsynsmail/A 26152-2021 tillsynsbegäran mail.docx", "A 26152-2021")</f>
        <v/>
      </c>
    </row>
    <row r="873" ht="15" customHeight="1">
      <c r="A873" t="inlineStr">
        <is>
          <t>A 28151-2021</t>
        </is>
      </c>
      <c r="B873" s="1" t="n">
        <v>44355</v>
      </c>
      <c r="C873" s="1" t="n">
        <v>45363</v>
      </c>
      <c r="D873" t="inlineStr">
        <is>
          <t>JÄMTLANDS LÄN</t>
        </is>
      </c>
      <c r="E873" t="inlineStr">
        <is>
          <t>KROKOM</t>
        </is>
      </c>
      <c r="G873" t="n">
        <v>19.6</v>
      </c>
      <c r="H873" t="n">
        <v>0</v>
      </c>
      <c r="I873" t="n">
        <v>0</v>
      </c>
      <c r="J873" t="n">
        <v>2</v>
      </c>
      <c r="K873" t="n">
        <v>0</v>
      </c>
      <c r="L873" t="n">
        <v>0</v>
      </c>
      <c r="M873" t="n">
        <v>0</v>
      </c>
      <c r="N873" t="n">
        <v>0</v>
      </c>
      <c r="O873" t="n">
        <v>2</v>
      </c>
      <c r="P873" t="n">
        <v>0</v>
      </c>
      <c r="Q873" t="n">
        <v>2</v>
      </c>
      <c r="R873" s="2" t="inlineStr">
        <is>
          <t>Granticka
Lunglav</t>
        </is>
      </c>
      <c r="S873">
        <f>HYPERLINK("https://klasma.github.io/Logging_2309/artfynd/A 28151-2021 artfynd.xlsx", "A 28151-2021")</f>
        <v/>
      </c>
      <c r="T873">
        <f>HYPERLINK("https://klasma.github.io/Logging_2309/kartor/A 28151-2021 karta.png", "A 28151-2021")</f>
        <v/>
      </c>
      <c r="V873">
        <f>HYPERLINK("https://klasma.github.io/Logging_2309/klagomål/A 28151-2021 FSC-klagomål.docx", "A 28151-2021")</f>
        <v/>
      </c>
      <c r="W873">
        <f>HYPERLINK("https://klasma.github.io/Logging_2309/klagomålsmail/A 28151-2021 FSC-klagomål mail.docx", "A 28151-2021")</f>
        <v/>
      </c>
      <c r="X873">
        <f>HYPERLINK("https://klasma.github.io/Logging_2309/tillsyn/A 28151-2021 tillsynsbegäran.docx", "A 28151-2021")</f>
        <v/>
      </c>
      <c r="Y873">
        <f>HYPERLINK("https://klasma.github.io/Logging_2309/tillsynsmail/A 28151-2021 tillsynsbegäran mail.docx", "A 28151-2021")</f>
        <v/>
      </c>
    </row>
    <row r="874" ht="15" customHeight="1">
      <c r="A874" t="inlineStr">
        <is>
          <t>A 28601-2021</t>
        </is>
      </c>
      <c r="B874" s="1" t="n">
        <v>44356</v>
      </c>
      <c r="C874" s="1" t="n">
        <v>45363</v>
      </c>
      <c r="D874" t="inlineStr">
        <is>
          <t>JÄMTLANDS LÄN</t>
        </is>
      </c>
      <c r="E874" t="inlineStr">
        <is>
          <t>BRÄCKE</t>
        </is>
      </c>
      <c r="F874" t="inlineStr">
        <is>
          <t>SCA</t>
        </is>
      </c>
      <c r="G874" t="n">
        <v>6.3</v>
      </c>
      <c r="H874" t="n">
        <v>1</v>
      </c>
      <c r="I874" t="n">
        <v>0</v>
      </c>
      <c r="J874" t="n">
        <v>2</v>
      </c>
      <c r="K874" t="n">
        <v>0</v>
      </c>
      <c r="L874" t="n">
        <v>0</v>
      </c>
      <c r="M874" t="n">
        <v>0</v>
      </c>
      <c r="N874" t="n">
        <v>0</v>
      </c>
      <c r="O874" t="n">
        <v>2</v>
      </c>
      <c r="P874" t="n">
        <v>0</v>
      </c>
      <c r="Q874" t="n">
        <v>2</v>
      </c>
      <c r="R874" s="2" t="inlineStr">
        <is>
          <t>Lunglav
Tretåig hackspett</t>
        </is>
      </c>
      <c r="S874">
        <f>HYPERLINK("https://klasma.github.io/Logging_2305/artfynd/A 28601-2021 artfynd.xlsx", "A 28601-2021")</f>
        <v/>
      </c>
      <c r="T874">
        <f>HYPERLINK("https://klasma.github.io/Logging_2305/kartor/A 28601-2021 karta.png", "A 28601-2021")</f>
        <v/>
      </c>
      <c r="V874">
        <f>HYPERLINK("https://klasma.github.io/Logging_2305/klagomål/A 28601-2021 FSC-klagomål.docx", "A 28601-2021")</f>
        <v/>
      </c>
      <c r="W874">
        <f>HYPERLINK("https://klasma.github.io/Logging_2305/klagomålsmail/A 28601-2021 FSC-klagomål mail.docx", "A 28601-2021")</f>
        <v/>
      </c>
      <c r="X874">
        <f>HYPERLINK("https://klasma.github.io/Logging_2305/tillsyn/A 28601-2021 tillsynsbegäran.docx", "A 28601-2021")</f>
        <v/>
      </c>
      <c r="Y874">
        <f>HYPERLINK("https://klasma.github.io/Logging_2305/tillsynsmail/A 28601-2021 tillsynsbegäran mail.docx", "A 28601-2021")</f>
        <v/>
      </c>
      <c r="Z874">
        <f>HYPERLINK("https://klasma.github.io/Logging_2305/fåglar/A 28601-2021 prioriterade fågelarter.docx", "A 28601-2021")</f>
        <v/>
      </c>
    </row>
    <row r="875" ht="15" customHeight="1">
      <c r="A875" t="inlineStr">
        <is>
          <t>A 29583-2021</t>
        </is>
      </c>
      <c r="B875" s="1" t="n">
        <v>44361</v>
      </c>
      <c r="C875" s="1" t="n">
        <v>45363</v>
      </c>
      <c r="D875" t="inlineStr">
        <is>
          <t>JÄMTLANDS LÄN</t>
        </is>
      </c>
      <c r="E875" t="inlineStr">
        <is>
          <t>ÖSTERSUND</t>
        </is>
      </c>
      <c r="G875" t="n">
        <v>11.7</v>
      </c>
      <c r="H875" t="n">
        <v>1</v>
      </c>
      <c r="I875" t="n">
        <v>1</v>
      </c>
      <c r="J875" t="n">
        <v>0</v>
      </c>
      <c r="K875" t="n">
        <v>0</v>
      </c>
      <c r="L875" t="n">
        <v>0</v>
      </c>
      <c r="M875" t="n">
        <v>0</v>
      </c>
      <c r="N875" t="n">
        <v>0</v>
      </c>
      <c r="O875" t="n">
        <v>0</v>
      </c>
      <c r="P875" t="n">
        <v>0</v>
      </c>
      <c r="Q875" t="n">
        <v>2</v>
      </c>
      <c r="R875" s="2" t="inlineStr">
        <is>
          <t>Kransrams
Blåsippa</t>
        </is>
      </c>
      <c r="S875">
        <f>HYPERLINK("https://klasma.github.io/Logging_2380/artfynd/A 29583-2021 artfynd.xlsx", "A 29583-2021")</f>
        <v/>
      </c>
      <c r="T875">
        <f>HYPERLINK("https://klasma.github.io/Logging_2380/kartor/A 29583-2021 karta.png", "A 29583-2021")</f>
        <v/>
      </c>
      <c r="V875">
        <f>HYPERLINK("https://klasma.github.io/Logging_2380/klagomål/A 29583-2021 FSC-klagomål.docx", "A 29583-2021")</f>
        <v/>
      </c>
      <c r="W875">
        <f>HYPERLINK("https://klasma.github.io/Logging_2380/klagomålsmail/A 29583-2021 FSC-klagomål mail.docx", "A 29583-2021")</f>
        <v/>
      </c>
      <c r="X875">
        <f>HYPERLINK("https://klasma.github.io/Logging_2380/tillsyn/A 29583-2021 tillsynsbegäran.docx", "A 29583-2021")</f>
        <v/>
      </c>
      <c r="Y875">
        <f>HYPERLINK("https://klasma.github.io/Logging_2380/tillsynsmail/A 29583-2021 tillsynsbegäran mail.docx", "A 29583-2021")</f>
        <v/>
      </c>
    </row>
    <row r="876" ht="15" customHeight="1">
      <c r="A876" t="inlineStr">
        <is>
          <t>A 30105-2021</t>
        </is>
      </c>
      <c r="B876" s="1" t="n">
        <v>44363</v>
      </c>
      <c r="C876" s="1" t="n">
        <v>45363</v>
      </c>
      <c r="D876" t="inlineStr">
        <is>
          <t>JÄMTLANDS LÄN</t>
        </is>
      </c>
      <c r="E876" t="inlineStr">
        <is>
          <t>ÖSTERSUND</t>
        </is>
      </c>
      <c r="G876" t="n">
        <v>2</v>
      </c>
      <c r="H876" t="n">
        <v>0</v>
      </c>
      <c r="I876" t="n">
        <v>2</v>
      </c>
      <c r="J876" t="n">
        <v>0</v>
      </c>
      <c r="K876" t="n">
        <v>0</v>
      </c>
      <c r="L876" t="n">
        <v>0</v>
      </c>
      <c r="M876" t="n">
        <v>0</v>
      </c>
      <c r="N876" t="n">
        <v>0</v>
      </c>
      <c r="O876" t="n">
        <v>0</v>
      </c>
      <c r="P876" t="n">
        <v>0</v>
      </c>
      <c r="Q876" t="n">
        <v>2</v>
      </c>
      <c r="R876" s="2" t="inlineStr">
        <is>
          <t>Grönpyrola
Ögonpyrola</t>
        </is>
      </c>
      <c r="S876">
        <f>HYPERLINK("https://klasma.github.io/Logging_2380/artfynd/A 30105-2021 artfynd.xlsx", "A 30105-2021")</f>
        <v/>
      </c>
      <c r="T876">
        <f>HYPERLINK("https://klasma.github.io/Logging_2380/kartor/A 30105-2021 karta.png", "A 30105-2021")</f>
        <v/>
      </c>
      <c r="V876">
        <f>HYPERLINK("https://klasma.github.io/Logging_2380/klagomål/A 30105-2021 FSC-klagomål.docx", "A 30105-2021")</f>
        <v/>
      </c>
      <c r="W876">
        <f>HYPERLINK("https://klasma.github.io/Logging_2380/klagomålsmail/A 30105-2021 FSC-klagomål mail.docx", "A 30105-2021")</f>
        <v/>
      </c>
      <c r="X876">
        <f>HYPERLINK("https://klasma.github.io/Logging_2380/tillsyn/A 30105-2021 tillsynsbegäran.docx", "A 30105-2021")</f>
        <v/>
      </c>
      <c r="Y876">
        <f>HYPERLINK("https://klasma.github.io/Logging_2380/tillsynsmail/A 30105-2021 tillsynsbegäran mail.docx", "A 30105-2021")</f>
        <v/>
      </c>
    </row>
    <row r="877" ht="15" customHeight="1">
      <c r="A877" t="inlineStr">
        <is>
          <t>A 33421-2021</t>
        </is>
      </c>
      <c r="B877" s="1" t="n">
        <v>44377</v>
      </c>
      <c r="C877" s="1" t="n">
        <v>45363</v>
      </c>
      <c r="D877" t="inlineStr">
        <is>
          <t>JÄMTLANDS LÄN</t>
        </is>
      </c>
      <c r="E877" t="inlineStr">
        <is>
          <t>HÄRJEDALEN</t>
        </is>
      </c>
      <c r="G877" t="n">
        <v>47.1</v>
      </c>
      <c r="H877" t="n">
        <v>1</v>
      </c>
      <c r="I877" t="n">
        <v>0</v>
      </c>
      <c r="J877" t="n">
        <v>2</v>
      </c>
      <c r="K877" t="n">
        <v>0</v>
      </c>
      <c r="L877" t="n">
        <v>0</v>
      </c>
      <c r="M877" t="n">
        <v>0</v>
      </c>
      <c r="N877" t="n">
        <v>0</v>
      </c>
      <c r="O877" t="n">
        <v>2</v>
      </c>
      <c r="P877" t="n">
        <v>0</v>
      </c>
      <c r="Q877" t="n">
        <v>2</v>
      </c>
      <c r="R877" s="2" t="inlineStr">
        <is>
          <t>Gultoppig fingersvamp
Talltita</t>
        </is>
      </c>
      <c r="S877">
        <f>HYPERLINK("https://klasma.github.io/Logging_2361/artfynd/A 33421-2021 artfynd.xlsx", "A 33421-2021")</f>
        <v/>
      </c>
      <c r="T877">
        <f>HYPERLINK("https://klasma.github.io/Logging_2361/kartor/A 33421-2021 karta.png", "A 33421-2021")</f>
        <v/>
      </c>
      <c r="V877">
        <f>HYPERLINK("https://klasma.github.io/Logging_2361/klagomål/A 33421-2021 FSC-klagomål.docx", "A 33421-2021")</f>
        <v/>
      </c>
      <c r="W877">
        <f>HYPERLINK("https://klasma.github.io/Logging_2361/klagomålsmail/A 33421-2021 FSC-klagomål mail.docx", "A 33421-2021")</f>
        <v/>
      </c>
      <c r="X877">
        <f>HYPERLINK("https://klasma.github.io/Logging_2361/tillsyn/A 33421-2021 tillsynsbegäran.docx", "A 33421-2021")</f>
        <v/>
      </c>
      <c r="Y877">
        <f>HYPERLINK("https://klasma.github.io/Logging_2361/tillsynsmail/A 33421-2021 tillsynsbegäran mail.docx", "A 33421-2021")</f>
        <v/>
      </c>
      <c r="Z877">
        <f>HYPERLINK("https://klasma.github.io/Logging_2361/fåglar/A 33421-2021 prioriterade fågelarter.docx", "A 33421-2021")</f>
        <v/>
      </c>
    </row>
    <row r="878" ht="15" customHeight="1">
      <c r="A878" t="inlineStr">
        <is>
          <t>A 33544-2021</t>
        </is>
      </c>
      <c r="B878" s="1" t="n">
        <v>44377</v>
      </c>
      <c r="C878" s="1" t="n">
        <v>45363</v>
      </c>
      <c r="D878" t="inlineStr">
        <is>
          <t>JÄMTLANDS LÄN</t>
        </is>
      </c>
      <c r="E878" t="inlineStr">
        <is>
          <t>STRÖMSUND</t>
        </is>
      </c>
      <c r="G878" t="n">
        <v>5.8</v>
      </c>
      <c r="H878" t="n">
        <v>0</v>
      </c>
      <c r="I878" t="n">
        <v>1</v>
      </c>
      <c r="J878" t="n">
        <v>1</v>
      </c>
      <c r="K878" t="n">
        <v>0</v>
      </c>
      <c r="L878" t="n">
        <v>0</v>
      </c>
      <c r="M878" t="n">
        <v>0</v>
      </c>
      <c r="N878" t="n">
        <v>0</v>
      </c>
      <c r="O878" t="n">
        <v>1</v>
      </c>
      <c r="P878" t="n">
        <v>0</v>
      </c>
      <c r="Q878" t="n">
        <v>2</v>
      </c>
      <c r="R878" s="2" t="inlineStr">
        <is>
          <t>Lunglav
Dvärgtufs</t>
        </is>
      </c>
      <c r="S878">
        <f>HYPERLINK("https://klasma.github.io/Logging_2313/artfynd/A 33544-2021 artfynd.xlsx", "A 33544-2021")</f>
        <v/>
      </c>
      <c r="T878">
        <f>HYPERLINK("https://klasma.github.io/Logging_2313/kartor/A 33544-2021 karta.png", "A 33544-2021")</f>
        <v/>
      </c>
      <c r="V878">
        <f>HYPERLINK("https://klasma.github.io/Logging_2313/klagomål/A 33544-2021 FSC-klagomål.docx", "A 33544-2021")</f>
        <v/>
      </c>
      <c r="W878">
        <f>HYPERLINK("https://klasma.github.io/Logging_2313/klagomålsmail/A 33544-2021 FSC-klagomål mail.docx", "A 33544-2021")</f>
        <v/>
      </c>
      <c r="X878">
        <f>HYPERLINK("https://klasma.github.io/Logging_2313/tillsyn/A 33544-2021 tillsynsbegäran.docx", "A 33544-2021")</f>
        <v/>
      </c>
      <c r="Y878">
        <f>HYPERLINK("https://klasma.github.io/Logging_2313/tillsynsmail/A 33544-2021 tillsynsbegäran mail.docx", "A 33544-2021")</f>
        <v/>
      </c>
    </row>
    <row r="879" ht="15" customHeight="1">
      <c r="A879" t="inlineStr">
        <is>
          <t>A 33874-2021</t>
        </is>
      </c>
      <c r="B879" s="1" t="n">
        <v>44378</v>
      </c>
      <c r="C879" s="1" t="n">
        <v>45363</v>
      </c>
      <c r="D879" t="inlineStr">
        <is>
          <t>JÄMTLANDS LÄN</t>
        </is>
      </c>
      <c r="E879" t="inlineStr">
        <is>
          <t>KROKOM</t>
        </is>
      </c>
      <c r="G879" t="n">
        <v>5.9</v>
      </c>
      <c r="H879" t="n">
        <v>1</v>
      </c>
      <c r="I879" t="n">
        <v>2</v>
      </c>
      <c r="J879" t="n">
        <v>0</v>
      </c>
      <c r="K879" t="n">
        <v>0</v>
      </c>
      <c r="L879" t="n">
        <v>0</v>
      </c>
      <c r="M879" t="n">
        <v>0</v>
      </c>
      <c r="N879" t="n">
        <v>0</v>
      </c>
      <c r="O879" t="n">
        <v>0</v>
      </c>
      <c r="P879" t="n">
        <v>0</v>
      </c>
      <c r="Q879" t="n">
        <v>2</v>
      </c>
      <c r="R879" s="2" t="inlineStr">
        <is>
          <t>Kransrams
Tvåblad</t>
        </is>
      </c>
      <c r="S879">
        <f>HYPERLINK("https://klasma.github.io/Logging_2309/artfynd/A 33874-2021 artfynd.xlsx", "A 33874-2021")</f>
        <v/>
      </c>
      <c r="T879">
        <f>HYPERLINK("https://klasma.github.io/Logging_2309/kartor/A 33874-2021 karta.png", "A 33874-2021")</f>
        <v/>
      </c>
      <c r="V879">
        <f>HYPERLINK("https://klasma.github.io/Logging_2309/klagomål/A 33874-2021 FSC-klagomål.docx", "A 33874-2021")</f>
        <v/>
      </c>
      <c r="W879">
        <f>HYPERLINK("https://klasma.github.io/Logging_2309/klagomålsmail/A 33874-2021 FSC-klagomål mail.docx", "A 33874-2021")</f>
        <v/>
      </c>
      <c r="X879">
        <f>HYPERLINK("https://klasma.github.io/Logging_2309/tillsyn/A 33874-2021 tillsynsbegäran.docx", "A 33874-2021")</f>
        <v/>
      </c>
      <c r="Y879">
        <f>HYPERLINK("https://klasma.github.io/Logging_2309/tillsynsmail/A 33874-2021 tillsynsbegäran mail.docx", "A 33874-2021")</f>
        <v/>
      </c>
    </row>
    <row r="880" ht="15" customHeight="1">
      <c r="A880" t="inlineStr">
        <is>
          <t>A 36456-2021</t>
        </is>
      </c>
      <c r="B880" s="1" t="n">
        <v>44390</v>
      </c>
      <c r="C880" s="1" t="n">
        <v>45363</v>
      </c>
      <c r="D880" t="inlineStr">
        <is>
          <t>JÄMTLANDS LÄN</t>
        </is>
      </c>
      <c r="E880" t="inlineStr">
        <is>
          <t>BRÄCKE</t>
        </is>
      </c>
      <c r="F880" t="inlineStr">
        <is>
          <t>SCA</t>
        </is>
      </c>
      <c r="G880" t="n">
        <v>2.7</v>
      </c>
      <c r="H880" t="n">
        <v>0</v>
      </c>
      <c r="I880" t="n">
        <v>0</v>
      </c>
      <c r="J880" t="n">
        <v>2</v>
      </c>
      <c r="K880" t="n">
        <v>0</v>
      </c>
      <c r="L880" t="n">
        <v>0</v>
      </c>
      <c r="M880" t="n">
        <v>0</v>
      </c>
      <c r="N880" t="n">
        <v>0</v>
      </c>
      <c r="O880" t="n">
        <v>2</v>
      </c>
      <c r="P880" t="n">
        <v>0</v>
      </c>
      <c r="Q880" t="n">
        <v>2</v>
      </c>
      <c r="R880" s="2" t="inlineStr">
        <is>
          <t>Garnlav
Kolflarnlav</t>
        </is>
      </c>
      <c r="S880">
        <f>HYPERLINK("https://klasma.github.io/Logging_2305/artfynd/A 36456-2021 artfynd.xlsx", "A 36456-2021")</f>
        <v/>
      </c>
      <c r="T880">
        <f>HYPERLINK("https://klasma.github.io/Logging_2305/kartor/A 36456-2021 karta.png", "A 36456-2021")</f>
        <v/>
      </c>
      <c r="V880">
        <f>HYPERLINK("https://klasma.github.io/Logging_2305/klagomål/A 36456-2021 FSC-klagomål.docx", "A 36456-2021")</f>
        <v/>
      </c>
      <c r="W880">
        <f>HYPERLINK("https://klasma.github.io/Logging_2305/klagomålsmail/A 36456-2021 FSC-klagomål mail.docx", "A 36456-2021")</f>
        <v/>
      </c>
      <c r="X880">
        <f>HYPERLINK("https://klasma.github.io/Logging_2305/tillsyn/A 36456-2021 tillsynsbegäran.docx", "A 36456-2021")</f>
        <v/>
      </c>
      <c r="Y880">
        <f>HYPERLINK("https://klasma.github.io/Logging_2305/tillsynsmail/A 36456-2021 tillsynsbegäran mail.docx", "A 36456-2021")</f>
        <v/>
      </c>
    </row>
    <row r="881" ht="15" customHeight="1">
      <c r="A881" t="inlineStr">
        <is>
          <t>A 39172-2021</t>
        </is>
      </c>
      <c r="B881" s="1" t="n">
        <v>44412</v>
      </c>
      <c r="C881" s="1" t="n">
        <v>45363</v>
      </c>
      <c r="D881" t="inlineStr">
        <is>
          <t>JÄMTLANDS LÄN</t>
        </is>
      </c>
      <c r="E881" t="inlineStr">
        <is>
          <t>BRÄCKE</t>
        </is>
      </c>
      <c r="F881" t="inlineStr">
        <is>
          <t>SCA</t>
        </is>
      </c>
      <c r="G881" t="n">
        <v>9</v>
      </c>
      <c r="H881" t="n">
        <v>0</v>
      </c>
      <c r="I881" t="n">
        <v>1</v>
      </c>
      <c r="J881" t="n">
        <v>1</v>
      </c>
      <c r="K881" t="n">
        <v>0</v>
      </c>
      <c r="L881" t="n">
        <v>0</v>
      </c>
      <c r="M881" t="n">
        <v>0</v>
      </c>
      <c r="N881" t="n">
        <v>0</v>
      </c>
      <c r="O881" t="n">
        <v>1</v>
      </c>
      <c r="P881" t="n">
        <v>0</v>
      </c>
      <c r="Q881" t="n">
        <v>2</v>
      </c>
      <c r="R881" s="2" t="inlineStr">
        <is>
          <t>Lunglav
Bårdlav</t>
        </is>
      </c>
      <c r="S881">
        <f>HYPERLINK("https://klasma.github.io/Logging_2305/artfynd/A 39172-2021 artfynd.xlsx", "A 39172-2021")</f>
        <v/>
      </c>
      <c r="T881">
        <f>HYPERLINK("https://klasma.github.io/Logging_2305/kartor/A 39172-2021 karta.png", "A 39172-2021")</f>
        <v/>
      </c>
      <c r="V881">
        <f>HYPERLINK("https://klasma.github.io/Logging_2305/klagomål/A 39172-2021 FSC-klagomål.docx", "A 39172-2021")</f>
        <v/>
      </c>
      <c r="W881">
        <f>HYPERLINK("https://klasma.github.io/Logging_2305/klagomålsmail/A 39172-2021 FSC-klagomål mail.docx", "A 39172-2021")</f>
        <v/>
      </c>
      <c r="X881">
        <f>HYPERLINK("https://klasma.github.io/Logging_2305/tillsyn/A 39172-2021 tillsynsbegäran.docx", "A 39172-2021")</f>
        <v/>
      </c>
      <c r="Y881">
        <f>HYPERLINK("https://klasma.github.io/Logging_2305/tillsynsmail/A 39172-2021 tillsynsbegäran mail.docx", "A 39172-2021")</f>
        <v/>
      </c>
    </row>
    <row r="882" ht="15" customHeight="1">
      <c r="A882" t="inlineStr">
        <is>
          <t>A 42239-2021</t>
        </is>
      </c>
      <c r="B882" s="1" t="n">
        <v>44426</v>
      </c>
      <c r="C882" s="1" t="n">
        <v>45363</v>
      </c>
      <c r="D882" t="inlineStr">
        <is>
          <t>JÄMTLANDS LÄN</t>
        </is>
      </c>
      <c r="E882" t="inlineStr">
        <is>
          <t>STRÖMSUND</t>
        </is>
      </c>
      <c r="F882" t="inlineStr">
        <is>
          <t>SCA</t>
        </is>
      </c>
      <c r="G882" t="n">
        <v>9.300000000000001</v>
      </c>
      <c r="H882" t="n">
        <v>0</v>
      </c>
      <c r="I882" t="n">
        <v>0</v>
      </c>
      <c r="J882" t="n">
        <v>2</v>
      </c>
      <c r="K882" t="n">
        <v>0</v>
      </c>
      <c r="L882" t="n">
        <v>0</v>
      </c>
      <c r="M882" t="n">
        <v>0</v>
      </c>
      <c r="N882" t="n">
        <v>0</v>
      </c>
      <c r="O882" t="n">
        <v>2</v>
      </c>
      <c r="P882" t="n">
        <v>0</v>
      </c>
      <c r="Q882" t="n">
        <v>2</v>
      </c>
      <c r="R882" s="2" t="inlineStr">
        <is>
          <t>Lunglav
Ullticka</t>
        </is>
      </c>
      <c r="S882">
        <f>HYPERLINK("https://klasma.github.io/Logging_2313/artfynd/A 42239-2021 artfynd.xlsx", "A 42239-2021")</f>
        <v/>
      </c>
      <c r="T882">
        <f>HYPERLINK("https://klasma.github.io/Logging_2313/kartor/A 42239-2021 karta.png", "A 42239-2021")</f>
        <v/>
      </c>
      <c r="V882">
        <f>HYPERLINK("https://klasma.github.io/Logging_2313/klagomål/A 42239-2021 FSC-klagomål.docx", "A 42239-2021")</f>
        <v/>
      </c>
      <c r="W882">
        <f>HYPERLINK("https://klasma.github.io/Logging_2313/klagomålsmail/A 42239-2021 FSC-klagomål mail.docx", "A 42239-2021")</f>
        <v/>
      </c>
      <c r="X882">
        <f>HYPERLINK("https://klasma.github.io/Logging_2313/tillsyn/A 42239-2021 tillsynsbegäran.docx", "A 42239-2021")</f>
        <v/>
      </c>
      <c r="Y882">
        <f>HYPERLINK("https://klasma.github.io/Logging_2313/tillsynsmail/A 42239-2021 tillsynsbegäran mail.docx", "A 42239-2021")</f>
        <v/>
      </c>
    </row>
    <row r="883" ht="15" customHeight="1">
      <c r="A883" t="inlineStr">
        <is>
          <t>A 42826-2021</t>
        </is>
      </c>
      <c r="B883" s="1" t="n">
        <v>44430</v>
      </c>
      <c r="C883" s="1" t="n">
        <v>45363</v>
      </c>
      <c r="D883" t="inlineStr">
        <is>
          <t>JÄMTLANDS LÄN</t>
        </is>
      </c>
      <c r="E883" t="inlineStr">
        <is>
          <t>HÄRJEDALEN</t>
        </is>
      </c>
      <c r="F883" t="inlineStr">
        <is>
          <t>Sveaskog</t>
        </is>
      </c>
      <c r="G883" t="n">
        <v>8.1</v>
      </c>
      <c r="H883" t="n">
        <v>1</v>
      </c>
      <c r="I883" t="n">
        <v>0</v>
      </c>
      <c r="J883" t="n">
        <v>1</v>
      </c>
      <c r="K883" t="n">
        <v>1</v>
      </c>
      <c r="L883" t="n">
        <v>0</v>
      </c>
      <c r="M883" t="n">
        <v>0</v>
      </c>
      <c r="N883" t="n">
        <v>0</v>
      </c>
      <c r="O883" t="n">
        <v>2</v>
      </c>
      <c r="P883" t="n">
        <v>1</v>
      </c>
      <c r="Q883" t="n">
        <v>2</v>
      </c>
      <c r="R883" s="2" t="inlineStr">
        <is>
          <t>Knärot
Garnlav</t>
        </is>
      </c>
      <c r="S883">
        <f>HYPERLINK("https://klasma.github.io/Logging_2361/artfynd/A 42826-2021 artfynd.xlsx", "A 42826-2021")</f>
        <v/>
      </c>
      <c r="T883">
        <f>HYPERLINK("https://klasma.github.io/Logging_2361/kartor/A 42826-2021 karta.png", "A 42826-2021")</f>
        <v/>
      </c>
      <c r="U883">
        <f>HYPERLINK("https://klasma.github.io/Logging_2361/knärot/A 42826-2021 karta knärot.png", "A 42826-2021")</f>
        <v/>
      </c>
      <c r="V883">
        <f>HYPERLINK("https://klasma.github.io/Logging_2361/klagomål/A 42826-2021 FSC-klagomål.docx", "A 42826-2021")</f>
        <v/>
      </c>
      <c r="W883">
        <f>HYPERLINK("https://klasma.github.io/Logging_2361/klagomålsmail/A 42826-2021 FSC-klagomål mail.docx", "A 42826-2021")</f>
        <v/>
      </c>
      <c r="X883">
        <f>HYPERLINK("https://klasma.github.io/Logging_2361/tillsyn/A 42826-2021 tillsynsbegäran.docx", "A 42826-2021")</f>
        <v/>
      </c>
      <c r="Y883">
        <f>HYPERLINK("https://klasma.github.io/Logging_2361/tillsynsmail/A 42826-2021 tillsynsbegäran mail.docx", "A 42826-2021")</f>
        <v/>
      </c>
    </row>
    <row r="884" ht="15" customHeight="1">
      <c r="A884" t="inlineStr">
        <is>
          <t>A 44604-2021</t>
        </is>
      </c>
      <c r="B884" s="1" t="n">
        <v>44435</v>
      </c>
      <c r="C884" s="1" t="n">
        <v>45363</v>
      </c>
      <c r="D884" t="inlineStr">
        <is>
          <t>JÄMTLANDS LÄN</t>
        </is>
      </c>
      <c r="E884" t="inlineStr">
        <is>
          <t>STRÖMSUND</t>
        </is>
      </c>
      <c r="F884" t="inlineStr">
        <is>
          <t>SCA</t>
        </is>
      </c>
      <c r="G884" t="n">
        <v>2.8</v>
      </c>
      <c r="H884" t="n">
        <v>0</v>
      </c>
      <c r="I884" t="n">
        <v>0</v>
      </c>
      <c r="J884" t="n">
        <v>2</v>
      </c>
      <c r="K884" t="n">
        <v>0</v>
      </c>
      <c r="L884" t="n">
        <v>0</v>
      </c>
      <c r="M884" t="n">
        <v>0</v>
      </c>
      <c r="N884" t="n">
        <v>0</v>
      </c>
      <c r="O884" t="n">
        <v>2</v>
      </c>
      <c r="P884" t="n">
        <v>0</v>
      </c>
      <c r="Q884" t="n">
        <v>2</v>
      </c>
      <c r="R884" s="2" t="inlineStr">
        <is>
          <t>Brunpudrad nållav
Gammelgransskål</t>
        </is>
      </c>
      <c r="S884">
        <f>HYPERLINK("https://klasma.github.io/Logging_2313/artfynd/A 44604-2021 artfynd.xlsx", "A 44604-2021")</f>
        <v/>
      </c>
      <c r="T884">
        <f>HYPERLINK("https://klasma.github.io/Logging_2313/kartor/A 44604-2021 karta.png", "A 44604-2021")</f>
        <v/>
      </c>
      <c r="V884">
        <f>HYPERLINK("https://klasma.github.io/Logging_2313/klagomål/A 44604-2021 FSC-klagomål.docx", "A 44604-2021")</f>
        <v/>
      </c>
      <c r="W884">
        <f>HYPERLINK("https://klasma.github.io/Logging_2313/klagomålsmail/A 44604-2021 FSC-klagomål mail.docx", "A 44604-2021")</f>
        <v/>
      </c>
      <c r="X884">
        <f>HYPERLINK("https://klasma.github.io/Logging_2313/tillsyn/A 44604-2021 tillsynsbegäran.docx", "A 44604-2021")</f>
        <v/>
      </c>
      <c r="Y884">
        <f>HYPERLINK("https://klasma.github.io/Logging_2313/tillsynsmail/A 44604-2021 tillsynsbegäran mail.docx", "A 44604-2021")</f>
        <v/>
      </c>
    </row>
    <row r="885" ht="15" customHeight="1">
      <c r="A885" t="inlineStr">
        <is>
          <t>A 44773-2021</t>
        </is>
      </c>
      <c r="B885" s="1" t="n">
        <v>44438</v>
      </c>
      <c r="C885" s="1" t="n">
        <v>45363</v>
      </c>
      <c r="D885" t="inlineStr">
        <is>
          <t>JÄMTLANDS LÄN</t>
        </is>
      </c>
      <c r="E885" t="inlineStr">
        <is>
          <t>STRÖMSUND</t>
        </is>
      </c>
      <c r="G885" t="n">
        <v>12.3</v>
      </c>
      <c r="H885" t="n">
        <v>0</v>
      </c>
      <c r="I885" t="n">
        <v>0</v>
      </c>
      <c r="J885" t="n">
        <v>1</v>
      </c>
      <c r="K885" t="n">
        <v>1</v>
      </c>
      <c r="L885" t="n">
        <v>0</v>
      </c>
      <c r="M885" t="n">
        <v>0</v>
      </c>
      <c r="N885" t="n">
        <v>0</v>
      </c>
      <c r="O885" t="n">
        <v>2</v>
      </c>
      <c r="P885" t="n">
        <v>1</v>
      </c>
      <c r="Q885" t="n">
        <v>2</v>
      </c>
      <c r="R885" s="2" t="inlineStr">
        <is>
          <t>Allékantlav
Lunglav</t>
        </is>
      </c>
      <c r="S885">
        <f>HYPERLINK("https://klasma.github.io/Logging_2313/artfynd/A 44773-2021 artfynd.xlsx", "A 44773-2021")</f>
        <v/>
      </c>
      <c r="T885">
        <f>HYPERLINK("https://klasma.github.io/Logging_2313/kartor/A 44773-2021 karta.png", "A 44773-2021")</f>
        <v/>
      </c>
      <c r="V885">
        <f>HYPERLINK("https://klasma.github.io/Logging_2313/klagomål/A 44773-2021 FSC-klagomål.docx", "A 44773-2021")</f>
        <v/>
      </c>
      <c r="W885">
        <f>HYPERLINK("https://klasma.github.io/Logging_2313/klagomålsmail/A 44773-2021 FSC-klagomål mail.docx", "A 44773-2021")</f>
        <v/>
      </c>
      <c r="X885">
        <f>HYPERLINK("https://klasma.github.io/Logging_2313/tillsyn/A 44773-2021 tillsynsbegäran.docx", "A 44773-2021")</f>
        <v/>
      </c>
      <c r="Y885">
        <f>HYPERLINK("https://klasma.github.io/Logging_2313/tillsynsmail/A 44773-2021 tillsynsbegäran mail.docx", "A 44773-2021")</f>
        <v/>
      </c>
    </row>
    <row r="886" ht="15" customHeight="1">
      <c r="A886" t="inlineStr">
        <is>
          <t>A 45633-2021</t>
        </is>
      </c>
      <c r="B886" s="1" t="n">
        <v>44440</v>
      </c>
      <c r="C886" s="1" t="n">
        <v>45363</v>
      </c>
      <c r="D886" t="inlineStr">
        <is>
          <t>JÄMTLANDS LÄN</t>
        </is>
      </c>
      <c r="E886" t="inlineStr">
        <is>
          <t>STRÖMSUND</t>
        </is>
      </c>
      <c r="F886" t="inlineStr">
        <is>
          <t>SCA</t>
        </is>
      </c>
      <c r="G886" t="n">
        <v>2.1</v>
      </c>
      <c r="H886" t="n">
        <v>0</v>
      </c>
      <c r="I886" t="n">
        <v>1</v>
      </c>
      <c r="J886" t="n">
        <v>1</v>
      </c>
      <c r="K886" t="n">
        <v>0</v>
      </c>
      <c r="L886" t="n">
        <v>0</v>
      </c>
      <c r="M886" t="n">
        <v>0</v>
      </c>
      <c r="N886" t="n">
        <v>0</v>
      </c>
      <c r="O886" t="n">
        <v>1</v>
      </c>
      <c r="P886" t="n">
        <v>0</v>
      </c>
      <c r="Q886" t="n">
        <v>2</v>
      </c>
      <c r="R886" s="2" t="inlineStr">
        <is>
          <t>Garnlav
Källmossa</t>
        </is>
      </c>
      <c r="S886">
        <f>HYPERLINK("https://klasma.github.io/Logging_2313/artfynd/A 45633-2021 artfynd.xlsx", "A 45633-2021")</f>
        <v/>
      </c>
      <c r="T886">
        <f>HYPERLINK("https://klasma.github.io/Logging_2313/kartor/A 45633-2021 karta.png", "A 45633-2021")</f>
        <v/>
      </c>
      <c r="V886">
        <f>HYPERLINK("https://klasma.github.io/Logging_2313/klagomål/A 45633-2021 FSC-klagomål.docx", "A 45633-2021")</f>
        <v/>
      </c>
      <c r="W886">
        <f>HYPERLINK("https://klasma.github.io/Logging_2313/klagomålsmail/A 45633-2021 FSC-klagomål mail.docx", "A 45633-2021")</f>
        <v/>
      </c>
      <c r="X886">
        <f>HYPERLINK("https://klasma.github.io/Logging_2313/tillsyn/A 45633-2021 tillsynsbegäran.docx", "A 45633-2021")</f>
        <v/>
      </c>
      <c r="Y886">
        <f>HYPERLINK("https://klasma.github.io/Logging_2313/tillsynsmail/A 45633-2021 tillsynsbegäran mail.docx", "A 45633-2021")</f>
        <v/>
      </c>
    </row>
    <row r="887" ht="15" customHeight="1">
      <c r="A887" t="inlineStr">
        <is>
          <t>A 46105-2021</t>
        </is>
      </c>
      <c r="B887" s="1" t="n">
        <v>44441</v>
      </c>
      <c r="C887" s="1" t="n">
        <v>45363</v>
      </c>
      <c r="D887" t="inlineStr">
        <is>
          <t>JÄMTLANDS LÄN</t>
        </is>
      </c>
      <c r="E887" t="inlineStr">
        <is>
          <t>ÖSTERSUND</t>
        </is>
      </c>
      <c r="G887" t="n">
        <v>4.4</v>
      </c>
      <c r="H887" t="n">
        <v>2</v>
      </c>
      <c r="I887" t="n">
        <v>0</v>
      </c>
      <c r="J887" t="n">
        <v>1</v>
      </c>
      <c r="K887" t="n">
        <v>1</v>
      </c>
      <c r="L887" t="n">
        <v>0</v>
      </c>
      <c r="M887" t="n">
        <v>0</v>
      </c>
      <c r="N887" t="n">
        <v>0</v>
      </c>
      <c r="O887" t="n">
        <v>2</v>
      </c>
      <c r="P887" t="n">
        <v>1</v>
      </c>
      <c r="Q887" t="n">
        <v>2</v>
      </c>
      <c r="R887" s="2" t="inlineStr">
        <is>
          <t>Tallbit
Tretåig hackspett</t>
        </is>
      </c>
      <c r="S887">
        <f>HYPERLINK("https://klasma.github.io/Logging_2380/artfynd/A 46105-2021 artfynd.xlsx", "A 46105-2021")</f>
        <v/>
      </c>
      <c r="T887">
        <f>HYPERLINK("https://klasma.github.io/Logging_2380/kartor/A 46105-2021 karta.png", "A 46105-2021")</f>
        <v/>
      </c>
      <c r="V887">
        <f>HYPERLINK("https://klasma.github.io/Logging_2380/klagomål/A 46105-2021 FSC-klagomål.docx", "A 46105-2021")</f>
        <v/>
      </c>
      <c r="W887">
        <f>HYPERLINK("https://klasma.github.io/Logging_2380/klagomålsmail/A 46105-2021 FSC-klagomål mail.docx", "A 46105-2021")</f>
        <v/>
      </c>
      <c r="X887">
        <f>HYPERLINK("https://klasma.github.io/Logging_2380/tillsyn/A 46105-2021 tillsynsbegäran.docx", "A 46105-2021")</f>
        <v/>
      </c>
      <c r="Y887">
        <f>HYPERLINK("https://klasma.github.io/Logging_2380/tillsynsmail/A 46105-2021 tillsynsbegäran mail.docx", "A 46105-2021")</f>
        <v/>
      </c>
      <c r="Z887">
        <f>HYPERLINK("https://klasma.github.io/Logging_2380/fåglar/A 46105-2021 prioriterade fågelarter.docx", "A 46105-2021")</f>
        <v/>
      </c>
    </row>
    <row r="888" ht="15" customHeight="1">
      <c r="A888" t="inlineStr">
        <is>
          <t>A 47164-2021</t>
        </is>
      </c>
      <c r="B888" s="1" t="n">
        <v>44447</v>
      </c>
      <c r="C888" s="1" t="n">
        <v>45363</v>
      </c>
      <c r="D888" t="inlineStr">
        <is>
          <t>JÄMTLANDS LÄN</t>
        </is>
      </c>
      <c r="E888" t="inlineStr">
        <is>
          <t>RAGUNDA</t>
        </is>
      </c>
      <c r="F888" t="inlineStr">
        <is>
          <t>SCA</t>
        </is>
      </c>
      <c r="G888" t="n">
        <v>8.5</v>
      </c>
      <c r="H888" t="n">
        <v>0</v>
      </c>
      <c r="I888" t="n">
        <v>0</v>
      </c>
      <c r="J888" t="n">
        <v>2</v>
      </c>
      <c r="K888" t="n">
        <v>0</v>
      </c>
      <c r="L888" t="n">
        <v>0</v>
      </c>
      <c r="M888" t="n">
        <v>0</v>
      </c>
      <c r="N888" t="n">
        <v>0</v>
      </c>
      <c r="O888" t="n">
        <v>2</v>
      </c>
      <c r="P888" t="n">
        <v>0</v>
      </c>
      <c r="Q888" t="n">
        <v>2</v>
      </c>
      <c r="R888" s="2" t="inlineStr">
        <is>
          <t>Lunglav
Mörk kolflarnlav</t>
        </is>
      </c>
      <c r="S888">
        <f>HYPERLINK("https://klasma.github.io/Logging_2303/artfynd/A 47164-2021 artfynd.xlsx", "A 47164-2021")</f>
        <v/>
      </c>
      <c r="T888">
        <f>HYPERLINK("https://klasma.github.io/Logging_2303/kartor/A 47164-2021 karta.png", "A 47164-2021")</f>
        <v/>
      </c>
      <c r="V888">
        <f>HYPERLINK("https://klasma.github.io/Logging_2303/klagomål/A 47164-2021 FSC-klagomål.docx", "A 47164-2021")</f>
        <v/>
      </c>
      <c r="W888">
        <f>HYPERLINK("https://klasma.github.io/Logging_2303/klagomålsmail/A 47164-2021 FSC-klagomål mail.docx", "A 47164-2021")</f>
        <v/>
      </c>
      <c r="X888">
        <f>HYPERLINK("https://klasma.github.io/Logging_2303/tillsyn/A 47164-2021 tillsynsbegäran.docx", "A 47164-2021")</f>
        <v/>
      </c>
      <c r="Y888">
        <f>HYPERLINK("https://klasma.github.io/Logging_2303/tillsynsmail/A 47164-2021 tillsynsbegäran mail.docx", "A 47164-2021")</f>
        <v/>
      </c>
    </row>
    <row r="889" ht="15" customHeight="1">
      <c r="A889" t="inlineStr">
        <is>
          <t>A 46984-2021</t>
        </is>
      </c>
      <c r="B889" s="1" t="n">
        <v>44446</v>
      </c>
      <c r="C889" s="1" t="n">
        <v>45363</v>
      </c>
      <c r="D889" t="inlineStr">
        <is>
          <t>JÄMTLANDS LÄN</t>
        </is>
      </c>
      <c r="E889" t="inlineStr">
        <is>
          <t>ÅRE</t>
        </is>
      </c>
      <c r="G889" t="n">
        <v>0.2</v>
      </c>
      <c r="H889" t="n">
        <v>1</v>
      </c>
      <c r="I889" t="n">
        <v>0</v>
      </c>
      <c r="J889" t="n">
        <v>2</v>
      </c>
      <c r="K889" t="n">
        <v>0</v>
      </c>
      <c r="L889" t="n">
        <v>0</v>
      </c>
      <c r="M889" t="n">
        <v>0</v>
      </c>
      <c r="N889" t="n">
        <v>0</v>
      </c>
      <c r="O889" t="n">
        <v>2</v>
      </c>
      <c r="P889" t="n">
        <v>0</v>
      </c>
      <c r="Q889" t="n">
        <v>2</v>
      </c>
      <c r="R889" s="2" t="inlineStr">
        <is>
          <t>Garnlav
Tretåig hackspett</t>
        </is>
      </c>
      <c r="S889">
        <f>HYPERLINK("https://klasma.github.io/Logging_2321/artfynd/A 46984-2021 artfynd.xlsx", "A 46984-2021")</f>
        <v/>
      </c>
      <c r="T889">
        <f>HYPERLINK("https://klasma.github.io/Logging_2321/kartor/A 46984-2021 karta.png", "A 46984-2021")</f>
        <v/>
      </c>
      <c r="V889">
        <f>HYPERLINK("https://klasma.github.io/Logging_2321/klagomål/A 46984-2021 FSC-klagomål.docx", "A 46984-2021")</f>
        <v/>
      </c>
      <c r="W889">
        <f>HYPERLINK("https://klasma.github.io/Logging_2321/klagomålsmail/A 46984-2021 FSC-klagomål mail.docx", "A 46984-2021")</f>
        <v/>
      </c>
      <c r="X889">
        <f>HYPERLINK("https://klasma.github.io/Logging_2321/tillsyn/A 46984-2021 tillsynsbegäran.docx", "A 46984-2021")</f>
        <v/>
      </c>
      <c r="Y889">
        <f>HYPERLINK("https://klasma.github.io/Logging_2321/tillsynsmail/A 46984-2021 tillsynsbegäran mail.docx", "A 46984-2021")</f>
        <v/>
      </c>
      <c r="Z889">
        <f>HYPERLINK("https://klasma.github.io/Logging_2321/fåglar/A 46984-2021 prioriterade fågelarter.docx", "A 46984-2021")</f>
        <v/>
      </c>
    </row>
    <row r="890" ht="15" customHeight="1">
      <c r="A890" t="inlineStr">
        <is>
          <t>A 47937-2021</t>
        </is>
      </c>
      <c r="B890" s="1" t="n">
        <v>44448</v>
      </c>
      <c r="C890" s="1" t="n">
        <v>45363</v>
      </c>
      <c r="D890" t="inlineStr">
        <is>
          <t>JÄMTLANDS LÄN</t>
        </is>
      </c>
      <c r="E890" t="inlineStr">
        <is>
          <t>STRÖMSUND</t>
        </is>
      </c>
      <c r="F890" t="inlineStr">
        <is>
          <t>SCA</t>
        </is>
      </c>
      <c r="G890" t="n">
        <v>1.9</v>
      </c>
      <c r="H890" t="n">
        <v>1</v>
      </c>
      <c r="I890" t="n">
        <v>0</v>
      </c>
      <c r="J890" t="n">
        <v>1</v>
      </c>
      <c r="K890" t="n">
        <v>1</v>
      </c>
      <c r="L890" t="n">
        <v>0</v>
      </c>
      <c r="M890" t="n">
        <v>0</v>
      </c>
      <c r="N890" t="n">
        <v>0</v>
      </c>
      <c r="O890" t="n">
        <v>2</v>
      </c>
      <c r="P890" t="n">
        <v>1</v>
      </c>
      <c r="Q890" t="n">
        <v>2</v>
      </c>
      <c r="R890" s="2" t="inlineStr">
        <is>
          <t>Knärot
Granticka</t>
        </is>
      </c>
      <c r="S890">
        <f>HYPERLINK("https://klasma.github.io/Logging_2313/artfynd/A 47937-2021 artfynd.xlsx", "A 47937-2021")</f>
        <v/>
      </c>
      <c r="T890">
        <f>HYPERLINK("https://klasma.github.io/Logging_2313/kartor/A 47937-2021 karta.png", "A 47937-2021")</f>
        <v/>
      </c>
      <c r="U890">
        <f>HYPERLINK("https://klasma.github.io/Logging_2313/knärot/A 47937-2021 karta knärot.png", "A 47937-2021")</f>
        <v/>
      </c>
      <c r="V890">
        <f>HYPERLINK("https://klasma.github.io/Logging_2313/klagomål/A 47937-2021 FSC-klagomål.docx", "A 47937-2021")</f>
        <v/>
      </c>
      <c r="W890">
        <f>HYPERLINK("https://klasma.github.io/Logging_2313/klagomålsmail/A 47937-2021 FSC-klagomål mail.docx", "A 47937-2021")</f>
        <v/>
      </c>
      <c r="X890">
        <f>HYPERLINK("https://klasma.github.io/Logging_2313/tillsyn/A 47937-2021 tillsynsbegäran.docx", "A 47937-2021")</f>
        <v/>
      </c>
      <c r="Y890">
        <f>HYPERLINK("https://klasma.github.io/Logging_2313/tillsynsmail/A 47937-2021 tillsynsbegäran mail.docx", "A 47937-2021")</f>
        <v/>
      </c>
    </row>
    <row r="891" ht="15" customHeight="1">
      <c r="A891" t="inlineStr">
        <is>
          <t>A 51950-2021</t>
        </is>
      </c>
      <c r="B891" s="1" t="n">
        <v>44463</v>
      </c>
      <c r="C891" s="1" t="n">
        <v>45363</v>
      </c>
      <c r="D891" t="inlineStr">
        <is>
          <t>JÄMTLANDS LÄN</t>
        </is>
      </c>
      <c r="E891" t="inlineStr">
        <is>
          <t>BERG</t>
        </is>
      </c>
      <c r="F891" t="inlineStr">
        <is>
          <t>SCA</t>
        </is>
      </c>
      <c r="G891" t="n">
        <v>0.8</v>
      </c>
      <c r="H891" t="n">
        <v>0</v>
      </c>
      <c r="I891" t="n">
        <v>0</v>
      </c>
      <c r="J891" t="n">
        <v>2</v>
      </c>
      <c r="K891" t="n">
        <v>0</v>
      </c>
      <c r="L891" t="n">
        <v>0</v>
      </c>
      <c r="M891" t="n">
        <v>0</v>
      </c>
      <c r="N891" t="n">
        <v>0</v>
      </c>
      <c r="O891" t="n">
        <v>2</v>
      </c>
      <c r="P891" t="n">
        <v>0</v>
      </c>
      <c r="Q891" t="n">
        <v>2</v>
      </c>
      <c r="R891" s="2" t="inlineStr">
        <is>
          <t>Garnlav
Vedflamlav</t>
        </is>
      </c>
      <c r="S891">
        <f>HYPERLINK("https://klasma.github.io/Logging_2326/artfynd/A 51950-2021 artfynd.xlsx", "A 51950-2021")</f>
        <v/>
      </c>
      <c r="T891">
        <f>HYPERLINK("https://klasma.github.io/Logging_2326/kartor/A 51950-2021 karta.png", "A 51950-2021")</f>
        <v/>
      </c>
      <c r="V891">
        <f>HYPERLINK("https://klasma.github.io/Logging_2326/klagomål/A 51950-2021 FSC-klagomål.docx", "A 51950-2021")</f>
        <v/>
      </c>
      <c r="W891">
        <f>HYPERLINK("https://klasma.github.io/Logging_2326/klagomålsmail/A 51950-2021 FSC-klagomål mail.docx", "A 51950-2021")</f>
        <v/>
      </c>
      <c r="X891">
        <f>HYPERLINK("https://klasma.github.io/Logging_2326/tillsyn/A 51950-2021 tillsynsbegäran.docx", "A 51950-2021")</f>
        <v/>
      </c>
      <c r="Y891">
        <f>HYPERLINK("https://klasma.github.io/Logging_2326/tillsynsmail/A 51950-2021 tillsynsbegäran mail.docx", "A 51950-2021")</f>
        <v/>
      </c>
    </row>
    <row r="892" ht="15" customHeight="1">
      <c r="A892" t="inlineStr">
        <is>
          <t>A 55240-2021</t>
        </is>
      </c>
      <c r="B892" s="1" t="n">
        <v>44475</v>
      </c>
      <c r="C892" s="1" t="n">
        <v>45363</v>
      </c>
      <c r="D892" t="inlineStr">
        <is>
          <t>JÄMTLANDS LÄN</t>
        </is>
      </c>
      <c r="E892" t="inlineStr">
        <is>
          <t>HÄRJEDALEN</t>
        </is>
      </c>
      <c r="G892" t="n">
        <v>3.5</v>
      </c>
      <c r="H892" t="n">
        <v>1</v>
      </c>
      <c r="I892" t="n">
        <v>0</v>
      </c>
      <c r="J892" t="n">
        <v>1</v>
      </c>
      <c r="K892" t="n">
        <v>1</v>
      </c>
      <c r="L892" t="n">
        <v>0</v>
      </c>
      <c r="M892" t="n">
        <v>0</v>
      </c>
      <c r="N892" t="n">
        <v>0</v>
      </c>
      <c r="O892" t="n">
        <v>2</v>
      </c>
      <c r="P892" t="n">
        <v>1</v>
      </c>
      <c r="Q892" t="n">
        <v>2</v>
      </c>
      <c r="R892" s="2" t="inlineStr">
        <is>
          <t>Varglavsknöl
Varglav</t>
        </is>
      </c>
      <c r="S892">
        <f>HYPERLINK("https://klasma.github.io/Logging_2361/artfynd/A 55240-2021 artfynd.xlsx", "A 55240-2021")</f>
        <v/>
      </c>
      <c r="T892">
        <f>HYPERLINK("https://klasma.github.io/Logging_2361/kartor/A 55240-2021 karta.png", "A 55240-2021")</f>
        <v/>
      </c>
      <c r="V892">
        <f>HYPERLINK("https://klasma.github.io/Logging_2361/klagomål/A 55240-2021 FSC-klagomål.docx", "A 55240-2021")</f>
        <v/>
      </c>
      <c r="W892">
        <f>HYPERLINK("https://klasma.github.io/Logging_2361/klagomålsmail/A 55240-2021 FSC-klagomål mail.docx", "A 55240-2021")</f>
        <v/>
      </c>
      <c r="X892">
        <f>HYPERLINK("https://klasma.github.io/Logging_2361/tillsyn/A 55240-2021 tillsynsbegäran.docx", "A 55240-2021")</f>
        <v/>
      </c>
      <c r="Y892">
        <f>HYPERLINK("https://klasma.github.io/Logging_2361/tillsynsmail/A 55240-2021 tillsynsbegäran mail.docx", "A 55240-2021")</f>
        <v/>
      </c>
    </row>
    <row r="893" ht="15" customHeight="1">
      <c r="A893" t="inlineStr">
        <is>
          <t>A 55228-2021</t>
        </is>
      </c>
      <c r="B893" s="1" t="n">
        <v>44475</v>
      </c>
      <c r="C893" s="1" t="n">
        <v>45363</v>
      </c>
      <c r="D893" t="inlineStr">
        <is>
          <t>JÄMTLANDS LÄN</t>
        </is>
      </c>
      <c r="E893" t="inlineStr">
        <is>
          <t>HÄRJEDALEN</t>
        </is>
      </c>
      <c r="G893" t="n">
        <v>1.7</v>
      </c>
      <c r="H893" t="n">
        <v>1</v>
      </c>
      <c r="I893" t="n">
        <v>0</v>
      </c>
      <c r="J893" t="n">
        <v>2</v>
      </c>
      <c r="K893" t="n">
        <v>0</v>
      </c>
      <c r="L893" t="n">
        <v>0</v>
      </c>
      <c r="M893" t="n">
        <v>0</v>
      </c>
      <c r="N893" t="n">
        <v>0</v>
      </c>
      <c r="O893" t="n">
        <v>2</v>
      </c>
      <c r="P893" t="n">
        <v>0</v>
      </c>
      <c r="Q893" t="n">
        <v>2</v>
      </c>
      <c r="R893" s="2" t="inlineStr">
        <is>
          <t>Varglav
Vedflamlav</t>
        </is>
      </c>
      <c r="S893">
        <f>HYPERLINK("https://klasma.github.io/Logging_2361/artfynd/A 55228-2021 artfynd.xlsx", "A 55228-2021")</f>
        <v/>
      </c>
      <c r="T893">
        <f>HYPERLINK("https://klasma.github.io/Logging_2361/kartor/A 55228-2021 karta.png", "A 55228-2021")</f>
        <v/>
      </c>
      <c r="V893">
        <f>HYPERLINK("https://klasma.github.io/Logging_2361/klagomål/A 55228-2021 FSC-klagomål.docx", "A 55228-2021")</f>
        <v/>
      </c>
      <c r="W893">
        <f>HYPERLINK("https://klasma.github.io/Logging_2361/klagomålsmail/A 55228-2021 FSC-klagomål mail.docx", "A 55228-2021")</f>
        <v/>
      </c>
      <c r="X893">
        <f>HYPERLINK("https://klasma.github.io/Logging_2361/tillsyn/A 55228-2021 tillsynsbegäran.docx", "A 55228-2021")</f>
        <v/>
      </c>
      <c r="Y893">
        <f>HYPERLINK("https://klasma.github.io/Logging_2361/tillsynsmail/A 55228-2021 tillsynsbegäran mail.docx", "A 55228-2021")</f>
        <v/>
      </c>
    </row>
    <row r="894" ht="15" customHeight="1">
      <c r="A894" t="inlineStr">
        <is>
          <t>A 55392-2021</t>
        </is>
      </c>
      <c r="B894" s="1" t="n">
        <v>44475</v>
      </c>
      <c r="C894" s="1" t="n">
        <v>45363</v>
      </c>
      <c r="D894" t="inlineStr">
        <is>
          <t>JÄMTLANDS LÄN</t>
        </is>
      </c>
      <c r="E894" t="inlineStr">
        <is>
          <t>HÄRJEDALEN</t>
        </is>
      </c>
      <c r="G894" t="n">
        <v>0.8</v>
      </c>
      <c r="H894" t="n">
        <v>0</v>
      </c>
      <c r="I894" t="n">
        <v>0</v>
      </c>
      <c r="J894" t="n">
        <v>2</v>
      </c>
      <c r="K894" t="n">
        <v>0</v>
      </c>
      <c r="L894" t="n">
        <v>0</v>
      </c>
      <c r="M894" t="n">
        <v>0</v>
      </c>
      <c r="N894" t="n">
        <v>0</v>
      </c>
      <c r="O894" t="n">
        <v>2</v>
      </c>
      <c r="P894" t="n">
        <v>0</v>
      </c>
      <c r="Q894" t="n">
        <v>2</v>
      </c>
      <c r="R894" s="2" t="inlineStr">
        <is>
          <t>Ladlav
Vedflamlav</t>
        </is>
      </c>
      <c r="S894">
        <f>HYPERLINK("https://klasma.github.io/Logging_2361/artfynd/A 55392-2021 artfynd.xlsx", "A 55392-2021")</f>
        <v/>
      </c>
      <c r="T894">
        <f>HYPERLINK("https://klasma.github.io/Logging_2361/kartor/A 55392-2021 karta.png", "A 55392-2021")</f>
        <v/>
      </c>
      <c r="V894">
        <f>HYPERLINK("https://klasma.github.io/Logging_2361/klagomål/A 55392-2021 FSC-klagomål.docx", "A 55392-2021")</f>
        <v/>
      </c>
      <c r="W894">
        <f>HYPERLINK("https://klasma.github.io/Logging_2361/klagomålsmail/A 55392-2021 FSC-klagomål mail.docx", "A 55392-2021")</f>
        <v/>
      </c>
      <c r="X894">
        <f>HYPERLINK("https://klasma.github.io/Logging_2361/tillsyn/A 55392-2021 tillsynsbegäran.docx", "A 55392-2021")</f>
        <v/>
      </c>
      <c r="Y894">
        <f>HYPERLINK("https://klasma.github.io/Logging_2361/tillsynsmail/A 55392-2021 tillsynsbegäran mail.docx", "A 55392-2021")</f>
        <v/>
      </c>
    </row>
    <row r="895" ht="15" customHeight="1">
      <c r="A895" t="inlineStr">
        <is>
          <t>A 59324-2021</t>
        </is>
      </c>
      <c r="B895" s="1" t="n">
        <v>44490</v>
      </c>
      <c r="C895" s="1" t="n">
        <v>45363</v>
      </c>
      <c r="D895" t="inlineStr">
        <is>
          <t>JÄMTLANDS LÄN</t>
        </is>
      </c>
      <c r="E895" t="inlineStr">
        <is>
          <t>BRÄCKE</t>
        </is>
      </c>
      <c r="F895" t="inlineStr">
        <is>
          <t>SCA</t>
        </is>
      </c>
      <c r="G895" t="n">
        <v>8.6</v>
      </c>
      <c r="H895" t="n">
        <v>0</v>
      </c>
      <c r="I895" t="n">
        <v>0</v>
      </c>
      <c r="J895" t="n">
        <v>2</v>
      </c>
      <c r="K895" t="n">
        <v>0</v>
      </c>
      <c r="L895" t="n">
        <v>0</v>
      </c>
      <c r="M895" t="n">
        <v>0</v>
      </c>
      <c r="N895" t="n">
        <v>0</v>
      </c>
      <c r="O895" t="n">
        <v>2</v>
      </c>
      <c r="P895" t="n">
        <v>0</v>
      </c>
      <c r="Q895" t="n">
        <v>2</v>
      </c>
      <c r="R895" s="2" t="inlineStr">
        <is>
          <t>Ullticka
Veckticka</t>
        </is>
      </c>
      <c r="S895">
        <f>HYPERLINK("https://klasma.github.io/Logging_2305/artfynd/A 59324-2021 artfynd.xlsx", "A 59324-2021")</f>
        <v/>
      </c>
      <c r="T895">
        <f>HYPERLINK("https://klasma.github.io/Logging_2305/kartor/A 59324-2021 karta.png", "A 59324-2021")</f>
        <v/>
      </c>
      <c r="V895">
        <f>HYPERLINK("https://klasma.github.io/Logging_2305/klagomål/A 59324-2021 FSC-klagomål.docx", "A 59324-2021")</f>
        <v/>
      </c>
      <c r="W895">
        <f>HYPERLINK("https://klasma.github.io/Logging_2305/klagomålsmail/A 59324-2021 FSC-klagomål mail.docx", "A 59324-2021")</f>
        <v/>
      </c>
      <c r="X895">
        <f>HYPERLINK("https://klasma.github.io/Logging_2305/tillsyn/A 59324-2021 tillsynsbegäran.docx", "A 59324-2021")</f>
        <v/>
      </c>
      <c r="Y895">
        <f>HYPERLINK("https://klasma.github.io/Logging_2305/tillsynsmail/A 59324-2021 tillsynsbegäran mail.docx", "A 59324-2021")</f>
        <v/>
      </c>
    </row>
    <row r="896" ht="15" customHeight="1">
      <c r="A896" t="inlineStr">
        <is>
          <t>A 61465-2021</t>
        </is>
      </c>
      <c r="B896" s="1" t="n">
        <v>44500</v>
      </c>
      <c r="C896" s="1" t="n">
        <v>45363</v>
      </c>
      <c r="D896" t="inlineStr">
        <is>
          <t>JÄMTLANDS LÄN</t>
        </is>
      </c>
      <c r="E896" t="inlineStr">
        <is>
          <t>BRÄCKE</t>
        </is>
      </c>
      <c r="F896" t="inlineStr">
        <is>
          <t>SCA</t>
        </is>
      </c>
      <c r="G896" t="n">
        <v>2.8</v>
      </c>
      <c r="H896" t="n">
        <v>0</v>
      </c>
      <c r="I896" t="n">
        <v>0</v>
      </c>
      <c r="J896" t="n">
        <v>2</v>
      </c>
      <c r="K896" t="n">
        <v>0</v>
      </c>
      <c r="L896" t="n">
        <v>0</v>
      </c>
      <c r="M896" t="n">
        <v>0</v>
      </c>
      <c r="N896" t="n">
        <v>0</v>
      </c>
      <c r="O896" t="n">
        <v>2</v>
      </c>
      <c r="P896" t="n">
        <v>0</v>
      </c>
      <c r="Q896" t="n">
        <v>2</v>
      </c>
      <c r="R896" s="2" t="inlineStr">
        <is>
          <t>Garnlav
Lunglav</t>
        </is>
      </c>
      <c r="S896">
        <f>HYPERLINK("https://klasma.github.io/Logging_2305/artfynd/A 61465-2021 artfynd.xlsx", "A 61465-2021")</f>
        <v/>
      </c>
      <c r="T896">
        <f>HYPERLINK("https://klasma.github.io/Logging_2305/kartor/A 61465-2021 karta.png", "A 61465-2021")</f>
        <v/>
      </c>
      <c r="V896">
        <f>HYPERLINK("https://klasma.github.io/Logging_2305/klagomål/A 61465-2021 FSC-klagomål.docx", "A 61465-2021")</f>
        <v/>
      </c>
      <c r="W896">
        <f>HYPERLINK("https://klasma.github.io/Logging_2305/klagomålsmail/A 61465-2021 FSC-klagomål mail.docx", "A 61465-2021")</f>
        <v/>
      </c>
      <c r="X896">
        <f>HYPERLINK("https://klasma.github.io/Logging_2305/tillsyn/A 61465-2021 tillsynsbegäran.docx", "A 61465-2021")</f>
        <v/>
      </c>
      <c r="Y896">
        <f>HYPERLINK("https://klasma.github.io/Logging_2305/tillsynsmail/A 61465-2021 tillsynsbegäran mail.docx", "A 61465-2021")</f>
        <v/>
      </c>
    </row>
    <row r="897" ht="15" customHeight="1">
      <c r="A897" t="inlineStr">
        <is>
          <t>A 61440-2021</t>
        </is>
      </c>
      <c r="B897" s="1" t="n">
        <v>44500</v>
      </c>
      <c r="C897" s="1" t="n">
        <v>45363</v>
      </c>
      <c r="D897" t="inlineStr">
        <is>
          <t>JÄMTLANDS LÄN</t>
        </is>
      </c>
      <c r="E897" t="inlineStr">
        <is>
          <t>STRÖMSUND</t>
        </is>
      </c>
      <c r="F897" t="inlineStr">
        <is>
          <t>SCA</t>
        </is>
      </c>
      <c r="G897" t="n">
        <v>4.1</v>
      </c>
      <c r="H897" t="n">
        <v>0</v>
      </c>
      <c r="I897" t="n">
        <v>0</v>
      </c>
      <c r="J897" t="n">
        <v>2</v>
      </c>
      <c r="K897" t="n">
        <v>0</v>
      </c>
      <c r="L897" t="n">
        <v>0</v>
      </c>
      <c r="M897" t="n">
        <v>0</v>
      </c>
      <c r="N897" t="n">
        <v>0</v>
      </c>
      <c r="O897" t="n">
        <v>2</v>
      </c>
      <c r="P897" t="n">
        <v>0</v>
      </c>
      <c r="Q897" t="n">
        <v>2</v>
      </c>
      <c r="R897" s="2" t="inlineStr">
        <is>
          <t>Dvärgbägarlav
Mörk kolflarnlav</t>
        </is>
      </c>
      <c r="S897">
        <f>HYPERLINK("https://klasma.github.io/Logging_2313/artfynd/A 61440-2021 artfynd.xlsx", "A 61440-2021")</f>
        <v/>
      </c>
      <c r="T897">
        <f>HYPERLINK("https://klasma.github.io/Logging_2313/kartor/A 61440-2021 karta.png", "A 61440-2021")</f>
        <v/>
      </c>
      <c r="V897">
        <f>HYPERLINK("https://klasma.github.io/Logging_2313/klagomål/A 61440-2021 FSC-klagomål.docx", "A 61440-2021")</f>
        <v/>
      </c>
      <c r="W897">
        <f>HYPERLINK("https://klasma.github.io/Logging_2313/klagomålsmail/A 61440-2021 FSC-klagomål mail.docx", "A 61440-2021")</f>
        <v/>
      </c>
      <c r="X897">
        <f>HYPERLINK("https://klasma.github.io/Logging_2313/tillsyn/A 61440-2021 tillsynsbegäran.docx", "A 61440-2021")</f>
        <v/>
      </c>
      <c r="Y897">
        <f>HYPERLINK("https://klasma.github.io/Logging_2313/tillsynsmail/A 61440-2021 tillsynsbegäran mail.docx", "A 61440-2021")</f>
        <v/>
      </c>
    </row>
    <row r="898" ht="15" customHeight="1">
      <c r="A898" t="inlineStr">
        <is>
          <t>A 63532-2021</t>
        </is>
      </c>
      <c r="B898" s="1" t="n">
        <v>44504</v>
      </c>
      <c r="C898" s="1" t="n">
        <v>45363</v>
      </c>
      <c r="D898" t="inlineStr">
        <is>
          <t>JÄMTLANDS LÄN</t>
        </is>
      </c>
      <c r="E898" t="inlineStr">
        <is>
          <t>STRÖMSUND</t>
        </is>
      </c>
      <c r="F898" t="inlineStr">
        <is>
          <t>SCA</t>
        </is>
      </c>
      <c r="G898" t="n">
        <v>22.3</v>
      </c>
      <c r="H898" t="n">
        <v>0</v>
      </c>
      <c r="I898" t="n">
        <v>0</v>
      </c>
      <c r="J898" t="n">
        <v>1</v>
      </c>
      <c r="K898" t="n">
        <v>1</v>
      </c>
      <c r="L898" t="n">
        <v>0</v>
      </c>
      <c r="M898" t="n">
        <v>0</v>
      </c>
      <c r="N898" t="n">
        <v>0</v>
      </c>
      <c r="O898" t="n">
        <v>2</v>
      </c>
      <c r="P898" t="n">
        <v>1</v>
      </c>
      <c r="Q898" t="n">
        <v>2</v>
      </c>
      <c r="R898" s="2" t="inlineStr">
        <is>
          <t>Norsk näverlav
Gränsticka</t>
        </is>
      </c>
      <c r="S898">
        <f>HYPERLINK("https://klasma.github.io/Logging_2313/artfynd/A 63532-2021 artfynd.xlsx", "A 63532-2021")</f>
        <v/>
      </c>
      <c r="T898">
        <f>HYPERLINK("https://klasma.github.io/Logging_2313/kartor/A 63532-2021 karta.png", "A 63532-2021")</f>
        <v/>
      </c>
      <c r="V898">
        <f>HYPERLINK("https://klasma.github.io/Logging_2313/klagomål/A 63532-2021 FSC-klagomål.docx", "A 63532-2021")</f>
        <v/>
      </c>
      <c r="W898">
        <f>HYPERLINK("https://klasma.github.io/Logging_2313/klagomålsmail/A 63532-2021 FSC-klagomål mail.docx", "A 63532-2021")</f>
        <v/>
      </c>
      <c r="X898">
        <f>HYPERLINK("https://klasma.github.io/Logging_2313/tillsyn/A 63532-2021 tillsynsbegäran.docx", "A 63532-2021")</f>
        <v/>
      </c>
      <c r="Y898">
        <f>HYPERLINK("https://klasma.github.io/Logging_2313/tillsynsmail/A 63532-2021 tillsynsbegäran mail.docx", "A 63532-2021")</f>
        <v/>
      </c>
    </row>
    <row r="899" ht="15" customHeight="1">
      <c r="A899" t="inlineStr">
        <is>
          <t>A 63601-2021</t>
        </is>
      </c>
      <c r="B899" s="1" t="n">
        <v>44508</v>
      </c>
      <c r="C899" s="1" t="n">
        <v>45363</v>
      </c>
      <c r="D899" t="inlineStr">
        <is>
          <t>JÄMTLANDS LÄN</t>
        </is>
      </c>
      <c r="E899" t="inlineStr">
        <is>
          <t>ÖSTERSUND</t>
        </is>
      </c>
      <c r="F899" t="inlineStr">
        <is>
          <t>SCA</t>
        </is>
      </c>
      <c r="G899" t="n">
        <v>2.9</v>
      </c>
      <c r="H899" t="n">
        <v>0</v>
      </c>
      <c r="I899" t="n">
        <v>1</v>
      </c>
      <c r="J899" t="n">
        <v>0</v>
      </c>
      <c r="K899" t="n">
        <v>1</v>
      </c>
      <c r="L899" t="n">
        <v>0</v>
      </c>
      <c r="M899" t="n">
        <v>0</v>
      </c>
      <c r="N899" t="n">
        <v>0</v>
      </c>
      <c r="O899" t="n">
        <v>1</v>
      </c>
      <c r="P899" t="n">
        <v>1</v>
      </c>
      <c r="Q899" t="n">
        <v>2</v>
      </c>
      <c r="R899" s="2" t="inlineStr">
        <is>
          <t>Läderdoftande fingersvamp
Blodvaxskivling</t>
        </is>
      </c>
      <c r="S899">
        <f>HYPERLINK("https://klasma.github.io/Logging_2380/artfynd/A 63601-2021 artfynd.xlsx", "A 63601-2021")</f>
        <v/>
      </c>
      <c r="T899">
        <f>HYPERLINK("https://klasma.github.io/Logging_2380/kartor/A 63601-2021 karta.png", "A 63601-2021")</f>
        <v/>
      </c>
      <c r="V899">
        <f>HYPERLINK("https://klasma.github.io/Logging_2380/klagomål/A 63601-2021 FSC-klagomål.docx", "A 63601-2021")</f>
        <v/>
      </c>
      <c r="W899">
        <f>HYPERLINK("https://klasma.github.io/Logging_2380/klagomålsmail/A 63601-2021 FSC-klagomål mail.docx", "A 63601-2021")</f>
        <v/>
      </c>
      <c r="X899">
        <f>HYPERLINK("https://klasma.github.io/Logging_2380/tillsyn/A 63601-2021 tillsynsbegäran.docx", "A 63601-2021")</f>
        <v/>
      </c>
      <c r="Y899">
        <f>HYPERLINK("https://klasma.github.io/Logging_2380/tillsynsmail/A 63601-2021 tillsynsbegäran mail.docx", "A 63601-2021")</f>
        <v/>
      </c>
    </row>
    <row r="900" ht="15" customHeight="1">
      <c r="A900" t="inlineStr">
        <is>
          <t>A 64663-2021</t>
        </is>
      </c>
      <c r="B900" s="1" t="n">
        <v>44512</v>
      </c>
      <c r="C900" s="1" t="n">
        <v>45363</v>
      </c>
      <c r="D900" t="inlineStr">
        <is>
          <t>JÄMTLANDS LÄN</t>
        </is>
      </c>
      <c r="E900" t="inlineStr">
        <is>
          <t>ÅRE</t>
        </is>
      </c>
      <c r="G900" t="n">
        <v>14.5</v>
      </c>
      <c r="H900" t="n">
        <v>0</v>
      </c>
      <c r="I900" t="n">
        <v>0</v>
      </c>
      <c r="J900" t="n">
        <v>1</v>
      </c>
      <c r="K900" t="n">
        <v>1</v>
      </c>
      <c r="L900" t="n">
        <v>0</v>
      </c>
      <c r="M900" t="n">
        <v>0</v>
      </c>
      <c r="N900" t="n">
        <v>0</v>
      </c>
      <c r="O900" t="n">
        <v>2</v>
      </c>
      <c r="P900" t="n">
        <v>1</v>
      </c>
      <c r="Q900" t="n">
        <v>2</v>
      </c>
      <c r="R900" s="2" t="inlineStr">
        <is>
          <t>Sotbandad spindling
Vitterspindling</t>
        </is>
      </c>
      <c r="S900">
        <f>HYPERLINK("https://klasma.github.io/Logging_2321/artfynd/A 64663-2021 artfynd.xlsx", "A 64663-2021")</f>
        <v/>
      </c>
      <c r="T900">
        <f>HYPERLINK("https://klasma.github.io/Logging_2321/kartor/A 64663-2021 karta.png", "A 64663-2021")</f>
        <v/>
      </c>
      <c r="V900">
        <f>HYPERLINK("https://klasma.github.io/Logging_2321/klagomål/A 64663-2021 FSC-klagomål.docx", "A 64663-2021")</f>
        <v/>
      </c>
      <c r="W900">
        <f>HYPERLINK("https://klasma.github.io/Logging_2321/klagomålsmail/A 64663-2021 FSC-klagomål mail.docx", "A 64663-2021")</f>
        <v/>
      </c>
      <c r="X900">
        <f>HYPERLINK("https://klasma.github.io/Logging_2321/tillsyn/A 64663-2021 tillsynsbegäran.docx", "A 64663-2021")</f>
        <v/>
      </c>
      <c r="Y900">
        <f>HYPERLINK("https://klasma.github.io/Logging_2321/tillsynsmail/A 64663-2021 tillsynsbegäran mail.docx", "A 64663-2021")</f>
        <v/>
      </c>
    </row>
    <row r="901" ht="15" customHeight="1">
      <c r="A901" t="inlineStr">
        <is>
          <t>A 64668-2021</t>
        </is>
      </c>
      <c r="B901" s="1" t="n">
        <v>44512</v>
      </c>
      <c r="C901" s="1" t="n">
        <v>45363</v>
      </c>
      <c r="D901" t="inlineStr">
        <is>
          <t>JÄMTLANDS LÄN</t>
        </is>
      </c>
      <c r="E901" t="inlineStr">
        <is>
          <t>ÅRE</t>
        </is>
      </c>
      <c r="G901" t="n">
        <v>1.9</v>
      </c>
      <c r="H901" t="n">
        <v>1</v>
      </c>
      <c r="I901" t="n">
        <v>0</v>
      </c>
      <c r="J901" t="n">
        <v>2</v>
      </c>
      <c r="K901" t="n">
        <v>0</v>
      </c>
      <c r="L901" t="n">
        <v>0</v>
      </c>
      <c r="M901" t="n">
        <v>0</v>
      </c>
      <c r="N901" t="n">
        <v>0</v>
      </c>
      <c r="O901" t="n">
        <v>2</v>
      </c>
      <c r="P901" t="n">
        <v>0</v>
      </c>
      <c r="Q901" t="n">
        <v>2</v>
      </c>
      <c r="R901" s="2" t="inlineStr">
        <is>
          <t>Granticka
Tretåig hackspett</t>
        </is>
      </c>
      <c r="S901">
        <f>HYPERLINK("https://klasma.github.io/Logging_2321/artfynd/A 64668-2021 artfynd.xlsx", "A 64668-2021")</f>
        <v/>
      </c>
      <c r="T901">
        <f>HYPERLINK("https://klasma.github.io/Logging_2321/kartor/A 64668-2021 karta.png", "A 64668-2021")</f>
        <v/>
      </c>
      <c r="V901">
        <f>HYPERLINK("https://klasma.github.io/Logging_2321/klagomål/A 64668-2021 FSC-klagomål.docx", "A 64668-2021")</f>
        <v/>
      </c>
      <c r="W901">
        <f>HYPERLINK("https://klasma.github.io/Logging_2321/klagomålsmail/A 64668-2021 FSC-klagomål mail.docx", "A 64668-2021")</f>
        <v/>
      </c>
      <c r="X901">
        <f>HYPERLINK("https://klasma.github.io/Logging_2321/tillsyn/A 64668-2021 tillsynsbegäran.docx", "A 64668-2021")</f>
        <v/>
      </c>
      <c r="Y901">
        <f>HYPERLINK("https://klasma.github.io/Logging_2321/tillsynsmail/A 64668-2021 tillsynsbegäran mail.docx", "A 64668-2021")</f>
        <v/>
      </c>
      <c r="Z901">
        <f>HYPERLINK("https://klasma.github.io/Logging_2321/fåglar/A 64668-2021 prioriterade fågelarter.docx", "A 64668-2021")</f>
        <v/>
      </c>
    </row>
    <row r="902" ht="15" customHeight="1">
      <c r="A902" t="inlineStr">
        <is>
          <t>A 67700-2021</t>
        </is>
      </c>
      <c r="B902" s="1" t="n">
        <v>44524</v>
      </c>
      <c r="C902" s="1" t="n">
        <v>45363</v>
      </c>
      <c r="D902" t="inlineStr">
        <is>
          <t>JÄMTLANDS LÄN</t>
        </is>
      </c>
      <c r="E902" t="inlineStr">
        <is>
          <t>KROKOM</t>
        </is>
      </c>
      <c r="F902" t="inlineStr">
        <is>
          <t>SCA</t>
        </is>
      </c>
      <c r="G902" t="n">
        <v>1.3</v>
      </c>
      <c r="H902" t="n">
        <v>1</v>
      </c>
      <c r="I902" t="n">
        <v>0</v>
      </c>
      <c r="J902" t="n">
        <v>1</v>
      </c>
      <c r="K902" t="n">
        <v>0</v>
      </c>
      <c r="L902" t="n">
        <v>0</v>
      </c>
      <c r="M902" t="n">
        <v>0</v>
      </c>
      <c r="N902" t="n">
        <v>0</v>
      </c>
      <c r="O902" t="n">
        <v>1</v>
      </c>
      <c r="P902" t="n">
        <v>0</v>
      </c>
      <c r="Q902" t="n">
        <v>2</v>
      </c>
      <c r="R902" s="2" t="inlineStr">
        <is>
          <t>Lunglav
Blåsippa</t>
        </is>
      </c>
      <c r="S902">
        <f>HYPERLINK("https://klasma.github.io/Logging_2309/artfynd/A 67700-2021 artfynd.xlsx", "A 67700-2021")</f>
        <v/>
      </c>
      <c r="T902">
        <f>HYPERLINK("https://klasma.github.io/Logging_2309/kartor/A 67700-2021 karta.png", "A 67700-2021")</f>
        <v/>
      </c>
      <c r="V902">
        <f>HYPERLINK("https://klasma.github.io/Logging_2309/klagomål/A 67700-2021 FSC-klagomål.docx", "A 67700-2021")</f>
        <v/>
      </c>
      <c r="W902">
        <f>HYPERLINK("https://klasma.github.io/Logging_2309/klagomålsmail/A 67700-2021 FSC-klagomål mail.docx", "A 67700-2021")</f>
        <v/>
      </c>
      <c r="X902">
        <f>HYPERLINK("https://klasma.github.io/Logging_2309/tillsyn/A 67700-2021 tillsynsbegäran.docx", "A 67700-2021")</f>
        <v/>
      </c>
      <c r="Y902">
        <f>HYPERLINK("https://klasma.github.io/Logging_2309/tillsynsmail/A 67700-2021 tillsynsbegäran mail.docx", "A 67700-2021")</f>
        <v/>
      </c>
    </row>
    <row r="903" ht="15" customHeight="1">
      <c r="A903" t="inlineStr">
        <is>
          <t>A 69811-2021</t>
        </is>
      </c>
      <c r="B903" s="1" t="n">
        <v>44532</v>
      </c>
      <c r="C903" s="1" t="n">
        <v>45363</v>
      </c>
      <c r="D903" t="inlineStr">
        <is>
          <t>JÄMTLANDS LÄN</t>
        </is>
      </c>
      <c r="E903" t="inlineStr">
        <is>
          <t>STRÖMSUND</t>
        </is>
      </c>
      <c r="G903" t="n">
        <v>6.7</v>
      </c>
      <c r="H903" t="n">
        <v>1</v>
      </c>
      <c r="I903" t="n">
        <v>1</v>
      </c>
      <c r="J903" t="n">
        <v>1</v>
      </c>
      <c r="K903" t="n">
        <v>0</v>
      </c>
      <c r="L903" t="n">
        <v>0</v>
      </c>
      <c r="M903" t="n">
        <v>0</v>
      </c>
      <c r="N903" t="n">
        <v>0</v>
      </c>
      <c r="O903" t="n">
        <v>1</v>
      </c>
      <c r="P903" t="n">
        <v>0</v>
      </c>
      <c r="Q903" t="n">
        <v>2</v>
      </c>
      <c r="R903" s="2" t="inlineStr">
        <is>
          <t>Gränsticka
Spindelblomster</t>
        </is>
      </c>
      <c r="S903">
        <f>HYPERLINK("https://klasma.github.io/Logging_2313/artfynd/A 69811-2021 artfynd.xlsx", "A 69811-2021")</f>
        <v/>
      </c>
      <c r="T903">
        <f>HYPERLINK("https://klasma.github.io/Logging_2313/kartor/A 69811-2021 karta.png", "A 69811-2021")</f>
        <v/>
      </c>
      <c r="V903">
        <f>HYPERLINK("https://klasma.github.io/Logging_2313/klagomål/A 69811-2021 FSC-klagomål.docx", "A 69811-2021")</f>
        <v/>
      </c>
      <c r="W903">
        <f>HYPERLINK("https://klasma.github.io/Logging_2313/klagomålsmail/A 69811-2021 FSC-klagomål mail.docx", "A 69811-2021")</f>
        <v/>
      </c>
      <c r="X903">
        <f>HYPERLINK("https://klasma.github.io/Logging_2313/tillsyn/A 69811-2021 tillsynsbegäran.docx", "A 69811-2021")</f>
        <v/>
      </c>
      <c r="Y903">
        <f>HYPERLINK("https://klasma.github.io/Logging_2313/tillsynsmail/A 69811-2021 tillsynsbegäran mail.docx", "A 69811-2021")</f>
        <v/>
      </c>
    </row>
    <row r="904" ht="15" customHeight="1">
      <c r="A904" t="inlineStr">
        <is>
          <t>A 71571-2021</t>
        </is>
      </c>
      <c r="B904" s="1" t="n">
        <v>44540</v>
      </c>
      <c r="C904" s="1" t="n">
        <v>45363</v>
      </c>
      <c r="D904" t="inlineStr">
        <is>
          <t>JÄMTLANDS LÄN</t>
        </is>
      </c>
      <c r="E904" t="inlineStr">
        <is>
          <t>KROKOM</t>
        </is>
      </c>
      <c r="G904" t="n">
        <v>0.7</v>
      </c>
      <c r="H904" t="n">
        <v>0</v>
      </c>
      <c r="I904" t="n">
        <v>1</v>
      </c>
      <c r="J904" t="n">
        <v>1</v>
      </c>
      <c r="K904" t="n">
        <v>0</v>
      </c>
      <c r="L904" t="n">
        <v>0</v>
      </c>
      <c r="M904" t="n">
        <v>0</v>
      </c>
      <c r="N904" t="n">
        <v>0</v>
      </c>
      <c r="O904" t="n">
        <v>1</v>
      </c>
      <c r="P904" t="n">
        <v>0</v>
      </c>
      <c r="Q904" t="n">
        <v>2</v>
      </c>
      <c r="R904" s="2" t="inlineStr">
        <is>
          <t>Skrovellav
Kryddspindling</t>
        </is>
      </c>
      <c r="S904">
        <f>HYPERLINK("https://klasma.github.io/Logging_2309/artfynd/A 71571-2021 artfynd.xlsx", "A 71571-2021")</f>
        <v/>
      </c>
      <c r="T904">
        <f>HYPERLINK("https://klasma.github.io/Logging_2309/kartor/A 71571-2021 karta.png", "A 71571-2021")</f>
        <v/>
      </c>
      <c r="V904">
        <f>HYPERLINK("https://klasma.github.io/Logging_2309/klagomål/A 71571-2021 FSC-klagomål.docx", "A 71571-2021")</f>
        <v/>
      </c>
      <c r="W904">
        <f>HYPERLINK("https://klasma.github.io/Logging_2309/klagomålsmail/A 71571-2021 FSC-klagomål mail.docx", "A 71571-2021")</f>
        <v/>
      </c>
      <c r="X904">
        <f>HYPERLINK("https://klasma.github.io/Logging_2309/tillsyn/A 71571-2021 tillsynsbegäran.docx", "A 71571-2021")</f>
        <v/>
      </c>
      <c r="Y904">
        <f>HYPERLINK("https://klasma.github.io/Logging_2309/tillsynsmail/A 71571-2021 tillsynsbegäran mail.docx", "A 71571-2021")</f>
        <v/>
      </c>
    </row>
    <row r="905" ht="15" customHeight="1">
      <c r="A905" t="inlineStr">
        <is>
          <t>A 3913-2022</t>
        </is>
      </c>
      <c r="B905" s="1" t="n">
        <v>44587</v>
      </c>
      <c r="C905" s="1" t="n">
        <v>45363</v>
      </c>
      <c r="D905" t="inlineStr">
        <is>
          <t>JÄMTLANDS LÄN</t>
        </is>
      </c>
      <c r="E905" t="inlineStr">
        <is>
          <t>BRÄCKE</t>
        </is>
      </c>
      <c r="G905" t="n">
        <v>0.9</v>
      </c>
      <c r="H905" t="n">
        <v>1</v>
      </c>
      <c r="I905" t="n">
        <v>1</v>
      </c>
      <c r="J905" t="n">
        <v>1</v>
      </c>
      <c r="K905" t="n">
        <v>0</v>
      </c>
      <c r="L905" t="n">
        <v>0</v>
      </c>
      <c r="M905" t="n">
        <v>0</v>
      </c>
      <c r="N905" t="n">
        <v>0</v>
      </c>
      <c r="O905" t="n">
        <v>1</v>
      </c>
      <c r="P905" t="n">
        <v>0</v>
      </c>
      <c r="Q905" t="n">
        <v>2</v>
      </c>
      <c r="R905" s="2" t="inlineStr">
        <is>
          <t>Skogsfru
Ögonpyrola</t>
        </is>
      </c>
      <c r="S905">
        <f>HYPERLINK("https://klasma.github.io/Logging_2305/artfynd/A 3913-2022 artfynd.xlsx", "A 3913-2022")</f>
        <v/>
      </c>
      <c r="T905">
        <f>HYPERLINK("https://klasma.github.io/Logging_2305/kartor/A 3913-2022 karta.png", "A 3913-2022")</f>
        <v/>
      </c>
      <c r="U905">
        <f>HYPERLINK("https://klasma.github.io/Logging_2305/knärot/A 3913-2022 karta knärot.png", "A 3913-2022")</f>
        <v/>
      </c>
      <c r="V905">
        <f>HYPERLINK("https://klasma.github.io/Logging_2305/klagomål/A 3913-2022 FSC-klagomål.docx", "A 3913-2022")</f>
        <v/>
      </c>
      <c r="W905">
        <f>HYPERLINK("https://klasma.github.io/Logging_2305/klagomålsmail/A 3913-2022 FSC-klagomål mail.docx", "A 3913-2022")</f>
        <v/>
      </c>
      <c r="X905">
        <f>HYPERLINK("https://klasma.github.io/Logging_2305/tillsyn/A 3913-2022 tillsynsbegäran.docx", "A 3913-2022")</f>
        <v/>
      </c>
      <c r="Y905">
        <f>HYPERLINK("https://klasma.github.io/Logging_2305/tillsynsmail/A 3913-2022 tillsynsbegäran mail.docx", "A 3913-2022")</f>
        <v/>
      </c>
    </row>
    <row r="906" ht="15" customHeight="1">
      <c r="A906" t="inlineStr">
        <is>
          <t>A 6334-2022</t>
        </is>
      </c>
      <c r="B906" s="1" t="n">
        <v>44600</v>
      </c>
      <c r="C906" s="1" t="n">
        <v>45363</v>
      </c>
      <c r="D906" t="inlineStr">
        <is>
          <t>JÄMTLANDS LÄN</t>
        </is>
      </c>
      <c r="E906" t="inlineStr">
        <is>
          <t>STRÖMSUND</t>
        </is>
      </c>
      <c r="G906" t="n">
        <v>16.7</v>
      </c>
      <c r="H906" t="n">
        <v>0</v>
      </c>
      <c r="I906" t="n">
        <v>1</v>
      </c>
      <c r="J906" t="n">
        <v>1</v>
      </c>
      <c r="K906" t="n">
        <v>0</v>
      </c>
      <c r="L906" t="n">
        <v>0</v>
      </c>
      <c r="M906" t="n">
        <v>0</v>
      </c>
      <c r="N906" t="n">
        <v>0</v>
      </c>
      <c r="O906" t="n">
        <v>1</v>
      </c>
      <c r="P906" t="n">
        <v>0</v>
      </c>
      <c r="Q906" t="n">
        <v>2</v>
      </c>
      <c r="R906" s="2" t="inlineStr">
        <is>
          <t>Lunglav
Luddlav</t>
        </is>
      </c>
      <c r="S906">
        <f>HYPERLINK("https://klasma.github.io/Logging_2313/artfynd/A 6334-2022 artfynd.xlsx", "A 6334-2022")</f>
        <v/>
      </c>
      <c r="T906">
        <f>HYPERLINK("https://klasma.github.io/Logging_2313/kartor/A 6334-2022 karta.png", "A 6334-2022")</f>
        <v/>
      </c>
      <c r="V906">
        <f>HYPERLINK("https://klasma.github.io/Logging_2313/klagomål/A 6334-2022 FSC-klagomål.docx", "A 6334-2022")</f>
        <v/>
      </c>
      <c r="W906">
        <f>HYPERLINK("https://klasma.github.io/Logging_2313/klagomålsmail/A 6334-2022 FSC-klagomål mail.docx", "A 6334-2022")</f>
        <v/>
      </c>
      <c r="X906">
        <f>HYPERLINK("https://klasma.github.io/Logging_2313/tillsyn/A 6334-2022 tillsynsbegäran.docx", "A 6334-2022")</f>
        <v/>
      </c>
      <c r="Y906">
        <f>HYPERLINK("https://klasma.github.io/Logging_2313/tillsynsmail/A 6334-2022 tillsynsbegäran mail.docx", "A 6334-2022")</f>
        <v/>
      </c>
    </row>
    <row r="907" ht="15" customHeight="1">
      <c r="A907" t="inlineStr">
        <is>
          <t>A 6784-2022</t>
        </is>
      </c>
      <c r="B907" s="1" t="n">
        <v>44602</v>
      </c>
      <c r="C907" s="1" t="n">
        <v>45363</v>
      </c>
      <c r="D907" t="inlineStr">
        <is>
          <t>JÄMTLANDS LÄN</t>
        </is>
      </c>
      <c r="E907" t="inlineStr">
        <is>
          <t>BERG</t>
        </is>
      </c>
      <c r="G907" t="n">
        <v>4</v>
      </c>
      <c r="H907" t="n">
        <v>1</v>
      </c>
      <c r="I907" t="n">
        <v>0</v>
      </c>
      <c r="J907" t="n">
        <v>1</v>
      </c>
      <c r="K907" t="n">
        <v>0</v>
      </c>
      <c r="L907" t="n">
        <v>0</v>
      </c>
      <c r="M907" t="n">
        <v>0</v>
      </c>
      <c r="N907" t="n">
        <v>0</v>
      </c>
      <c r="O907" t="n">
        <v>1</v>
      </c>
      <c r="P907" t="n">
        <v>0</v>
      </c>
      <c r="Q907" t="n">
        <v>2</v>
      </c>
      <c r="R907" s="2" t="inlineStr">
        <is>
          <t>Brunklöver
Brudsporre</t>
        </is>
      </c>
      <c r="S907">
        <f>HYPERLINK("https://klasma.github.io/Logging_2326/artfynd/A 6784-2022 artfynd.xlsx", "A 6784-2022")</f>
        <v/>
      </c>
      <c r="T907">
        <f>HYPERLINK("https://klasma.github.io/Logging_2326/kartor/A 6784-2022 karta.png", "A 6784-2022")</f>
        <v/>
      </c>
      <c r="V907">
        <f>HYPERLINK("https://klasma.github.io/Logging_2326/klagomål/A 6784-2022 FSC-klagomål.docx", "A 6784-2022")</f>
        <v/>
      </c>
      <c r="W907">
        <f>HYPERLINK("https://klasma.github.io/Logging_2326/klagomålsmail/A 6784-2022 FSC-klagomål mail.docx", "A 6784-2022")</f>
        <v/>
      </c>
      <c r="X907">
        <f>HYPERLINK("https://klasma.github.io/Logging_2326/tillsyn/A 6784-2022 tillsynsbegäran.docx", "A 6784-2022")</f>
        <v/>
      </c>
      <c r="Y907">
        <f>HYPERLINK("https://klasma.github.io/Logging_2326/tillsynsmail/A 6784-2022 tillsynsbegäran mail.docx", "A 6784-2022")</f>
        <v/>
      </c>
    </row>
    <row r="908" ht="15" customHeight="1">
      <c r="A908" t="inlineStr">
        <is>
          <t>A 9363-2022</t>
        </is>
      </c>
      <c r="B908" s="1" t="n">
        <v>44616</v>
      </c>
      <c r="C908" s="1" t="n">
        <v>45363</v>
      </c>
      <c r="D908" t="inlineStr">
        <is>
          <t>JÄMTLANDS LÄN</t>
        </is>
      </c>
      <c r="E908" t="inlineStr">
        <is>
          <t>STRÖMSUND</t>
        </is>
      </c>
      <c r="G908" t="n">
        <v>4.5</v>
      </c>
      <c r="H908" t="n">
        <v>0</v>
      </c>
      <c r="I908" t="n">
        <v>1</v>
      </c>
      <c r="J908" t="n">
        <v>1</v>
      </c>
      <c r="K908" t="n">
        <v>0</v>
      </c>
      <c r="L908" t="n">
        <v>0</v>
      </c>
      <c r="M908" t="n">
        <v>0</v>
      </c>
      <c r="N908" t="n">
        <v>0</v>
      </c>
      <c r="O908" t="n">
        <v>1</v>
      </c>
      <c r="P908" t="n">
        <v>0</v>
      </c>
      <c r="Q908" t="n">
        <v>2</v>
      </c>
      <c r="R908" s="2" t="inlineStr">
        <is>
          <t>Lunglav
Svart trolldruva</t>
        </is>
      </c>
      <c r="S908">
        <f>HYPERLINK("https://klasma.github.io/Logging_2313/artfynd/A 9363-2022 artfynd.xlsx", "A 9363-2022")</f>
        <v/>
      </c>
      <c r="T908">
        <f>HYPERLINK("https://klasma.github.io/Logging_2313/kartor/A 9363-2022 karta.png", "A 9363-2022")</f>
        <v/>
      </c>
      <c r="V908">
        <f>HYPERLINK("https://klasma.github.io/Logging_2313/klagomål/A 9363-2022 FSC-klagomål.docx", "A 9363-2022")</f>
        <v/>
      </c>
      <c r="W908">
        <f>HYPERLINK("https://klasma.github.io/Logging_2313/klagomålsmail/A 9363-2022 FSC-klagomål mail.docx", "A 9363-2022")</f>
        <v/>
      </c>
      <c r="X908">
        <f>HYPERLINK("https://klasma.github.io/Logging_2313/tillsyn/A 9363-2022 tillsynsbegäran.docx", "A 9363-2022")</f>
        <v/>
      </c>
      <c r="Y908">
        <f>HYPERLINK("https://klasma.github.io/Logging_2313/tillsynsmail/A 9363-2022 tillsynsbegäran mail.docx", "A 9363-2022")</f>
        <v/>
      </c>
    </row>
    <row r="909" ht="15" customHeight="1">
      <c r="A909" t="inlineStr">
        <is>
          <t>A 16513-2022</t>
        </is>
      </c>
      <c r="B909" s="1" t="n">
        <v>44672</v>
      </c>
      <c r="C909" s="1" t="n">
        <v>45363</v>
      </c>
      <c r="D909" t="inlineStr">
        <is>
          <t>JÄMTLANDS LÄN</t>
        </is>
      </c>
      <c r="E909" t="inlineStr">
        <is>
          <t>STRÖMSUND</t>
        </is>
      </c>
      <c r="G909" t="n">
        <v>13.1</v>
      </c>
      <c r="H909" t="n">
        <v>0</v>
      </c>
      <c r="I909" t="n">
        <v>0</v>
      </c>
      <c r="J909" t="n">
        <v>2</v>
      </c>
      <c r="K909" t="n">
        <v>0</v>
      </c>
      <c r="L909" t="n">
        <v>0</v>
      </c>
      <c r="M909" t="n">
        <v>0</v>
      </c>
      <c r="N909" t="n">
        <v>0</v>
      </c>
      <c r="O909" t="n">
        <v>2</v>
      </c>
      <c r="P909" t="n">
        <v>0</v>
      </c>
      <c r="Q909" t="n">
        <v>2</v>
      </c>
      <c r="R909" s="2" t="inlineStr">
        <is>
          <t>Garnlav
Lunglav</t>
        </is>
      </c>
      <c r="S909">
        <f>HYPERLINK("https://klasma.github.io/Logging_2313/artfynd/A 16513-2022 artfynd.xlsx", "A 16513-2022")</f>
        <v/>
      </c>
      <c r="T909">
        <f>HYPERLINK("https://klasma.github.io/Logging_2313/kartor/A 16513-2022 karta.png", "A 16513-2022")</f>
        <v/>
      </c>
      <c r="V909">
        <f>HYPERLINK("https://klasma.github.io/Logging_2313/klagomål/A 16513-2022 FSC-klagomål.docx", "A 16513-2022")</f>
        <v/>
      </c>
      <c r="W909">
        <f>HYPERLINK("https://klasma.github.io/Logging_2313/klagomålsmail/A 16513-2022 FSC-klagomål mail.docx", "A 16513-2022")</f>
        <v/>
      </c>
      <c r="X909">
        <f>HYPERLINK("https://klasma.github.io/Logging_2313/tillsyn/A 16513-2022 tillsynsbegäran.docx", "A 16513-2022")</f>
        <v/>
      </c>
      <c r="Y909">
        <f>HYPERLINK("https://klasma.github.io/Logging_2313/tillsynsmail/A 16513-2022 tillsynsbegäran mail.docx", "A 16513-2022")</f>
        <v/>
      </c>
    </row>
    <row r="910" ht="15" customHeight="1">
      <c r="A910" t="inlineStr">
        <is>
          <t>A 17043-2022</t>
        </is>
      </c>
      <c r="B910" s="1" t="n">
        <v>44676</v>
      </c>
      <c r="C910" s="1" t="n">
        <v>45363</v>
      </c>
      <c r="D910" t="inlineStr">
        <is>
          <t>JÄMTLANDS LÄN</t>
        </is>
      </c>
      <c r="E910" t="inlineStr">
        <is>
          <t>RAGUNDA</t>
        </is>
      </c>
      <c r="F910" t="inlineStr">
        <is>
          <t>SCA</t>
        </is>
      </c>
      <c r="G910" t="n">
        <v>3</v>
      </c>
      <c r="H910" t="n">
        <v>0</v>
      </c>
      <c r="I910" t="n">
        <v>2</v>
      </c>
      <c r="J910" t="n">
        <v>0</v>
      </c>
      <c r="K910" t="n">
        <v>0</v>
      </c>
      <c r="L910" t="n">
        <v>0</v>
      </c>
      <c r="M910" t="n">
        <v>0</v>
      </c>
      <c r="N910" t="n">
        <v>0</v>
      </c>
      <c r="O910" t="n">
        <v>0</v>
      </c>
      <c r="P910" t="n">
        <v>0</v>
      </c>
      <c r="Q910" t="n">
        <v>2</v>
      </c>
      <c r="R910" s="2" t="inlineStr">
        <is>
          <t>Skinnlav
Vedticka</t>
        </is>
      </c>
      <c r="S910">
        <f>HYPERLINK("https://klasma.github.io/Logging_2303/artfynd/A 17043-2022 artfynd.xlsx", "A 17043-2022")</f>
        <v/>
      </c>
      <c r="T910">
        <f>HYPERLINK("https://klasma.github.io/Logging_2303/kartor/A 17043-2022 karta.png", "A 17043-2022")</f>
        <v/>
      </c>
      <c r="V910">
        <f>HYPERLINK("https://klasma.github.io/Logging_2303/klagomål/A 17043-2022 FSC-klagomål.docx", "A 17043-2022")</f>
        <v/>
      </c>
      <c r="W910">
        <f>HYPERLINK("https://klasma.github.io/Logging_2303/klagomålsmail/A 17043-2022 FSC-klagomål mail.docx", "A 17043-2022")</f>
        <v/>
      </c>
      <c r="X910">
        <f>HYPERLINK("https://klasma.github.io/Logging_2303/tillsyn/A 17043-2022 tillsynsbegäran.docx", "A 17043-2022")</f>
        <v/>
      </c>
      <c r="Y910">
        <f>HYPERLINK("https://klasma.github.io/Logging_2303/tillsynsmail/A 17043-2022 tillsynsbegäran mail.docx", "A 17043-2022")</f>
        <v/>
      </c>
    </row>
    <row r="911" ht="15" customHeight="1">
      <c r="A911" t="inlineStr">
        <is>
          <t>A 17082-2022</t>
        </is>
      </c>
      <c r="B911" s="1" t="n">
        <v>44677</v>
      </c>
      <c r="C911" s="1" t="n">
        <v>45363</v>
      </c>
      <c r="D911" t="inlineStr">
        <is>
          <t>JÄMTLANDS LÄN</t>
        </is>
      </c>
      <c r="E911" t="inlineStr">
        <is>
          <t>HÄRJEDALEN</t>
        </is>
      </c>
      <c r="F911" t="inlineStr">
        <is>
          <t>Holmen skog AB</t>
        </is>
      </c>
      <c r="G911" t="n">
        <v>18.1</v>
      </c>
      <c r="H911" t="n">
        <v>0</v>
      </c>
      <c r="I911" t="n">
        <v>0</v>
      </c>
      <c r="J911" t="n">
        <v>2</v>
      </c>
      <c r="K911" t="n">
        <v>0</v>
      </c>
      <c r="L911" t="n">
        <v>0</v>
      </c>
      <c r="M911" t="n">
        <v>0</v>
      </c>
      <c r="N911" t="n">
        <v>0</v>
      </c>
      <c r="O911" t="n">
        <v>2</v>
      </c>
      <c r="P911" t="n">
        <v>0</v>
      </c>
      <c r="Q911" t="n">
        <v>2</v>
      </c>
      <c r="R911" s="2" t="inlineStr">
        <is>
          <t>Motaggsvamp
Orange taggsvamp</t>
        </is>
      </c>
      <c r="S911">
        <f>HYPERLINK("https://klasma.github.io/Logging_2361/artfynd/A 17082-2022 artfynd.xlsx", "A 17082-2022")</f>
        <v/>
      </c>
      <c r="T911">
        <f>HYPERLINK("https://klasma.github.io/Logging_2361/kartor/A 17082-2022 karta.png", "A 17082-2022")</f>
        <v/>
      </c>
      <c r="V911">
        <f>HYPERLINK("https://klasma.github.io/Logging_2361/klagomål/A 17082-2022 FSC-klagomål.docx", "A 17082-2022")</f>
        <v/>
      </c>
      <c r="W911">
        <f>HYPERLINK("https://klasma.github.io/Logging_2361/klagomålsmail/A 17082-2022 FSC-klagomål mail.docx", "A 17082-2022")</f>
        <v/>
      </c>
      <c r="X911">
        <f>HYPERLINK("https://klasma.github.io/Logging_2361/tillsyn/A 17082-2022 tillsynsbegäran.docx", "A 17082-2022")</f>
        <v/>
      </c>
      <c r="Y911">
        <f>HYPERLINK("https://klasma.github.io/Logging_2361/tillsynsmail/A 17082-2022 tillsynsbegäran mail.docx", "A 17082-2022")</f>
        <v/>
      </c>
    </row>
    <row r="912" ht="15" customHeight="1">
      <c r="A912" t="inlineStr">
        <is>
          <t>A 17733-2022</t>
        </is>
      </c>
      <c r="B912" s="1" t="n">
        <v>44680</v>
      </c>
      <c r="C912" s="1" t="n">
        <v>45363</v>
      </c>
      <c r="D912" t="inlineStr">
        <is>
          <t>JÄMTLANDS LÄN</t>
        </is>
      </c>
      <c r="E912" t="inlineStr">
        <is>
          <t>RAGUNDA</t>
        </is>
      </c>
      <c r="G912" t="n">
        <v>2.2</v>
      </c>
      <c r="H912" t="n">
        <v>0</v>
      </c>
      <c r="I912" t="n">
        <v>0</v>
      </c>
      <c r="J912" t="n">
        <v>2</v>
      </c>
      <c r="K912" t="n">
        <v>0</v>
      </c>
      <c r="L912" t="n">
        <v>0</v>
      </c>
      <c r="M912" t="n">
        <v>0</v>
      </c>
      <c r="N912" t="n">
        <v>0</v>
      </c>
      <c r="O912" t="n">
        <v>2</v>
      </c>
      <c r="P912" t="n">
        <v>0</v>
      </c>
      <c r="Q912" t="n">
        <v>2</v>
      </c>
      <c r="R912" s="2" t="inlineStr">
        <is>
          <t>Lunglav
Skrovellav</t>
        </is>
      </c>
      <c r="S912">
        <f>HYPERLINK("https://klasma.github.io/Logging_2303/artfynd/A 17733-2022 artfynd.xlsx", "A 17733-2022")</f>
        <v/>
      </c>
      <c r="T912">
        <f>HYPERLINK("https://klasma.github.io/Logging_2303/kartor/A 17733-2022 karta.png", "A 17733-2022")</f>
        <v/>
      </c>
      <c r="V912">
        <f>HYPERLINK("https://klasma.github.io/Logging_2303/klagomål/A 17733-2022 FSC-klagomål.docx", "A 17733-2022")</f>
        <v/>
      </c>
      <c r="W912">
        <f>HYPERLINK("https://klasma.github.io/Logging_2303/klagomålsmail/A 17733-2022 FSC-klagomål mail.docx", "A 17733-2022")</f>
        <v/>
      </c>
      <c r="X912">
        <f>HYPERLINK("https://klasma.github.io/Logging_2303/tillsyn/A 17733-2022 tillsynsbegäran.docx", "A 17733-2022")</f>
        <v/>
      </c>
      <c r="Y912">
        <f>HYPERLINK("https://klasma.github.io/Logging_2303/tillsynsmail/A 17733-2022 tillsynsbegäran mail.docx", "A 17733-2022")</f>
        <v/>
      </c>
    </row>
    <row r="913" ht="15" customHeight="1">
      <c r="A913" t="inlineStr">
        <is>
          <t>A 18552-2022</t>
        </is>
      </c>
      <c r="B913" s="1" t="n">
        <v>44687</v>
      </c>
      <c r="C913" s="1" t="n">
        <v>45363</v>
      </c>
      <c r="D913" t="inlineStr">
        <is>
          <t>JÄMTLANDS LÄN</t>
        </is>
      </c>
      <c r="E913" t="inlineStr">
        <is>
          <t>RAGUNDA</t>
        </is>
      </c>
      <c r="F913" t="inlineStr">
        <is>
          <t>SCA</t>
        </is>
      </c>
      <c r="G913" t="n">
        <v>2.6</v>
      </c>
      <c r="H913" t="n">
        <v>0</v>
      </c>
      <c r="I913" t="n">
        <v>0</v>
      </c>
      <c r="J913" t="n">
        <v>2</v>
      </c>
      <c r="K913" t="n">
        <v>0</v>
      </c>
      <c r="L913" t="n">
        <v>0</v>
      </c>
      <c r="M913" t="n">
        <v>0</v>
      </c>
      <c r="N913" t="n">
        <v>0</v>
      </c>
      <c r="O913" t="n">
        <v>2</v>
      </c>
      <c r="P913" t="n">
        <v>0</v>
      </c>
      <c r="Q913" t="n">
        <v>2</v>
      </c>
      <c r="R913" s="2" t="inlineStr">
        <is>
          <t>Granticka
Vedtrappmossa</t>
        </is>
      </c>
      <c r="S913">
        <f>HYPERLINK("https://klasma.github.io/Logging_2303/artfynd/A 18552-2022 artfynd.xlsx", "A 18552-2022")</f>
        <v/>
      </c>
      <c r="T913">
        <f>HYPERLINK("https://klasma.github.io/Logging_2303/kartor/A 18552-2022 karta.png", "A 18552-2022")</f>
        <v/>
      </c>
      <c r="V913">
        <f>HYPERLINK("https://klasma.github.io/Logging_2303/klagomål/A 18552-2022 FSC-klagomål.docx", "A 18552-2022")</f>
        <v/>
      </c>
      <c r="W913">
        <f>HYPERLINK("https://klasma.github.io/Logging_2303/klagomålsmail/A 18552-2022 FSC-klagomål mail.docx", "A 18552-2022")</f>
        <v/>
      </c>
      <c r="X913">
        <f>HYPERLINK("https://klasma.github.io/Logging_2303/tillsyn/A 18552-2022 tillsynsbegäran.docx", "A 18552-2022")</f>
        <v/>
      </c>
      <c r="Y913">
        <f>HYPERLINK("https://klasma.github.io/Logging_2303/tillsynsmail/A 18552-2022 tillsynsbegäran mail.docx", "A 18552-2022")</f>
        <v/>
      </c>
    </row>
    <row r="914" ht="15" customHeight="1">
      <c r="A914" t="inlineStr">
        <is>
          <t>A 22231-2022</t>
        </is>
      </c>
      <c r="B914" s="1" t="n">
        <v>44712</v>
      </c>
      <c r="C914" s="1" t="n">
        <v>45363</v>
      </c>
      <c r="D914" t="inlineStr">
        <is>
          <t>JÄMTLANDS LÄN</t>
        </is>
      </c>
      <c r="E914" t="inlineStr">
        <is>
          <t>ÅRE</t>
        </is>
      </c>
      <c r="G914" t="n">
        <v>15</v>
      </c>
      <c r="H914" t="n">
        <v>0</v>
      </c>
      <c r="I914" t="n">
        <v>0</v>
      </c>
      <c r="J914" t="n">
        <v>2</v>
      </c>
      <c r="K914" t="n">
        <v>0</v>
      </c>
      <c r="L914" t="n">
        <v>0</v>
      </c>
      <c r="M914" t="n">
        <v>0</v>
      </c>
      <c r="N914" t="n">
        <v>0</v>
      </c>
      <c r="O914" t="n">
        <v>2</v>
      </c>
      <c r="P914" t="n">
        <v>0</v>
      </c>
      <c r="Q914" t="n">
        <v>2</v>
      </c>
      <c r="R914" s="2" t="inlineStr">
        <is>
          <t>Gammelgransskål
Granticka</t>
        </is>
      </c>
      <c r="S914">
        <f>HYPERLINK("https://klasma.github.io/Logging_2321/artfynd/A 22231-2022 artfynd.xlsx", "A 22231-2022")</f>
        <v/>
      </c>
      <c r="T914">
        <f>HYPERLINK("https://klasma.github.io/Logging_2321/kartor/A 22231-2022 karta.png", "A 22231-2022")</f>
        <v/>
      </c>
      <c r="V914">
        <f>HYPERLINK("https://klasma.github.io/Logging_2321/klagomål/A 22231-2022 FSC-klagomål.docx", "A 22231-2022")</f>
        <v/>
      </c>
      <c r="W914">
        <f>HYPERLINK("https://klasma.github.io/Logging_2321/klagomålsmail/A 22231-2022 FSC-klagomål mail.docx", "A 22231-2022")</f>
        <v/>
      </c>
      <c r="X914">
        <f>HYPERLINK("https://klasma.github.io/Logging_2321/tillsyn/A 22231-2022 tillsynsbegäran.docx", "A 22231-2022")</f>
        <v/>
      </c>
      <c r="Y914">
        <f>HYPERLINK("https://klasma.github.io/Logging_2321/tillsynsmail/A 22231-2022 tillsynsbegäran mail.docx", "A 22231-2022")</f>
        <v/>
      </c>
    </row>
    <row r="915" ht="15" customHeight="1">
      <c r="A915" t="inlineStr">
        <is>
          <t>A 22464-2022</t>
        </is>
      </c>
      <c r="B915" s="1" t="n">
        <v>44713</v>
      </c>
      <c r="C915" s="1" t="n">
        <v>45363</v>
      </c>
      <c r="D915" t="inlineStr">
        <is>
          <t>JÄMTLANDS LÄN</t>
        </is>
      </c>
      <c r="E915" t="inlineStr">
        <is>
          <t>HÄRJEDALEN</t>
        </is>
      </c>
      <c r="F915" t="inlineStr">
        <is>
          <t>Sveaskog</t>
        </is>
      </c>
      <c r="G915" t="n">
        <v>4.3</v>
      </c>
      <c r="H915" t="n">
        <v>0</v>
      </c>
      <c r="I915" t="n">
        <v>1</v>
      </c>
      <c r="J915" t="n">
        <v>1</v>
      </c>
      <c r="K915" t="n">
        <v>0</v>
      </c>
      <c r="L915" t="n">
        <v>0</v>
      </c>
      <c r="M915" t="n">
        <v>0</v>
      </c>
      <c r="N915" t="n">
        <v>0</v>
      </c>
      <c r="O915" t="n">
        <v>1</v>
      </c>
      <c r="P915" t="n">
        <v>0</v>
      </c>
      <c r="Q915" t="n">
        <v>2</v>
      </c>
      <c r="R915" s="2" t="inlineStr">
        <is>
          <t>Lunglav
Dropptaggsvamp</t>
        </is>
      </c>
      <c r="S915">
        <f>HYPERLINK("https://klasma.github.io/Logging_2361/artfynd/A 22464-2022 artfynd.xlsx", "A 22464-2022")</f>
        <v/>
      </c>
      <c r="T915">
        <f>HYPERLINK("https://klasma.github.io/Logging_2361/kartor/A 22464-2022 karta.png", "A 22464-2022")</f>
        <v/>
      </c>
      <c r="U915">
        <f>HYPERLINK("https://klasma.github.io/Logging_2361/knärot/A 22464-2022 karta knärot.png", "A 22464-2022")</f>
        <v/>
      </c>
      <c r="V915">
        <f>HYPERLINK("https://klasma.github.io/Logging_2361/klagomål/A 22464-2022 FSC-klagomål.docx", "A 22464-2022")</f>
        <v/>
      </c>
      <c r="W915">
        <f>HYPERLINK("https://klasma.github.io/Logging_2361/klagomålsmail/A 22464-2022 FSC-klagomål mail.docx", "A 22464-2022")</f>
        <v/>
      </c>
      <c r="X915">
        <f>HYPERLINK("https://klasma.github.io/Logging_2361/tillsyn/A 22464-2022 tillsynsbegäran.docx", "A 22464-2022")</f>
        <v/>
      </c>
      <c r="Y915">
        <f>HYPERLINK("https://klasma.github.io/Logging_2361/tillsynsmail/A 22464-2022 tillsynsbegäran mail.docx", "A 22464-2022")</f>
        <v/>
      </c>
    </row>
    <row r="916" ht="15" customHeight="1">
      <c r="A916" t="inlineStr">
        <is>
          <t>A 22974-2022</t>
        </is>
      </c>
      <c r="B916" s="1" t="n">
        <v>44716</v>
      </c>
      <c r="C916" s="1" t="n">
        <v>45363</v>
      </c>
      <c r="D916" t="inlineStr">
        <is>
          <t>JÄMTLANDS LÄN</t>
        </is>
      </c>
      <c r="E916" t="inlineStr">
        <is>
          <t>ÅRE</t>
        </is>
      </c>
      <c r="G916" t="n">
        <v>8.300000000000001</v>
      </c>
      <c r="H916" t="n">
        <v>1</v>
      </c>
      <c r="I916" t="n">
        <v>2</v>
      </c>
      <c r="J916" t="n">
        <v>0</v>
      </c>
      <c r="K916" t="n">
        <v>0</v>
      </c>
      <c r="L916" t="n">
        <v>0</v>
      </c>
      <c r="M916" t="n">
        <v>0</v>
      </c>
      <c r="N916" t="n">
        <v>0</v>
      </c>
      <c r="O916" t="n">
        <v>0</v>
      </c>
      <c r="P916" t="n">
        <v>0</v>
      </c>
      <c r="Q916" t="n">
        <v>2</v>
      </c>
      <c r="R916" s="2" t="inlineStr">
        <is>
          <t>Spindelblomster
Ögonpyrola</t>
        </is>
      </c>
      <c r="S916">
        <f>HYPERLINK("https://klasma.github.io/Logging_2321/artfynd/A 22974-2022 artfynd.xlsx", "A 22974-2022")</f>
        <v/>
      </c>
      <c r="T916">
        <f>HYPERLINK("https://klasma.github.io/Logging_2321/kartor/A 22974-2022 karta.png", "A 22974-2022")</f>
        <v/>
      </c>
      <c r="V916">
        <f>HYPERLINK("https://klasma.github.io/Logging_2321/klagomål/A 22974-2022 FSC-klagomål.docx", "A 22974-2022")</f>
        <v/>
      </c>
      <c r="W916">
        <f>HYPERLINK("https://klasma.github.io/Logging_2321/klagomålsmail/A 22974-2022 FSC-klagomål mail.docx", "A 22974-2022")</f>
        <v/>
      </c>
      <c r="X916">
        <f>HYPERLINK("https://klasma.github.io/Logging_2321/tillsyn/A 22974-2022 tillsynsbegäran.docx", "A 22974-2022")</f>
        <v/>
      </c>
      <c r="Y916">
        <f>HYPERLINK("https://klasma.github.io/Logging_2321/tillsynsmail/A 22974-2022 tillsynsbegäran mail.docx", "A 22974-2022")</f>
        <v/>
      </c>
    </row>
    <row r="917" ht="15" customHeight="1">
      <c r="A917" t="inlineStr">
        <is>
          <t>A 25014-2022</t>
        </is>
      </c>
      <c r="B917" s="1" t="n">
        <v>44728</v>
      </c>
      <c r="C917" s="1" t="n">
        <v>45363</v>
      </c>
      <c r="D917" t="inlineStr">
        <is>
          <t>JÄMTLANDS LÄN</t>
        </is>
      </c>
      <c r="E917" t="inlineStr">
        <is>
          <t>STRÖMSUND</t>
        </is>
      </c>
      <c r="F917" t="inlineStr">
        <is>
          <t>SCA</t>
        </is>
      </c>
      <c r="G917" t="n">
        <v>2.7</v>
      </c>
      <c r="H917" t="n">
        <v>0</v>
      </c>
      <c r="I917" t="n">
        <v>0</v>
      </c>
      <c r="J917" t="n">
        <v>1</v>
      </c>
      <c r="K917" t="n">
        <v>1</v>
      </c>
      <c r="L917" t="n">
        <v>0</v>
      </c>
      <c r="M917" t="n">
        <v>0</v>
      </c>
      <c r="N917" t="n">
        <v>0</v>
      </c>
      <c r="O917" t="n">
        <v>2</v>
      </c>
      <c r="P917" t="n">
        <v>1</v>
      </c>
      <c r="Q917" t="n">
        <v>2</v>
      </c>
      <c r="R917" s="2" t="inlineStr">
        <is>
          <t>Rynkskinn
Ullticka</t>
        </is>
      </c>
      <c r="S917">
        <f>HYPERLINK("https://klasma.github.io/Logging_2313/artfynd/A 25014-2022 artfynd.xlsx", "A 25014-2022")</f>
        <v/>
      </c>
      <c r="T917">
        <f>HYPERLINK("https://klasma.github.io/Logging_2313/kartor/A 25014-2022 karta.png", "A 25014-2022")</f>
        <v/>
      </c>
      <c r="V917">
        <f>HYPERLINK("https://klasma.github.io/Logging_2313/klagomål/A 25014-2022 FSC-klagomål.docx", "A 25014-2022")</f>
        <v/>
      </c>
      <c r="W917">
        <f>HYPERLINK("https://klasma.github.io/Logging_2313/klagomålsmail/A 25014-2022 FSC-klagomål mail.docx", "A 25014-2022")</f>
        <v/>
      </c>
      <c r="X917">
        <f>HYPERLINK("https://klasma.github.io/Logging_2313/tillsyn/A 25014-2022 tillsynsbegäran.docx", "A 25014-2022")</f>
        <v/>
      </c>
      <c r="Y917">
        <f>HYPERLINK("https://klasma.github.io/Logging_2313/tillsynsmail/A 25014-2022 tillsynsbegäran mail.docx", "A 25014-2022")</f>
        <v/>
      </c>
    </row>
    <row r="918" ht="15" customHeight="1">
      <c r="A918" t="inlineStr">
        <is>
          <t>A 27944-2022</t>
        </is>
      </c>
      <c r="B918" s="1" t="n">
        <v>44743</v>
      </c>
      <c r="C918" s="1" t="n">
        <v>45363</v>
      </c>
      <c r="D918" t="inlineStr">
        <is>
          <t>JÄMTLANDS LÄN</t>
        </is>
      </c>
      <c r="E918" t="inlineStr">
        <is>
          <t>BRÄCKE</t>
        </is>
      </c>
      <c r="F918" t="inlineStr">
        <is>
          <t>SCA</t>
        </is>
      </c>
      <c r="G918" t="n">
        <v>3</v>
      </c>
      <c r="H918" t="n">
        <v>0</v>
      </c>
      <c r="I918" t="n">
        <v>0</v>
      </c>
      <c r="J918" t="n">
        <v>2</v>
      </c>
      <c r="K918" t="n">
        <v>0</v>
      </c>
      <c r="L918" t="n">
        <v>0</v>
      </c>
      <c r="M918" t="n">
        <v>0</v>
      </c>
      <c r="N918" t="n">
        <v>0</v>
      </c>
      <c r="O918" t="n">
        <v>2</v>
      </c>
      <c r="P918" t="n">
        <v>0</v>
      </c>
      <c r="Q918" t="n">
        <v>2</v>
      </c>
      <c r="R918" s="2" t="inlineStr">
        <is>
          <t>Lunglav
Skrovellav</t>
        </is>
      </c>
      <c r="S918">
        <f>HYPERLINK("https://klasma.github.io/Logging_2305/artfynd/A 27944-2022 artfynd.xlsx", "A 27944-2022")</f>
        <v/>
      </c>
      <c r="T918">
        <f>HYPERLINK("https://klasma.github.io/Logging_2305/kartor/A 27944-2022 karta.png", "A 27944-2022")</f>
        <v/>
      </c>
      <c r="V918">
        <f>HYPERLINK("https://klasma.github.io/Logging_2305/klagomål/A 27944-2022 FSC-klagomål.docx", "A 27944-2022")</f>
        <v/>
      </c>
      <c r="W918">
        <f>HYPERLINK("https://klasma.github.io/Logging_2305/klagomålsmail/A 27944-2022 FSC-klagomål mail.docx", "A 27944-2022")</f>
        <v/>
      </c>
      <c r="X918">
        <f>HYPERLINK("https://klasma.github.io/Logging_2305/tillsyn/A 27944-2022 tillsynsbegäran.docx", "A 27944-2022")</f>
        <v/>
      </c>
      <c r="Y918">
        <f>HYPERLINK("https://klasma.github.io/Logging_2305/tillsynsmail/A 27944-2022 tillsynsbegäran mail.docx", "A 27944-2022")</f>
        <v/>
      </c>
    </row>
    <row r="919" ht="15" customHeight="1">
      <c r="A919" t="inlineStr">
        <is>
          <t>A 29302-2022</t>
        </is>
      </c>
      <c r="B919" s="1" t="n">
        <v>44750</v>
      </c>
      <c r="C919" s="1" t="n">
        <v>45363</v>
      </c>
      <c r="D919" t="inlineStr">
        <is>
          <t>JÄMTLANDS LÄN</t>
        </is>
      </c>
      <c r="E919" t="inlineStr">
        <is>
          <t>STRÖMSUND</t>
        </is>
      </c>
      <c r="F919" t="inlineStr">
        <is>
          <t>SCA</t>
        </is>
      </c>
      <c r="G919" t="n">
        <v>1.9</v>
      </c>
      <c r="H919" t="n">
        <v>0</v>
      </c>
      <c r="I919" t="n">
        <v>0</v>
      </c>
      <c r="J919" t="n">
        <v>1</v>
      </c>
      <c r="K919" t="n">
        <v>1</v>
      </c>
      <c r="L919" t="n">
        <v>0</v>
      </c>
      <c r="M919" t="n">
        <v>0</v>
      </c>
      <c r="N919" t="n">
        <v>0</v>
      </c>
      <c r="O919" t="n">
        <v>2</v>
      </c>
      <c r="P919" t="n">
        <v>1</v>
      </c>
      <c r="Q919" t="n">
        <v>2</v>
      </c>
      <c r="R919" s="2" t="inlineStr">
        <is>
          <t>Ostticka
Garnlav</t>
        </is>
      </c>
      <c r="S919">
        <f>HYPERLINK("https://klasma.github.io/Logging_2313/artfynd/A 29302-2022 artfynd.xlsx", "A 29302-2022")</f>
        <v/>
      </c>
      <c r="T919">
        <f>HYPERLINK("https://klasma.github.io/Logging_2313/kartor/A 29302-2022 karta.png", "A 29302-2022")</f>
        <v/>
      </c>
      <c r="V919">
        <f>HYPERLINK("https://klasma.github.io/Logging_2313/klagomål/A 29302-2022 FSC-klagomål.docx", "A 29302-2022")</f>
        <v/>
      </c>
      <c r="W919">
        <f>HYPERLINK("https://klasma.github.io/Logging_2313/klagomålsmail/A 29302-2022 FSC-klagomål mail.docx", "A 29302-2022")</f>
        <v/>
      </c>
      <c r="X919">
        <f>HYPERLINK("https://klasma.github.io/Logging_2313/tillsyn/A 29302-2022 tillsynsbegäran.docx", "A 29302-2022")</f>
        <v/>
      </c>
      <c r="Y919">
        <f>HYPERLINK("https://klasma.github.io/Logging_2313/tillsynsmail/A 29302-2022 tillsynsbegäran mail.docx", "A 29302-2022")</f>
        <v/>
      </c>
    </row>
    <row r="920" ht="15" customHeight="1">
      <c r="A920" t="inlineStr">
        <is>
          <t>A 29301-2022</t>
        </is>
      </c>
      <c r="B920" s="1" t="n">
        <v>44750</v>
      </c>
      <c r="C920" s="1" t="n">
        <v>45363</v>
      </c>
      <c r="D920" t="inlineStr">
        <is>
          <t>JÄMTLANDS LÄN</t>
        </is>
      </c>
      <c r="E920" t="inlineStr">
        <is>
          <t>STRÖMSUND</t>
        </is>
      </c>
      <c r="F920" t="inlineStr">
        <is>
          <t>SCA</t>
        </is>
      </c>
      <c r="G920" t="n">
        <v>6.8</v>
      </c>
      <c r="H920" t="n">
        <v>0</v>
      </c>
      <c r="I920" t="n">
        <v>1</v>
      </c>
      <c r="J920" t="n">
        <v>1</v>
      </c>
      <c r="K920" t="n">
        <v>0</v>
      </c>
      <c r="L920" t="n">
        <v>0</v>
      </c>
      <c r="M920" t="n">
        <v>0</v>
      </c>
      <c r="N920" t="n">
        <v>0</v>
      </c>
      <c r="O920" t="n">
        <v>1</v>
      </c>
      <c r="P920" t="n">
        <v>0</v>
      </c>
      <c r="Q920" t="n">
        <v>2</v>
      </c>
      <c r="R920" s="2" t="inlineStr">
        <is>
          <t>Vitgrynig nållav
Källmossa</t>
        </is>
      </c>
      <c r="S920">
        <f>HYPERLINK("https://klasma.github.io/Logging_2313/artfynd/A 29301-2022 artfynd.xlsx", "A 29301-2022")</f>
        <v/>
      </c>
      <c r="T920">
        <f>HYPERLINK("https://klasma.github.io/Logging_2313/kartor/A 29301-2022 karta.png", "A 29301-2022")</f>
        <v/>
      </c>
      <c r="V920">
        <f>HYPERLINK("https://klasma.github.io/Logging_2313/klagomål/A 29301-2022 FSC-klagomål.docx", "A 29301-2022")</f>
        <v/>
      </c>
      <c r="W920">
        <f>HYPERLINK("https://klasma.github.io/Logging_2313/klagomålsmail/A 29301-2022 FSC-klagomål mail.docx", "A 29301-2022")</f>
        <v/>
      </c>
      <c r="X920">
        <f>HYPERLINK("https://klasma.github.io/Logging_2313/tillsyn/A 29301-2022 tillsynsbegäran.docx", "A 29301-2022")</f>
        <v/>
      </c>
      <c r="Y920">
        <f>HYPERLINK("https://klasma.github.io/Logging_2313/tillsynsmail/A 29301-2022 tillsynsbegäran mail.docx", "A 29301-2022")</f>
        <v/>
      </c>
    </row>
    <row r="921" ht="15" customHeight="1">
      <c r="A921" t="inlineStr">
        <is>
          <t>A 30060-2022</t>
        </is>
      </c>
      <c r="B921" s="1" t="n">
        <v>44757</v>
      </c>
      <c r="C921" s="1" t="n">
        <v>45363</v>
      </c>
      <c r="D921" t="inlineStr">
        <is>
          <t>JÄMTLANDS LÄN</t>
        </is>
      </c>
      <c r="E921" t="inlineStr">
        <is>
          <t>KROKOM</t>
        </is>
      </c>
      <c r="G921" t="n">
        <v>0.6</v>
      </c>
      <c r="H921" t="n">
        <v>1</v>
      </c>
      <c r="I921" t="n">
        <v>0</v>
      </c>
      <c r="J921" t="n">
        <v>2</v>
      </c>
      <c r="K921" t="n">
        <v>0</v>
      </c>
      <c r="L921" t="n">
        <v>0</v>
      </c>
      <c r="M921" t="n">
        <v>0</v>
      </c>
      <c r="N921" t="n">
        <v>0</v>
      </c>
      <c r="O921" t="n">
        <v>2</v>
      </c>
      <c r="P921" t="n">
        <v>0</v>
      </c>
      <c r="Q921" t="n">
        <v>2</v>
      </c>
      <c r="R921" s="2" t="inlineStr">
        <is>
          <t>Tretåig hackspett
Ullticka</t>
        </is>
      </c>
      <c r="S921">
        <f>HYPERLINK("https://klasma.github.io/Logging_2309/artfynd/A 30060-2022 artfynd.xlsx", "A 30060-2022")</f>
        <v/>
      </c>
      <c r="T921">
        <f>HYPERLINK("https://klasma.github.io/Logging_2309/kartor/A 30060-2022 karta.png", "A 30060-2022")</f>
        <v/>
      </c>
      <c r="V921">
        <f>HYPERLINK("https://klasma.github.io/Logging_2309/klagomål/A 30060-2022 FSC-klagomål.docx", "A 30060-2022")</f>
        <v/>
      </c>
      <c r="W921">
        <f>HYPERLINK("https://klasma.github.io/Logging_2309/klagomålsmail/A 30060-2022 FSC-klagomål mail.docx", "A 30060-2022")</f>
        <v/>
      </c>
      <c r="X921">
        <f>HYPERLINK("https://klasma.github.io/Logging_2309/tillsyn/A 30060-2022 tillsynsbegäran.docx", "A 30060-2022")</f>
        <v/>
      </c>
      <c r="Y921">
        <f>HYPERLINK("https://klasma.github.io/Logging_2309/tillsynsmail/A 30060-2022 tillsynsbegäran mail.docx", "A 30060-2022")</f>
        <v/>
      </c>
      <c r="Z921">
        <f>HYPERLINK("https://klasma.github.io/Logging_2309/fåglar/A 30060-2022 prioriterade fågelarter.docx", "A 30060-2022")</f>
        <v/>
      </c>
    </row>
    <row r="922" ht="15" customHeight="1">
      <c r="A922" t="inlineStr">
        <is>
          <t>A 30607-2022</t>
        </is>
      </c>
      <c r="B922" s="1" t="n">
        <v>44762</v>
      </c>
      <c r="C922" s="1" t="n">
        <v>45363</v>
      </c>
      <c r="D922" t="inlineStr">
        <is>
          <t>JÄMTLANDS LÄN</t>
        </is>
      </c>
      <c r="E922" t="inlineStr">
        <is>
          <t>BRÄCKE</t>
        </is>
      </c>
      <c r="F922" t="inlineStr">
        <is>
          <t>SCA</t>
        </is>
      </c>
      <c r="G922" t="n">
        <v>1</v>
      </c>
      <c r="H922" t="n">
        <v>0</v>
      </c>
      <c r="I922" t="n">
        <v>0</v>
      </c>
      <c r="J922" t="n">
        <v>2</v>
      </c>
      <c r="K922" t="n">
        <v>0</v>
      </c>
      <c r="L922" t="n">
        <v>0</v>
      </c>
      <c r="M922" t="n">
        <v>0</v>
      </c>
      <c r="N922" t="n">
        <v>0</v>
      </c>
      <c r="O922" t="n">
        <v>2</v>
      </c>
      <c r="P922" t="n">
        <v>0</v>
      </c>
      <c r="Q922" t="n">
        <v>2</v>
      </c>
      <c r="R922" s="2" t="inlineStr">
        <is>
          <t>Bredbrämad bastardsvärmare
Brunklöver</t>
        </is>
      </c>
      <c r="S922">
        <f>HYPERLINK("https://klasma.github.io/Logging_2305/artfynd/A 30607-2022 artfynd.xlsx", "A 30607-2022")</f>
        <v/>
      </c>
      <c r="T922">
        <f>HYPERLINK("https://klasma.github.io/Logging_2305/kartor/A 30607-2022 karta.png", "A 30607-2022")</f>
        <v/>
      </c>
      <c r="V922">
        <f>HYPERLINK("https://klasma.github.io/Logging_2305/klagomål/A 30607-2022 FSC-klagomål.docx", "A 30607-2022")</f>
        <v/>
      </c>
      <c r="W922">
        <f>HYPERLINK("https://klasma.github.io/Logging_2305/klagomålsmail/A 30607-2022 FSC-klagomål mail.docx", "A 30607-2022")</f>
        <v/>
      </c>
      <c r="X922">
        <f>HYPERLINK("https://klasma.github.io/Logging_2305/tillsyn/A 30607-2022 tillsynsbegäran.docx", "A 30607-2022")</f>
        <v/>
      </c>
      <c r="Y922">
        <f>HYPERLINK("https://klasma.github.io/Logging_2305/tillsynsmail/A 30607-2022 tillsynsbegäran mail.docx", "A 30607-2022")</f>
        <v/>
      </c>
    </row>
    <row r="923" ht="15" customHeight="1">
      <c r="A923" t="inlineStr">
        <is>
          <t>A 31455-2022</t>
        </is>
      </c>
      <c r="B923" s="1" t="n">
        <v>44774</v>
      </c>
      <c r="C923" s="1" t="n">
        <v>45363</v>
      </c>
      <c r="D923" t="inlineStr">
        <is>
          <t>JÄMTLANDS LÄN</t>
        </is>
      </c>
      <c r="E923" t="inlineStr">
        <is>
          <t>BRÄCKE</t>
        </is>
      </c>
      <c r="F923" t="inlineStr">
        <is>
          <t>SCA</t>
        </is>
      </c>
      <c r="G923" t="n">
        <v>5.5</v>
      </c>
      <c r="H923" t="n">
        <v>1</v>
      </c>
      <c r="I923" t="n">
        <v>0</v>
      </c>
      <c r="J923" t="n">
        <v>1</v>
      </c>
      <c r="K923" t="n">
        <v>0</v>
      </c>
      <c r="L923" t="n">
        <v>0</v>
      </c>
      <c r="M923" t="n">
        <v>0</v>
      </c>
      <c r="N923" t="n">
        <v>0</v>
      </c>
      <c r="O923" t="n">
        <v>1</v>
      </c>
      <c r="P923" t="n">
        <v>0</v>
      </c>
      <c r="Q923" t="n">
        <v>2</v>
      </c>
      <c r="R923" s="2" t="inlineStr">
        <is>
          <t>Lunglav
Revlummer</t>
        </is>
      </c>
      <c r="S923">
        <f>HYPERLINK("https://klasma.github.io/Logging_2305/artfynd/A 31455-2022 artfynd.xlsx", "A 31455-2022")</f>
        <v/>
      </c>
      <c r="T923">
        <f>HYPERLINK("https://klasma.github.io/Logging_2305/kartor/A 31455-2022 karta.png", "A 31455-2022")</f>
        <v/>
      </c>
      <c r="V923">
        <f>HYPERLINK("https://klasma.github.io/Logging_2305/klagomål/A 31455-2022 FSC-klagomål.docx", "A 31455-2022")</f>
        <v/>
      </c>
      <c r="W923">
        <f>HYPERLINK("https://klasma.github.io/Logging_2305/klagomålsmail/A 31455-2022 FSC-klagomål mail.docx", "A 31455-2022")</f>
        <v/>
      </c>
      <c r="X923">
        <f>HYPERLINK("https://klasma.github.io/Logging_2305/tillsyn/A 31455-2022 tillsynsbegäran.docx", "A 31455-2022")</f>
        <v/>
      </c>
      <c r="Y923">
        <f>HYPERLINK("https://klasma.github.io/Logging_2305/tillsynsmail/A 31455-2022 tillsynsbegäran mail.docx", "A 31455-2022")</f>
        <v/>
      </c>
    </row>
    <row r="924" ht="15" customHeight="1">
      <c r="A924" t="inlineStr">
        <is>
          <t>A 32207-2022</t>
        </is>
      </c>
      <c r="B924" s="1" t="n">
        <v>44781</v>
      </c>
      <c r="C924" s="1" t="n">
        <v>45363</v>
      </c>
      <c r="D924" t="inlineStr">
        <is>
          <t>JÄMTLANDS LÄN</t>
        </is>
      </c>
      <c r="E924" t="inlineStr">
        <is>
          <t>ÅRE</t>
        </is>
      </c>
      <c r="G924" t="n">
        <v>5.5</v>
      </c>
      <c r="H924" t="n">
        <v>1</v>
      </c>
      <c r="I924" t="n">
        <v>2</v>
      </c>
      <c r="J924" t="n">
        <v>0</v>
      </c>
      <c r="K924" t="n">
        <v>0</v>
      </c>
      <c r="L924" t="n">
        <v>0</v>
      </c>
      <c r="M924" t="n">
        <v>0</v>
      </c>
      <c r="N924" t="n">
        <v>0</v>
      </c>
      <c r="O924" t="n">
        <v>0</v>
      </c>
      <c r="P924" t="n">
        <v>0</v>
      </c>
      <c r="Q924" t="n">
        <v>2</v>
      </c>
      <c r="R924" s="2" t="inlineStr">
        <is>
          <t>Korallrot
Ögonpyrola</t>
        </is>
      </c>
      <c r="S924">
        <f>HYPERLINK("https://klasma.github.io/Logging_2321/artfynd/A 32207-2022 artfynd.xlsx", "A 32207-2022")</f>
        <v/>
      </c>
      <c r="T924">
        <f>HYPERLINK("https://klasma.github.io/Logging_2321/kartor/A 32207-2022 karta.png", "A 32207-2022")</f>
        <v/>
      </c>
      <c r="V924">
        <f>HYPERLINK("https://klasma.github.io/Logging_2321/klagomål/A 32207-2022 FSC-klagomål.docx", "A 32207-2022")</f>
        <v/>
      </c>
      <c r="W924">
        <f>HYPERLINK("https://klasma.github.io/Logging_2321/klagomålsmail/A 32207-2022 FSC-klagomål mail.docx", "A 32207-2022")</f>
        <v/>
      </c>
      <c r="X924">
        <f>HYPERLINK("https://klasma.github.io/Logging_2321/tillsyn/A 32207-2022 tillsynsbegäran.docx", "A 32207-2022")</f>
        <v/>
      </c>
      <c r="Y924">
        <f>HYPERLINK("https://klasma.github.io/Logging_2321/tillsynsmail/A 32207-2022 tillsynsbegäran mail.docx", "A 32207-2022")</f>
        <v/>
      </c>
    </row>
    <row r="925" ht="15" customHeight="1">
      <c r="A925" t="inlineStr">
        <is>
          <t>A 32507-2022</t>
        </is>
      </c>
      <c r="B925" s="1" t="n">
        <v>44782</v>
      </c>
      <c r="C925" s="1" t="n">
        <v>45363</v>
      </c>
      <c r="D925" t="inlineStr">
        <is>
          <t>JÄMTLANDS LÄN</t>
        </is>
      </c>
      <c r="E925" t="inlineStr">
        <is>
          <t>BRÄCKE</t>
        </is>
      </c>
      <c r="G925" t="n">
        <v>5.8</v>
      </c>
      <c r="H925" t="n">
        <v>1</v>
      </c>
      <c r="I925" t="n">
        <v>0</v>
      </c>
      <c r="J925" t="n">
        <v>1</v>
      </c>
      <c r="K925" t="n">
        <v>1</v>
      </c>
      <c r="L925" t="n">
        <v>0</v>
      </c>
      <c r="M925" t="n">
        <v>0</v>
      </c>
      <c r="N925" t="n">
        <v>0</v>
      </c>
      <c r="O925" t="n">
        <v>2</v>
      </c>
      <c r="P925" t="n">
        <v>1</v>
      </c>
      <c r="Q925" t="n">
        <v>2</v>
      </c>
      <c r="R925" s="2" t="inlineStr">
        <is>
          <t>Knärot
Ullticka</t>
        </is>
      </c>
      <c r="S925">
        <f>HYPERLINK("https://klasma.github.io/Logging_2305/artfynd/A 32507-2022 artfynd.xlsx", "A 32507-2022")</f>
        <v/>
      </c>
      <c r="T925">
        <f>HYPERLINK("https://klasma.github.io/Logging_2305/kartor/A 32507-2022 karta.png", "A 32507-2022")</f>
        <v/>
      </c>
      <c r="U925">
        <f>HYPERLINK("https://klasma.github.io/Logging_2305/knärot/A 32507-2022 karta knärot.png", "A 32507-2022")</f>
        <v/>
      </c>
      <c r="V925">
        <f>HYPERLINK("https://klasma.github.io/Logging_2305/klagomål/A 32507-2022 FSC-klagomål.docx", "A 32507-2022")</f>
        <v/>
      </c>
      <c r="W925">
        <f>HYPERLINK("https://klasma.github.io/Logging_2305/klagomålsmail/A 32507-2022 FSC-klagomål mail.docx", "A 32507-2022")</f>
        <v/>
      </c>
      <c r="X925">
        <f>HYPERLINK("https://klasma.github.io/Logging_2305/tillsyn/A 32507-2022 tillsynsbegäran.docx", "A 32507-2022")</f>
        <v/>
      </c>
      <c r="Y925">
        <f>HYPERLINK("https://klasma.github.io/Logging_2305/tillsynsmail/A 32507-2022 tillsynsbegäran mail.docx", "A 32507-2022")</f>
        <v/>
      </c>
    </row>
    <row r="926" ht="15" customHeight="1">
      <c r="A926" t="inlineStr">
        <is>
          <t>A 35994-2022</t>
        </is>
      </c>
      <c r="B926" s="1" t="n">
        <v>44802</v>
      </c>
      <c r="C926" s="1" t="n">
        <v>45363</v>
      </c>
      <c r="D926" t="inlineStr">
        <is>
          <t>JÄMTLANDS LÄN</t>
        </is>
      </c>
      <c r="E926" t="inlineStr">
        <is>
          <t>STRÖMSUND</t>
        </is>
      </c>
      <c r="F926" t="inlineStr">
        <is>
          <t>Sveaskog</t>
        </is>
      </c>
      <c r="G926" t="n">
        <v>14.8</v>
      </c>
      <c r="H926" t="n">
        <v>1</v>
      </c>
      <c r="I926" t="n">
        <v>0</v>
      </c>
      <c r="J926" t="n">
        <v>2</v>
      </c>
      <c r="K926" t="n">
        <v>0</v>
      </c>
      <c r="L926" t="n">
        <v>0</v>
      </c>
      <c r="M926" t="n">
        <v>0</v>
      </c>
      <c r="N926" t="n">
        <v>0</v>
      </c>
      <c r="O926" t="n">
        <v>2</v>
      </c>
      <c r="P926" t="n">
        <v>0</v>
      </c>
      <c r="Q926" t="n">
        <v>2</v>
      </c>
      <c r="R926" s="2" t="inlineStr">
        <is>
          <t>Lunglav
Spillkråka</t>
        </is>
      </c>
      <c r="S926">
        <f>HYPERLINK("https://klasma.github.io/Logging_2313/artfynd/A 35994-2022 artfynd.xlsx", "A 35994-2022")</f>
        <v/>
      </c>
      <c r="T926">
        <f>HYPERLINK("https://klasma.github.io/Logging_2313/kartor/A 35994-2022 karta.png", "A 35994-2022")</f>
        <v/>
      </c>
      <c r="V926">
        <f>HYPERLINK("https://klasma.github.io/Logging_2313/klagomål/A 35994-2022 FSC-klagomål.docx", "A 35994-2022")</f>
        <v/>
      </c>
      <c r="W926">
        <f>HYPERLINK("https://klasma.github.io/Logging_2313/klagomålsmail/A 35994-2022 FSC-klagomål mail.docx", "A 35994-2022")</f>
        <v/>
      </c>
      <c r="X926">
        <f>HYPERLINK("https://klasma.github.io/Logging_2313/tillsyn/A 35994-2022 tillsynsbegäran.docx", "A 35994-2022")</f>
        <v/>
      </c>
      <c r="Y926">
        <f>HYPERLINK("https://klasma.github.io/Logging_2313/tillsynsmail/A 35994-2022 tillsynsbegäran mail.docx", "A 35994-2022")</f>
        <v/>
      </c>
      <c r="Z926">
        <f>HYPERLINK("https://klasma.github.io/Logging_2313/fåglar/A 35994-2022 prioriterade fågelarter.docx", "A 35994-2022")</f>
        <v/>
      </c>
    </row>
    <row r="927" ht="15" customHeight="1">
      <c r="A927" t="inlineStr">
        <is>
          <t>A 37387-2022</t>
        </is>
      </c>
      <c r="B927" s="1" t="n">
        <v>44806</v>
      </c>
      <c r="C927" s="1" t="n">
        <v>45363</v>
      </c>
      <c r="D927" t="inlineStr">
        <is>
          <t>JÄMTLANDS LÄN</t>
        </is>
      </c>
      <c r="E927" t="inlineStr">
        <is>
          <t>BERG</t>
        </is>
      </c>
      <c r="G927" t="n">
        <v>20.2</v>
      </c>
      <c r="H927" t="n">
        <v>1</v>
      </c>
      <c r="I927" t="n">
        <v>0</v>
      </c>
      <c r="J927" t="n">
        <v>2</v>
      </c>
      <c r="K927" t="n">
        <v>0</v>
      </c>
      <c r="L927" t="n">
        <v>0</v>
      </c>
      <c r="M927" t="n">
        <v>0</v>
      </c>
      <c r="N927" t="n">
        <v>0</v>
      </c>
      <c r="O927" t="n">
        <v>2</v>
      </c>
      <c r="P927" t="n">
        <v>0</v>
      </c>
      <c r="Q927" t="n">
        <v>2</v>
      </c>
      <c r="R927" s="2" t="inlineStr">
        <is>
          <t>Garnlav
Tretåig hackspett</t>
        </is>
      </c>
      <c r="S927">
        <f>HYPERLINK("https://klasma.github.io/Logging_2326/artfynd/A 37387-2022 artfynd.xlsx", "A 37387-2022")</f>
        <v/>
      </c>
      <c r="T927">
        <f>HYPERLINK("https://klasma.github.io/Logging_2326/kartor/A 37387-2022 karta.png", "A 37387-2022")</f>
        <v/>
      </c>
      <c r="V927">
        <f>HYPERLINK("https://klasma.github.io/Logging_2326/klagomål/A 37387-2022 FSC-klagomål.docx", "A 37387-2022")</f>
        <v/>
      </c>
      <c r="W927">
        <f>HYPERLINK("https://klasma.github.io/Logging_2326/klagomålsmail/A 37387-2022 FSC-klagomål mail.docx", "A 37387-2022")</f>
        <v/>
      </c>
      <c r="X927">
        <f>HYPERLINK("https://klasma.github.io/Logging_2326/tillsyn/A 37387-2022 tillsynsbegäran.docx", "A 37387-2022")</f>
        <v/>
      </c>
      <c r="Y927">
        <f>HYPERLINK("https://klasma.github.io/Logging_2326/tillsynsmail/A 37387-2022 tillsynsbegäran mail.docx", "A 37387-2022")</f>
        <v/>
      </c>
      <c r="Z927">
        <f>HYPERLINK("https://klasma.github.io/Logging_2326/fåglar/A 37387-2022 prioriterade fågelarter.docx", "A 37387-2022")</f>
        <v/>
      </c>
    </row>
    <row r="928" ht="15" customHeight="1">
      <c r="A928" t="inlineStr">
        <is>
          <t>A 37786-2022</t>
        </is>
      </c>
      <c r="B928" s="1" t="n">
        <v>44810</v>
      </c>
      <c r="C928" s="1" t="n">
        <v>45363</v>
      </c>
      <c r="D928" t="inlineStr">
        <is>
          <t>JÄMTLANDS LÄN</t>
        </is>
      </c>
      <c r="E928" t="inlineStr">
        <is>
          <t>STRÖMSUND</t>
        </is>
      </c>
      <c r="G928" t="n">
        <v>2.3</v>
      </c>
      <c r="H928" t="n">
        <v>0</v>
      </c>
      <c r="I928" t="n">
        <v>1</v>
      </c>
      <c r="J928" t="n">
        <v>1</v>
      </c>
      <c r="K928" t="n">
        <v>0</v>
      </c>
      <c r="L928" t="n">
        <v>0</v>
      </c>
      <c r="M928" t="n">
        <v>0</v>
      </c>
      <c r="N928" t="n">
        <v>0</v>
      </c>
      <c r="O928" t="n">
        <v>1</v>
      </c>
      <c r="P928" t="n">
        <v>0</v>
      </c>
      <c r="Q928" t="n">
        <v>2</v>
      </c>
      <c r="R928" s="2" t="inlineStr">
        <is>
          <t>Orange taggsvamp
Svart trolldruva</t>
        </is>
      </c>
      <c r="S928">
        <f>HYPERLINK("https://klasma.github.io/Logging_2313/artfynd/A 37786-2022 artfynd.xlsx", "A 37786-2022")</f>
        <v/>
      </c>
      <c r="T928">
        <f>HYPERLINK("https://klasma.github.io/Logging_2313/kartor/A 37786-2022 karta.png", "A 37786-2022")</f>
        <v/>
      </c>
      <c r="V928">
        <f>HYPERLINK("https://klasma.github.io/Logging_2313/klagomål/A 37786-2022 FSC-klagomål.docx", "A 37786-2022")</f>
        <v/>
      </c>
      <c r="W928">
        <f>HYPERLINK("https://klasma.github.io/Logging_2313/klagomålsmail/A 37786-2022 FSC-klagomål mail.docx", "A 37786-2022")</f>
        <v/>
      </c>
      <c r="X928">
        <f>HYPERLINK("https://klasma.github.io/Logging_2313/tillsyn/A 37786-2022 tillsynsbegäran.docx", "A 37786-2022")</f>
        <v/>
      </c>
      <c r="Y928">
        <f>HYPERLINK("https://klasma.github.io/Logging_2313/tillsynsmail/A 37786-2022 tillsynsbegäran mail.docx", "A 37786-2022")</f>
        <v/>
      </c>
    </row>
    <row r="929" ht="15" customHeight="1">
      <c r="A929" t="inlineStr">
        <is>
          <t>A 39686-2022</t>
        </is>
      </c>
      <c r="B929" s="1" t="n">
        <v>44818</v>
      </c>
      <c r="C929" s="1" t="n">
        <v>45363</v>
      </c>
      <c r="D929" t="inlineStr">
        <is>
          <t>JÄMTLANDS LÄN</t>
        </is>
      </c>
      <c r="E929" t="inlineStr">
        <is>
          <t>STRÖMSUND</t>
        </is>
      </c>
      <c r="F929" t="inlineStr">
        <is>
          <t>SCA</t>
        </is>
      </c>
      <c r="G929" t="n">
        <v>4.7</v>
      </c>
      <c r="H929" t="n">
        <v>0</v>
      </c>
      <c r="I929" t="n">
        <v>1</v>
      </c>
      <c r="J929" t="n">
        <v>1</v>
      </c>
      <c r="K929" t="n">
        <v>0</v>
      </c>
      <c r="L929" t="n">
        <v>0</v>
      </c>
      <c r="M929" t="n">
        <v>0</v>
      </c>
      <c r="N929" t="n">
        <v>0</v>
      </c>
      <c r="O929" t="n">
        <v>1</v>
      </c>
      <c r="P929" t="n">
        <v>0</v>
      </c>
      <c r="Q929" t="n">
        <v>2</v>
      </c>
      <c r="R929" s="2" t="inlineStr">
        <is>
          <t>Skrovellav
Stuplav</t>
        </is>
      </c>
      <c r="S929">
        <f>HYPERLINK("https://klasma.github.io/Logging_2313/artfynd/A 39686-2022 artfynd.xlsx", "A 39686-2022")</f>
        <v/>
      </c>
      <c r="T929">
        <f>HYPERLINK("https://klasma.github.io/Logging_2313/kartor/A 39686-2022 karta.png", "A 39686-2022")</f>
        <v/>
      </c>
      <c r="V929">
        <f>HYPERLINK("https://klasma.github.io/Logging_2313/klagomål/A 39686-2022 FSC-klagomål.docx", "A 39686-2022")</f>
        <v/>
      </c>
      <c r="W929">
        <f>HYPERLINK("https://klasma.github.io/Logging_2313/klagomålsmail/A 39686-2022 FSC-klagomål mail.docx", "A 39686-2022")</f>
        <v/>
      </c>
      <c r="X929">
        <f>HYPERLINK("https://klasma.github.io/Logging_2313/tillsyn/A 39686-2022 tillsynsbegäran.docx", "A 39686-2022")</f>
        <v/>
      </c>
      <c r="Y929">
        <f>HYPERLINK("https://klasma.github.io/Logging_2313/tillsynsmail/A 39686-2022 tillsynsbegäran mail.docx", "A 39686-2022")</f>
        <v/>
      </c>
    </row>
    <row r="930" ht="15" customHeight="1">
      <c r="A930" t="inlineStr">
        <is>
          <t>A 41823-2022</t>
        </is>
      </c>
      <c r="B930" s="1" t="n">
        <v>44827</v>
      </c>
      <c r="C930" s="1" t="n">
        <v>45363</v>
      </c>
      <c r="D930" t="inlineStr">
        <is>
          <t>JÄMTLANDS LÄN</t>
        </is>
      </c>
      <c r="E930" t="inlineStr">
        <is>
          <t>BERG</t>
        </is>
      </c>
      <c r="F930" t="inlineStr">
        <is>
          <t>SCA</t>
        </is>
      </c>
      <c r="G930" t="n">
        <v>21.6</v>
      </c>
      <c r="H930" t="n">
        <v>1</v>
      </c>
      <c r="I930" t="n">
        <v>0</v>
      </c>
      <c r="J930" t="n">
        <v>1</v>
      </c>
      <c r="K930" t="n">
        <v>1</v>
      </c>
      <c r="L930" t="n">
        <v>0</v>
      </c>
      <c r="M930" t="n">
        <v>0</v>
      </c>
      <c r="N930" t="n">
        <v>0</v>
      </c>
      <c r="O930" t="n">
        <v>2</v>
      </c>
      <c r="P930" t="n">
        <v>1</v>
      </c>
      <c r="Q930" t="n">
        <v>2</v>
      </c>
      <c r="R930" s="2" t="inlineStr">
        <is>
          <t>Doftticka
Reliktbock</t>
        </is>
      </c>
      <c r="S930">
        <f>HYPERLINK("https://klasma.github.io/Logging_2326/artfynd/A 41823-2022 artfynd.xlsx", "A 41823-2022")</f>
        <v/>
      </c>
      <c r="T930">
        <f>HYPERLINK("https://klasma.github.io/Logging_2326/kartor/A 41823-2022 karta.png", "A 41823-2022")</f>
        <v/>
      </c>
      <c r="V930">
        <f>HYPERLINK("https://klasma.github.io/Logging_2326/klagomål/A 41823-2022 FSC-klagomål.docx", "A 41823-2022")</f>
        <v/>
      </c>
      <c r="W930">
        <f>HYPERLINK("https://klasma.github.io/Logging_2326/klagomålsmail/A 41823-2022 FSC-klagomål mail.docx", "A 41823-2022")</f>
        <v/>
      </c>
      <c r="X930">
        <f>HYPERLINK("https://klasma.github.io/Logging_2326/tillsyn/A 41823-2022 tillsynsbegäran.docx", "A 41823-2022")</f>
        <v/>
      </c>
      <c r="Y930">
        <f>HYPERLINK("https://klasma.github.io/Logging_2326/tillsynsmail/A 41823-2022 tillsynsbegäran mail.docx", "A 41823-2022")</f>
        <v/>
      </c>
    </row>
    <row r="931" ht="15" customHeight="1">
      <c r="A931" t="inlineStr">
        <is>
          <t>A 42291-2022</t>
        </is>
      </c>
      <c r="B931" s="1" t="n">
        <v>44830</v>
      </c>
      <c r="C931" s="1" t="n">
        <v>45363</v>
      </c>
      <c r="D931" t="inlineStr">
        <is>
          <t>JÄMTLANDS LÄN</t>
        </is>
      </c>
      <c r="E931" t="inlineStr">
        <is>
          <t>BRÄCKE</t>
        </is>
      </c>
      <c r="F931" t="inlineStr">
        <is>
          <t>SCA</t>
        </is>
      </c>
      <c r="G931" t="n">
        <v>4</v>
      </c>
      <c r="H931" t="n">
        <v>0</v>
      </c>
      <c r="I931" t="n">
        <v>0</v>
      </c>
      <c r="J931" t="n">
        <v>2</v>
      </c>
      <c r="K931" t="n">
        <v>0</v>
      </c>
      <c r="L931" t="n">
        <v>0</v>
      </c>
      <c r="M931" t="n">
        <v>0</v>
      </c>
      <c r="N931" t="n">
        <v>0</v>
      </c>
      <c r="O931" t="n">
        <v>2</v>
      </c>
      <c r="P931" t="n">
        <v>0</v>
      </c>
      <c r="Q931" t="n">
        <v>2</v>
      </c>
      <c r="R931" s="2" t="inlineStr">
        <is>
          <t>Garnlav
Lunglav</t>
        </is>
      </c>
      <c r="S931">
        <f>HYPERLINK("https://klasma.github.io/Logging_2305/artfynd/A 42291-2022 artfynd.xlsx", "A 42291-2022")</f>
        <v/>
      </c>
      <c r="T931">
        <f>HYPERLINK("https://klasma.github.io/Logging_2305/kartor/A 42291-2022 karta.png", "A 42291-2022")</f>
        <v/>
      </c>
      <c r="V931">
        <f>HYPERLINK("https://klasma.github.io/Logging_2305/klagomål/A 42291-2022 FSC-klagomål.docx", "A 42291-2022")</f>
        <v/>
      </c>
      <c r="W931">
        <f>HYPERLINK("https://klasma.github.io/Logging_2305/klagomålsmail/A 42291-2022 FSC-klagomål mail.docx", "A 42291-2022")</f>
        <v/>
      </c>
      <c r="X931">
        <f>HYPERLINK("https://klasma.github.io/Logging_2305/tillsyn/A 42291-2022 tillsynsbegäran.docx", "A 42291-2022")</f>
        <v/>
      </c>
      <c r="Y931">
        <f>HYPERLINK("https://klasma.github.io/Logging_2305/tillsynsmail/A 42291-2022 tillsynsbegäran mail.docx", "A 42291-2022")</f>
        <v/>
      </c>
    </row>
    <row r="932" ht="15" customHeight="1">
      <c r="A932" t="inlineStr">
        <is>
          <t>A 43141-2022</t>
        </is>
      </c>
      <c r="B932" s="1" t="n">
        <v>44833</v>
      </c>
      <c r="C932" s="1" t="n">
        <v>45363</v>
      </c>
      <c r="D932" t="inlineStr">
        <is>
          <t>JÄMTLANDS LÄN</t>
        </is>
      </c>
      <c r="E932" t="inlineStr">
        <is>
          <t>BRÄCKE</t>
        </is>
      </c>
      <c r="F932" t="inlineStr">
        <is>
          <t>SCA</t>
        </is>
      </c>
      <c r="G932" t="n">
        <v>2</v>
      </c>
      <c r="H932" t="n">
        <v>1</v>
      </c>
      <c r="I932" t="n">
        <v>0</v>
      </c>
      <c r="J932" t="n">
        <v>0</v>
      </c>
      <c r="K932" t="n">
        <v>2</v>
      </c>
      <c r="L932" t="n">
        <v>0</v>
      </c>
      <c r="M932" t="n">
        <v>0</v>
      </c>
      <c r="N932" t="n">
        <v>0</v>
      </c>
      <c r="O932" t="n">
        <v>2</v>
      </c>
      <c r="P932" t="n">
        <v>2</v>
      </c>
      <c r="Q932" t="n">
        <v>2</v>
      </c>
      <c r="R932" s="2" t="inlineStr">
        <is>
          <t>Frösöstarr
Knärot</t>
        </is>
      </c>
      <c r="S932">
        <f>HYPERLINK("https://klasma.github.io/Logging_2305/artfynd/A 43141-2022 artfynd.xlsx", "A 43141-2022")</f>
        <v/>
      </c>
      <c r="T932">
        <f>HYPERLINK("https://klasma.github.io/Logging_2305/kartor/A 43141-2022 karta.png", "A 43141-2022")</f>
        <v/>
      </c>
      <c r="U932">
        <f>HYPERLINK("https://klasma.github.io/Logging_2305/knärot/A 43141-2022 karta knärot.png", "A 43141-2022")</f>
        <v/>
      </c>
      <c r="V932">
        <f>HYPERLINK("https://klasma.github.io/Logging_2305/klagomål/A 43141-2022 FSC-klagomål.docx", "A 43141-2022")</f>
        <v/>
      </c>
      <c r="W932">
        <f>HYPERLINK("https://klasma.github.io/Logging_2305/klagomålsmail/A 43141-2022 FSC-klagomål mail.docx", "A 43141-2022")</f>
        <v/>
      </c>
      <c r="X932">
        <f>HYPERLINK("https://klasma.github.io/Logging_2305/tillsyn/A 43141-2022 tillsynsbegäran.docx", "A 43141-2022")</f>
        <v/>
      </c>
      <c r="Y932">
        <f>HYPERLINK("https://klasma.github.io/Logging_2305/tillsynsmail/A 43141-2022 tillsynsbegäran mail.docx", "A 43141-2022")</f>
        <v/>
      </c>
    </row>
    <row r="933" ht="15" customHeight="1">
      <c r="A933" t="inlineStr">
        <is>
          <t>A 43935-2022</t>
        </is>
      </c>
      <c r="B933" s="1" t="n">
        <v>44838</v>
      </c>
      <c r="C933" s="1" t="n">
        <v>45363</v>
      </c>
      <c r="D933" t="inlineStr">
        <is>
          <t>JÄMTLANDS LÄN</t>
        </is>
      </c>
      <c r="E933" t="inlineStr">
        <is>
          <t>ÖSTERSUND</t>
        </is>
      </c>
      <c r="F933" t="inlineStr">
        <is>
          <t>Övriga Aktiebolag</t>
        </is>
      </c>
      <c r="G933" t="n">
        <v>19.2</v>
      </c>
      <c r="H933" t="n">
        <v>0</v>
      </c>
      <c r="I933" t="n">
        <v>0</v>
      </c>
      <c r="J933" t="n">
        <v>1</v>
      </c>
      <c r="K933" t="n">
        <v>1</v>
      </c>
      <c r="L933" t="n">
        <v>0</v>
      </c>
      <c r="M933" t="n">
        <v>0</v>
      </c>
      <c r="N933" t="n">
        <v>0</v>
      </c>
      <c r="O933" t="n">
        <v>2</v>
      </c>
      <c r="P933" t="n">
        <v>1</v>
      </c>
      <c r="Q933" t="n">
        <v>2</v>
      </c>
      <c r="R933" s="2" t="inlineStr">
        <is>
          <t>Sprickporing
Dofttaggsvamp</t>
        </is>
      </c>
      <c r="S933">
        <f>HYPERLINK("https://klasma.github.io/Logging_2380/artfynd/A 43935-2022 artfynd.xlsx", "A 43935-2022")</f>
        <v/>
      </c>
      <c r="T933">
        <f>HYPERLINK("https://klasma.github.io/Logging_2380/kartor/A 43935-2022 karta.png", "A 43935-2022")</f>
        <v/>
      </c>
      <c r="V933">
        <f>HYPERLINK("https://klasma.github.io/Logging_2380/klagomål/A 43935-2022 FSC-klagomål.docx", "A 43935-2022")</f>
        <v/>
      </c>
      <c r="W933">
        <f>HYPERLINK("https://klasma.github.io/Logging_2380/klagomålsmail/A 43935-2022 FSC-klagomål mail.docx", "A 43935-2022")</f>
        <v/>
      </c>
      <c r="X933">
        <f>HYPERLINK("https://klasma.github.io/Logging_2380/tillsyn/A 43935-2022 tillsynsbegäran.docx", "A 43935-2022")</f>
        <v/>
      </c>
      <c r="Y933">
        <f>HYPERLINK("https://klasma.github.io/Logging_2380/tillsynsmail/A 43935-2022 tillsynsbegäran mail.docx", "A 43935-2022")</f>
        <v/>
      </c>
    </row>
    <row r="934" ht="15" customHeight="1">
      <c r="A934" t="inlineStr">
        <is>
          <t>A 44441-2022</t>
        </is>
      </c>
      <c r="B934" s="1" t="n">
        <v>44840</v>
      </c>
      <c r="C934" s="1" t="n">
        <v>45363</v>
      </c>
      <c r="D934" t="inlineStr">
        <is>
          <t>JÄMTLANDS LÄN</t>
        </is>
      </c>
      <c r="E934" t="inlineStr">
        <is>
          <t>BERG</t>
        </is>
      </c>
      <c r="F934" t="inlineStr">
        <is>
          <t>SCA</t>
        </is>
      </c>
      <c r="G934" t="n">
        <v>3.5</v>
      </c>
      <c r="H934" t="n">
        <v>1</v>
      </c>
      <c r="I934" t="n">
        <v>0</v>
      </c>
      <c r="J934" t="n">
        <v>2</v>
      </c>
      <c r="K934" t="n">
        <v>0</v>
      </c>
      <c r="L934" t="n">
        <v>0</v>
      </c>
      <c r="M934" t="n">
        <v>0</v>
      </c>
      <c r="N934" t="n">
        <v>0</v>
      </c>
      <c r="O934" t="n">
        <v>2</v>
      </c>
      <c r="P934" t="n">
        <v>0</v>
      </c>
      <c r="Q934" t="n">
        <v>2</v>
      </c>
      <c r="R934" s="2" t="inlineStr">
        <is>
          <t>Nordtagging
Tretåig hackspett</t>
        </is>
      </c>
      <c r="S934">
        <f>HYPERLINK("https://klasma.github.io/Logging_2326/artfynd/A 44441-2022 artfynd.xlsx", "A 44441-2022")</f>
        <v/>
      </c>
      <c r="T934">
        <f>HYPERLINK("https://klasma.github.io/Logging_2326/kartor/A 44441-2022 karta.png", "A 44441-2022")</f>
        <v/>
      </c>
      <c r="V934">
        <f>HYPERLINK("https://klasma.github.io/Logging_2326/klagomål/A 44441-2022 FSC-klagomål.docx", "A 44441-2022")</f>
        <v/>
      </c>
      <c r="W934">
        <f>HYPERLINK("https://klasma.github.io/Logging_2326/klagomålsmail/A 44441-2022 FSC-klagomål mail.docx", "A 44441-2022")</f>
        <v/>
      </c>
      <c r="X934">
        <f>HYPERLINK("https://klasma.github.io/Logging_2326/tillsyn/A 44441-2022 tillsynsbegäran.docx", "A 44441-2022")</f>
        <v/>
      </c>
      <c r="Y934">
        <f>HYPERLINK("https://klasma.github.io/Logging_2326/tillsynsmail/A 44441-2022 tillsynsbegäran mail.docx", "A 44441-2022")</f>
        <v/>
      </c>
      <c r="Z934">
        <f>HYPERLINK("https://klasma.github.io/Logging_2326/fåglar/A 44441-2022 prioriterade fågelarter.docx", "A 44441-2022")</f>
        <v/>
      </c>
    </row>
    <row r="935" ht="15" customHeight="1">
      <c r="A935" t="inlineStr">
        <is>
          <t>A 46621-2022</t>
        </is>
      </c>
      <c r="B935" s="1" t="n">
        <v>44848</v>
      </c>
      <c r="C935" s="1" t="n">
        <v>45363</v>
      </c>
      <c r="D935" t="inlineStr">
        <is>
          <t>JÄMTLANDS LÄN</t>
        </is>
      </c>
      <c r="E935" t="inlineStr">
        <is>
          <t>STRÖMSUND</t>
        </is>
      </c>
      <c r="F935" t="inlineStr">
        <is>
          <t>SCA</t>
        </is>
      </c>
      <c r="G935" t="n">
        <v>6.8</v>
      </c>
      <c r="H935" t="n">
        <v>0</v>
      </c>
      <c r="I935" t="n">
        <v>0</v>
      </c>
      <c r="J935" t="n">
        <v>2</v>
      </c>
      <c r="K935" t="n">
        <v>0</v>
      </c>
      <c r="L935" t="n">
        <v>0</v>
      </c>
      <c r="M935" t="n">
        <v>0</v>
      </c>
      <c r="N935" t="n">
        <v>0</v>
      </c>
      <c r="O935" t="n">
        <v>2</v>
      </c>
      <c r="P935" t="n">
        <v>0</v>
      </c>
      <c r="Q935" t="n">
        <v>2</v>
      </c>
      <c r="R935" s="2" t="inlineStr">
        <is>
          <t>Garnlav
Ullticka</t>
        </is>
      </c>
      <c r="S935">
        <f>HYPERLINK("https://klasma.github.io/Logging_2313/artfynd/A 46621-2022 artfynd.xlsx", "A 46621-2022")</f>
        <v/>
      </c>
      <c r="T935">
        <f>HYPERLINK("https://klasma.github.io/Logging_2313/kartor/A 46621-2022 karta.png", "A 46621-2022")</f>
        <v/>
      </c>
      <c r="V935">
        <f>HYPERLINK("https://klasma.github.io/Logging_2313/klagomål/A 46621-2022 FSC-klagomål.docx", "A 46621-2022")</f>
        <v/>
      </c>
      <c r="W935">
        <f>HYPERLINK("https://klasma.github.io/Logging_2313/klagomålsmail/A 46621-2022 FSC-klagomål mail.docx", "A 46621-2022")</f>
        <v/>
      </c>
      <c r="X935">
        <f>HYPERLINK("https://klasma.github.io/Logging_2313/tillsyn/A 46621-2022 tillsynsbegäran.docx", "A 46621-2022")</f>
        <v/>
      </c>
      <c r="Y935">
        <f>HYPERLINK("https://klasma.github.io/Logging_2313/tillsynsmail/A 46621-2022 tillsynsbegäran mail.docx", "A 46621-2022")</f>
        <v/>
      </c>
    </row>
    <row r="936" ht="15" customHeight="1">
      <c r="A936" t="inlineStr">
        <is>
          <t>A 47348-2022</t>
        </is>
      </c>
      <c r="B936" s="1" t="n">
        <v>44853</v>
      </c>
      <c r="C936" s="1" t="n">
        <v>45363</v>
      </c>
      <c r="D936" t="inlineStr">
        <is>
          <t>JÄMTLANDS LÄN</t>
        </is>
      </c>
      <c r="E936" t="inlineStr">
        <is>
          <t>HÄRJEDALEN</t>
        </is>
      </c>
      <c r="G936" t="n">
        <v>2</v>
      </c>
      <c r="H936" t="n">
        <v>1</v>
      </c>
      <c r="I936" t="n">
        <v>0</v>
      </c>
      <c r="J936" t="n">
        <v>1</v>
      </c>
      <c r="K936" t="n">
        <v>1</v>
      </c>
      <c r="L936" t="n">
        <v>0</v>
      </c>
      <c r="M936" t="n">
        <v>0</v>
      </c>
      <c r="N936" t="n">
        <v>0</v>
      </c>
      <c r="O936" t="n">
        <v>2</v>
      </c>
      <c r="P936" t="n">
        <v>1</v>
      </c>
      <c r="Q936" t="n">
        <v>2</v>
      </c>
      <c r="R936" s="2" t="inlineStr">
        <is>
          <t>Knärot
Lunglav</t>
        </is>
      </c>
      <c r="S936">
        <f>HYPERLINK("https://klasma.github.io/Logging_2361/artfynd/A 47348-2022 artfynd.xlsx", "A 47348-2022")</f>
        <v/>
      </c>
      <c r="T936">
        <f>HYPERLINK("https://klasma.github.io/Logging_2361/kartor/A 47348-2022 karta.png", "A 47348-2022")</f>
        <v/>
      </c>
      <c r="U936">
        <f>HYPERLINK("https://klasma.github.io/Logging_2361/knärot/A 47348-2022 karta knärot.png", "A 47348-2022")</f>
        <v/>
      </c>
      <c r="V936">
        <f>HYPERLINK("https://klasma.github.io/Logging_2361/klagomål/A 47348-2022 FSC-klagomål.docx", "A 47348-2022")</f>
        <v/>
      </c>
      <c r="W936">
        <f>HYPERLINK("https://klasma.github.io/Logging_2361/klagomålsmail/A 47348-2022 FSC-klagomål mail.docx", "A 47348-2022")</f>
        <v/>
      </c>
      <c r="X936">
        <f>HYPERLINK("https://klasma.github.io/Logging_2361/tillsyn/A 47348-2022 tillsynsbegäran.docx", "A 47348-2022")</f>
        <v/>
      </c>
      <c r="Y936">
        <f>HYPERLINK("https://klasma.github.io/Logging_2361/tillsynsmail/A 47348-2022 tillsynsbegäran mail.docx", "A 47348-2022")</f>
        <v/>
      </c>
    </row>
    <row r="937" ht="15" customHeight="1">
      <c r="A937" t="inlineStr">
        <is>
          <t>A 47385-2022</t>
        </is>
      </c>
      <c r="B937" s="1" t="n">
        <v>44853</v>
      </c>
      <c r="C937" s="1" t="n">
        <v>45363</v>
      </c>
      <c r="D937" t="inlineStr">
        <is>
          <t>JÄMTLANDS LÄN</t>
        </is>
      </c>
      <c r="E937" t="inlineStr">
        <is>
          <t>ÖSTERSUND</t>
        </is>
      </c>
      <c r="G937" t="n">
        <v>0.9</v>
      </c>
      <c r="H937" t="n">
        <v>0</v>
      </c>
      <c r="I937" t="n">
        <v>0</v>
      </c>
      <c r="J937" t="n">
        <v>2</v>
      </c>
      <c r="K937" t="n">
        <v>0</v>
      </c>
      <c r="L937" t="n">
        <v>0</v>
      </c>
      <c r="M937" t="n">
        <v>0</v>
      </c>
      <c r="N937" t="n">
        <v>0</v>
      </c>
      <c r="O937" t="n">
        <v>2</v>
      </c>
      <c r="P937" t="n">
        <v>0</v>
      </c>
      <c r="Q937" t="n">
        <v>2</v>
      </c>
      <c r="R937" s="2" t="inlineStr">
        <is>
          <t>Garnlav
Ullticka</t>
        </is>
      </c>
      <c r="S937">
        <f>HYPERLINK("https://klasma.github.io/Logging_2380/artfynd/A 47385-2022 artfynd.xlsx", "A 47385-2022")</f>
        <v/>
      </c>
      <c r="T937">
        <f>HYPERLINK("https://klasma.github.io/Logging_2380/kartor/A 47385-2022 karta.png", "A 47385-2022")</f>
        <v/>
      </c>
      <c r="U937">
        <f>HYPERLINK("https://klasma.github.io/Logging_2380/knärot/A 47385-2022 karta knärot.png", "A 47385-2022")</f>
        <v/>
      </c>
      <c r="V937">
        <f>HYPERLINK("https://klasma.github.io/Logging_2380/klagomål/A 47385-2022 FSC-klagomål.docx", "A 47385-2022")</f>
        <v/>
      </c>
      <c r="W937">
        <f>HYPERLINK("https://klasma.github.io/Logging_2380/klagomålsmail/A 47385-2022 FSC-klagomål mail.docx", "A 47385-2022")</f>
        <v/>
      </c>
      <c r="X937">
        <f>HYPERLINK("https://klasma.github.io/Logging_2380/tillsyn/A 47385-2022 tillsynsbegäran.docx", "A 47385-2022")</f>
        <v/>
      </c>
      <c r="Y937">
        <f>HYPERLINK("https://klasma.github.io/Logging_2380/tillsynsmail/A 47385-2022 tillsynsbegäran mail.docx", "A 47385-2022")</f>
        <v/>
      </c>
    </row>
    <row r="938" ht="15" customHeight="1">
      <c r="A938" t="inlineStr">
        <is>
          <t>A 47583-2022</t>
        </is>
      </c>
      <c r="B938" s="1" t="n">
        <v>44854</v>
      </c>
      <c r="C938" s="1" t="n">
        <v>45363</v>
      </c>
      <c r="D938" t="inlineStr">
        <is>
          <t>JÄMTLANDS LÄN</t>
        </is>
      </c>
      <c r="E938" t="inlineStr">
        <is>
          <t>RAGUNDA</t>
        </is>
      </c>
      <c r="F938" t="inlineStr">
        <is>
          <t>SCA</t>
        </is>
      </c>
      <c r="G938" t="n">
        <v>2.6</v>
      </c>
      <c r="H938" t="n">
        <v>0</v>
      </c>
      <c r="I938" t="n">
        <v>0</v>
      </c>
      <c r="J938" t="n">
        <v>2</v>
      </c>
      <c r="K938" t="n">
        <v>0</v>
      </c>
      <c r="L938" t="n">
        <v>0</v>
      </c>
      <c r="M938" t="n">
        <v>0</v>
      </c>
      <c r="N938" t="n">
        <v>0</v>
      </c>
      <c r="O938" t="n">
        <v>2</v>
      </c>
      <c r="P938" t="n">
        <v>0</v>
      </c>
      <c r="Q938" t="n">
        <v>2</v>
      </c>
      <c r="R938" s="2" t="inlineStr">
        <is>
          <t>Garnlav
Lunglav</t>
        </is>
      </c>
      <c r="S938">
        <f>HYPERLINK("https://klasma.github.io/Logging_2303/artfynd/A 47583-2022 artfynd.xlsx", "A 47583-2022")</f>
        <v/>
      </c>
      <c r="T938">
        <f>HYPERLINK("https://klasma.github.io/Logging_2303/kartor/A 47583-2022 karta.png", "A 47583-2022")</f>
        <v/>
      </c>
      <c r="V938">
        <f>HYPERLINK("https://klasma.github.io/Logging_2303/klagomål/A 47583-2022 FSC-klagomål.docx", "A 47583-2022")</f>
        <v/>
      </c>
      <c r="W938">
        <f>HYPERLINK("https://klasma.github.io/Logging_2303/klagomålsmail/A 47583-2022 FSC-klagomål mail.docx", "A 47583-2022")</f>
        <v/>
      </c>
      <c r="X938">
        <f>HYPERLINK("https://klasma.github.io/Logging_2303/tillsyn/A 47583-2022 tillsynsbegäran.docx", "A 47583-2022")</f>
        <v/>
      </c>
      <c r="Y938">
        <f>HYPERLINK("https://klasma.github.io/Logging_2303/tillsynsmail/A 47583-2022 tillsynsbegäran mail.docx", "A 47583-2022")</f>
        <v/>
      </c>
    </row>
    <row r="939" ht="15" customHeight="1">
      <c r="A939" t="inlineStr">
        <is>
          <t>A 48059-2022</t>
        </is>
      </c>
      <c r="B939" s="1" t="n">
        <v>44855</v>
      </c>
      <c r="C939" s="1" t="n">
        <v>45363</v>
      </c>
      <c r="D939" t="inlineStr">
        <is>
          <t>JÄMTLANDS LÄN</t>
        </is>
      </c>
      <c r="E939" t="inlineStr">
        <is>
          <t>RAGUNDA</t>
        </is>
      </c>
      <c r="F939" t="inlineStr">
        <is>
          <t>SCA</t>
        </is>
      </c>
      <c r="G939" t="n">
        <v>3.2</v>
      </c>
      <c r="H939" t="n">
        <v>0</v>
      </c>
      <c r="I939" t="n">
        <v>0</v>
      </c>
      <c r="J939" t="n">
        <v>2</v>
      </c>
      <c r="K939" t="n">
        <v>0</v>
      </c>
      <c r="L939" t="n">
        <v>0</v>
      </c>
      <c r="M939" t="n">
        <v>0</v>
      </c>
      <c r="N939" t="n">
        <v>0</v>
      </c>
      <c r="O939" t="n">
        <v>2</v>
      </c>
      <c r="P939" t="n">
        <v>0</v>
      </c>
      <c r="Q939" t="n">
        <v>2</v>
      </c>
      <c r="R939" s="2" t="inlineStr">
        <is>
          <t>Garnlav
Lunglav</t>
        </is>
      </c>
      <c r="S939">
        <f>HYPERLINK("https://klasma.github.io/Logging_2303/artfynd/A 48059-2022 artfynd.xlsx", "A 48059-2022")</f>
        <v/>
      </c>
      <c r="T939">
        <f>HYPERLINK("https://klasma.github.io/Logging_2303/kartor/A 48059-2022 karta.png", "A 48059-2022")</f>
        <v/>
      </c>
      <c r="V939">
        <f>HYPERLINK("https://klasma.github.io/Logging_2303/klagomål/A 48059-2022 FSC-klagomål.docx", "A 48059-2022")</f>
        <v/>
      </c>
      <c r="W939">
        <f>HYPERLINK("https://klasma.github.io/Logging_2303/klagomålsmail/A 48059-2022 FSC-klagomål mail.docx", "A 48059-2022")</f>
        <v/>
      </c>
      <c r="X939">
        <f>HYPERLINK("https://klasma.github.io/Logging_2303/tillsyn/A 48059-2022 tillsynsbegäran.docx", "A 48059-2022")</f>
        <v/>
      </c>
      <c r="Y939">
        <f>HYPERLINK("https://klasma.github.io/Logging_2303/tillsynsmail/A 48059-2022 tillsynsbegäran mail.docx", "A 48059-2022")</f>
        <v/>
      </c>
    </row>
    <row r="940" ht="15" customHeight="1">
      <c r="A940" t="inlineStr">
        <is>
          <t>A 48084-2022</t>
        </is>
      </c>
      <c r="B940" s="1" t="n">
        <v>44855</v>
      </c>
      <c r="C940" s="1" t="n">
        <v>45363</v>
      </c>
      <c r="D940" t="inlineStr">
        <is>
          <t>JÄMTLANDS LÄN</t>
        </is>
      </c>
      <c r="E940" t="inlineStr">
        <is>
          <t>RAGUNDA</t>
        </is>
      </c>
      <c r="F940" t="inlineStr">
        <is>
          <t>SCA</t>
        </is>
      </c>
      <c r="G940" t="n">
        <v>4.7</v>
      </c>
      <c r="H940" t="n">
        <v>1</v>
      </c>
      <c r="I940" t="n">
        <v>0</v>
      </c>
      <c r="J940" t="n">
        <v>2</v>
      </c>
      <c r="K940" t="n">
        <v>0</v>
      </c>
      <c r="L940" t="n">
        <v>0</v>
      </c>
      <c r="M940" t="n">
        <v>0</v>
      </c>
      <c r="N940" t="n">
        <v>0</v>
      </c>
      <c r="O940" t="n">
        <v>2</v>
      </c>
      <c r="P940" t="n">
        <v>0</v>
      </c>
      <c r="Q940" t="n">
        <v>2</v>
      </c>
      <c r="R940" s="2" t="inlineStr">
        <is>
          <t>Rosenticka
Tretåig hackspett</t>
        </is>
      </c>
      <c r="S940">
        <f>HYPERLINK("https://klasma.github.io/Logging_2303/artfynd/A 48084-2022 artfynd.xlsx", "A 48084-2022")</f>
        <v/>
      </c>
      <c r="T940">
        <f>HYPERLINK("https://klasma.github.io/Logging_2303/kartor/A 48084-2022 karta.png", "A 48084-2022")</f>
        <v/>
      </c>
      <c r="V940">
        <f>HYPERLINK("https://klasma.github.io/Logging_2303/klagomål/A 48084-2022 FSC-klagomål.docx", "A 48084-2022")</f>
        <v/>
      </c>
      <c r="W940">
        <f>HYPERLINK("https://klasma.github.io/Logging_2303/klagomålsmail/A 48084-2022 FSC-klagomål mail.docx", "A 48084-2022")</f>
        <v/>
      </c>
      <c r="X940">
        <f>HYPERLINK("https://klasma.github.io/Logging_2303/tillsyn/A 48084-2022 tillsynsbegäran.docx", "A 48084-2022")</f>
        <v/>
      </c>
      <c r="Y940">
        <f>HYPERLINK("https://klasma.github.io/Logging_2303/tillsynsmail/A 48084-2022 tillsynsbegäran mail.docx", "A 48084-2022")</f>
        <v/>
      </c>
      <c r="Z940">
        <f>HYPERLINK("https://klasma.github.io/Logging_2303/fåglar/A 48084-2022 prioriterade fågelarter.docx", "A 48084-2022")</f>
        <v/>
      </c>
    </row>
    <row r="941" ht="15" customHeight="1">
      <c r="A941" t="inlineStr">
        <is>
          <t>A 48930-2022</t>
        </is>
      </c>
      <c r="B941" s="1" t="n">
        <v>44859</v>
      </c>
      <c r="C941" s="1" t="n">
        <v>45363</v>
      </c>
      <c r="D941" t="inlineStr">
        <is>
          <t>JÄMTLANDS LÄN</t>
        </is>
      </c>
      <c r="E941" t="inlineStr">
        <is>
          <t>BRÄCKE</t>
        </is>
      </c>
      <c r="F941" t="inlineStr">
        <is>
          <t>SCA</t>
        </is>
      </c>
      <c r="G941" t="n">
        <v>1.2</v>
      </c>
      <c r="H941" t="n">
        <v>0</v>
      </c>
      <c r="I941" t="n">
        <v>1</v>
      </c>
      <c r="J941" t="n">
        <v>1</v>
      </c>
      <c r="K941" t="n">
        <v>0</v>
      </c>
      <c r="L941" t="n">
        <v>0</v>
      </c>
      <c r="M941" t="n">
        <v>0</v>
      </c>
      <c r="N941" t="n">
        <v>0</v>
      </c>
      <c r="O941" t="n">
        <v>1</v>
      </c>
      <c r="P941" t="n">
        <v>0</v>
      </c>
      <c r="Q941" t="n">
        <v>2</v>
      </c>
      <c r="R941" s="2" t="inlineStr">
        <is>
          <t>Lunglav
Luddlav</t>
        </is>
      </c>
      <c r="S941">
        <f>HYPERLINK("https://klasma.github.io/Logging_2305/artfynd/A 48930-2022 artfynd.xlsx", "A 48930-2022")</f>
        <v/>
      </c>
      <c r="T941">
        <f>HYPERLINK("https://klasma.github.io/Logging_2305/kartor/A 48930-2022 karta.png", "A 48930-2022")</f>
        <v/>
      </c>
      <c r="V941">
        <f>HYPERLINK("https://klasma.github.io/Logging_2305/klagomål/A 48930-2022 FSC-klagomål.docx", "A 48930-2022")</f>
        <v/>
      </c>
      <c r="W941">
        <f>HYPERLINK("https://klasma.github.io/Logging_2305/klagomålsmail/A 48930-2022 FSC-klagomål mail.docx", "A 48930-2022")</f>
        <v/>
      </c>
      <c r="X941">
        <f>HYPERLINK("https://klasma.github.io/Logging_2305/tillsyn/A 48930-2022 tillsynsbegäran.docx", "A 48930-2022")</f>
        <v/>
      </c>
      <c r="Y941">
        <f>HYPERLINK("https://klasma.github.io/Logging_2305/tillsynsmail/A 48930-2022 tillsynsbegäran mail.docx", "A 48930-2022")</f>
        <v/>
      </c>
    </row>
    <row r="942" ht="15" customHeight="1">
      <c r="A942" t="inlineStr">
        <is>
          <t>A 49194-2022</t>
        </is>
      </c>
      <c r="B942" s="1" t="n">
        <v>44860</v>
      </c>
      <c r="C942" s="1" t="n">
        <v>45363</v>
      </c>
      <c r="D942" t="inlineStr">
        <is>
          <t>JÄMTLANDS LÄN</t>
        </is>
      </c>
      <c r="E942" t="inlineStr">
        <is>
          <t>RAGUNDA</t>
        </is>
      </c>
      <c r="F942" t="inlineStr">
        <is>
          <t>SCA</t>
        </is>
      </c>
      <c r="G942" t="n">
        <v>2</v>
      </c>
      <c r="H942" t="n">
        <v>1</v>
      </c>
      <c r="I942" t="n">
        <v>0</v>
      </c>
      <c r="J942" t="n">
        <v>1</v>
      </c>
      <c r="K942" t="n">
        <v>1</v>
      </c>
      <c r="L942" t="n">
        <v>0</v>
      </c>
      <c r="M942" t="n">
        <v>0</v>
      </c>
      <c r="N942" t="n">
        <v>0</v>
      </c>
      <c r="O942" t="n">
        <v>2</v>
      </c>
      <c r="P942" t="n">
        <v>1</v>
      </c>
      <c r="Q942" t="n">
        <v>2</v>
      </c>
      <c r="R942" s="2" t="inlineStr">
        <is>
          <t>Doftticka
Lunglav</t>
        </is>
      </c>
      <c r="S942">
        <f>HYPERLINK("https://klasma.github.io/Logging_2303/artfynd/A 49194-2022 artfynd.xlsx", "A 49194-2022")</f>
        <v/>
      </c>
      <c r="T942">
        <f>HYPERLINK("https://klasma.github.io/Logging_2303/kartor/A 49194-2022 karta.png", "A 49194-2022")</f>
        <v/>
      </c>
      <c r="V942">
        <f>HYPERLINK("https://klasma.github.io/Logging_2303/klagomål/A 49194-2022 FSC-klagomål.docx", "A 49194-2022")</f>
        <v/>
      </c>
      <c r="W942">
        <f>HYPERLINK("https://klasma.github.io/Logging_2303/klagomålsmail/A 49194-2022 FSC-klagomål mail.docx", "A 49194-2022")</f>
        <v/>
      </c>
      <c r="X942">
        <f>HYPERLINK("https://klasma.github.io/Logging_2303/tillsyn/A 49194-2022 tillsynsbegäran.docx", "A 49194-2022")</f>
        <v/>
      </c>
      <c r="Y942">
        <f>HYPERLINK("https://klasma.github.io/Logging_2303/tillsynsmail/A 49194-2022 tillsynsbegäran mail.docx", "A 49194-2022")</f>
        <v/>
      </c>
    </row>
    <row r="943" ht="15" customHeight="1">
      <c r="A943" t="inlineStr">
        <is>
          <t>A 50328-2022</t>
        </is>
      </c>
      <c r="B943" s="1" t="n">
        <v>44865</v>
      </c>
      <c r="C943" s="1" t="n">
        <v>45363</v>
      </c>
      <c r="D943" t="inlineStr">
        <is>
          <t>JÄMTLANDS LÄN</t>
        </is>
      </c>
      <c r="E943" t="inlineStr">
        <is>
          <t>BRÄCKE</t>
        </is>
      </c>
      <c r="F943" t="inlineStr">
        <is>
          <t>SCA</t>
        </is>
      </c>
      <c r="G943" t="n">
        <v>1.6</v>
      </c>
      <c r="H943" t="n">
        <v>0</v>
      </c>
      <c r="I943" t="n">
        <v>0</v>
      </c>
      <c r="J943" t="n">
        <v>2</v>
      </c>
      <c r="K943" t="n">
        <v>0</v>
      </c>
      <c r="L943" t="n">
        <v>0</v>
      </c>
      <c r="M943" t="n">
        <v>0</v>
      </c>
      <c r="N943" t="n">
        <v>0</v>
      </c>
      <c r="O943" t="n">
        <v>2</v>
      </c>
      <c r="P943" t="n">
        <v>0</v>
      </c>
      <c r="Q943" t="n">
        <v>2</v>
      </c>
      <c r="R943" s="2" t="inlineStr">
        <is>
          <t>Ullticka
Vitgrynig nållav</t>
        </is>
      </c>
      <c r="S943">
        <f>HYPERLINK("https://klasma.github.io/Logging_2305/artfynd/A 50328-2022 artfynd.xlsx", "A 50328-2022")</f>
        <v/>
      </c>
      <c r="T943">
        <f>HYPERLINK("https://klasma.github.io/Logging_2305/kartor/A 50328-2022 karta.png", "A 50328-2022")</f>
        <v/>
      </c>
      <c r="V943">
        <f>HYPERLINK("https://klasma.github.io/Logging_2305/klagomål/A 50328-2022 FSC-klagomål.docx", "A 50328-2022")</f>
        <v/>
      </c>
      <c r="W943">
        <f>HYPERLINK("https://klasma.github.io/Logging_2305/klagomålsmail/A 50328-2022 FSC-klagomål mail.docx", "A 50328-2022")</f>
        <v/>
      </c>
      <c r="X943">
        <f>HYPERLINK("https://klasma.github.io/Logging_2305/tillsyn/A 50328-2022 tillsynsbegäran.docx", "A 50328-2022")</f>
        <v/>
      </c>
      <c r="Y943">
        <f>HYPERLINK("https://klasma.github.io/Logging_2305/tillsynsmail/A 50328-2022 tillsynsbegäran mail.docx", "A 50328-2022")</f>
        <v/>
      </c>
    </row>
    <row r="944" ht="15" customHeight="1">
      <c r="A944" t="inlineStr">
        <is>
          <t>A 50336-2022</t>
        </is>
      </c>
      <c r="B944" s="1" t="n">
        <v>44865</v>
      </c>
      <c r="C944" s="1" t="n">
        <v>45363</v>
      </c>
      <c r="D944" t="inlineStr">
        <is>
          <t>JÄMTLANDS LÄN</t>
        </is>
      </c>
      <c r="E944" t="inlineStr">
        <is>
          <t>BRÄCKE</t>
        </is>
      </c>
      <c r="F944" t="inlineStr">
        <is>
          <t>SCA</t>
        </is>
      </c>
      <c r="G944" t="n">
        <v>1.8</v>
      </c>
      <c r="H944" t="n">
        <v>1</v>
      </c>
      <c r="I944" t="n">
        <v>0</v>
      </c>
      <c r="J944" t="n">
        <v>0</v>
      </c>
      <c r="K944" t="n">
        <v>2</v>
      </c>
      <c r="L944" t="n">
        <v>0</v>
      </c>
      <c r="M944" t="n">
        <v>0</v>
      </c>
      <c r="N944" t="n">
        <v>0</v>
      </c>
      <c r="O944" t="n">
        <v>2</v>
      </c>
      <c r="P944" t="n">
        <v>2</v>
      </c>
      <c r="Q944" t="n">
        <v>2</v>
      </c>
      <c r="R944" s="2" t="inlineStr">
        <is>
          <t>Gräddporing
Knärot</t>
        </is>
      </c>
      <c r="S944">
        <f>HYPERLINK("https://klasma.github.io/Logging_2305/artfynd/A 50336-2022 artfynd.xlsx", "A 50336-2022")</f>
        <v/>
      </c>
      <c r="T944">
        <f>HYPERLINK("https://klasma.github.io/Logging_2305/kartor/A 50336-2022 karta.png", "A 50336-2022")</f>
        <v/>
      </c>
      <c r="U944">
        <f>HYPERLINK("https://klasma.github.io/Logging_2305/knärot/A 50336-2022 karta knärot.png", "A 50336-2022")</f>
        <v/>
      </c>
      <c r="V944">
        <f>HYPERLINK("https://klasma.github.io/Logging_2305/klagomål/A 50336-2022 FSC-klagomål.docx", "A 50336-2022")</f>
        <v/>
      </c>
      <c r="W944">
        <f>HYPERLINK("https://klasma.github.io/Logging_2305/klagomålsmail/A 50336-2022 FSC-klagomål mail.docx", "A 50336-2022")</f>
        <v/>
      </c>
      <c r="X944">
        <f>HYPERLINK("https://klasma.github.io/Logging_2305/tillsyn/A 50336-2022 tillsynsbegäran.docx", "A 50336-2022")</f>
        <v/>
      </c>
      <c r="Y944">
        <f>HYPERLINK("https://klasma.github.io/Logging_2305/tillsynsmail/A 50336-2022 tillsynsbegäran mail.docx", "A 50336-2022")</f>
        <v/>
      </c>
    </row>
    <row r="945" ht="15" customHeight="1">
      <c r="A945" t="inlineStr">
        <is>
          <t>A 50438-2022</t>
        </is>
      </c>
      <c r="B945" s="1" t="n">
        <v>44866</v>
      </c>
      <c r="C945" s="1" t="n">
        <v>45363</v>
      </c>
      <c r="D945" t="inlineStr">
        <is>
          <t>JÄMTLANDS LÄN</t>
        </is>
      </c>
      <c r="E945" t="inlineStr">
        <is>
          <t>HÄRJEDALEN</t>
        </is>
      </c>
      <c r="F945" t="inlineStr">
        <is>
          <t>Bergvik skog väst AB</t>
        </is>
      </c>
      <c r="G945" t="n">
        <v>4.6</v>
      </c>
      <c r="H945" t="n">
        <v>1</v>
      </c>
      <c r="I945" t="n">
        <v>0</v>
      </c>
      <c r="J945" t="n">
        <v>1</v>
      </c>
      <c r="K945" t="n">
        <v>1</v>
      </c>
      <c r="L945" t="n">
        <v>0</v>
      </c>
      <c r="M945" t="n">
        <v>0</v>
      </c>
      <c r="N945" t="n">
        <v>0</v>
      </c>
      <c r="O945" t="n">
        <v>2</v>
      </c>
      <c r="P945" t="n">
        <v>1</v>
      </c>
      <c r="Q945" t="n">
        <v>2</v>
      </c>
      <c r="R945" s="2" t="inlineStr">
        <is>
          <t>Knärot
Skrovellav</t>
        </is>
      </c>
      <c r="S945">
        <f>HYPERLINK("https://klasma.github.io/Logging_2361/artfynd/A 50438-2022 artfynd.xlsx", "A 50438-2022")</f>
        <v/>
      </c>
      <c r="T945">
        <f>HYPERLINK("https://klasma.github.io/Logging_2361/kartor/A 50438-2022 karta.png", "A 50438-2022")</f>
        <v/>
      </c>
      <c r="U945">
        <f>HYPERLINK("https://klasma.github.io/Logging_2361/knärot/A 50438-2022 karta knärot.png", "A 50438-2022")</f>
        <v/>
      </c>
      <c r="V945">
        <f>HYPERLINK("https://klasma.github.io/Logging_2361/klagomål/A 50438-2022 FSC-klagomål.docx", "A 50438-2022")</f>
        <v/>
      </c>
      <c r="W945">
        <f>HYPERLINK("https://klasma.github.io/Logging_2361/klagomålsmail/A 50438-2022 FSC-klagomål mail.docx", "A 50438-2022")</f>
        <v/>
      </c>
      <c r="X945">
        <f>HYPERLINK("https://klasma.github.io/Logging_2361/tillsyn/A 50438-2022 tillsynsbegäran.docx", "A 50438-2022")</f>
        <v/>
      </c>
      <c r="Y945">
        <f>HYPERLINK("https://klasma.github.io/Logging_2361/tillsynsmail/A 50438-2022 tillsynsbegäran mail.docx", "A 50438-2022")</f>
        <v/>
      </c>
    </row>
    <row r="946" ht="15" customHeight="1">
      <c r="A946" t="inlineStr">
        <is>
          <t>A 52453-2022</t>
        </is>
      </c>
      <c r="B946" s="1" t="n">
        <v>44874</v>
      </c>
      <c r="C946" s="1" t="n">
        <v>45363</v>
      </c>
      <c r="D946" t="inlineStr">
        <is>
          <t>JÄMTLANDS LÄN</t>
        </is>
      </c>
      <c r="E946" t="inlineStr">
        <is>
          <t>HÄRJEDALEN</t>
        </is>
      </c>
      <c r="F946" t="inlineStr">
        <is>
          <t>Bergvik skog väst AB</t>
        </is>
      </c>
      <c r="G946" t="n">
        <v>14.9</v>
      </c>
      <c r="H946" t="n">
        <v>0</v>
      </c>
      <c r="I946" t="n">
        <v>0</v>
      </c>
      <c r="J946" t="n">
        <v>2</v>
      </c>
      <c r="K946" t="n">
        <v>0</v>
      </c>
      <c r="L946" t="n">
        <v>0</v>
      </c>
      <c r="M946" t="n">
        <v>0</v>
      </c>
      <c r="N946" t="n">
        <v>0</v>
      </c>
      <c r="O946" t="n">
        <v>2</v>
      </c>
      <c r="P946" t="n">
        <v>0</v>
      </c>
      <c r="Q946" t="n">
        <v>2</v>
      </c>
      <c r="R946" s="2" t="inlineStr">
        <is>
          <t>Knottrig blåslav
Mörk kolflarnlav</t>
        </is>
      </c>
      <c r="S946">
        <f>HYPERLINK("https://klasma.github.io/Logging_2361/artfynd/A 52453-2022 artfynd.xlsx", "A 52453-2022")</f>
        <v/>
      </c>
      <c r="T946">
        <f>HYPERLINK("https://klasma.github.io/Logging_2361/kartor/A 52453-2022 karta.png", "A 52453-2022")</f>
        <v/>
      </c>
      <c r="V946">
        <f>HYPERLINK("https://klasma.github.io/Logging_2361/klagomål/A 52453-2022 FSC-klagomål.docx", "A 52453-2022")</f>
        <v/>
      </c>
      <c r="W946">
        <f>HYPERLINK("https://klasma.github.io/Logging_2361/klagomålsmail/A 52453-2022 FSC-klagomål mail.docx", "A 52453-2022")</f>
        <v/>
      </c>
      <c r="X946">
        <f>HYPERLINK("https://klasma.github.io/Logging_2361/tillsyn/A 52453-2022 tillsynsbegäran.docx", "A 52453-2022")</f>
        <v/>
      </c>
      <c r="Y946">
        <f>HYPERLINK("https://klasma.github.io/Logging_2361/tillsynsmail/A 52453-2022 tillsynsbegäran mail.docx", "A 52453-2022")</f>
        <v/>
      </c>
    </row>
    <row r="947" ht="15" customHeight="1">
      <c r="A947" t="inlineStr">
        <is>
          <t>A 54189-2022</t>
        </is>
      </c>
      <c r="B947" s="1" t="n">
        <v>44879</v>
      </c>
      <c r="C947" s="1" t="n">
        <v>45363</v>
      </c>
      <c r="D947" t="inlineStr">
        <is>
          <t>JÄMTLANDS LÄN</t>
        </is>
      </c>
      <c r="E947" t="inlineStr">
        <is>
          <t>KROKOM</t>
        </is>
      </c>
      <c r="G947" t="n">
        <v>24.1</v>
      </c>
      <c r="H947" t="n">
        <v>0</v>
      </c>
      <c r="I947" t="n">
        <v>0</v>
      </c>
      <c r="J947" t="n">
        <v>1</v>
      </c>
      <c r="K947" t="n">
        <v>1</v>
      </c>
      <c r="L947" t="n">
        <v>0</v>
      </c>
      <c r="M947" t="n">
        <v>0</v>
      </c>
      <c r="N947" t="n">
        <v>0</v>
      </c>
      <c r="O947" t="n">
        <v>2</v>
      </c>
      <c r="P947" t="n">
        <v>1</v>
      </c>
      <c r="Q947" t="n">
        <v>2</v>
      </c>
      <c r="R947" s="2" t="inlineStr">
        <is>
          <t>Ulltickeporing
Ullticka</t>
        </is>
      </c>
      <c r="S947">
        <f>HYPERLINK("https://klasma.github.io/Logging_2309/artfynd/A 54189-2022 artfynd.xlsx", "A 54189-2022")</f>
        <v/>
      </c>
      <c r="T947">
        <f>HYPERLINK("https://klasma.github.io/Logging_2309/kartor/A 54189-2022 karta.png", "A 54189-2022")</f>
        <v/>
      </c>
      <c r="V947">
        <f>HYPERLINK("https://klasma.github.io/Logging_2309/klagomål/A 54189-2022 FSC-klagomål.docx", "A 54189-2022")</f>
        <v/>
      </c>
      <c r="W947">
        <f>HYPERLINK("https://klasma.github.io/Logging_2309/klagomålsmail/A 54189-2022 FSC-klagomål mail.docx", "A 54189-2022")</f>
        <v/>
      </c>
      <c r="X947">
        <f>HYPERLINK("https://klasma.github.io/Logging_2309/tillsyn/A 54189-2022 tillsynsbegäran.docx", "A 54189-2022")</f>
        <v/>
      </c>
      <c r="Y947">
        <f>HYPERLINK("https://klasma.github.io/Logging_2309/tillsynsmail/A 54189-2022 tillsynsbegäran mail.docx", "A 54189-2022")</f>
        <v/>
      </c>
    </row>
    <row r="948" ht="15" customHeight="1">
      <c r="A948" t="inlineStr">
        <is>
          <t>A 54624-2022</t>
        </is>
      </c>
      <c r="B948" s="1" t="n">
        <v>44883</v>
      </c>
      <c r="C948" s="1" t="n">
        <v>45363</v>
      </c>
      <c r="D948" t="inlineStr">
        <is>
          <t>JÄMTLANDS LÄN</t>
        </is>
      </c>
      <c r="E948" t="inlineStr">
        <is>
          <t>BRÄCKE</t>
        </is>
      </c>
      <c r="G948" t="n">
        <v>3.9</v>
      </c>
      <c r="H948" t="n">
        <v>0</v>
      </c>
      <c r="I948" t="n">
        <v>0</v>
      </c>
      <c r="J948" t="n">
        <v>2</v>
      </c>
      <c r="K948" t="n">
        <v>0</v>
      </c>
      <c r="L948" t="n">
        <v>0</v>
      </c>
      <c r="M948" t="n">
        <v>0</v>
      </c>
      <c r="N948" t="n">
        <v>0</v>
      </c>
      <c r="O948" t="n">
        <v>2</v>
      </c>
      <c r="P948" t="n">
        <v>0</v>
      </c>
      <c r="Q948" t="n">
        <v>2</v>
      </c>
      <c r="R948" s="2" t="inlineStr">
        <is>
          <t>Granticka
Lunglav</t>
        </is>
      </c>
      <c r="S948">
        <f>HYPERLINK("https://klasma.github.io/Logging_2305/artfynd/A 54624-2022 artfynd.xlsx", "A 54624-2022")</f>
        <v/>
      </c>
      <c r="T948">
        <f>HYPERLINK("https://klasma.github.io/Logging_2305/kartor/A 54624-2022 karta.png", "A 54624-2022")</f>
        <v/>
      </c>
      <c r="V948">
        <f>HYPERLINK("https://klasma.github.io/Logging_2305/klagomål/A 54624-2022 FSC-klagomål.docx", "A 54624-2022")</f>
        <v/>
      </c>
      <c r="W948">
        <f>HYPERLINK("https://klasma.github.io/Logging_2305/klagomålsmail/A 54624-2022 FSC-klagomål mail.docx", "A 54624-2022")</f>
        <v/>
      </c>
      <c r="X948">
        <f>HYPERLINK("https://klasma.github.io/Logging_2305/tillsyn/A 54624-2022 tillsynsbegäran.docx", "A 54624-2022")</f>
        <v/>
      </c>
      <c r="Y948">
        <f>HYPERLINK("https://klasma.github.io/Logging_2305/tillsynsmail/A 54624-2022 tillsynsbegäran mail.docx", "A 54624-2022")</f>
        <v/>
      </c>
    </row>
    <row r="949" ht="15" customHeight="1">
      <c r="A949" t="inlineStr">
        <is>
          <t>A 55533-2022</t>
        </is>
      </c>
      <c r="B949" s="1" t="n">
        <v>44887</v>
      </c>
      <c r="C949" s="1" t="n">
        <v>45363</v>
      </c>
      <c r="D949" t="inlineStr">
        <is>
          <t>JÄMTLANDS LÄN</t>
        </is>
      </c>
      <c r="E949" t="inlineStr">
        <is>
          <t>STRÖMSUND</t>
        </is>
      </c>
      <c r="F949" t="inlineStr">
        <is>
          <t>SCA</t>
        </is>
      </c>
      <c r="G949" t="n">
        <v>4.7</v>
      </c>
      <c r="H949" t="n">
        <v>0</v>
      </c>
      <c r="I949" t="n">
        <v>0</v>
      </c>
      <c r="J949" t="n">
        <v>1</v>
      </c>
      <c r="K949" t="n">
        <v>1</v>
      </c>
      <c r="L949" t="n">
        <v>0</v>
      </c>
      <c r="M949" t="n">
        <v>0</v>
      </c>
      <c r="N949" t="n">
        <v>0</v>
      </c>
      <c r="O949" t="n">
        <v>2</v>
      </c>
      <c r="P949" t="n">
        <v>1</v>
      </c>
      <c r="Q949" t="n">
        <v>2</v>
      </c>
      <c r="R949" s="2" t="inlineStr">
        <is>
          <t>Rynkskinn
Rosenticka</t>
        </is>
      </c>
      <c r="S949">
        <f>HYPERLINK("https://klasma.github.io/Logging_2313/artfynd/A 55533-2022 artfynd.xlsx", "A 55533-2022")</f>
        <v/>
      </c>
      <c r="T949">
        <f>HYPERLINK("https://klasma.github.io/Logging_2313/kartor/A 55533-2022 karta.png", "A 55533-2022")</f>
        <v/>
      </c>
      <c r="V949">
        <f>HYPERLINK("https://klasma.github.io/Logging_2313/klagomål/A 55533-2022 FSC-klagomål.docx", "A 55533-2022")</f>
        <v/>
      </c>
      <c r="W949">
        <f>HYPERLINK("https://klasma.github.io/Logging_2313/klagomålsmail/A 55533-2022 FSC-klagomål mail.docx", "A 55533-2022")</f>
        <v/>
      </c>
      <c r="X949">
        <f>HYPERLINK("https://klasma.github.io/Logging_2313/tillsyn/A 55533-2022 tillsynsbegäran.docx", "A 55533-2022")</f>
        <v/>
      </c>
      <c r="Y949">
        <f>HYPERLINK("https://klasma.github.io/Logging_2313/tillsynsmail/A 55533-2022 tillsynsbegäran mail.docx", "A 55533-2022")</f>
        <v/>
      </c>
    </row>
    <row r="950" ht="15" customHeight="1">
      <c r="A950" t="inlineStr">
        <is>
          <t>A 55739-2022</t>
        </is>
      </c>
      <c r="B950" s="1" t="n">
        <v>44888</v>
      </c>
      <c r="C950" s="1" t="n">
        <v>45363</v>
      </c>
      <c r="D950" t="inlineStr">
        <is>
          <t>JÄMTLANDS LÄN</t>
        </is>
      </c>
      <c r="E950" t="inlineStr">
        <is>
          <t>ÅRE</t>
        </is>
      </c>
      <c r="F950" t="inlineStr">
        <is>
          <t>Övriga Aktiebolag</t>
        </is>
      </c>
      <c r="G950" t="n">
        <v>10.2</v>
      </c>
      <c r="H950" t="n">
        <v>2</v>
      </c>
      <c r="I950" t="n">
        <v>0</v>
      </c>
      <c r="J950" t="n">
        <v>2</v>
      </c>
      <c r="K950" t="n">
        <v>0</v>
      </c>
      <c r="L950" t="n">
        <v>0</v>
      </c>
      <c r="M950" t="n">
        <v>0</v>
      </c>
      <c r="N950" t="n">
        <v>0</v>
      </c>
      <c r="O950" t="n">
        <v>2</v>
      </c>
      <c r="P950" t="n">
        <v>0</v>
      </c>
      <c r="Q950" t="n">
        <v>2</v>
      </c>
      <c r="R950" s="2" t="inlineStr">
        <is>
          <t>Spillkråka
Tretåig hackspett</t>
        </is>
      </c>
      <c r="S950">
        <f>HYPERLINK("https://klasma.github.io/Logging_2321/artfynd/A 55739-2022 artfynd.xlsx", "A 55739-2022")</f>
        <v/>
      </c>
      <c r="T950">
        <f>HYPERLINK("https://klasma.github.io/Logging_2321/kartor/A 55739-2022 karta.png", "A 55739-2022")</f>
        <v/>
      </c>
      <c r="V950">
        <f>HYPERLINK("https://klasma.github.io/Logging_2321/klagomål/A 55739-2022 FSC-klagomål.docx", "A 55739-2022")</f>
        <v/>
      </c>
      <c r="W950">
        <f>HYPERLINK("https://klasma.github.io/Logging_2321/klagomålsmail/A 55739-2022 FSC-klagomål mail.docx", "A 55739-2022")</f>
        <v/>
      </c>
      <c r="X950">
        <f>HYPERLINK("https://klasma.github.io/Logging_2321/tillsyn/A 55739-2022 tillsynsbegäran.docx", "A 55739-2022")</f>
        <v/>
      </c>
      <c r="Y950">
        <f>HYPERLINK("https://klasma.github.io/Logging_2321/tillsynsmail/A 55739-2022 tillsynsbegäran mail.docx", "A 55739-2022")</f>
        <v/>
      </c>
      <c r="Z950">
        <f>HYPERLINK("https://klasma.github.io/Logging_2321/fåglar/A 55739-2022 prioriterade fågelarter.docx", "A 55739-2022")</f>
        <v/>
      </c>
    </row>
    <row r="951" ht="15" customHeight="1">
      <c r="A951" t="inlineStr">
        <is>
          <t>A 56472-2022</t>
        </is>
      </c>
      <c r="B951" s="1" t="n">
        <v>44893</v>
      </c>
      <c r="C951" s="1" t="n">
        <v>45363</v>
      </c>
      <c r="D951" t="inlineStr">
        <is>
          <t>JÄMTLANDS LÄN</t>
        </is>
      </c>
      <c r="E951" t="inlineStr">
        <is>
          <t>ÅRE</t>
        </is>
      </c>
      <c r="F951" t="inlineStr">
        <is>
          <t>Övriga Aktiebolag</t>
        </is>
      </c>
      <c r="G951" t="n">
        <v>22</v>
      </c>
      <c r="H951" t="n">
        <v>1</v>
      </c>
      <c r="I951" t="n">
        <v>0</v>
      </c>
      <c r="J951" t="n">
        <v>2</v>
      </c>
      <c r="K951" t="n">
        <v>0</v>
      </c>
      <c r="L951" t="n">
        <v>0</v>
      </c>
      <c r="M951" t="n">
        <v>0</v>
      </c>
      <c r="N951" t="n">
        <v>0</v>
      </c>
      <c r="O951" t="n">
        <v>2</v>
      </c>
      <c r="P951" t="n">
        <v>0</v>
      </c>
      <c r="Q951" t="n">
        <v>2</v>
      </c>
      <c r="R951" s="2" t="inlineStr">
        <is>
          <t>Garnlav
Tretåig hackspett</t>
        </is>
      </c>
      <c r="S951">
        <f>HYPERLINK("https://klasma.github.io/Logging_2321/artfynd/A 56472-2022 artfynd.xlsx", "A 56472-2022")</f>
        <v/>
      </c>
      <c r="T951">
        <f>HYPERLINK("https://klasma.github.io/Logging_2321/kartor/A 56472-2022 karta.png", "A 56472-2022")</f>
        <v/>
      </c>
      <c r="V951">
        <f>HYPERLINK("https://klasma.github.io/Logging_2321/klagomål/A 56472-2022 FSC-klagomål.docx", "A 56472-2022")</f>
        <v/>
      </c>
      <c r="W951">
        <f>HYPERLINK("https://klasma.github.io/Logging_2321/klagomålsmail/A 56472-2022 FSC-klagomål mail.docx", "A 56472-2022")</f>
        <v/>
      </c>
      <c r="X951">
        <f>HYPERLINK("https://klasma.github.io/Logging_2321/tillsyn/A 56472-2022 tillsynsbegäran.docx", "A 56472-2022")</f>
        <v/>
      </c>
      <c r="Y951">
        <f>HYPERLINK("https://klasma.github.io/Logging_2321/tillsynsmail/A 56472-2022 tillsynsbegäran mail.docx", "A 56472-2022")</f>
        <v/>
      </c>
      <c r="Z951">
        <f>HYPERLINK("https://klasma.github.io/Logging_2321/fåglar/A 56472-2022 prioriterade fågelarter.docx", "A 56472-2022")</f>
        <v/>
      </c>
    </row>
    <row r="952" ht="15" customHeight="1">
      <c r="A952" t="inlineStr">
        <is>
          <t>A 58169-2022</t>
        </is>
      </c>
      <c r="B952" s="1" t="n">
        <v>44900</v>
      </c>
      <c r="C952" s="1" t="n">
        <v>45363</v>
      </c>
      <c r="D952" t="inlineStr">
        <is>
          <t>JÄMTLANDS LÄN</t>
        </is>
      </c>
      <c r="E952" t="inlineStr">
        <is>
          <t>BRÄCKE</t>
        </is>
      </c>
      <c r="F952" t="inlineStr">
        <is>
          <t>SCA</t>
        </is>
      </c>
      <c r="G952" t="n">
        <v>9.300000000000001</v>
      </c>
      <c r="H952" t="n">
        <v>1</v>
      </c>
      <c r="I952" t="n">
        <v>0</v>
      </c>
      <c r="J952" t="n">
        <v>2</v>
      </c>
      <c r="K952" t="n">
        <v>0</v>
      </c>
      <c r="L952" t="n">
        <v>0</v>
      </c>
      <c r="M952" t="n">
        <v>0</v>
      </c>
      <c r="N952" t="n">
        <v>0</v>
      </c>
      <c r="O952" t="n">
        <v>2</v>
      </c>
      <c r="P952" t="n">
        <v>0</v>
      </c>
      <c r="Q952" t="n">
        <v>2</v>
      </c>
      <c r="R952" s="2" t="inlineStr">
        <is>
          <t>Garnlav
Talltita</t>
        </is>
      </c>
      <c r="S952">
        <f>HYPERLINK("https://klasma.github.io/Logging_2305/artfynd/A 58169-2022 artfynd.xlsx", "A 58169-2022")</f>
        <v/>
      </c>
      <c r="T952">
        <f>HYPERLINK("https://klasma.github.io/Logging_2305/kartor/A 58169-2022 karta.png", "A 58169-2022")</f>
        <v/>
      </c>
      <c r="V952">
        <f>HYPERLINK("https://klasma.github.io/Logging_2305/klagomål/A 58169-2022 FSC-klagomål.docx", "A 58169-2022")</f>
        <v/>
      </c>
      <c r="W952">
        <f>HYPERLINK("https://klasma.github.io/Logging_2305/klagomålsmail/A 58169-2022 FSC-klagomål mail.docx", "A 58169-2022")</f>
        <v/>
      </c>
      <c r="X952">
        <f>HYPERLINK("https://klasma.github.io/Logging_2305/tillsyn/A 58169-2022 tillsynsbegäran.docx", "A 58169-2022")</f>
        <v/>
      </c>
      <c r="Y952">
        <f>HYPERLINK("https://klasma.github.io/Logging_2305/tillsynsmail/A 58169-2022 tillsynsbegäran mail.docx", "A 58169-2022")</f>
        <v/>
      </c>
      <c r="Z952">
        <f>HYPERLINK("https://klasma.github.io/Logging_2305/fåglar/A 58169-2022 prioriterade fågelarter.docx", "A 58169-2022")</f>
        <v/>
      </c>
    </row>
    <row r="953" ht="15" customHeight="1">
      <c r="A953" t="inlineStr">
        <is>
          <t>A 60533-2022</t>
        </is>
      </c>
      <c r="B953" s="1" t="n">
        <v>44904</v>
      </c>
      <c r="C953" s="1" t="n">
        <v>45363</v>
      </c>
      <c r="D953" t="inlineStr">
        <is>
          <t>JÄMTLANDS LÄN</t>
        </is>
      </c>
      <c r="E953" t="inlineStr">
        <is>
          <t>ÅRE</t>
        </is>
      </c>
      <c r="G953" t="n">
        <v>3.6</v>
      </c>
      <c r="H953" t="n">
        <v>2</v>
      </c>
      <c r="I953" t="n">
        <v>0</v>
      </c>
      <c r="J953" t="n">
        <v>2</v>
      </c>
      <c r="K953" t="n">
        <v>0</v>
      </c>
      <c r="L953" t="n">
        <v>0</v>
      </c>
      <c r="M953" t="n">
        <v>0</v>
      </c>
      <c r="N953" t="n">
        <v>0</v>
      </c>
      <c r="O953" t="n">
        <v>2</v>
      </c>
      <c r="P953" t="n">
        <v>0</v>
      </c>
      <c r="Q953" t="n">
        <v>2</v>
      </c>
      <c r="R953" s="2" t="inlineStr">
        <is>
          <t>Talltita
Tretåig hackspett</t>
        </is>
      </c>
      <c r="S953">
        <f>HYPERLINK("https://klasma.github.io/Logging_2321/artfynd/A 60533-2022 artfynd.xlsx", "A 60533-2022")</f>
        <v/>
      </c>
      <c r="T953">
        <f>HYPERLINK("https://klasma.github.io/Logging_2321/kartor/A 60533-2022 karta.png", "A 60533-2022")</f>
        <v/>
      </c>
      <c r="V953">
        <f>HYPERLINK("https://klasma.github.io/Logging_2321/klagomål/A 60533-2022 FSC-klagomål.docx", "A 60533-2022")</f>
        <v/>
      </c>
      <c r="W953">
        <f>HYPERLINK("https://klasma.github.io/Logging_2321/klagomålsmail/A 60533-2022 FSC-klagomål mail.docx", "A 60533-2022")</f>
        <v/>
      </c>
      <c r="X953">
        <f>HYPERLINK("https://klasma.github.io/Logging_2321/tillsyn/A 60533-2022 tillsynsbegäran.docx", "A 60533-2022")</f>
        <v/>
      </c>
      <c r="Y953">
        <f>HYPERLINK("https://klasma.github.io/Logging_2321/tillsynsmail/A 60533-2022 tillsynsbegäran mail.docx", "A 60533-2022")</f>
        <v/>
      </c>
      <c r="Z953">
        <f>HYPERLINK("https://klasma.github.io/Logging_2321/fåglar/A 60533-2022 prioriterade fågelarter.docx", "A 60533-2022")</f>
        <v/>
      </c>
    </row>
    <row r="954" ht="15" customHeight="1">
      <c r="A954" t="inlineStr">
        <is>
          <t>A 60534-2022</t>
        </is>
      </c>
      <c r="B954" s="1" t="n">
        <v>44904</v>
      </c>
      <c r="C954" s="1" t="n">
        <v>45363</v>
      </c>
      <c r="D954" t="inlineStr">
        <is>
          <t>JÄMTLANDS LÄN</t>
        </is>
      </c>
      <c r="E954" t="inlineStr">
        <is>
          <t>ÖSTERSUND</t>
        </is>
      </c>
      <c r="G954" t="n">
        <v>9.9</v>
      </c>
      <c r="H954" t="n">
        <v>0</v>
      </c>
      <c r="I954" t="n">
        <v>0</v>
      </c>
      <c r="J954" t="n">
        <v>2</v>
      </c>
      <c r="K954" t="n">
        <v>0</v>
      </c>
      <c r="L954" t="n">
        <v>0</v>
      </c>
      <c r="M954" t="n">
        <v>0</v>
      </c>
      <c r="N954" t="n">
        <v>0</v>
      </c>
      <c r="O954" t="n">
        <v>2</v>
      </c>
      <c r="P954" t="n">
        <v>0</v>
      </c>
      <c r="Q954" t="n">
        <v>2</v>
      </c>
      <c r="R954" s="2" t="inlineStr">
        <is>
          <t>Rosenticka
Ullticka</t>
        </is>
      </c>
      <c r="S954">
        <f>HYPERLINK("https://klasma.github.io/Logging_2380/artfynd/A 60534-2022 artfynd.xlsx", "A 60534-2022")</f>
        <v/>
      </c>
      <c r="T954">
        <f>HYPERLINK("https://klasma.github.io/Logging_2380/kartor/A 60534-2022 karta.png", "A 60534-2022")</f>
        <v/>
      </c>
      <c r="V954">
        <f>HYPERLINK("https://klasma.github.io/Logging_2380/klagomål/A 60534-2022 FSC-klagomål.docx", "A 60534-2022")</f>
        <v/>
      </c>
      <c r="W954">
        <f>HYPERLINK("https://klasma.github.io/Logging_2380/klagomålsmail/A 60534-2022 FSC-klagomål mail.docx", "A 60534-2022")</f>
        <v/>
      </c>
      <c r="X954">
        <f>HYPERLINK("https://klasma.github.io/Logging_2380/tillsyn/A 60534-2022 tillsynsbegäran.docx", "A 60534-2022")</f>
        <v/>
      </c>
      <c r="Y954">
        <f>HYPERLINK("https://klasma.github.io/Logging_2380/tillsynsmail/A 60534-2022 tillsynsbegäran mail.docx", "A 60534-2022")</f>
        <v/>
      </c>
    </row>
    <row r="955" ht="15" customHeight="1">
      <c r="A955" t="inlineStr">
        <is>
          <t>A 59793-2022</t>
        </is>
      </c>
      <c r="B955" s="1" t="n">
        <v>44908</v>
      </c>
      <c r="C955" s="1" t="n">
        <v>45363</v>
      </c>
      <c r="D955" t="inlineStr">
        <is>
          <t>JÄMTLANDS LÄN</t>
        </is>
      </c>
      <c r="E955" t="inlineStr">
        <is>
          <t>ÖSTERSUND</t>
        </is>
      </c>
      <c r="G955" t="n">
        <v>23.3</v>
      </c>
      <c r="H955" t="n">
        <v>1</v>
      </c>
      <c r="I955" t="n">
        <v>1</v>
      </c>
      <c r="J955" t="n">
        <v>1</v>
      </c>
      <c r="K955" t="n">
        <v>0</v>
      </c>
      <c r="L955" t="n">
        <v>0</v>
      </c>
      <c r="M955" t="n">
        <v>0</v>
      </c>
      <c r="N955" t="n">
        <v>0</v>
      </c>
      <c r="O955" t="n">
        <v>1</v>
      </c>
      <c r="P955" t="n">
        <v>0</v>
      </c>
      <c r="Q955" t="n">
        <v>2</v>
      </c>
      <c r="R955" s="2" t="inlineStr">
        <is>
          <t>Majviva
Spindelblomster</t>
        </is>
      </c>
      <c r="S955">
        <f>HYPERLINK("https://klasma.github.io/Logging_2380/artfynd/A 59793-2022 artfynd.xlsx", "A 59793-2022")</f>
        <v/>
      </c>
      <c r="T955">
        <f>HYPERLINK("https://klasma.github.io/Logging_2380/kartor/A 59793-2022 karta.png", "A 59793-2022")</f>
        <v/>
      </c>
      <c r="V955">
        <f>HYPERLINK("https://klasma.github.io/Logging_2380/klagomål/A 59793-2022 FSC-klagomål.docx", "A 59793-2022")</f>
        <v/>
      </c>
      <c r="W955">
        <f>HYPERLINK("https://klasma.github.io/Logging_2380/klagomålsmail/A 59793-2022 FSC-klagomål mail.docx", "A 59793-2022")</f>
        <v/>
      </c>
      <c r="X955">
        <f>HYPERLINK("https://klasma.github.io/Logging_2380/tillsyn/A 59793-2022 tillsynsbegäran.docx", "A 59793-2022")</f>
        <v/>
      </c>
      <c r="Y955">
        <f>HYPERLINK("https://klasma.github.io/Logging_2380/tillsynsmail/A 59793-2022 tillsynsbegäran mail.docx", "A 59793-2022")</f>
        <v/>
      </c>
    </row>
    <row r="956" ht="15" customHeight="1">
      <c r="A956" t="inlineStr">
        <is>
          <t>A 60849-2022</t>
        </is>
      </c>
      <c r="B956" s="1" t="n">
        <v>44908</v>
      </c>
      <c r="C956" s="1" t="n">
        <v>45363</v>
      </c>
      <c r="D956" t="inlineStr">
        <is>
          <t>JÄMTLANDS LÄN</t>
        </is>
      </c>
      <c r="E956" t="inlineStr">
        <is>
          <t>BERG</t>
        </is>
      </c>
      <c r="G956" t="n">
        <v>19.2</v>
      </c>
      <c r="H956" t="n">
        <v>1</v>
      </c>
      <c r="I956" t="n">
        <v>0</v>
      </c>
      <c r="J956" t="n">
        <v>1</v>
      </c>
      <c r="K956" t="n">
        <v>1</v>
      </c>
      <c r="L956" t="n">
        <v>0</v>
      </c>
      <c r="M956" t="n">
        <v>0</v>
      </c>
      <c r="N956" t="n">
        <v>0</v>
      </c>
      <c r="O956" t="n">
        <v>2</v>
      </c>
      <c r="P956" t="n">
        <v>1</v>
      </c>
      <c r="Q956" t="n">
        <v>2</v>
      </c>
      <c r="R956" s="2" t="inlineStr">
        <is>
          <t>Knärot
Garnlav</t>
        </is>
      </c>
      <c r="S956">
        <f>HYPERLINK("https://klasma.github.io/Logging_2326/artfynd/A 60849-2022 artfynd.xlsx", "A 60849-2022")</f>
        <v/>
      </c>
      <c r="T956">
        <f>HYPERLINK("https://klasma.github.io/Logging_2326/kartor/A 60849-2022 karta.png", "A 60849-2022")</f>
        <v/>
      </c>
      <c r="U956">
        <f>HYPERLINK("https://klasma.github.io/Logging_2326/knärot/A 60849-2022 karta knärot.png", "A 60849-2022")</f>
        <v/>
      </c>
      <c r="V956">
        <f>HYPERLINK("https://klasma.github.io/Logging_2326/klagomål/A 60849-2022 FSC-klagomål.docx", "A 60849-2022")</f>
        <v/>
      </c>
      <c r="W956">
        <f>HYPERLINK("https://klasma.github.io/Logging_2326/klagomålsmail/A 60849-2022 FSC-klagomål mail.docx", "A 60849-2022")</f>
        <v/>
      </c>
      <c r="X956">
        <f>HYPERLINK("https://klasma.github.io/Logging_2326/tillsyn/A 60849-2022 tillsynsbegäran.docx", "A 60849-2022")</f>
        <v/>
      </c>
      <c r="Y956">
        <f>HYPERLINK("https://klasma.github.io/Logging_2326/tillsynsmail/A 60849-2022 tillsynsbegäran mail.docx", "A 60849-2022")</f>
        <v/>
      </c>
    </row>
    <row r="957" ht="15" customHeight="1">
      <c r="A957" t="inlineStr">
        <is>
          <t>A 60614-2022</t>
        </is>
      </c>
      <c r="B957" s="1" t="n">
        <v>44911</v>
      </c>
      <c r="C957" s="1" t="n">
        <v>45363</v>
      </c>
      <c r="D957" t="inlineStr">
        <is>
          <t>JÄMTLANDS LÄN</t>
        </is>
      </c>
      <c r="E957" t="inlineStr">
        <is>
          <t>ÖSTERSUND</t>
        </is>
      </c>
      <c r="G957" t="n">
        <v>17.6</v>
      </c>
      <c r="H957" t="n">
        <v>1</v>
      </c>
      <c r="I957" t="n">
        <v>1</v>
      </c>
      <c r="J957" t="n">
        <v>0</v>
      </c>
      <c r="K957" t="n">
        <v>0</v>
      </c>
      <c r="L957" t="n">
        <v>0</v>
      </c>
      <c r="M957" t="n">
        <v>0</v>
      </c>
      <c r="N957" t="n">
        <v>0</v>
      </c>
      <c r="O957" t="n">
        <v>0</v>
      </c>
      <c r="P957" t="n">
        <v>0</v>
      </c>
      <c r="Q957" t="n">
        <v>2</v>
      </c>
      <c r="R957" s="2" t="inlineStr">
        <is>
          <t>Dropptaggsvamp
Blåsippa</t>
        </is>
      </c>
      <c r="S957">
        <f>HYPERLINK("https://klasma.github.io/Logging_2380/artfynd/A 60614-2022 artfynd.xlsx", "A 60614-2022")</f>
        <v/>
      </c>
      <c r="T957">
        <f>HYPERLINK("https://klasma.github.io/Logging_2380/kartor/A 60614-2022 karta.png", "A 60614-2022")</f>
        <v/>
      </c>
      <c r="V957">
        <f>HYPERLINK("https://klasma.github.io/Logging_2380/klagomål/A 60614-2022 FSC-klagomål.docx", "A 60614-2022")</f>
        <v/>
      </c>
      <c r="W957">
        <f>HYPERLINK("https://klasma.github.io/Logging_2380/klagomålsmail/A 60614-2022 FSC-klagomål mail.docx", "A 60614-2022")</f>
        <v/>
      </c>
      <c r="X957">
        <f>HYPERLINK("https://klasma.github.io/Logging_2380/tillsyn/A 60614-2022 tillsynsbegäran.docx", "A 60614-2022")</f>
        <v/>
      </c>
      <c r="Y957">
        <f>HYPERLINK("https://klasma.github.io/Logging_2380/tillsynsmail/A 60614-2022 tillsynsbegäran mail.docx", "A 60614-2022")</f>
        <v/>
      </c>
    </row>
    <row r="958" ht="15" customHeight="1">
      <c r="A958" t="inlineStr">
        <is>
          <t>A 61385-2022</t>
        </is>
      </c>
      <c r="B958" s="1" t="n">
        <v>44915</v>
      </c>
      <c r="C958" s="1" t="n">
        <v>45363</v>
      </c>
      <c r="D958" t="inlineStr">
        <is>
          <t>JÄMTLANDS LÄN</t>
        </is>
      </c>
      <c r="E958" t="inlineStr">
        <is>
          <t>STRÖMSUND</t>
        </is>
      </c>
      <c r="G958" t="n">
        <v>2.6</v>
      </c>
      <c r="H958" t="n">
        <v>0</v>
      </c>
      <c r="I958" t="n">
        <v>1</v>
      </c>
      <c r="J958" t="n">
        <v>1</v>
      </c>
      <c r="K958" t="n">
        <v>0</v>
      </c>
      <c r="L958" t="n">
        <v>0</v>
      </c>
      <c r="M958" t="n">
        <v>0</v>
      </c>
      <c r="N958" t="n">
        <v>0</v>
      </c>
      <c r="O958" t="n">
        <v>1</v>
      </c>
      <c r="P958" t="n">
        <v>0</v>
      </c>
      <c r="Q958" t="n">
        <v>2</v>
      </c>
      <c r="R958" s="2" t="inlineStr">
        <is>
          <t>Orange taggsvamp
Svart trolldruva</t>
        </is>
      </c>
      <c r="S958">
        <f>HYPERLINK("https://klasma.github.io/Logging_2313/artfynd/A 61385-2022 artfynd.xlsx", "A 61385-2022")</f>
        <v/>
      </c>
      <c r="T958">
        <f>HYPERLINK("https://klasma.github.io/Logging_2313/kartor/A 61385-2022 karta.png", "A 61385-2022")</f>
        <v/>
      </c>
      <c r="V958">
        <f>HYPERLINK("https://klasma.github.io/Logging_2313/klagomål/A 61385-2022 FSC-klagomål.docx", "A 61385-2022")</f>
        <v/>
      </c>
      <c r="W958">
        <f>HYPERLINK("https://klasma.github.io/Logging_2313/klagomålsmail/A 61385-2022 FSC-klagomål mail.docx", "A 61385-2022")</f>
        <v/>
      </c>
      <c r="X958">
        <f>HYPERLINK("https://klasma.github.io/Logging_2313/tillsyn/A 61385-2022 tillsynsbegäran.docx", "A 61385-2022")</f>
        <v/>
      </c>
      <c r="Y958">
        <f>HYPERLINK("https://klasma.github.io/Logging_2313/tillsynsmail/A 61385-2022 tillsynsbegäran mail.docx", "A 61385-2022")</f>
        <v/>
      </c>
    </row>
    <row r="959" ht="15" customHeight="1">
      <c r="A959" t="inlineStr">
        <is>
          <t>A 575-2023</t>
        </is>
      </c>
      <c r="B959" s="1" t="n">
        <v>44930</v>
      </c>
      <c r="C959" s="1" t="n">
        <v>45363</v>
      </c>
      <c r="D959" t="inlineStr">
        <is>
          <t>JÄMTLANDS LÄN</t>
        </is>
      </c>
      <c r="E959" t="inlineStr">
        <is>
          <t>BERG</t>
        </is>
      </c>
      <c r="G959" t="n">
        <v>10.9</v>
      </c>
      <c r="H959" t="n">
        <v>0</v>
      </c>
      <c r="I959" t="n">
        <v>1</v>
      </c>
      <c r="J959" t="n">
        <v>1</v>
      </c>
      <c r="K959" t="n">
        <v>0</v>
      </c>
      <c r="L959" t="n">
        <v>0</v>
      </c>
      <c r="M959" t="n">
        <v>0</v>
      </c>
      <c r="N959" t="n">
        <v>0</v>
      </c>
      <c r="O959" t="n">
        <v>1</v>
      </c>
      <c r="P959" t="n">
        <v>0</v>
      </c>
      <c r="Q959" t="n">
        <v>2</v>
      </c>
      <c r="R959" s="2" t="inlineStr">
        <is>
          <t>Lunglav
Rävticka</t>
        </is>
      </c>
      <c r="S959">
        <f>HYPERLINK("https://klasma.github.io/Logging_2326/artfynd/A 575-2023 artfynd.xlsx", "A 575-2023")</f>
        <v/>
      </c>
      <c r="T959">
        <f>HYPERLINK("https://klasma.github.io/Logging_2326/kartor/A 575-2023 karta.png", "A 575-2023")</f>
        <v/>
      </c>
      <c r="V959">
        <f>HYPERLINK("https://klasma.github.io/Logging_2326/klagomål/A 575-2023 FSC-klagomål.docx", "A 575-2023")</f>
        <v/>
      </c>
      <c r="W959">
        <f>HYPERLINK("https://klasma.github.io/Logging_2326/klagomålsmail/A 575-2023 FSC-klagomål mail.docx", "A 575-2023")</f>
        <v/>
      </c>
      <c r="X959">
        <f>HYPERLINK("https://klasma.github.io/Logging_2326/tillsyn/A 575-2023 tillsynsbegäran.docx", "A 575-2023")</f>
        <v/>
      </c>
      <c r="Y959">
        <f>HYPERLINK("https://klasma.github.io/Logging_2326/tillsynsmail/A 575-2023 tillsynsbegäran mail.docx", "A 575-2023")</f>
        <v/>
      </c>
    </row>
    <row r="960" ht="15" customHeight="1">
      <c r="A960" t="inlineStr">
        <is>
          <t>A 3029-2023</t>
        </is>
      </c>
      <c r="B960" s="1" t="n">
        <v>44945</v>
      </c>
      <c r="C960" s="1" t="n">
        <v>45363</v>
      </c>
      <c r="D960" t="inlineStr">
        <is>
          <t>JÄMTLANDS LÄN</t>
        </is>
      </c>
      <c r="E960" t="inlineStr">
        <is>
          <t>BRÄCKE</t>
        </is>
      </c>
      <c r="F960" t="inlineStr">
        <is>
          <t>SCA</t>
        </is>
      </c>
      <c r="G960" t="n">
        <v>2.3</v>
      </c>
      <c r="H960" t="n">
        <v>0</v>
      </c>
      <c r="I960" t="n">
        <v>0</v>
      </c>
      <c r="J960" t="n">
        <v>2</v>
      </c>
      <c r="K960" t="n">
        <v>0</v>
      </c>
      <c r="L960" t="n">
        <v>0</v>
      </c>
      <c r="M960" t="n">
        <v>0</v>
      </c>
      <c r="N960" t="n">
        <v>0</v>
      </c>
      <c r="O960" t="n">
        <v>2</v>
      </c>
      <c r="P960" t="n">
        <v>0</v>
      </c>
      <c r="Q960" t="n">
        <v>2</v>
      </c>
      <c r="R960" s="2" t="inlineStr">
        <is>
          <t>Garnlav
Lunglav</t>
        </is>
      </c>
      <c r="S960">
        <f>HYPERLINK("https://klasma.github.io/Logging_2305/artfynd/A 3029-2023 artfynd.xlsx", "A 3029-2023")</f>
        <v/>
      </c>
      <c r="T960">
        <f>HYPERLINK("https://klasma.github.io/Logging_2305/kartor/A 3029-2023 karta.png", "A 3029-2023")</f>
        <v/>
      </c>
      <c r="V960">
        <f>HYPERLINK("https://klasma.github.io/Logging_2305/klagomål/A 3029-2023 FSC-klagomål.docx", "A 3029-2023")</f>
        <v/>
      </c>
      <c r="W960">
        <f>HYPERLINK("https://klasma.github.io/Logging_2305/klagomålsmail/A 3029-2023 FSC-klagomål mail.docx", "A 3029-2023")</f>
        <v/>
      </c>
      <c r="X960">
        <f>HYPERLINK("https://klasma.github.io/Logging_2305/tillsyn/A 3029-2023 tillsynsbegäran.docx", "A 3029-2023")</f>
        <v/>
      </c>
      <c r="Y960">
        <f>HYPERLINK("https://klasma.github.io/Logging_2305/tillsynsmail/A 3029-2023 tillsynsbegäran mail.docx", "A 3029-2023")</f>
        <v/>
      </c>
    </row>
    <row r="961" ht="15" customHeight="1">
      <c r="A961" t="inlineStr">
        <is>
          <t>A 3152-2023</t>
        </is>
      </c>
      <c r="B961" s="1" t="n">
        <v>44946</v>
      </c>
      <c r="C961" s="1" t="n">
        <v>45363</v>
      </c>
      <c r="D961" t="inlineStr">
        <is>
          <t>JÄMTLANDS LÄN</t>
        </is>
      </c>
      <c r="E961" t="inlineStr">
        <is>
          <t>ÅRE</t>
        </is>
      </c>
      <c r="G961" t="n">
        <v>1.9</v>
      </c>
      <c r="H961" t="n">
        <v>1</v>
      </c>
      <c r="I961" t="n">
        <v>0</v>
      </c>
      <c r="J961" t="n">
        <v>2</v>
      </c>
      <c r="K961" t="n">
        <v>0</v>
      </c>
      <c r="L961" t="n">
        <v>0</v>
      </c>
      <c r="M961" t="n">
        <v>0</v>
      </c>
      <c r="N961" t="n">
        <v>0</v>
      </c>
      <c r="O961" t="n">
        <v>2</v>
      </c>
      <c r="P961" t="n">
        <v>0</v>
      </c>
      <c r="Q961" t="n">
        <v>2</v>
      </c>
      <c r="R961" s="2" t="inlineStr">
        <is>
          <t>Lunglav
Tretåig hackspett</t>
        </is>
      </c>
      <c r="S961">
        <f>HYPERLINK("https://klasma.github.io/Logging_2321/artfynd/A 3152-2023 artfynd.xlsx", "A 3152-2023")</f>
        <v/>
      </c>
      <c r="T961">
        <f>HYPERLINK("https://klasma.github.io/Logging_2321/kartor/A 3152-2023 karta.png", "A 3152-2023")</f>
        <v/>
      </c>
      <c r="V961">
        <f>HYPERLINK("https://klasma.github.io/Logging_2321/klagomål/A 3152-2023 FSC-klagomål.docx", "A 3152-2023")</f>
        <v/>
      </c>
      <c r="W961">
        <f>HYPERLINK("https://klasma.github.io/Logging_2321/klagomålsmail/A 3152-2023 FSC-klagomål mail.docx", "A 3152-2023")</f>
        <v/>
      </c>
      <c r="X961">
        <f>HYPERLINK("https://klasma.github.io/Logging_2321/tillsyn/A 3152-2023 tillsynsbegäran.docx", "A 3152-2023")</f>
        <v/>
      </c>
      <c r="Y961">
        <f>HYPERLINK("https://klasma.github.io/Logging_2321/tillsynsmail/A 3152-2023 tillsynsbegäran mail.docx", "A 3152-2023")</f>
        <v/>
      </c>
      <c r="Z961">
        <f>HYPERLINK("https://klasma.github.io/Logging_2321/fåglar/A 3152-2023 prioriterade fågelarter.docx", "A 3152-2023")</f>
        <v/>
      </c>
    </row>
    <row r="962" ht="15" customHeight="1">
      <c r="A962" t="inlineStr">
        <is>
          <t>A 4372-2023</t>
        </is>
      </c>
      <c r="B962" s="1" t="n">
        <v>44955</v>
      </c>
      <c r="C962" s="1" t="n">
        <v>45363</v>
      </c>
      <c r="D962" t="inlineStr">
        <is>
          <t>JÄMTLANDS LÄN</t>
        </is>
      </c>
      <c r="E962" t="inlineStr">
        <is>
          <t>HÄRJEDALEN</t>
        </is>
      </c>
      <c r="G962" t="n">
        <v>10.1</v>
      </c>
      <c r="H962" t="n">
        <v>2</v>
      </c>
      <c r="I962" t="n">
        <v>0</v>
      </c>
      <c r="J962" t="n">
        <v>2</v>
      </c>
      <c r="K962" t="n">
        <v>0</v>
      </c>
      <c r="L962" t="n">
        <v>0</v>
      </c>
      <c r="M962" t="n">
        <v>0</v>
      </c>
      <c r="N962" t="n">
        <v>0</v>
      </c>
      <c r="O962" t="n">
        <v>2</v>
      </c>
      <c r="P962" t="n">
        <v>0</v>
      </c>
      <c r="Q962" t="n">
        <v>2</v>
      </c>
      <c r="R962" s="2" t="inlineStr">
        <is>
          <t>Spillkråka
Tretåig hackspett</t>
        </is>
      </c>
      <c r="S962">
        <f>HYPERLINK("https://klasma.github.io/Logging_2361/artfynd/A 4372-2023 artfynd.xlsx", "A 4372-2023")</f>
        <v/>
      </c>
      <c r="T962">
        <f>HYPERLINK("https://klasma.github.io/Logging_2361/kartor/A 4372-2023 karta.png", "A 4372-2023")</f>
        <v/>
      </c>
      <c r="V962">
        <f>HYPERLINK("https://klasma.github.io/Logging_2361/klagomål/A 4372-2023 FSC-klagomål.docx", "A 4372-2023")</f>
        <v/>
      </c>
      <c r="W962">
        <f>HYPERLINK("https://klasma.github.io/Logging_2361/klagomålsmail/A 4372-2023 FSC-klagomål mail.docx", "A 4372-2023")</f>
        <v/>
      </c>
      <c r="X962">
        <f>HYPERLINK("https://klasma.github.io/Logging_2361/tillsyn/A 4372-2023 tillsynsbegäran.docx", "A 4372-2023")</f>
        <v/>
      </c>
      <c r="Y962">
        <f>HYPERLINK("https://klasma.github.io/Logging_2361/tillsynsmail/A 4372-2023 tillsynsbegäran mail.docx", "A 4372-2023")</f>
        <v/>
      </c>
      <c r="Z962">
        <f>HYPERLINK("https://klasma.github.io/Logging_2361/fåglar/A 4372-2023 prioriterade fågelarter.docx", "A 4372-2023")</f>
        <v/>
      </c>
    </row>
    <row r="963" ht="15" customHeight="1">
      <c r="A963" t="inlineStr">
        <is>
          <t>A 5531-2023</t>
        </is>
      </c>
      <c r="B963" s="1" t="n">
        <v>44957</v>
      </c>
      <c r="C963" s="1" t="n">
        <v>45363</v>
      </c>
      <c r="D963" t="inlineStr">
        <is>
          <t>JÄMTLANDS LÄN</t>
        </is>
      </c>
      <c r="E963" t="inlineStr">
        <is>
          <t>ÅRE</t>
        </is>
      </c>
      <c r="G963" t="n">
        <v>3.8</v>
      </c>
      <c r="H963" t="n">
        <v>1</v>
      </c>
      <c r="I963" t="n">
        <v>0</v>
      </c>
      <c r="J963" t="n">
        <v>2</v>
      </c>
      <c r="K963" t="n">
        <v>0</v>
      </c>
      <c r="L963" t="n">
        <v>0</v>
      </c>
      <c r="M963" t="n">
        <v>0</v>
      </c>
      <c r="N963" t="n">
        <v>0</v>
      </c>
      <c r="O963" t="n">
        <v>2</v>
      </c>
      <c r="P963" t="n">
        <v>0</v>
      </c>
      <c r="Q963" t="n">
        <v>2</v>
      </c>
      <c r="R963" s="2" t="inlineStr">
        <is>
          <t>Granticka
Tretåig hackspett</t>
        </is>
      </c>
      <c r="S963">
        <f>HYPERLINK("https://klasma.github.io/Logging_2321/artfynd/A 5531-2023 artfynd.xlsx", "A 5531-2023")</f>
        <v/>
      </c>
      <c r="T963">
        <f>HYPERLINK("https://klasma.github.io/Logging_2321/kartor/A 5531-2023 karta.png", "A 5531-2023")</f>
        <v/>
      </c>
      <c r="V963">
        <f>HYPERLINK("https://klasma.github.io/Logging_2321/klagomål/A 5531-2023 FSC-klagomål.docx", "A 5531-2023")</f>
        <v/>
      </c>
      <c r="W963">
        <f>HYPERLINK("https://klasma.github.io/Logging_2321/klagomålsmail/A 5531-2023 FSC-klagomål mail.docx", "A 5531-2023")</f>
        <v/>
      </c>
      <c r="X963">
        <f>HYPERLINK("https://klasma.github.io/Logging_2321/tillsyn/A 5531-2023 tillsynsbegäran.docx", "A 5531-2023")</f>
        <v/>
      </c>
      <c r="Y963">
        <f>HYPERLINK("https://klasma.github.io/Logging_2321/tillsynsmail/A 5531-2023 tillsynsbegäran mail.docx", "A 5531-2023")</f>
        <v/>
      </c>
      <c r="Z963">
        <f>HYPERLINK("https://klasma.github.io/Logging_2321/fåglar/A 5531-2023 prioriterade fågelarter.docx", "A 5531-2023")</f>
        <v/>
      </c>
    </row>
    <row r="964" ht="15" customHeight="1">
      <c r="A964" t="inlineStr">
        <is>
          <t>A 5418-2023</t>
        </is>
      </c>
      <c r="B964" s="1" t="n">
        <v>44957</v>
      </c>
      <c r="C964" s="1" t="n">
        <v>45363</v>
      </c>
      <c r="D964" t="inlineStr">
        <is>
          <t>JÄMTLANDS LÄN</t>
        </is>
      </c>
      <c r="E964" t="inlineStr">
        <is>
          <t>ÅRE</t>
        </is>
      </c>
      <c r="G964" t="n">
        <v>5</v>
      </c>
      <c r="H964" t="n">
        <v>1</v>
      </c>
      <c r="I964" t="n">
        <v>0</v>
      </c>
      <c r="J964" t="n">
        <v>2</v>
      </c>
      <c r="K964" t="n">
        <v>0</v>
      </c>
      <c r="L964" t="n">
        <v>0</v>
      </c>
      <c r="M964" t="n">
        <v>0</v>
      </c>
      <c r="N964" t="n">
        <v>0</v>
      </c>
      <c r="O964" t="n">
        <v>2</v>
      </c>
      <c r="P964" t="n">
        <v>0</v>
      </c>
      <c r="Q964" t="n">
        <v>2</v>
      </c>
      <c r="R964" s="2" t="inlineStr">
        <is>
          <t>Garnlav
Tretåig hackspett</t>
        </is>
      </c>
      <c r="S964">
        <f>HYPERLINK("https://klasma.github.io/Logging_2321/artfynd/A 5418-2023 artfynd.xlsx", "A 5418-2023")</f>
        <v/>
      </c>
      <c r="T964">
        <f>HYPERLINK("https://klasma.github.io/Logging_2321/kartor/A 5418-2023 karta.png", "A 5418-2023")</f>
        <v/>
      </c>
      <c r="V964">
        <f>HYPERLINK("https://klasma.github.io/Logging_2321/klagomål/A 5418-2023 FSC-klagomål.docx", "A 5418-2023")</f>
        <v/>
      </c>
      <c r="W964">
        <f>HYPERLINK("https://klasma.github.io/Logging_2321/klagomålsmail/A 5418-2023 FSC-klagomål mail.docx", "A 5418-2023")</f>
        <v/>
      </c>
      <c r="X964">
        <f>HYPERLINK("https://klasma.github.io/Logging_2321/tillsyn/A 5418-2023 tillsynsbegäran.docx", "A 5418-2023")</f>
        <v/>
      </c>
      <c r="Y964">
        <f>HYPERLINK("https://klasma.github.io/Logging_2321/tillsynsmail/A 5418-2023 tillsynsbegäran mail.docx", "A 5418-2023")</f>
        <v/>
      </c>
      <c r="Z964">
        <f>HYPERLINK("https://klasma.github.io/Logging_2321/fåglar/A 5418-2023 prioriterade fågelarter.docx", "A 5418-2023")</f>
        <v/>
      </c>
    </row>
    <row r="965" ht="15" customHeight="1">
      <c r="A965" t="inlineStr">
        <is>
          <t>A 6107-2023</t>
        </is>
      </c>
      <c r="B965" s="1" t="n">
        <v>44964</v>
      </c>
      <c r="C965" s="1" t="n">
        <v>45363</v>
      </c>
      <c r="D965" t="inlineStr">
        <is>
          <t>JÄMTLANDS LÄN</t>
        </is>
      </c>
      <c r="E965" t="inlineStr">
        <is>
          <t>ÅRE</t>
        </is>
      </c>
      <c r="G965" t="n">
        <v>1.9</v>
      </c>
      <c r="H965" t="n">
        <v>0</v>
      </c>
      <c r="I965" t="n">
        <v>1</v>
      </c>
      <c r="J965" t="n">
        <v>1</v>
      </c>
      <c r="K965" t="n">
        <v>0</v>
      </c>
      <c r="L965" t="n">
        <v>0</v>
      </c>
      <c r="M965" t="n">
        <v>0</v>
      </c>
      <c r="N965" t="n">
        <v>0</v>
      </c>
      <c r="O965" t="n">
        <v>1</v>
      </c>
      <c r="P965" t="n">
        <v>0</v>
      </c>
      <c r="Q965" t="n">
        <v>2</v>
      </c>
      <c r="R965" s="2" t="inlineStr">
        <is>
          <t>Skrovellav
Stuplav</t>
        </is>
      </c>
      <c r="S965">
        <f>HYPERLINK("https://klasma.github.io/Logging_2321/artfynd/A 6107-2023 artfynd.xlsx", "A 6107-2023")</f>
        <v/>
      </c>
      <c r="T965">
        <f>HYPERLINK("https://klasma.github.io/Logging_2321/kartor/A 6107-2023 karta.png", "A 6107-2023")</f>
        <v/>
      </c>
      <c r="V965">
        <f>HYPERLINK("https://klasma.github.io/Logging_2321/klagomål/A 6107-2023 FSC-klagomål.docx", "A 6107-2023")</f>
        <v/>
      </c>
      <c r="W965">
        <f>HYPERLINK("https://klasma.github.io/Logging_2321/klagomålsmail/A 6107-2023 FSC-klagomål mail.docx", "A 6107-2023")</f>
        <v/>
      </c>
      <c r="X965">
        <f>HYPERLINK("https://klasma.github.io/Logging_2321/tillsyn/A 6107-2023 tillsynsbegäran.docx", "A 6107-2023")</f>
        <v/>
      </c>
      <c r="Y965">
        <f>HYPERLINK("https://klasma.github.io/Logging_2321/tillsynsmail/A 6107-2023 tillsynsbegäran mail.docx", "A 6107-2023")</f>
        <v/>
      </c>
    </row>
    <row r="966" ht="15" customHeight="1">
      <c r="A966" t="inlineStr">
        <is>
          <t>A 6108-2023</t>
        </is>
      </c>
      <c r="B966" s="1" t="n">
        <v>44964</v>
      </c>
      <c r="C966" s="1" t="n">
        <v>45363</v>
      </c>
      <c r="D966" t="inlineStr">
        <is>
          <t>JÄMTLANDS LÄN</t>
        </is>
      </c>
      <c r="E966" t="inlineStr">
        <is>
          <t>ÅRE</t>
        </is>
      </c>
      <c r="G966" t="n">
        <v>15.4</v>
      </c>
      <c r="H966" t="n">
        <v>1</v>
      </c>
      <c r="I966" t="n">
        <v>0</v>
      </c>
      <c r="J966" t="n">
        <v>2</v>
      </c>
      <c r="K966" t="n">
        <v>0</v>
      </c>
      <c r="L966" t="n">
        <v>0</v>
      </c>
      <c r="M966" t="n">
        <v>0</v>
      </c>
      <c r="N966" t="n">
        <v>0</v>
      </c>
      <c r="O966" t="n">
        <v>2</v>
      </c>
      <c r="P966" t="n">
        <v>0</v>
      </c>
      <c r="Q966" t="n">
        <v>2</v>
      </c>
      <c r="R966" s="2" t="inlineStr">
        <is>
          <t>Skrovellav
Tretåig hackspett</t>
        </is>
      </c>
      <c r="S966">
        <f>HYPERLINK("https://klasma.github.io/Logging_2321/artfynd/A 6108-2023 artfynd.xlsx", "A 6108-2023")</f>
        <v/>
      </c>
      <c r="T966">
        <f>HYPERLINK("https://klasma.github.io/Logging_2321/kartor/A 6108-2023 karta.png", "A 6108-2023")</f>
        <v/>
      </c>
      <c r="V966">
        <f>HYPERLINK("https://klasma.github.io/Logging_2321/klagomål/A 6108-2023 FSC-klagomål.docx", "A 6108-2023")</f>
        <v/>
      </c>
      <c r="W966">
        <f>HYPERLINK("https://klasma.github.io/Logging_2321/klagomålsmail/A 6108-2023 FSC-klagomål mail.docx", "A 6108-2023")</f>
        <v/>
      </c>
      <c r="X966">
        <f>HYPERLINK("https://klasma.github.io/Logging_2321/tillsyn/A 6108-2023 tillsynsbegäran.docx", "A 6108-2023")</f>
        <v/>
      </c>
      <c r="Y966">
        <f>HYPERLINK("https://klasma.github.io/Logging_2321/tillsynsmail/A 6108-2023 tillsynsbegäran mail.docx", "A 6108-2023")</f>
        <v/>
      </c>
      <c r="Z966">
        <f>HYPERLINK("https://klasma.github.io/Logging_2321/fåglar/A 6108-2023 prioriterade fågelarter.docx", "A 6108-2023")</f>
        <v/>
      </c>
    </row>
    <row r="967" ht="15" customHeight="1">
      <c r="A967" t="inlineStr">
        <is>
          <t>A 7473-2023</t>
        </is>
      </c>
      <c r="B967" s="1" t="n">
        <v>44966</v>
      </c>
      <c r="C967" s="1" t="n">
        <v>45363</v>
      </c>
      <c r="D967" t="inlineStr">
        <is>
          <t>JÄMTLANDS LÄN</t>
        </is>
      </c>
      <c r="E967" t="inlineStr">
        <is>
          <t>BERG</t>
        </is>
      </c>
      <c r="G967" t="n">
        <v>26.8</v>
      </c>
      <c r="H967" t="n">
        <v>1</v>
      </c>
      <c r="I967" t="n">
        <v>1</v>
      </c>
      <c r="J967" t="n">
        <v>1</v>
      </c>
      <c r="K967" t="n">
        <v>0</v>
      </c>
      <c r="L967" t="n">
        <v>0</v>
      </c>
      <c r="M967" t="n">
        <v>0</v>
      </c>
      <c r="N967" t="n">
        <v>0</v>
      </c>
      <c r="O967" t="n">
        <v>1</v>
      </c>
      <c r="P967" t="n">
        <v>0</v>
      </c>
      <c r="Q967" t="n">
        <v>2</v>
      </c>
      <c r="R967" s="2" t="inlineStr">
        <is>
          <t>Tretåig hackspett
Dropptaggsvamp</t>
        </is>
      </c>
      <c r="S967">
        <f>HYPERLINK("https://klasma.github.io/Logging_2326/artfynd/A 7473-2023 artfynd.xlsx", "A 7473-2023")</f>
        <v/>
      </c>
      <c r="T967">
        <f>HYPERLINK("https://klasma.github.io/Logging_2326/kartor/A 7473-2023 karta.png", "A 7473-2023")</f>
        <v/>
      </c>
      <c r="V967">
        <f>HYPERLINK("https://klasma.github.io/Logging_2326/klagomål/A 7473-2023 FSC-klagomål.docx", "A 7473-2023")</f>
        <v/>
      </c>
      <c r="W967">
        <f>HYPERLINK("https://klasma.github.io/Logging_2326/klagomålsmail/A 7473-2023 FSC-klagomål mail.docx", "A 7473-2023")</f>
        <v/>
      </c>
      <c r="X967">
        <f>HYPERLINK("https://klasma.github.io/Logging_2326/tillsyn/A 7473-2023 tillsynsbegäran.docx", "A 7473-2023")</f>
        <v/>
      </c>
      <c r="Y967">
        <f>HYPERLINK("https://klasma.github.io/Logging_2326/tillsynsmail/A 7473-2023 tillsynsbegäran mail.docx", "A 7473-2023")</f>
        <v/>
      </c>
      <c r="Z967">
        <f>HYPERLINK("https://klasma.github.io/Logging_2326/fåglar/A 7473-2023 prioriterade fågelarter.docx", "A 7473-2023")</f>
        <v/>
      </c>
    </row>
    <row r="968" ht="15" customHeight="1">
      <c r="A968" t="inlineStr">
        <is>
          <t>A 7401-2023</t>
        </is>
      </c>
      <c r="B968" s="1" t="n">
        <v>44966</v>
      </c>
      <c r="C968" s="1" t="n">
        <v>45363</v>
      </c>
      <c r="D968" t="inlineStr">
        <is>
          <t>JÄMTLANDS LÄN</t>
        </is>
      </c>
      <c r="E968" t="inlineStr">
        <is>
          <t>ÅRE</t>
        </is>
      </c>
      <c r="G968" t="n">
        <v>3.5</v>
      </c>
      <c r="H968" t="n">
        <v>2</v>
      </c>
      <c r="I968" t="n">
        <v>1</v>
      </c>
      <c r="J968" t="n">
        <v>0</v>
      </c>
      <c r="K968" t="n">
        <v>0</v>
      </c>
      <c r="L968" t="n">
        <v>0</v>
      </c>
      <c r="M968" t="n">
        <v>0</v>
      </c>
      <c r="N968" t="n">
        <v>0</v>
      </c>
      <c r="O968" t="n">
        <v>0</v>
      </c>
      <c r="P968" t="n">
        <v>0</v>
      </c>
      <c r="Q968" t="n">
        <v>2</v>
      </c>
      <c r="R968" s="2" t="inlineStr">
        <is>
          <t>Tvåblad
Revlummer</t>
        </is>
      </c>
      <c r="S968">
        <f>HYPERLINK("https://klasma.github.io/Logging_2321/artfynd/A 7401-2023 artfynd.xlsx", "A 7401-2023")</f>
        <v/>
      </c>
      <c r="T968">
        <f>HYPERLINK("https://klasma.github.io/Logging_2321/kartor/A 7401-2023 karta.png", "A 7401-2023")</f>
        <v/>
      </c>
      <c r="V968">
        <f>HYPERLINK("https://klasma.github.io/Logging_2321/klagomål/A 7401-2023 FSC-klagomål.docx", "A 7401-2023")</f>
        <v/>
      </c>
      <c r="W968">
        <f>HYPERLINK("https://klasma.github.io/Logging_2321/klagomålsmail/A 7401-2023 FSC-klagomål mail.docx", "A 7401-2023")</f>
        <v/>
      </c>
      <c r="X968">
        <f>HYPERLINK("https://klasma.github.io/Logging_2321/tillsyn/A 7401-2023 tillsynsbegäran.docx", "A 7401-2023")</f>
        <v/>
      </c>
      <c r="Y968">
        <f>HYPERLINK("https://klasma.github.io/Logging_2321/tillsynsmail/A 7401-2023 tillsynsbegäran mail.docx", "A 7401-2023")</f>
        <v/>
      </c>
    </row>
    <row r="969" ht="15" customHeight="1">
      <c r="A969" t="inlineStr">
        <is>
          <t>A 8033-2023</t>
        </is>
      </c>
      <c r="B969" s="1" t="n">
        <v>44973</v>
      </c>
      <c r="C969" s="1" t="n">
        <v>45363</v>
      </c>
      <c r="D969" t="inlineStr">
        <is>
          <t>JÄMTLANDS LÄN</t>
        </is>
      </c>
      <c r="E969" t="inlineStr">
        <is>
          <t>RAGUNDA</t>
        </is>
      </c>
      <c r="F969" t="inlineStr">
        <is>
          <t>SCA</t>
        </is>
      </c>
      <c r="G969" t="n">
        <v>9.199999999999999</v>
      </c>
      <c r="H969" t="n">
        <v>0</v>
      </c>
      <c r="I969" t="n">
        <v>1</v>
      </c>
      <c r="J969" t="n">
        <v>1</v>
      </c>
      <c r="K969" t="n">
        <v>0</v>
      </c>
      <c r="L969" t="n">
        <v>0</v>
      </c>
      <c r="M969" t="n">
        <v>0</v>
      </c>
      <c r="N969" t="n">
        <v>0</v>
      </c>
      <c r="O969" t="n">
        <v>1</v>
      </c>
      <c r="P969" t="n">
        <v>0</v>
      </c>
      <c r="Q969" t="n">
        <v>2</v>
      </c>
      <c r="R969" s="2" t="inlineStr">
        <is>
          <t>Kolflarnlav
Grönpyrola</t>
        </is>
      </c>
      <c r="S969">
        <f>HYPERLINK("https://klasma.github.io/Logging_2303/artfynd/A 8033-2023 artfynd.xlsx", "A 8033-2023")</f>
        <v/>
      </c>
      <c r="T969">
        <f>HYPERLINK("https://klasma.github.io/Logging_2303/kartor/A 8033-2023 karta.png", "A 8033-2023")</f>
        <v/>
      </c>
      <c r="V969">
        <f>HYPERLINK("https://klasma.github.io/Logging_2303/klagomål/A 8033-2023 FSC-klagomål.docx", "A 8033-2023")</f>
        <v/>
      </c>
      <c r="W969">
        <f>HYPERLINK("https://klasma.github.io/Logging_2303/klagomålsmail/A 8033-2023 FSC-klagomål mail.docx", "A 8033-2023")</f>
        <v/>
      </c>
      <c r="X969">
        <f>HYPERLINK("https://klasma.github.io/Logging_2303/tillsyn/A 8033-2023 tillsynsbegäran.docx", "A 8033-2023")</f>
        <v/>
      </c>
      <c r="Y969">
        <f>HYPERLINK("https://klasma.github.io/Logging_2303/tillsynsmail/A 8033-2023 tillsynsbegäran mail.docx", "A 8033-2023")</f>
        <v/>
      </c>
    </row>
    <row r="970" ht="15" customHeight="1">
      <c r="A970" t="inlineStr">
        <is>
          <t>A 8673-2023</t>
        </is>
      </c>
      <c r="B970" s="1" t="n">
        <v>44977</v>
      </c>
      <c r="C970" s="1" t="n">
        <v>45363</v>
      </c>
      <c r="D970" t="inlineStr">
        <is>
          <t>JÄMTLANDS LÄN</t>
        </is>
      </c>
      <c r="E970" t="inlineStr">
        <is>
          <t>BRÄCKE</t>
        </is>
      </c>
      <c r="G970" t="n">
        <v>11.6</v>
      </c>
      <c r="H970" t="n">
        <v>0</v>
      </c>
      <c r="I970" t="n">
        <v>1</v>
      </c>
      <c r="J970" t="n">
        <v>1</v>
      </c>
      <c r="K970" t="n">
        <v>0</v>
      </c>
      <c r="L970" t="n">
        <v>0</v>
      </c>
      <c r="M970" t="n">
        <v>0</v>
      </c>
      <c r="N970" t="n">
        <v>0</v>
      </c>
      <c r="O970" t="n">
        <v>1</v>
      </c>
      <c r="P970" t="n">
        <v>0</v>
      </c>
      <c r="Q970" t="n">
        <v>2</v>
      </c>
      <c r="R970" s="2" t="inlineStr">
        <is>
          <t>Ullticka
Dropptaggsvamp</t>
        </is>
      </c>
      <c r="S970">
        <f>HYPERLINK("https://klasma.github.io/Logging_2305/artfynd/A 8673-2023 artfynd.xlsx", "A 8673-2023")</f>
        <v/>
      </c>
      <c r="T970">
        <f>HYPERLINK("https://klasma.github.io/Logging_2305/kartor/A 8673-2023 karta.png", "A 8673-2023")</f>
        <v/>
      </c>
      <c r="V970">
        <f>HYPERLINK("https://klasma.github.io/Logging_2305/klagomål/A 8673-2023 FSC-klagomål.docx", "A 8673-2023")</f>
        <v/>
      </c>
      <c r="W970">
        <f>HYPERLINK("https://klasma.github.io/Logging_2305/klagomålsmail/A 8673-2023 FSC-klagomål mail.docx", "A 8673-2023")</f>
        <v/>
      </c>
      <c r="X970">
        <f>HYPERLINK("https://klasma.github.io/Logging_2305/tillsyn/A 8673-2023 tillsynsbegäran.docx", "A 8673-2023")</f>
        <v/>
      </c>
      <c r="Y970">
        <f>HYPERLINK("https://klasma.github.io/Logging_2305/tillsynsmail/A 8673-2023 tillsynsbegäran mail.docx", "A 8673-2023")</f>
        <v/>
      </c>
    </row>
    <row r="971" ht="15" customHeight="1">
      <c r="A971" t="inlineStr">
        <is>
          <t>A 9340-2023</t>
        </is>
      </c>
      <c r="B971" s="1" t="n">
        <v>44980</v>
      </c>
      <c r="C971" s="1" t="n">
        <v>45363</v>
      </c>
      <c r="D971" t="inlineStr">
        <is>
          <t>JÄMTLANDS LÄN</t>
        </is>
      </c>
      <c r="E971" t="inlineStr">
        <is>
          <t>RAGUNDA</t>
        </is>
      </c>
      <c r="G971" t="n">
        <v>2.9</v>
      </c>
      <c r="H971" t="n">
        <v>0</v>
      </c>
      <c r="I971" t="n">
        <v>0</v>
      </c>
      <c r="J971" t="n">
        <v>2</v>
      </c>
      <c r="K971" t="n">
        <v>0</v>
      </c>
      <c r="L971" t="n">
        <v>0</v>
      </c>
      <c r="M971" t="n">
        <v>0</v>
      </c>
      <c r="N971" t="n">
        <v>0</v>
      </c>
      <c r="O971" t="n">
        <v>2</v>
      </c>
      <c r="P971" t="n">
        <v>0</v>
      </c>
      <c r="Q971" t="n">
        <v>2</v>
      </c>
      <c r="R971" s="2" t="inlineStr">
        <is>
          <t>Garnlav
Lunglav</t>
        </is>
      </c>
      <c r="S971">
        <f>HYPERLINK("https://klasma.github.io/Logging_2303/artfynd/A 9340-2023 artfynd.xlsx", "A 9340-2023")</f>
        <v/>
      </c>
      <c r="T971">
        <f>HYPERLINK("https://klasma.github.io/Logging_2303/kartor/A 9340-2023 karta.png", "A 9340-2023")</f>
        <v/>
      </c>
      <c r="V971">
        <f>HYPERLINK("https://klasma.github.io/Logging_2303/klagomål/A 9340-2023 FSC-klagomål.docx", "A 9340-2023")</f>
        <v/>
      </c>
      <c r="W971">
        <f>HYPERLINK("https://klasma.github.io/Logging_2303/klagomålsmail/A 9340-2023 FSC-klagomål mail.docx", "A 9340-2023")</f>
        <v/>
      </c>
      <c r="X971">
        <f>HYPERLINK("https://klasma.github.io/Logging_2303/tillsyn/A 9340-2023 tillsynsbegäran.docx", "A 9340-2023")</f>
        <v/>
      </c>
      <c r="Y971">
        <f>HYPERLINK("https://klasma.github.io/Logging_2303/tillsynsmail/A 9340-2023 tillsynsbegäran mail.docx", "A 9340-2023")</f>
        <v/>
      </c>
    </row>
    <row r="972" ht="15" customHeight="1">
      <c r="A972" t="inlineStr">
        <is>
          <t>A 10133-2023</t>
        </is>
      </c>
      <c r="B972" s="1" t="n">
        <v>44986</v>
      </c>
      <c r="C972" s="1" t="n">
        <v>45363</v>
      </c>
      <c r="D972" t="inlineStr">
        <is>
          <t>JÄMTLANDS LÄN</t>
        </is>
      </c>
      <c r="E972" t="inlineStr">
        <is>
          <t>BERG</t>
        </is>
      </c>
      <c r="F972" t="inlineStr">
        <is>
          <t>Holmen skog AB</t>
        </is>
      </c>
      <c r="G972" t="n">
        <v>3</v>
      </c>
      <c r="H972" t="n">
        <v>0</v>
      </c>
      <c r="I972" t="n">
        <v>0</v>
      </c>
      <c r="J972" t="n">
        <v>2</v>
      </c>
      <c r="K972" t="n">
        <v>0</v>
      </c>
      <c r="L972" t="n">
        <v>0</v>
      </c>
      <c r="M972" t="n">
        <v>0</v>
      </c>
      <c r="N972" t="n">
        <v>0</v>
      </c>
      <c r="O972" t="n">
        <v>2</v>
      </c>
      <c r="P972" t="n">
        <v>0</v>
      </c>
      <c r="Q972" t="n">
        <v>2</v>
      </c>
      <c r="R972" s="2" t="inlineStr">
        <is>
          <t>Garnlav
Vitgrynig nållav</t>
        </is>
      </c>
      <c r="S972">
        <f>HYPERLINK("https://klasma.github.io/Logging_2326/artfynd/A 10133-2023 artfynd.xlsx", "A 10133-2023")</f>
        <v/>
      </c>
      <c r="T972">
        <f>HYPERLINK("https://klasma.github.io/Logging_2326/kartor/A 10133-2023 karta.png", "A 10133-2023")</f>
        <v/>
      </c>
      <c r="V972">
        <f>HYPERLINK("https://klasma.github.io/Logging_2326/klagomål/A 10133-2023 FSC-klagomål.docx", "A 10133-2023")</f>
        <v/>
      </c>
      <c r="W972">
        <f>HYPERLINK("https://klasma.github.io/Logging_2326/klagomålsmail/A 10133-2023 FSC-klagomål mail.docx", "A 10133-2023")</f>
        <v/>
      </c>
      <c r="X972">
        <f>HYPERLINK("https://klasma.github.io/Logging_2326/tillsyn/A 10133-2023 tillsynsbegäran.docx", "A 10133-2023")</f>
        <v/>
      </c>
      <c r="Y972">
        <f>HYPERLINK("https://klasma.github.io/Logging_2326/tillsynsmail/A 10133-2023 tillsynsbegäran mail.docx", "A 10133-2023")</f>
        <v/>
      </c>
    </row>
    <row r="973" ht="15" customHeight="1">
      <c r="A973" t="inlineStr">
        <is>
          <t>A 10344-2023</t>
        </is>
      </c>
      <c r="B973" s="1" t="n">
        <v>44987</v>
      </c>
      <c r="C973" s="1" t="n">
        <v>45363</v>
      </c>
      <c r="D973" t="inlineStr">
        <is>
          <t>JÄMTLANDS LÄN</t>
        </is>
      </c>
      <c r="E973" t="inlineStr">
        <is>
          <t>HÄRJEDALEN</t>
        </is>
      </c>
      <c r="F973" t="inlineStr">
        <is>
          <t>Holmen skog AB</t>
        </is>
      </c>
      <c r="G973" t="n">
        <v>7.2</v>
      </c>
      <c r="H973" t="n">
        <v>0</v>
      </c>
      <c r="I973" t="n">
        <v>0</v>
      </c>
      <c r="J973" t="n">
        <v>2</v>
      </c>
      <c r="K973" t="n">
        <v>0</v>
      </c>
      <c r="L973" t="n">
        <v>0</v>
      </c>
      <c r="M973" t="n">
        <v>0</v>
      </c>
      <c r="N973" t="n">
        <v>0</v>
      </c>
      <c r="O973" t="n">
        <v>2</v>
      </c>
      <c r="P973" t="n">
        <v>0</v>
      </c>
      <c r="Q973" t="n">
        <v>2</v>
      </c>
      <c r="R973" s="2" t="inlineStr">
        <is>
          <t>Lunglav
Skrovellav</t>
        </is>
      </c>
      <c r="S973">
        <f>HYPERLINK("https://klasma.github.io/Logging_2361/artfynd/A 10344-2023 artfynd.xlsx", "A 10344-2023")</f>
        <v/>
      </c>
      <c r="T973">
        <f>HYPERLINK("https://klasma.github.io/Logging_2361/kartor/A 10344-2023 karta.png", "A 10344-2023")</f>
        <v/>
      </c>
      <c r="U973">
        <f>HYPERLINK("https://klasma.github.io/Logging_2361/knärot/A 10344-2023 karta knärot.png", "A 10344-2023")</f>
        <v/>
      </c>
      <c r="V973">
        <f>HYPERLINK("https://klasma.github.io/Logging_2361/klagomål/A 10344-2023 FSC-klagomål.docx", "A 10344-2023")</f>
        <v/>
      </c>
      <c r="W973">
        <f>HYPERLINK("https://klasma.github.io/Logging_2361/klagomålsmail/A 10344-2023 FSC-klagomål mail.docx", "A 10344-2023")</f>
        <v/>
      </c>
      <c r="X973">
        <f>HYPERLINK("https://klasma.github.io/Logging_2361/tillsyn/A 10344-2023 tillsynsbegäran.docx", "A 10344-2023")</f>
        <v/>
      </c>
      <c r="Y973">
        <f>HYPERLINK("https://klasma.github.io/Logging_2361/tillsynsmail/A 10344-2023 tillsynsbegäran mail.docx", "A 10344-2023")</f>
        <v/>
      </c>
    </row>
    <row r="974" ht="15" customHeight="1">
      <c r="A974" t="inlineStr">
        <is>
          <t>A 13189-2023</t>
        </is>
      </c>
      <c r="B974" s="1" t="n">
        <v>45002</v>
      </c>
      <c r="C974" s="1" t="n">
        <v>45363</v>
      </c>
      <c r="D974" t="inlineStr">
        <is>
          <t>JÄMTLANDS LÄN</t>
        </is>
      </c>
      <c r="E974" t="inlineStr">
        <is>
          <t>STRÖMSUND</t>
        </is>
      </c>
      <c r="G974" t="n">
        <v>14.9</v>
      </c>
      <c r="H974" t="n">
        <v>1</v>
      </c>
      <c r="I974" t="n">
        <v>1</v>
      </c>
      <c r="J974" t="n">
        <v>1</v>
      </c>
      <c r="K974" t="n">
        <v>0</v>
      </c>
      <c r="L974" t="n">
        <v>0</v>
      </c>
      <c r="M974" t="n">
        <v>0</v>
      </c>
      <c r="N974" t="n">
        <v>0</v>
      </c>
      <c r="O974" t="n">
        <v>1</v>
      </c>
      <c r="P974" t="n">
        <v>0</v>
      </c>
      <c r="Q974" t="n">
        <v>2</v>
      </c>
      <c r="R974" s="2" t="inlineStr">
        <is>
          <t>Lunglav
Guckusko</t>
        </is>
      </c>
      <c r="S974">
        <f>HYPERLINK("https://klasma.github.io/Logging_2313/artfynd/A 13189-2023 artfynd.xlsx", "A 13189-2023")</f>
        <v/>
      </c>
      <c r="T974">
        <f>HYPERLINK("https://klasma.github.io/Logging_2313/kartor/A 13189-2023 karta.png", "A 13189-2023")</f>
        <v/>
      </c>
      <c r="V974">
        <f>HYPERLINK("https://klasma.github.io/Logging_2313/klagomål/A 13189-2023 FSC-klagomål.docx", "A 13189-2023")</f>
        <v/>
      </c>
      <c r="W974">
        <f>HYPERLINK("https://klasma.github.io/Logging_2313/klagomålsmail/A 13189-2023 FSC-klagomål mail.docx", "A 13189-2023")</f>
        <v/>
      </c>
      <c r="X974">
        <f>HYPERLINK("https://klasma.github.io/Logging_2313/tillsyn/A 13189-2023 tillsynsbegäran.docx", "A 13189-2023")</f>
        <v/>
      </c>
      <c r="Y974">
        <f>HYPERLINK("https://klasma.github.io/Logging_2313/tillsynsmail/A 13189-2023 tillsynsbegäran mail.docx", "A 13189-2023")</f>
        <v/>
      </c>
    </row>
    <row r="975" ht="15" customHeight="1">
      <c r="A975" t="inlineStr">
        <is>
          <t>A 13486-2023</t>
        </is>
      </c>
      <c r="B975" s="1" t="n">
        <v>45005</v>
      </c>
      <c r="C975" s="1" t="n">
        <v>45363</v>
      </c>
      <c r="D975" t="inlineStr">
        <is>
          <t>JÄMTLANDS LÄN</t>
        </is>
      </c>
      <c r="E975" t="inlineStr">
        <is>
          <t>RAGUNDA</t>
        </is>
      </c>
      <c r="F975" t="inlineStr">
        <is>
          <t>SCA</t>
        </is>
      </c>
      <c r="G975" t="n">
        <v>4</v>
      </c>
      <c r="H975" t="n">
        <v>0</v>
      </c>
      <c r="I975" t="n">
        <v>0</v>
      </c>
      <c r="J975" t="n">
        <v>2</v>
      </c>
      <c r="K975" t="n">
        <v>0</v>
      </c>
      <c r="L975" t="n">
        <v>0</v>
      </c>
      <c r="M975" t="n">
        <v>0</v>
      </c>
      <c r="N975" t="n">
        <v>0</v>
      </c>
      <c r="O975" t="n">
        <v>2</v>
      </c>
      <c r="P975" t="n">
        <v>0</v>
      </c>
      <c r="Q975" t="n">
        <v>2</v>
      </c>
      <c r="R975" s="2" t="inlineStr">
        <is>
          <t>Dvärgbägarlav
Lunglav</t>
        </is>
      </c>
      <c r="S975">
        <f>HYPERLINK("https://klasma.github.io/Logging_2303/artfynd/A 13486-2023 artfynd.xlsx", "A 13486-2023")</f>
        <v/>
      </c>
      <c r="T975">
        <f>HYPERLINK("https://klasma.github.io/Logging_2303/kartor/A 13486-2023 karta.png", "A 13486-2023")</f>
        <v/>
      </c>
      <c r="V975">
        <f>HYPERLINK("https://klasma.github.io/Logging_2303/klagomål/A 13486-2023 FSC-klagomål.docx", "A 13486-2023")</f>
        <v/>
      </c>
      <c r="W975">
        <f>HYPERLINK("https://klasma.github.io/Logging_2303/klagomålsmail/A 13486-2023 FSC-klagomål mail.docx", "A 13486-2023")</f>
        <v/>
      </c>
      <c r="X975">
        <f>HYPERLINK("https://klasma.github.io/Logging_2303/tillsyn/A 13486-2023 tillsynsbegäran.docx", "A 13486-2023")</f>
        <v/>
      </c>
      <c r="Y975">
        <f>HYPERLINK("https://klasma.github.io/Logging_2303/tillsynsmail/A 13486-2023 tillsynsbegäran mail.docx", "A 13486-2023")</f>
        <v/>
      </c>
    </row>
    <row r="976" ht="15" customHeight="1">
      <c r="A976" t="inlineStr">
        <is>
          <t>A 13625-2023</t>
        </is>
      </c>
      <c r="B976" s="1" t="n">
        <v>45006</v>
      </c>
      <c r="C976" s="1" t="n">
        <v>45363</v>
      </c>
      <c r="D976" t="inlineStr">
        <is>
          <t>JÄMTLANDS LÄN</t>
        </is>
      </c>
      <c r="E976" t="inlineStr">
        <is>
          <t>ÅRE</t>
        </is>
      </c>
      <c r="G976" t="n">
        <v>22.9</v>
      </c>
      <c r="H976" t="n">
        <v>1</v>
      </c>
      <c r="I976" t="n">
        <v>0</v>
      </c>
      <c r="J976" t="n">
        <v>2</v>
      </c>
      <c r="K976" t="n">
        <v>0</v>
      </c>
      <c r="L976" t="n">
        <v>0</v>
      </c>
      <c r="M976" t="n">
        <v>0</v>
      </c>
      <c r="N976" t="n">
        <v>0</v>
      </c>
      <c r="O976" t="n">
        <v>2</v>
      </c>
      <c r="P976" t="n">
        <v>0</v>
      </c>
      <c r="Q976" t="n">
        <v>2</v>
      </c>
      <c r="R976" s="2" t="inlineStr">
        <is>
          <t>Tretåig hackspett
Vitskaftad svartspik</t>
        </is>
      </c>
      <c r="S976">
        <f>HYPERLINK("https://klasma.github.io/Logging_2321/artfynd/A 13625-2023 artfynd.xlsx", "A 13625-2023")</f>
        <v/>
      </c>
      <c r="T976">
        <f>HYPERLINK("https://klasma.github.io/Logging_2321/kartor/A 13625-2023 karta.png", "A 13625-2023")</f>
        <v/>
      </c>
      <c r="V976">
        <f>HYPERLINK("https://klasma.github.io/Logging_2321/klagomål/A 13625-2023 FSC-klagomål.docx", "A 13625-2023")</f>
        <v/>
      </c>
      <c r="W976">
        <f>HYPERLINK("https://klasma.github.io/Logging_2321/klagomålsmail/A 13625-2023 FSC-klagomål mail.docx", "A 13625-2023")</f>
        <v/>
      </c>
      <c r="X976">
        <f>HYPERLINK("https://klasma.github.io/Logging_2321/tillsyn/A 13625-2023 tillsynsbegäran.docx", "A 13625-2023")</f>
        <v/>
      </c>
      <c r="Y976">
        <f>HYPERLINK("https://klasma.github.io/Logging_2321/tillsynsmail/A 13625-2023 tillsynsbegäran mail.docx", "A 13625-2023")</f>
        <v/>
      </c>
      <c r="Z976">
        <f>HYPERLINK("https://klasma.github.io/Logging_2321/fåglar/A 13625-2023 prioriterade fågelarter.docx", "A 13625-2023")</f>
        <v/>
      </c>
    </row>
    <row r="977" ht="15" customHeight="1">
      <c r="A977" t="inlineStr">
        <is>
          <t>A 13899-2023</t>
        </is>
      </c>
      <c r="B977" s="1" t="n">
        <v>45008</v>
      </c>
      <c r="C977" s="1" t="n">
        <v>45363</v>
      </c>
      <c r="D977" t="inlineStr">
        <is>
          <t>JÄMTLANDS LÄN</t>
        </is>
      </c>
      <c r="E977" t="inlineStr">
        <is>
          <t>RAGUNDA</t>
        </is>
      </c>
      <c r="F977" t="inlineStr">
        <is>
          <t>SCA</t>
        </is>
      </c>
      <c r="G977" t="n">
        <v>3.6</v>
      </c>
      <c r="H977" t="n">
        <v>0</v>
      </c>
      <c r="I977" t="n">
        <v>1</v>
      </c>
      <c r="J977" t="n">
        <v>1</v>
      </c>
      <c r="K977" t="n">
        <v>0</v>
      </c>
      <c r="L977" t="n">
        <v>0</v>
      </c>
      <c r="M977" t="n">
        <v>0</v>
      </c>
      <c r="N977" t="n">
        <v>0</v>
      </c>
      <c r="O977" t="n">
        <v>1</v>
      </c>
      <c r="P977" t="n">
        <v>0</v>
      </c>
      <c r="Q977" t="n">
        <v>2</v>
      </c>
      <c r="R977" s="2" t="inlineStr">
        <is>
          <t>Garnlav
Källmossa</t>
        </is>
      </c>
      <c r="S977">
        <f>HYPERLINK("https://klasma.github.io/Logging_2303/artfynd/A 13899-2023 artfynd.xlsx", "A 13899-2023")</f>
        <v/>
      </c>
      <c r="T977">
        <f>HYPERLINK("https://klasma.github.io/Logging_2303/kartor/A 13899-2023 karta.png", "A 13899-2023")</f>
        <v/>
      </c>
      <c r="V977">
        <f>HYPERLINK("https://klasma.github.io/Logging_2303/klagomål/A 13899-2023 FSC-klagomål.docx", "A 13899-2023")</f>
        <v/>
      </c>
      <c r="W977">
        <f>HYPERLINK("https://klasma.github.io/Logging_2303/klagomålsmail/A 13899-2023 FSC-klagomål mail.docx", "A 13899-2023")</f>
        <v/>
      </c>
      <c r="X977">
        <f>HYPERLINK("https://klasma.github.io/Logging_2303/tillsyn/A 13899-2023 tillsynsbegäran.docx", "A 13899-2023")</f>
        <v/>
      </c>
      <c r="Y977">
        <f>HYPERLINK("https://klasma.github.io/Logging_2303/tillsynsmail/A 13899-2023 tillsynsbegäran mail.docx", "A 13899-2023")</f>
        <v/>
      </c>
    </row>
    <row r="978" ht="15" customHeight="1">
      <c r="A978" t="inlineStr">
        <is>
          <t>A 14075-2023</t>
        </is>
      </c>
      <c r="B978" s="1" t="n">
        <v>45009</v>
      </c>
      <c r="C978" s="1" t="n">
        <v>45363</v>
      </c>
      <c r="D978" t="inlineStr">
        <is>
          <t>JÄMTLANDS LÄN</t>
        </is>
      </c>
      <c r="E978" t="inlineStr">
        <is>
          <t>RAGUNDA</t>
        </is>
      </c>
      <c r="F978" t="inlineStr">
        <is>
          <t>SCA</t>
        </is>
      </c>
      <c r="G978" t="n">
        <v>9.5</v>
      </c>
      <c r="H978" t="n">
        <v>0</v>
      </c>
      <c r="I978" t="n">
        <v>0</v>
      </c>
      <c r="J978" t="n">
        <v>1</v>
      </c>
      <c r="K978" t="n">
        <v>1</v>
      </c>
      <c r="L978" t="n">
        <v>0</v>
      </c>
      <c r="M978" t="n">
        <v>0</v>
      </c>
      <c r="N978" t="n">
        <v>0</v>
      </c>
      <c r="O978" t="n">
        <v>2</v>
      </c>
      <c r="P978" t="n">
        <v>1</v>
      </c>
      <c r="Q978" t="n">
        <v>2</v>
      </c>
      <c r="R978" s="2" t="inlineStr">
        <is>
          <t>Gräddporing
Lunglav</t>
        </is>
      </c>
      <c r="S978">
        <f>HYPERLINK("https://klasma.github.io/Logging_2303/artfynd/A 14075-2023 artfynd.xlsx", "A 14075-2023")</f>
        <v/>
      </c>
      <c r="T978">
        <f>HYPERLINK("https://klasma.github.io/Logging_2303/kartor/A 14075-2023 karta.png", "A 14075-2023")</f>
        <v/>
      </c>
      <c r="V978">
        <f>HYPERLINK("https://klasma.github.io/Logging_2303/klagomål/A 14075-2023 FSC-klagomål.docx", "A 14075-2023")</f>
        <v/>
      </c>
      <c r="W978">
        <f>HYPERLINK("https://klasma.github.io/Logging_2303/klagomålsmail/A 14075-2023 FSC-klagomål mail.docx", "A 14075-2023")</f>
        <v/>
      </c>
      <c r="X978">
        <f>HYPERLINK("https://klasma.github.io/Logging_2303/tillsyn/A 14075-2023 tillsynsbegäran.docx", "A 14075-2023")</f>
        <v/>
      </c>
      <c r="Y978">
        <f>HYPERLINK("https://klasma.github.io/Logging_2303/tillsynsmail/A 14075-2023 tillsynsbegäran mail.docx", "A 14075-2023")</f>
        <v/>
      </c>
    </row>
    <row r="979" ht="15" customHeight="1">
      <c r="A979" t="inlineStr">
        <is>
          <t>A 16761-2023</t>
        </is>
      </c>
      <c r="B979" s="1" t="n">
        <v>45030</v>
      </c>
      <c r="C979" s="1" t="n">
        <v>45363</v>
      </c>
      <c r="D979" t="inlineStr">
        <is>
          <t>JÄMTLANDS LÄN</t>
        </is>
      </c>
      <c r="E979" t="inlineStr">
        <is>
          <t>STRÖMSUND</t>
        </is>
      </c>
      <c r="F979" t="inlineStr">
        <is>
          <t>SCA</t>
        </is>
      </c>
      <c r="G979" t="n">
        <v>41.3</v>
      </c>
      <c r="H979" t="n">
        <v>1</v>
      </c>
      <c r="I979" t="n">
        <v>1</v>
      </c>
      <c r="J979" t="n">
        <v>1</v>
      </c>
      <c r="K979" t="n">
        <v>0</v>
      </c>
      <c r="L979" t="n">
        <v>0</v>
      </c>
      <c r="M979" t="n">
        <v>0</v>
      </c>
      <c r="N979" t="n">
        <v>0</v>
      </c>
      <c r="O979" t="n">
        <v>1</v>
      </c>
      <c r="P979" t="n">
        <v>0</v>
      </c>
      <c r="Q979" t="n">
        <v>2</v>
      </c>
      <c r="R979" s="2" t="inlineStr">
        <is>
          <t>Brunklöver
Plattlummer</t>
        </is>
      </c>
      <c r="S979">
        <f>HYPERLINK("https://klasma.github.io/Logging_2313/artfynd/A 16761-2023 artfynd.xlsx", "A 16761-2023")</f>
        <v/>
      </c>
      <c r="T979">
        <f>HYPERLINK("https://klasma.github.io/Logging_2313/kartor/A 16761-2023 karta.png", "A 16761-2023")</f>
        <v/>
      </c>
      <c r="V979">
        <f>HYPERLINK("https://klasma.github.io/Logging_2313/klagomål/A 16761-2023 FSC-klagomål.docx", "A 16761-2023")</f>
        <v/>
      </c>
      <c r="W979">
        <f>HYPERLINK("https://klasma.github.io/Logging_2313/klagomålsmail/A 16761-2023 FSC-klagomål mail.docx", "A 16761-2023")</f>
        <v/>
      </c>
      <c r="X979">
        <f>HYPERLINK("https://klasma.github.io/Logging_2313/tillsyn/A 16761-2023 tillsynsbegäran.docx", "A 16761-2023")</f>
        <v/>
      </c>
      <c r="Y979">
        <f>HYPERLINK("https://klasma.github.io/Logging_2313/tillsynsmail/A 16761-2023 tillsynsbegäran mail.docx", "A 16761-2023")</f>
        <v/>
      </c>
    </row>
    <row r="980" ht="15" customHeight="1">
      <c r="A980" t="inlineStr">
        <is>
          <t>A 17956-2023</t>
        </is>
      </c>
      <c r="B980" s="1" t="n">
        <v>45037</v>
      </c>
      <c r="C980" s="1" t="n">
        <v>45363</v>
      </c>
      <c r="D980" t="inlineStr">
        <is>
          <t>JÄMTLANDS LÄN</t>
        </is>
      </c>
      <c r="E980" t="inlineStr">
        <is>
          <t>STRÖMSUND</t>
        </is>
      </c>
      <c r="G980" t="n">
        <v>5.1</v>
      </c>
      <c r="H980" t="n">
        <v>0</v>
      </c>
      <c r="I980" t="n">
        <v>1</v>
      </c>
      <c r="J980" t="n">
        <v>1</v>
      </c>
      <c r="K980" t="n">
        <v>0</v>
      </c>
      <c r="L980" t="n">
        <v>0</v>
      </c>
      <c r="M980" t="n">
        <v>0</v>
      </c>
      <c r="N980" t="n">
        <v>0</v>
      </c>
      <c r="O980" t="n">
        <v>1</v>
      </c>
      <c r="P980" t="n">
        <v>0</v>
      </c>
      <c r="Q980" t="n">
        <v>2</v>
      </c>
      <c r="R980" s="2" t="inlineStr">
        <is>
          <t>Koralltaggsvamp
Stuplav</t>
        </is>
      </c>
      <c r="S980">
        <f>HYPERLINK("https://klasma.github.io/Logging_2313/artfynd/A 17956-2023 artfynd.xlsx", "A 17956-2023")</f>
        <v/>
      </c>
      <c r="T980">
        <f>HYPERLINK("https://klasma.github.io/Logging_2313/kartor/A 17956-2023 karta.png", "A 17956-2023")</f>
        <v/>
      </c>
      <c r="V980">
        <f>HYPERLINK("https://klasma.github.io/Logging_2313/klagomål/A 17956-2023 FSC-klagomål.docx", "A 17956-2023")</f>
        <v/>
      </c>
      <c r="W980">
        <f>HYPERLINK("https://klasma.github.io/Logging_2313/klagomålsmail/A 17956-2023 FSC-klagomål mail.docx", "A 17956-2023")</f>
        <v/>
      </c>
      <c r="X980">
        <f>HYPERLINK("https://klasma.github.io/Logging_2313/tillsyn/A 17956-2023 tillsynsbegäran.docx", "A 17956-2023")</f>
        <v/>
      </c>
      <c r="Y980">
        <f>HYPERLINK("https://klasma.github.io/Logging_2313/tillsynsmail/A 17956-2023 tillsynsbegäran mail.docx", "A 17956-2023")</f>
        <v/>
      </c>
    </row>
    <row r="981" ht="15" customHeight="1">
      <c r="A981" t="inlineStr">
        <is>
          <t>A 18165-2023</t>
        </is>
      </c>
      <c r="B981" s="1" t="n">
        <v>45041</v>
      </c>
      <c r="C981" s="1" t="n">
        <v>45363</v>
      </c>
      <c r="D981" t="inlineStr">
        <is>
          <t>JÄMTLANDS LÄN</t>
        </is>
      </c>
      <c r="E981" t="inlineStr">
        <is>
          <t>BRÄCKE</t>
        </is>
      </c>
      <c r="F981" t="inlineStr">
        <is>
          <t>SCA</t>
        </is>
      </c>
      <c r="G981" t="n">
        <v>9.6</v>
      </c>
      <c r="H981" t="n">
        <v>1</v>
      </c>
      <c r="I981" t="n">
        <v>0</v>
      </c>
      <c r="J981" t="n">
        <v>2</v>
      </c>
      <c r="K981" t="n">
        <v>0</v>
      </c>
      <c r="L981" t="n">
        <v>0</v>
      </c>
      <c r="M981" t="n">
        <v>0</v>
      </c>
      <c r="N981" t="n">
        <v>0</v>
      </c>
      <c r="O981" t="n">
        <v>2</v>
      </c>
      <c r="P981" t="n">
        <v>0</v>
      </c>
      <c r="Q981" t="n">
        <v>2</v>
      </c>
      <c r="R981" s="2" t="inlineStr">
        <is>
          <t>Garnlav
Spillkråka</t>
        </is>
      </c>
      <c r="S981">
        <f>HYPERLINK("https://klasma.github.io/Logging_2305/artfynd/A 18165-2023 artfynd.xlsx", "A 18165-2023")</f>
        <v/>
      </c>
      <c r="T981">
        <f>HYPERLINK("https://klasma.github.io/Logging_2305/kartor/A 18165-2023 karta.png", "A 18165-2023")</f>
        <v/>
      </c>
      <c r="V981">
        <f>HYPERLINK("https://klasma.github.io/Logging_2305/klagomål/A 18165-2023 FSC-klagomål.docx", "A 18165-2023")</f>
        <v/>
      </c>
      <c r="W981">
        <f>HYPERLINK("https://klasma.github.io/Logging_2305/klagomålsmail/A 18165-2023 FSC-klagomål mail.docx", "A 18165-2023")</f>
        <v/>
      </c>
      <c r="X981">
        <f>HYPERLINK("https://klasma.github.io/Logging_2305/tillsyn/A 18165-2023 tillsynsbegäran.docx", "A 18165-2023")</f>
        <v/>
      </c>
      <c r="Y981">
        <f>HYPERLINK("https://klasma.github.io/Logging_2305/tillsynsmail/A 18165-2023 tillsynsbegäran mail.docx", "A 18165-2023")</f>
        <v/>
      </c>
      <c r="Z981">
        <f>HYPERLINK("https://klasma.github.io/Logging_2305/fåglar/A 18165-2023 prioriterade fågelarter.docx", "A 18165-2023")</f>
        <v/>
      </c>
    </row>
    <row r="982" ht="15" customHeight="1">
      <c r="A982" t="inlineStr">
        <is>
          <t>A 18987-2023</t>
        </is>
      </c>
      <c r="B982" s="1" t="n">
        <v>45044</v>
      </c>
      <c r="C982" s="1" t="n">
        <v>45363</v>
      </c>
      <c r="D982" t="inlineStr">
        <is>
          <t>JÄMTLANDS LÄN</t>
        </is>
      </c>
      <c r="E982" t="inlineStr">
        <is>
          <t>STRÖMSUND</t>
        </is>
      </c>
      <c r="F982" t="inlineStr">
        <is>
          <t>SCA</t>
        </is>
      </c>
      <c r="G982" t="n">
        <v>4.4</v>
      </c>
      <c r="H982" t="n">
        <v>0</v>
      </c>
      <c r="I982" t="n">
        <v>1</v>
      </c>
      <c r="J982" t="n">
        <v>1</v>
      </c>
      <c r="K982" t="n">
        <v>0</v>
      </c>
      <c r="L982" t="n">
        <v>0</v>
      </c>
      <c r="M982" t="n">
        <v>0</v>
      </c>
      <c r="N982" t="n">
        <v>0</v>
      </c>
      <c r="O982" t="n">
        <v>1</v>
      </c>
      <c r="P982" t="n">
        <v>0</v>
      </c>
      <c r="Q982" t="n">
        <v>2</v>
      </c>
      <c r="R982" s="2" t="inlineStr">
        <is>
          <t>Skrovellav
Mörk husmossa</t>
        </is>
      </c>
      <c r="S982">
        <f>HYPERLINK("https://klasma.github.io/Logging_2313/artfynd/A 18987-2023 artfynd.xlsx", "A 18987-2023")</f>
        <v/>
      </c>
      <c r="T982">
        <f>HYPERLINK("https://klasma.github.io/Logging_2313/kartor/A 18987-2023 karta.png", "A 18987-2023")</f>
        <v/>
      </c>
      <c r="V982">
        <f>HYPERLINK("https://klasma.github.io/Logging_2313/klagomål/A 18987-2023 FSC-klagomål.docx", "A 18987-2023")</f>
        <v/>
      </c>
      <c r="W982">
        <f>HYPERLINK("https://klasma.github.io/Logging_2313/klagomålsmail/A 18987-2023 FSC-klagomål mail.docx", "A 18987-2023")</f>
        <v/>
      </c>
      <c r="X982">
        <f>HYPERLINK("https://klasma.github.io/Logging_2313/tillsyn/A 18987-2023 tillsynsbegäran.docx", "A 18987-2023")</f>
        <v/>
      </c>
      <c r="Y982">
        <f>HYPERLINK("https://klasma.github.io/Logging_2313/tillsynsmail/A 18987-2023 tillsynsbegäran mail.docx", "A 18987-2023")</f>
        <v/>
      </c>
    </row>
    <row r="983" ht="15" customHeight="1">
      <c r="A983" t="inlineStr">
        <is>
          <t>A 19147-2023</t>
        </is>
      </c>
      <c r="B983" s="1" t="n">
        <v>45044</v>
      </c>
      <c r="C983" s="1" t="n">
        <v>45363</v>
      </c>
      <c r="D983" t="inlineStr">
        <is>
          <t>JÄMTLANDS LÄN</t>
        </is>
      </c>
      <c r="E983" t="inlineStr">
        <is>
          <t>ÖSTERSUND</t>
        </is>
      </c>
      <c r="G983" t="n">
        <v>5</v>
      </c>
      <c r="H983" t="n">
        <v>1</v>
      </c>
      <c r="I983" t="n">
        <v>0</v>
      </c>
      <c r="J983" t="n">
        <v>1</v>
      </c>
      <c r="K983" t="n">
        <v>0</v>
      </c>
      <c r="L983" t="n">
        <v>1</v>
      </c>
      <c r="M983" t="n">
        <v>0</v>
      </c>
      <c r="N983" t="n">
        <v>0</v>
      </c>
      <c r="O983" t="n">
        <v>2</v>
      </c>
      <c r="P983" t="n">
        <v>1</v>
      </c>
      <c r="Q983" t="n">
        <v>2</v>
      </c>
      <c r="R983" s="2" t="inlineStr">
        <is>
          <t>Bredgentiana
Scharlakansvaxskivling</t>
        </is>
      </c>
      <c r="S983">
        <f>HYPERLINK("https://klasma.github.io/Logging_2380/artfynd/A 19147-2023 artfynd.xlsx", "A 19147-2023")</f>
        <v/>
      </c>
      <c r="T983">
        <f>HYPERLINK("https://klasma.github.io/Logging_2380/kartor/A 19147-2023 karta.png", "A 19147-2023")</f>
        <v/>
      </c>
      <c r="V983">
        <f>HYPERLINK("https://klasma.github.io/Logging_2380/klagomål/A 19147-2023 FSC-klagomål.docx", "A 19147-2023")</f>
        <v/>
      </c>
      <c r="W983">
        <f>HYPERLINK("https://klasma.github.io/Logging_2380/klagomålsmail/A 19147-2023 FSC-klagomål mail.docx", "A 19147-2023")</f>
        <v/>
      </c>
      <c r="X983">
        <f>HYPERLINK("https://klasma.github.io/Logging_2380/tillsyn/A 19147-2023 tillsynsbegäran.docx", "A 19147-2023")</f>
        <v/>
      </c>
      <c r="Y983">
        <f>HYPERLINK("https://klasma.github.io/Logging_2380/tillsynsmail/A 19147-2023 tillsynsbegäran mail.docx", "A 19147-2023")</f>
        <v/>
      </c>
    </row>
    <row r="984" ht="15" customHeight="1">
      <c r="A984" t="inlineStr">
        <is>
          <t>A 19437-2023</t>
        </is>
      </c>
      <c r="B984" s="1" t="n">
        <v>45049</v>
      </c>
      <c r="C984" s="1" t="n">
        <v>45363</v>
      </c>
      <c r="D984" t="inlineStr">
        <is>
          <t>JÄMTLANDS LÄN</t>
        </is>
      </c>
      <c r="E984" t="inlineStr">
        <is>
          <t>BRÄCKE</t>
        </is>
      </c>
      <c r="G984" t="n">
        <v>1.5</v>
      </c>
      <c r="H984" t="n">
        <v>0</v>
      </c>
      <c r="I984" t="n">
        <v>2</v>
      </c>
      <c r="J984" t="n">
        <v>0</v>
      </c>
      <c r="K984" t="n">
        <v>0</v>
      </c>
      <c r="L984" t="n">
        <v>0</v>
      </c>
      <c r="M984" t="n">
        <v>0</v>
      </c>
      <c r="N984" t="n">
        <v>0</v>
      </c>
      <c r="O984" t="n">
        <v>0</v>
      </c>
      <c r="P984" t="n">
        <v>0</v>
      </c>
      <c r="Q984" t="n">
        <v>2</v>
      </c>
      <c r="R984" s="2" t="inlineStr">
        <is>
          <t>Stuplav
Svart trolldruva</t>
        </is>
      </c>
      <c r="S984">
        <f>HYPERLINK("https://klasma.github.io/Logging_2305/artfynd/A 19437-2023 artfynd.xlsx", "A 19437-2023")</f>
        <v/>
      </c>
      <c r="T984">
        <f>HYPERLINK("https://klasma.github.io/Logging_2305/kartor/A 19437-2023 karta.png", "A 19437-2023")</f>
        <v/>
      </c>
      <c r="U984">
        <f>HYPERLINK("https://klasma.github.io/Logging_2305/knärot/A 19437-2023 karta knärot.png", "A 19437-2023")</f>
        <v/>
      </c>
      <c r="V984">
        <f>HYPERLINK("https://klasma.github.io/Logging_2305/klagomål/A 19437-2023 FSC-klagomål.docx", "A 19437-2023")</f>
        <v/>
      </c>
      <c r="W984">
        <f>HYPERLINK("https://klasma.github.io/Logging_2305/klagomålsmail/A 19437-2023 FSC-klagomål mail.docx", "A 19437-2023")</f>
        <v/>
      </c>
      <c r="X984">
        <f>HYPERLINK("https://klasma.github.io/Logging_2305/tillsyn/A 19437-2023 tillsynsbegäran.docx", "A 19437-2023")</f>
        <v/>
      </c>
      <c r="Y984">
        <f>HYPERLINK("https://klasma.github.io/Logging_2305/tillsynsmail/A 19437-2023 tillsynsbegäran mail.docx", "A 19437-2023")</f>
        <v/>
      </c>
    </row>
    <row r="985" ht="15" customHeight="1">
      <c r="A985" t="inlineStr">
        <is>
          <t>A 19699-2023</t>
        </is>
      </c>
      <c r="B985" s="1" t="n">
        <v>45051</v>
      </c>
      <c r="C985" s="1" t="n">
        <v>45363</v>
      </c>
      <c r="D985" t="inlineStr">
        <is>
          <t>JÄMTLANDS LÄN</t>
        </is>
      </c>
      <c r="E985" t="inlineStr">
        <is>
          <t>ÅRE</t>
        </is>
      </c>
      <c r="G985" t="n">
        <v>0.7</v>
      </c>
      <c r="H985" t="n">
        <v>2</v>
      </c>
      <c r="I985" t="n">
        <v>1</v>
      </c>
      <c r="J985" t="n">
        <v>0</v>
      </c>
      <c r="K985" t="n">
        <v>0</v>
      </c>
      <c r="L985" t="n">
        <v>0</v>
      </c>
      <c r="M985" t="n">
        <v>0</v>
      </c>
      <c r="N985" t="n">
        <v>0</v>
      </c>
      <c r="O985" t="n">
        <v>0</v>
      </c>
      <c r="P985" t="n">
        <v>0</v>
      </c>
      <c r="Q985" t="n">
        <v>2</v>
      </c>
      <c r="R985" s="2" t="inlineStr">
        <is>
          <t>Tvåblad
Revlummer</t>
        </is>
      </c>
      <c r="S985">
        <f>HYPERLINK("https://klasma.github.io/Logging_2321/artfynd/A 19699-2023 artfynd.xlsx", "A 19699-2023")</f>
        <v/>
      </c>
      <c r="T985">
        <f>HYPERLINK("https://klasma.github.io/Logging_2321/kartor/A 19699-2023 karta.png", "A 19699-2023")</f>
        <v/>
      </c>
      <c r="V985">
        <f>HYPERLINK("https://klasma.github.io/Logging_2321/klagomål/A 19699-2023 FSC-klagomål.docx", "A 19699-2023")</f>
        <v/>
      </c>
      <c r="W985">
        <f>HYPERLINK("https://klasma.github.io/Logging_2321/klagomålsmail/A 19699-2023 FSC-klagomål mail.docx", "A 19699-2023")</f>
        <v/>
      </c>
      <c r="X985">
        <f>HYPERLINK("https://klasma.github.io/Logging_2321/tillsyn/A 19699-2023 tillsynsbegäran.docx", "A 19699-2023")</f>
        <v/>
      </c>
      <c r="Y985">
        <f>HYPERLINK("https://klasma.github.io/Logging_2321/tillsynsmail/A 19699-2023 tillsynsbegäran mail.docx", "A 19699-2023")</f>
        <v/>
      </c>
    </row>
    <row r="986" ht="15" customHeight="1">
      <c r="A986" t="inlineStr">
        <is>
          <t>A 19818-2023</t>
        </is>
      </c>
      <c r="B986" s="1" t="n">
        <v>45051</v>
      </c>
      <c r="C986" s="1" t="n">
        <v>45363</v>
      </c>
      <c r="D986" t="inlineStr">
        <is>
          <t>JÄMTLANDS LÄN</t>
        </is>
      </c>
      <c r="E986" t="inlineStr">
        <is>
          <t>BRÄCKE</t>
        </is>
      </c>
      <c r="F986" t="inlineStr">
        <is>
          <t>SCA</t>
        </is>
      </c>
      <c r="G986" t="n">
        <v>2.8</v>
      </c>
      <c r="H986" t="n">
        <v>0</v>
      </c>
      <c r="I986" t="n">
        <v>0</v>
      </c>
      <c r="J986" t="n">
        <v>2</v>
      </c>
      <c r="K986" t="n">
        <v>0</v>
      </c>
      <c r="L986" t="n">
        <v>0</v>
      </c>
      <c r="M986" t="n">
        <v>0</v>
      </c>
      <c r="N986" t="n">
        <v>0</v>
      </c>
      <c r="O986" t="n">
        <v>2</v>
      </c>
      <c r="P986" t="n">
        <v>0</v>
      </c>
      <c r="Q986" t="n">
        <v>2</v>
      </c>
      <c r="R986" s="2" t="inlineStr">
        <is>
          <t>Lunglav
Stiftgelélav</t>
        </is>
      </c>
      <c r="S986">
        <f>HYPERLINK("https://klasma.github.io/Logging_2305/artfynd/A 19818-2023 artfynd.xlsx", "A 19818-2023")</f>
        <v/>
      </c>
      <c r="T986">
        <f>HYPERLINK("https://klasma.github.io/Logging_2305/kartor/A 19818-2023 karta.png", "A 19818-2023")</f>
        <v/>
      </c>
      <c r="V986">
        <f>HYPERLINK("https://klasma.github.io/Logging_2305/klagomål/A 19818-2023 FSC-klagomål.docx", "A 19818-2023")</f>
        <v/>
      </c>
      <c r="W986">
        <f>HYPERLINK("https://klasma.github.io/Logging_2305/klagomålsmail/A 19818-2023 FSC-klagomål mail.docx", "A 19818-2023")</f>
        <v/>
      </c>
      <c r="X986">
        <f>HYPERLINK("https://klasma.github.io/Logging_2305/tillsyn/A 19818-2023 tillsynsbegäran.docx", "A 19818-2023")</f>
        <v/>
      </c>
      <c r="Y986">
        <f>HYPERLINK("https://klasma.github.io/Logging_2305/tillsynsmail/A 19818-2023 tillsynsbegäran mail.docx", "A 19818-2023")</f>
        <v/>
      </c>
    </row>
    <row r="987" ht="15" customHeight="1">
      <c r="A987" t="inlineStr">
        <is>
          <t>A 22732-2023</t>
        </is>
      </c>
      <c r="B987" s="1" t="n">
        <v>45071</v>
      </c>
      <c r="C987" s="1" t="n">
        <v>45363</v>
      </c>
      <c r="D987" t="inlineStr">
        <is>
          <t>JÄMTLANDS LÄN</t>
        </is>
      </c>
      <c r="E987" t="inlineStr">
        <is>
          <t>RAGUNDA</t>
        </is>
      </c>
      <c r="G987" t="n">
        <v>3.8</v>
      </c>
      <c r="H987" t="n">
        <v>0</v>
      </c>
      <c r="I987" t="n">
        <v>1</v>
      </c>
      <c r="J987" t="n">
        <v>1</v>
      </c>
      <c r="K987" t="n">
        <v>0</v>
      </c>
      <c r="L987" t="n">
        <v>0</v>
      </c>
      <c r="M987" t="n">
        <v>0</v>
      </c>
      <c r="N987" t="n">
        <v>0</v>
      </c>
      <c r="O987" t="n">
        <v>1</v>
      </c>
      <c r="P987" t="n">
        <v>0</v>
      </c>
      <c r="Q987" t="n">
        <v>2</v>
      </c>
      <c r="R987" s="2" t="inlineStr">
        <is>
          <t>Lunglav
Stuplav</t>
        </is>
      </c>
      <c r="S987">
        <f>HYPERLINK("https://klasma.github.io/Logging_2303/artfynd/A 22732-2023 artfynd.xlsx", "A 22732-2023")</f>
        <v/>
      </c>
      <c r="T987">
        <f>HYPERLINK("https://klasma.github.io/Logging_2303/kartor/A 22732-2023 karta.png", "A 22732-2023")</f>
        <v/>
      </c>
      <c r="V987">
        <f>HYPERLINK("https://klasma.github.io/Logging_2303/klagomål/A 22732-2023 FSC-klagomål.docx", "A 22732-2023")</f>
        <v/>
      </c>
      <c r="W987">
        <f>HYPERLINK("https://klasma.github.io/Logging_2303/klagomålsmail/A 22732-2023 FSC-klagomål mail.docx", "A 22732-2023")</f>
        <v/>
      </c>
      <c r="X987">
        <f>HYPERLINK("https://klasma.github.io/Logging_2303/tillsyn/A 22732-2023 tillsynsbegäran.docx", "A 22732-2023")</f>
        <v/>
      </c>
      <c r="Y987">
        <f>HYPERLINK("https://klasma.github.io/Logging_2303/tillsynsmail/A 22732-2023 tillsynsbegäran mail.docx", "A 22732-2023")</f>
        <v/>
      </c>
    </row>
    <row r="988" ht="15" customHeight="1">
      <c r="A988" t="inlineStr">
        <is>
          <t>A 22989-2023</t>
        </is>
      </c>
      <c r="B988" s="1" t="n">
        <v>45072</v>
      </c>
      <c r="C988" s="1" t="n">
        <v>45363</v>
      </c>
      <c r="D988" t="inlineStr">
        <is>
          <t>JÄMTLANDS LÄN</t>
        </is>
      </c>
      <c r="E988" t="inlineStr">
        <is>
          <t>BRÄCKE</t>
        </is>
      </c>
      <c r="F988" t="inlineStr">
        <is>
          <t>SCA</t>
        </is>
      </c>
      <c r="G988" t="n">
        <v>9.800000000000001</v>
      </c>
      <c r="H988" t="n">
        <v>0</v>
      </c>
      <c r="I988" t="n">
        <v>1</v>
      </c>
      <c r="J988" t="n">
        <v>1</v>
      </c>
      <c r="K988" t="n">
        <v>0</v>
      </c>
      <c r="L988" t="n">
        <v>0</v>
      </c>
      <c r="M988" t="n">
        <v>0</v>
      </c>
      <c r="N988" t="n">
        <v>0</v>
      </c>
      <c r="O988" t="n">
        <v>1</v>
      </c>
      <c r="P988" t="n">
        <v>0</v>
      </c>
      <c r="Q988" t="n">
        <v>2</v>
      </c>
      <c r="R988" s="2" t="inlineStr">
        <is>
          <t>Lunglav
Stuplav</t>
        </is>
      </c>
      <c r="S988">
        <f>HYPERLINK("https://klasma.github.io/Logging_2305/artfynd/A 22989-2023 artfynd.xlsx", "A 22989-2023")</f>
        <v/>
      </c>
      <c r="T988">
        <f>HYPERLINK("https://klasma.github.io/Logging_2305/kartor/A 22989-2023 karta.png", "A 22989-2023")</f>
        <v/>
      </c>
      <c r="V988">
        <f>HYPERLINK("https://klasma.github.io/Logging_2305/klagomål/A 22989-2023 FSC-klagomål.docx", "A 22989-2023")</f>
        <v/>
      </c>
      <c r="W988">
        <f>HYPERLINK("https://klasma.github.io/Logging_2305/klagomålsmail/A 22989-2023 FSC-klagomål mail.docx", "A 22989-2023")</f>
        <v/>
      </c>
      <c r="X988">
        <f>HYPERLINK("https://klasma.github.io/Logging_2305/tillsyn/A 22989-2023 tillsynsbegäran.docx", "A 22989-2023")</f>
        <v/>
      </c>
      <c r="Y988">
        <f>HYPERLINK("https://klasma.github.io/Logging_2305/tillsynsmail/A 22989-2023 tillsynsbegäran mail.docx", "A 22989-2023")</f>
        <v/>
      </c>
    </row>
    <row r="989" ht="15" customHeight="1">
      <c r="A989" t="inlineStr">
        <is>
          <t>A 23706-2023</t>
        </is>
      </c>
      <c r="B989" s="1" t="n">
        <v>45072</v>
      </c>
      <c r="C989" s="1" t="n">
        <v>45363</v>
      </c>
      <c r="D989" t="inlineStr">
        <is>
          <t>JÄMTLANDS LÄN</t>
        </is>
      </c>
      <c r="E989" t="inlineStr">
        <is>
          <t>ÅRE</t>
        </is>
      </c>
      <c r="G989" t="n">
        <v>8.1</v>
      </c>
      <c r="H989" t="n">
        <v>1</v>
      </c>
      <c r="I989" t="n">
        <v>0</v>
      </c>
      <c r="J989" t="n">
        <v>2</v>
      </c>
      <c r="K989" t="n">
        <v>0</v>
      </c>
      <c r="L989" t="n">
        <v>0</v>
      </c>
      <c r="M989" t="n">
        <v>0</v>
      </c>
      <c r="N989" t="n">
        <v>0</v>
      </c>
      <c r="O989" t="n">
        <v>2</v>
      </c>
      <c r="P989" t="n">
        <v>0</v>
      </c>
      <c r="Q989" t="n">
        <v>2</v>
      </c>
      <c r="R989" s="2" t="inlineStr">
        <is>
          <t>Granticka
Tretåig hackspett</t>
        </is>
      </c>
      <c r="S989">
        <f>HYPERLINK("https://klasma.github.io/Logging_2321/artfynd/A 23706-2023 artfynd.xlsx", "A 23706-2023")</f>
        <v/>
      </c>
      <c r="T989">
        <f>HYPERLINK("https://klasma.github.io/Logging_2321/kartor/A 23706-2023 karta.png", "A 23706-2023")</f>
        <v/>
      </c>
      <c r="V989">
        <f>HYPERLINK("https://klasma.github.io/Logging_2321/klagomål/A 23706-2023 FSC-klagomål.docx", "A 23706-2023")</f>
        <v/>
      </c>
      <c r="W989">
        <f>HYPERLINK("https://klasma.github.io/Logging_2321/klagomålsmail/A 23706-2023 FSC-klagomål mail.docx", "A 23706-2023")</f>
        <v/>
      </c>
      <c r="X989">
        <f>HYPERLINK("https://klasma.github.io/Logging_2321/tillsyn/A 23706-2023 tillsynsbegäran.docx", "A 23706-2023")</f>
        <v/>
      </c>
      <c r="Y989">
        <f>HYPERLINK("https://klasma.github.io/Logging_2321/tillsynsmail/A 23706-2023 tillsynsbegäran mail.docx", "A 23706-2023")</f>
        <v/>
      </c>
      <c r="Z989">
        <f>HYPERLINK("https://klasma.github.io/Logging_2321/fåglar/A 23706-2023 prioriterade fågelarter.docx", "A 23706-2023")</f>
        <v/>
      </c>
    </row>
    <row r="990" ht="15" customHeight="1">
      <c r="A990" t="inlineStr">
        <is>
          <t>A 23776-2023</t>
        </is>
      </c>
      <c r="B990" s="1" t="n">
        <v>45077</v>
      </c>
      <c r="C990" s="1" t="n">
        <v>45363</v>
      </c>
      <c r="D990" t="inlineStr">
        <is>
          <t>JÄMTLANDS LÄN</t>
        </is>
      </c>
      <c r="E990" t="inlineStr">
        <is>
          <t>STRÖMSUND</t>
        </is>
      </c>
      <c r="F990" t="inlineStr">
        <is>
          <t>SCA</t>
        </is>
      </c>
      <c r="G990" t="n">
        <v>10.6</v>
      </c>
      <c r="H990" t="n">
        <v>0</v>
      </c>
      <c r="I990" t="n">
        <v>1</v>
      </c>
      <c r="J990" t="n">
        <v>1</v>
      </c>
      <c r="K990" t="n">
        <v>0</v>
      </c>
      <c r="L990" t="n">
        <v>0</v>
      </c>
      <c r="M990" t="n">
        <v>0</v>
      </c>
      <c r="N990" t="n">
        <v>0</v>
      </c>
      <c r="O990" t="n">
        <v>1</v>
      </c>
      <c r="P990" t="n">
        <v>0</v>
      </c>
      <c r="Q990" t="n">
        <v>2</v>
      </c>
      <c r="R990" s="2" t="inlineStr">
        <is>
          <t>Lunglav
Stor aspticka</t>
        </is>
      </c>
      <c r="S990">
        <f>HYPERLINK("https://klasma.github.io/Logging_2313/artfynd/A 23776-2023 artfynd.xlsx", "A 23776-2023")</f>
        <v/>
      </c>
      <c r="T990">
        <f>HYPERLINK("https://klasma.github.io/Logging_2313/kartor/A 23776-2023 karta.png", "A 23776-2023")</f>
        <v/>
      </c>
      <c r="V990">
        <f>HYPERLINK("https://klasma.github.io/Logging_2313/klagomål/A 23776-2023 FSC-klagomål.docx", "A 23776-2023")</f>
        <v/>
      </c>
      <c r="W990">
        <f>HYPERLINK("https://klasma.github.io/Logging_2313/klagomålsmail/A 23776-2023 FSC-klagomål mail.docx", "A 23776-2023")</f>
        <v/>
      </c>
      <c r="X990">
        <f>HYPERLINK("https://klasma.github.io/Logging_2313/tillsyn/A 23776-2023 tillsynsbegäran.docx", "A 23776-2023")</f>
        <v/>
      </c>
      <c r="Y990">
        <f>HYPERLINK("https://klasma.github.io/Logging_2313/tillsynsmail/A 23776-2023 tillsynsbegäran mail.docx", "A 23776-2023")</f>
        <v/>
      </c>
    </row>
    <row r="991" ht="15" customHeight="1">
      <c r="A991" t="inlineStr">
        <is>
          <t>A 25327-2023</t>
        </is>
      </c>
      <c r="B991" s="1" t="n">
        <v>45086</v>
      </c>
      <c r="C991" s="1" t="n">
        <v>45363</v>
      </c>
      <c r="D991" t="inlineStr">
        <is>
          <t>JÄMTLANDS LÄN</t>
        </is>
      </c>
      <c r="E991" t="inlineStr">
        <is>
          <t>STRÖMSUND</t>
        </is>
      </c>
      <c r="F991" t="inlineStr">
        <is>
          <t>SCA</t>
        </is>
      </c>
      <c r="G991" t="n">
        <v>4.2</v>
      </c>
      <c r="H991" t="n">
        <v>0</v>
      </c>
      <c r="I991" t="n">
        <v>0</v>
      </c>
      <c r="J991" t="n">
        <v>2</v>
      </c>
      <c r="K991" t="n">
        <v>0</v>
      </c>
      <c r="L991" t="n">
        <v>0</v>
      </c>
      <c r="M991" t="n">
        <v>0</v>
      </c>
      <c r="N991" t="n">
        <v>0</v>
      </c>
      <c r="O991" t="n">
        <v>2</v>
      </c>
      <c r="P991" t="n">
        <v>0</v>
      </c>
      <c r="Q991" t="n">
        <v>2</v>
      </c>
      <c r="R991" s="2" t="inlineStr">
        <is>
          <t>Lunglav
Skrovellav</t>
        </is>
      </c>
      <c r="S991">
        <f>HYPERLINK("https://klasma.github.io/Logging_2313/artfynd/A 25327-2023 artfynd.xlsx", "A 25327-2023")</f>
        <v/>
      </c>
      <c r="T991">
        <f>HYPERLINK("https://klasma.github.io/Logging_2313/kartor/A 25327-2023 karta.png", "A 25327-2023")</f>
        <v/>
      </c>
      <c r="V991">
        <f>HYPERLINK("https://klasma.github.io/Logging_2313/klagomål/A 25327-2023 FSC-klagomål.docx", "A 25327-2023")</f>
        <v/>
      </c>
      <c r="W991">
        <f>HYPERLINK("https://klasma.github.io/Logging_2313/klagomålsmail/A 25327-2023 FSC-klagomål mail.docx", "A 25327-2023")</f>
        <v/>
      </c>
      <c r="X991">
        <f>HYPERLINK("https://klasma.github.io/Logging_2313/tillsyn/A 25327-2023 tillsynsbegäran.docx", "A 25327-2023")</f>
        <v/>
      </c>
      <c r="Y991">
        <f>HYPERLINK("https://klasma.github.io/Logging_2313/tillsynsmail/A 25327-2023 tillsynsbegäran mail.docx", "A 25327-2023")</f>
        <v/>
      </c>
    </row>
    <row r="992" ht="15" customHeight="1">
      <c r="A992" t="inlineStr">
        <is>
          <t>A 25742-2023</t>
        </is>
      </c>
      <c r="B992" s="1" t="n">
        <v>45090</v>
      </c>
      <c r="C992" s="1" t="n">
        <v>45363</v>
      </c>
      <c r="D992" t="inlineStr">
        <is>
          <t>JÄMTLANDS LÄN</t>
        </is>
      </c>
      <c r="E992" t="inlineStr">
        <is>
          <t>HÄRJEDALEN</t>
        </is>
      </c>
      <c r="F992" t="inlineStr">
        <is>
          <t>Bergvik skog väst AB</t>
        </is>
      </c>
      <c r="G992" t="n">
        <v>55</v>
      </c>
      <c r="H992" t="n">
        <v>0</v>
      </c>
      <c r="I992" t="n">
        <v>0</v>
      </c>
      <c r="J992" t="n">
        <v>2</v>
      </c>
      <c r="K992" t="n">
        <v>0</v>
      </c>
      <c r="L992" t="n">
        <v>0</v>
      </c>
      <c r="M992" t="n">
        <v>0</v>
      </c>
      <c r="N992" t="n">
        <v>0</v>
      </c>
      <c r="O992" t="n">
        <v>2</v>
      </c>
      <c r="P992" t="n">
        <v>0</v>
      </c>
      <c r="Q992" t="n">
        <v>2</v>
      </c>
      <c r="R992" s="2" t="inlineStr">
        <is>
          <t>Dvärgbägarlav
Mörk kolflarnlav</t>
        </is>
      </c>
      <c r="S992">
        <f>HYPERLINK("https://klasma.github.io/Logging_2361/artfynd/A 25742-2023 artfynd.xlsx", "A 25742-2023")</f>
        <v/>
      </c>
      <c r="T992">
        <f>HYPERLINK("https://klasma.github.io/Logging_2361/kartor/A 25742-2023 karta.png", "A 25742-2023")</f>
        <v/>
      </c>
      <c r="V992">
        <f>HYPERLINK("https://klasma.github.io/Logging_2361/klagomål/A 25742-2023 FSC-klagomål.docx", "A 25742-2023")</f>
        <v/>
      </c>
      <c r="W992">
        <f>HYPERLINK("https://klasma.github.io/Logging_2361/klagomålsmail/A 25742-2023 FSC-klagomål mail.docx", "A 25742-2023")</f>
        <v/>
      </c>
      <c r="X992">
        <f>HYPERLINK("https://klasma.github.io/Logging_2361/tillsyn/A 25742-2023 tillsynsbegäran.docx", "A 25742-2023")</f>
        <v/>
      </c>
      <c r="Y992">
        <f>HYPERLINK("https://klasma.github.io/Logging_2361/tillsynsmail/A 25742-2023 tillsynsbegäran mail.docx", "A 25742-2023")</f>
        <v/>
      </c>
    </row>
    <row r="993" ht="15" customHeight="1">
      <c r="A993" t="inlineStr">
        <is>
          <t>A 26098-2023</t>
        </is>
      </c>
      <c r="B993" s="1" t="n">
        <v>45091</v>
      </c>
      <c r="C993" s="1" t="n">
        <v>45363</v>
      </c>
      <c r="D993" t="inlineStr">
        <is>
          <t>JÄMTLANDS LÄN</t>
        </is>
      </c>
      <c r="E993" t="inlineStr">
        <is>
          <t>ÅRE</t>
        </is>
      </c>
      <c r="G993" t="n">
        <v>15.7</v>
      </c>
      <c r="H993" t="n">
        <v>0</v>
      </c>
      <c r="I993" t="n">
        <v>0</v>
      </c>
      <c r="J993" t="n">
        <v>2</v>
      </c>
      <c r="K993" t="n">
        <v>0</v>
      </c>
      <c r="L993" t="n">
        <v>0</v>
      </c>
      <c r="M993" t="n">
        <v>0</v>
      </c>
      <c r="N993" t="n">
        <v>0</v>
      </c>
      <c r="O993" t="n">
        <v>2</v>
      </c>
      <c r="P993" t="n">
        <v>0</v>
      </c>
      <c r="Q993" t="n">
        <v>2</v>
      </c>
      <c r="R993" s="2" t="inlineStr">
        <is>
          <t>Lunglav
Skrovellav</t>
        </is>
      </c>
      <c r="S993">
        <f>HYPERLINK("https://klasma.github.io/Logging_2321/artfynd/A 26098-2023 artfynd.xlsx", "A 26098-2023")</f>
        <v/>
      </c>
      <c r="T993">
        <f>HYPERLINK("https://klasma.github.io/Logging_2321/kartor/A 26098-2023 karta.png", "A 26098-2023")</f>
        <v/>
      </c>
      <c r="V993">
        <f>HYPERLINK("https://klasma.github.io/Logging_2321/klagomål/A 26098-2023 FSC-klagomål.docx", "A 26098-2023")</f>
        <v/>
      </c>
      <c r="W993">
        <f>HYPERLINK("https://klasma.github.io/Logging_2321/klagomålsmail/A 26098-2023 FSC-klagomål mail.docx", "A 26098-2023")</f>
        <v/>
      </c>
      <c r="X993">
        <f>HYPERLINK("https://klasma.github.io/Logging_2321/tillsyn/A 26098-2023 tillsynsbegäran.docx", "A 26098-2023")</f>
        <v/>
      </c>
      <c r="Y993">
        <f>HYPERLINK("https://klasma.github.io/Logging_2321/tillsynsmail/A 26098-2023 tillsynsbegäran mail.docx", "A 26098-2023")</f>
        <v/>
      </c>
    </row>
    <row r="994" ht="15" customHeight="1">
      <c r="A994" t="inlineStr">
        <is>
          <t>A 27000-2023</t>
        </is>
      </c>
      <c r="B994" s="1" t="n">
        <v>45093</v>
      </c>
      <c r="C994" s="1" t="n">
        <v>45363</v>
      </c>
      <c r="D994" t="inlineStr">
        <is>
          <t>JÄMTLANDS LÄN</t>
        </is>
      </c>
      <c r="E994" t="inlineStr">
        <is>
          <t>BRÄCKE</t>
        </is>
      </c>
      <c r="F994" t="inlineStr">
        <is>
          <t>SCA</t>
        </is>
      </c>
      <c r="G994" t="n">
        <v>5.8</v>
      </c>
      <c r="H994" t="n">
        <v>0</v>
      </c>
      <c r="I994" t="n">
        <v>0</v>
      </c>
      <c r="J994" t="n">
        <v>2</v>
      </c>
      <c r="K994" t="n">
        <v>0</v>
      </c>
      <c r="L994" t="n">
        <v>0</v>
      </c>
      <c r="M994" t="n">
        <v>0</v>
      </c>
      <c r="N994" t="n">
        <v>0</v>
      </c>
      <c r="O994" t="n">
        <v>2</v>
      </c>
      <c r="P994" t="n">
        <v>0</v>
      </c>
      <c r="Q994" t="n">
        <v>2</v>
      </c>
      <c r="R994" s="2" t="inlineStr">
        <is>
          <t>Dvärgbägarlav
Lunglav</t>
        </is>
      </c>
      <c r="S994">
        <f>HYPERLINK("https://klasma.github.io/Logging_2305/artfynd/A 27000-2023 artfynd.xlsx", "A 27000-2023")</f>
        <v/>
      </c>
      <c r="T994">
        <f>HYPERLINK("https://klasma.github.io/Logging_2305/kartor/A 27000-2023 karta.png", "A 27000-2023")</f>
        <v/>
      </c>
      <c r="V994">
        <f>HYPERLINK("https://klasma.github.io/Logging_2305/klagomål/A 27000-2023 FSC-klagomål.docx", "A 27000-2023")</f>
        <v/>
      </c>
      <c r="W994">
        <f>HYPERLINK("https://klasma.github.io/Logging_2305/klagomålsmail/A 27000-2023 FSC-klagomål mail.docx", "A 27000-2023")</f>
        <v/>
      </c>
      <c r="X994">
        <f>HYPERLINK("https://klasma.github.io/Logging_2305/tillsyn/A 27000-2023 tillsynsbegäran.docx", "A 27000-2023")</f>
        <v/>
      </c>
      <c r="Y994">
        <f>HYPERLINK("https://klasma.github.io/Logging_2305/tillsynsmail/A 27000-2023 tillsynsbegäran mail.docx", "A 27000-2023")</f>
        <v/>
      </c>
    </row>
    <row r="995" ht="15" customHeight="1">
      <c r="A995" t="inlineStr">
        <is>
          <t>A 27367-2023</t>
        </is>
      </c>
      <c r="B995" s="1" t="n">
        <v>45096</v>
      </c>
      <c r="C995" s="1" t="n">
        <v>45363</v>
      </c>
      <c r="D995" t="inlineStr">
        <is>
          <t>JÄMTLANDS LÄN</t>
        </is>
      </c>
      <c r="E995" t="inlineStr">
        <is>
          <t>STRÖMSUND</t>
        </is>
      </c>
      <c r="F995" t="inlineStr">
        <is>
          <t>SCA</t>
        </is>
      </c>
      <c r="G995" t="n">
        <v>2.8</v>
      </c>
      <c r="H995" t="n">
        <v>0</v>
      </c>
      <c r="I995" t="n">
        <v>2</v>
      </c>
      <c r="J995" t="n">
        <v>0</v>
      </c>
      <c r="K995" t="n">
        <v>0</v>
      </c>
      <c r="L995" t="n">
        <v>0</v>
      </c>
      <c r="M995" t="n">
        <v>0</v>
      </c>
      <c r="N995" t="n">
        <v>0</v>
      </c>
      <c r="O995" t="n">
        <v>0</v>
      </c>
      <c r="P995" t="n">
        <v>0</v>
      </c>
      <c r="Q995" t="n">
        <v>2</v>
      </c>
      <c r="R995" s="2" t="inlineStr">
        <is>
          <t>Bollvitmossa
Skinnlav</t>
        </is>
      </c>
      <c r="S995">
        <f>HYPERLINK("https://klasma.github.io/Logging_2313/artfynd/A 27367-2023 artfynd.xlsx", "A 27367-2023")</f>
        <v/>
      </c>
      <c r="T995">
        <f>HYPERLINK("https://klasma.github.io/Logging_2313/kartor/A 27367-2023 karta.png", "A 27367-2023")</f>
        <v/>
      </c>
      <c r="V995">
        <f>HYPERLINK("https://klasma.github.io/Logging_2313/klagomål/A 27367-2023 FSC-klagomål.docx", "A 27367-2023")</f>
        <v/>
      </c>
      <c r="W995">
        <f>HYPERLINK("https://klasma.github.io/Logging_2313/klagomålsmail/A 27367-2023 FSC-klagomål mail.docx", "A 27367-2023")</f>
        <v/>
      </c>
      <c r="X995">
        <f>HYPERLINK("https://klasma.github.io/Logging_2313/tillsyn/A 27367-2023 tillsynsbegäran.docx", "A 27367-2023")</f>
        <v/>
      </c>
      <c r="Y995">
        <f>HYPERLINK("https://klasma.github.io/Logging_2313/tillsynsmail/A 27367-2023 tillsynsbegäran mail.docx", "A 27367-2023")</f>
        <v/>
      </c>
    </row>
    <row r="996" ht="15" customHeight="1">
      <c r="A996" t="inlineStr">
        <is>
          <t>A 28765-2023</t>
        </is>
      </c>
      <c r="B996" s="1" t="n">
        <v>45103</v>
      </c>
      <c r="C996" s="1" t="n">
        <v>45363</v>
      </c>
      <c r="D996" t="inlineStr">
        <is>
          <t>JÄMTLANDS LÄN</t>
        </is>
      </c>
      <c r="E996" t="inlineStr">
        <is>
          <t>BRÄCKE</t>
        </is>
      </c>
      <c r="F996" t="inlineStr">
        <is>
          <t>SCA</t>
        </is>
      </c>
      <c r="G996" t="n">
        <v>6</v>
      </c>
      <c r="H996" t="n">
        <v>0</v>
      </c>
      <c r="I996" t="n">
        <v>1</v>
      </c>
      <c r="J996" t="n">
        <v>1</v>
      </c>
      <c r="K996" t="n">
        <v>0</v>
      </c>
      <c r="L996" t="n">
        <v>0</v>
      </c>
      <c r="M996" t="n">
        <v>0</v>
      </c>
      <c r="N996" t="n">
        <v>0</v>
      </c>
      <c r="O996" t="n">
        <v>1</v>
      </c>
      <c r="P996" t="n">
        <v>0</v>
      </c>
      <c r="Q996" t="n">
        <v>2</v>
      </c>
      <c r="R996" s="2" t="inlineStr">
        <is>
          <t>Vedskivlav
Kransrams</t>
        </is>
      </c>
      <c r="S996">
        <f>HYPERLINK("https://klasma.github.io/Logging_2305/artfynd/A 28765-2023 artfynd.xlsx", "A 28765-2023")</f>
        <v/>
      </c>
      <c r="T996">
        <f>HYPERLINK("https://klasma.github.io/Logging_2305/kartor/A 28765-2023 karta.png", "A 28765-2023")</f>
        <v/>
      </c>
      <c r="V996">
        <f>HYPERLINK("https://klasma.github.io/Logging_2305/klagomål/A 28765-2023 FSC-klagomål.docx", "A 28765-2023")</f>
        <v/>
      </c>
      <c r="W996">
        <f>HYPERLINK("https://klasma.github.io/Logging_2305/klagomålsmail/A 28765-2023 FSC-klagomål mail.docx", "A 28765-2023")</f>
        <v/>
      </c>
      <c r="X996">
        <f>HYPERLINK("https://klasma.github.io/Logging_2305/tillsyn/A 28765-2023 tillsynsbegäran.docx", "A 28765-2023")</f>
        <v/>
      </c>
      <c r="Y996">
        <f>HYPERLINK("https://klasma.github.io/Logging_2305/tillsynsmail/A 28765-2023 tillsynsbegäran mail.docx", "A 28765-2023")</f>
        <v/>
      </c>
    </row>
    <row r="997" ht="15" customHeight="1">
      <c r="A997" t="inlineStr">
        <is>
          <t>A 29071-2023</t>
        </is>
      </c>
      <c r="B997" s="1" t="n">
        <v>45104</v>
      </c>
      <c r="C997" s="1" t="n">
        <v>45363</v>
      </c>
      <c r="D997" t="inlineStr">
        <is>
          <t>JÄMTLANDS LÄN</t>
        </is>
      </c>
      <c r="E997" t="inlineStr">
        <is>
          <t>STRÖMSUND</t>
        </is>
      </c>
      <c r="F997" t="inlineStr">
        <is>
          <t>SCA</t>
        </is>
      </c>
      <c r="G997" t="n">
        <v>6.9</v>
      </c>
      <c r="H997" t="n">
        <v>0</v>
      </c>
      <c r="I997" t="n">
        <v>0</v>
      </c>
      <c r="J997" t="n">
        <v>2</v>
      </c>
      <c r="K997" t="n">
        <v>0</v>
      </c>
      <c r="L997" t="n">
        <v>0</v>
      </c>
      <c r="M997" t="n">
        <v>0</v>
      </c>
      <c r="N997" t="n">
        <v>0</v>
      </c>
      <c r="O997" t="n">
        <v>2</v>
      </c>
      <c r="P997" t="n">
        <v>0</v>
      </c>
      <c r="Q997" t="n">
        <v>2</v>
      </c>
      <c r="R997" s="2" t="inlineStr">
        <is>
          <t>Dvärgbägarlav
Kortskaftad ärgspik</t>
        </is>
      </c>
      <c r="S997">
        <f>HYPERLINK("https://klasma.github.io/Logging_2313/artfynd/A 29071-2023 artfynd.xlsx", "A 29071-2023")</f>
        <v/>
      </c>
      <c r="T997">
        <f>HYPERLINK("https://klasma.github.io/Logging_2313/kartor/A 29071-2023 karta.png", "A 29071-2023")</f>
        <v/>
      </c>
      <c r="V997">
        <f>HYPERLINK("https://klasma.github.io/Logging_2313/klagomål/A 29071-2023 FSC-klagomål.docx", "A 29071-2023")</f>
        <v/>
      </c>
      <c r="W997">
        <f>HYPERLINK("https://klasma.github.io/Logging_2313/klagomålsmail/A 29071-2023 FSC-klagomål mail.docx", "A 29071-2023")</f>
        <v/>
      </c>
      <c r="X997">
        <f>HYPERLINK("https://klasma.github.io/Logging_2313/tillsyn/A 29071-2023 tillsynsbegäran.docx", "A 29071-2023")</f>
        <v/>
      </c>
      <c r="Y997">
        <f>HYPERLINK("https://klasma.github.io/Logging_2313/tillsynsmail/A 29071-2023 tillsynsbegäran mail.docx", "A 29071-2023")</f>
        <v/>
      </c>
    </row>
    <row r="998" ht="15" customHeight="1">
      <c r="A998" t="inlineStr">
        <is>
          <t>A 29333-2023</t>
        </is>
      </c>
      <c r="B998" s="1" t="n">
        <v>45105</v>
      </c>
      <c r="C998" s="1" t="n">
        <v>45363</v>
      </c>
      <c r="D998" t="inlineStr">
        <is>
          <t>JÄMTLANDS LÄN</t>
        </is>
      </c>
      <c r="E998" t="inlineStr">
        <is>
          <t>BRÄCKE</t>
        </is>
      </c>
      <c r="F998" t="inlineStr">
        <is>
          <t>SCA</t>
        </is>
      </c>
      <c r="G998" t="n">
        <v>11.8</v>
      </c>
      <c r="H998" t="n">
        <v>0</v>
      </c>
      <c r="I998" t="n">
        <v>1</v>
      </c>
      <c r="J998" t="n">
        <v>0</v>
      </c>
      <c r="K998" t="n">
        <v>1</v>
      </c>
      <c r="L998" t="n">
        <v>0</v>
      </c>
      <c r="M998" t="n">
        <v>0</v>
      </c>
      <c r="N998" t="n">
        <v>0</v>
      </c>
      <c r="O998" t="n">
        <v>1</v>
      </c>
      <c r="P998" t="n">
        <v>1</v>
      </c>
      <c r="Q998" t="n">
        <v>2</v>
      </c>
      <c r="R998" s="2" t="inlineStr">
        <is>
          <t>Smalfotad taggsvamp
Dropptaggsvamp</t>
        </is>
      </c>
      <c r="S998">
        <f>HYPERLINK("https://klasma.github.io/Logging_2305/artfynd/A 29333-2023 artfynd.xlsx", "A 29333-2023")</f>
        <v/>
      </c>
      <c r="T998">
        <f>HYPERLINK("https://klasma.github.io/Logging_2305/kartor/A 29333-2023 karta.png", "A 29333-2023")</f>
        <v/>
      </c>
      <c r="V998">
        <f>HYPERLINK("https://klasma.github.io/Logging_2305/klagomål/A 29333-2023 FSC-klagomål.docx", "A 29333-2023")</f>
        <v/>
      </c>
      <c r="W998">
        <f>HYPERLINK("https://klasma.github.io/Logging_2305/klagomålsmail/A 29333-2023 FSC-klagomål mail.docx", "A 29333-2023")</f>
        <v/>
      </c>
      <c r="X998">
        <f>HYPERLINK("https://klasma.github.io/Logging_2305/tillsyn/A 29333-2023 tillsynsbegäran.docx", "A 29333-2023")</f>
        <v/>
      </c>
      <c r="Y998">
        <f>HYPERLINK("https://klasma.github.io/Logging_2305/tillsynsmail/A 29333-2023 tillsynsbegäran mail.docx", "A 29333-2023")</f>
        <v/>
      </c>
    </row>
    <row r="999" ht="15" customHeight="1">
      <c r="A999" t="inlineStr">
        <is>
          <t>A 29615-2023</t>
        </is>
      </c>
      <c r="B999" s="1" t="n">
        <v>45107</v>
      </c>
      <c r="C999" s="1" t="n">
        <v>45363</v>
      </c>
      <c r="D999" t="inlineStr">
        <is>
          <t>JÄMTLANDS LÄN</t>
        </is>
      </c>
      <c r="E999" t="inlineStr">
        <is>
          <t>BERG</t>
        </is>
      </c>
      <c r="F999" t="inlineStr">
        <is>
          <t>SCA</t>
        </is>
      </c>
      <c r="G999" t="n">
        <v>8.800000000000001</v>
      </c>
      <c r="H999" t="n">
        <v>1</v>
      </c>
      <c r="I999" t="n">
        <v>0</v>
      </c>
      <c r="J999" t="n">
        <v>2</v>
      </c>
      <c r="K999" t="n">
        <v>0</v>
      </c>
      <c r="L999" t="n">
        <v>0</v>
      </c>
      <c r="M999" t="n">
        <v>0</v>
      </c>
      <c r="N999" t="n">
        <v>0</v>
      </c>
      <c r="O999" t="n">
        <v>2</v>
      </c>
      <c r="P999" t="n">
        <v>0</v>
      </c>
      <c r="Q999" t="n">
        <v>2</v>
      </c>
      <c r="R999" s="2" t="inlineStr">
        <is>
          <t>Granticka
Tretåig hackspett</t>
        </is>
      </c>
      <c r="S999">
        <f>HYPERLINK("https://klasma.github.io/Logging_2326/artfynd/A 29615-2023 artfynd.xlsx", "A 29615-2023")</f>
        <v/>
      </c>
      <c r="T999">
        <f>HYPERLINK("https://klasma.github.io/Logging_2326/kartor/A 29615-2023 karta.png", "A 29615-2023")</f>
        <v/>
      </c>
      <c r="V999">
        <f>HYPERLINK("https://klasma.github.io/Logging_2326/klagomål/A 29615-2023 FSC-klagomål.docx", "A 29615-2023")</f>
        <v/>
      </c>
      <c r="W999">
        <f>HYPERLINK("https://klasma.github.io/Logging_2326/klagomålsmail/A 29615-2023 FSC-klagomål mail.docx", "A 29615-2023")</f>
        <v/>
      </c>
      <c r="X999">
        <f>HYPERLINK("https://klasma.github.io/Logging_2326/tillsyn/A 29615-2023 tillsynsbegäran.docx", "A 29615-2023")</f>
        <v/>
      </c>
      <c r="Y999">
        <f>HYPERLINK("https://klasma.github.io/Logging_2326/tillsynsmail/A 29615-2023 tillsynsbegäran mail.docx", "A 29615-2023")</f>
        <v/>
      </c>
      <c r="Z999">
        <f>HYPERLINK("https://klasma.github.io/Logging_2326/fåglar/A 29615-2023 prioriterade fågelarter.docx", "A 29615-2023")</f>
        <v/>
      </c>
    </row>
    <row r="1000" ht="15" customHeight="1">
      <c r="A1000" t="inlineStr">
        <is>
          <t>A 29633-2023</t>
        </is>
      </c>
      <c r="B1000" s="1" t="n">
        <v>45106</v>
      </c>
      <c r="C1000" s="1" t="n">
        <v>45363</v>
      </c>
      <c r="D1000" t="inlineStr">
        <is>
          <t>JÄMTLANDS LÄN</t>
        </is>
      </c>
      <c r="E1000" t="inlineStr">
        <is>
          <t>STRÖMSUND</t>
        </is>
      </c>
      <c r="F1000" t="inlineStr">
        <is>
          <t>SCA</t>
        </is>
      </c>
      <c r="G1000" t="n">
        <v>1</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HYPERLINK("https://klasma.github.io/Logging_2313/artfynd/A 29633-2023 artfynd.xlsx", "A 29633-2023")</f>
        <v/>
      </c>
      <c r="T1000">
        <f>HYPERLINK("https://klasma.github.io/Logging_2313/kartor/A 29633-2023 karta.png", "A 29633-2023")</f>
        <v/>
      </c>
      <c r="V1000">
        <f>HYPERLINK("https://klasma.github.io/Logging_2313/klagomål/A 29633-2023 FSC-klagomål.docx", "A 29633-2023")</f>
        <v/>
      </c>
      <c r="W1000">
        <f>HYPERLINK("https://klasma.github.io/Logging_2313/klagomålsmail/A 29633-2023 FSC-klagomål mail.docx", "A 29633-2023")</f>
        <v/>
      </c>
      <c r="X1000">
        <f>HYPERLINK("https://klasma.github.io/Logging_2313/tillsyn/A 29633-2023 tillsynsbegäran.docx", "A 29633-2023")</f>
        <v/>
      </c>
      <c r="Y1000">
        <f>HYPERLINK("https://klasma.github.io/Logging_2313/tillsynsmail/A 29633-2023 tillsynsbegäran mail.docx", "A 29633-2023")</f>
        <v/>
      </c>
    </row>
    <row r="1001" ht="15" customHeight="1">
      <c r="A1001" t="inlineStr">
        <is>
          <t>A 32736-2023</t>
        </is>
      </c>
      <c r="B1001" s="1" t="n">
        <v>45121</v>
      </c>
      <c r="C1001" s="1" t="n">
        <v>45363</v>
      </c>
      <c r="D1001" t="inlineStr">
        <is>
          <t>JÄMTLANDS LÄN</t>
        </is>
      </c>
      <c r="E1001" t="inlineStr">
        <is>
          <t>RAGUNDA</t>
        </is>
      </c>
      <c r="F1001" t="inlineStr">
        <is>
          <t>SCA</t>
        </is>
      </c>
      <c r="G1001" t="n">
        <v>2.5</v>
      </c>
      <c r="H1001" t="n">
        <v>0</v>
      </c>
      <c r="I1001" t="n">
        <v>1</v>
      </c>
      <c r="J1001" t="n">
        <v>1</v>
      </c>
      <c r="K1001" t="n">
        <v>0</v>
      </c>
      <c r="L1001" t="n">
        <v>0</v>
      </c>
      <c r="M1001" t="n">
        <v>0</v>
      </c>
      <c r="N1001" t="n">
        <v>0</v>
      </c>
      <c r="O1001" t="n">
        <v>1</v>
      </c>
      <c r="P1001" t="n">
        <v>0</v>
      </c>
      <c r="Q1001" t="n">
        <v>2</v>
      </c>
      <c r="R1001" s="2" t="inlineStr">
        <is>
          <t>Vedtrappmossa
Stor aspticka</t>
        </is>
      </c>
      <c r="S1001">
        <f>HYPERLINK("https://klasma.github.io/Logging_2303/artfynd/A 32736-2023 artfynd.xlsx", "A 32736-2023")</f>
        <v/>
      </c>
      <c r="T1001">
        <f>HYPERLINK("https://klasma.github.io/Logging_2303/kartor/A 32736-2023 karta.png", "A 32736-2023")</f>
        <v/>
      </c>
      <c r="V1001">
        <f>HYPERLINK("https://klasma.github.io/Logging_2303/klagomål/A 32736-2023 FSC-klagomål.docx", "A 32736-2023")</f>
        <v/>
      </c>
      <c r="W1001">
        <f>HYPERLINK("https://klasma.github.io/Logging_2303/klagomålsmail/A 32736-2023 FSC-klagomål mail.docx", "A 32736-2023")</f>
        <v/>
      </c>
      <c r="X1001">
        <f>HYPERLINK("https://klasma.github.io/Logging_2303/tillsyn/A 32736-2023 tillsynsbegäran.docx", "A 32736-2023")</f>
        <v/>
      </c>
      <c r="Y1001">
        <f>HYPERLINK("https://klasma.github.io/Logging_2303/tillsynsmail/A 32736-2023 tillsynsbegäran mail.docx", "A 32736-2023")</f>
        <v/>
      </c>
    </row>
    <row r="1002" ht="15" customHeight="1">
      <c r="A1002" t="inlineStr">
        <is>
          <t>A 36750-2023</t>
        </is>
      </c>
      <c r="B1002" s="1" t="n">
        <v>45153</v>
      </c>
      <c r="C1002" s="1" t="n">
        <v>45363</v>
      </c>
      <c r="D1002" t="inlineStr">
        <is>
          <t>JÄMTLANDS LÄN</t>
        </is>
      </c>
      <c r="E1002" t="inlineStr">
        <is>
          <t>HÄRJEDALEN</t>
        </is>
      </c>
      <c r="G1002" t="n">
        <v>8.199999999999999</v>
      </c>
      <c r="H1002" t="n">
        <v>1</v>
      </c>
      <c r="I1002" t="n">
        <v>0</v>
      </c>
      <c r="J1002" t="n">
        <v>2</v>
      </c>
      <c r="K1002" t="n">
        <v>0</v>
      </c>
      <c r="L1002" t="n">
        <v>0</v>
      </c>
      <c r="M1002" t="n">
        <v>0</v>
      </c>
      <c r="N1002" t="n">
        <v>0</v>
      </c>
      <c r="O1002" t="n">
        <v>2</v>
      </c>
      <c r="P1002" t="n">
        <v>0</v>
      </c>
      <c r="Q1002" t="n">
        <v>2</v>
      </c>
      <c r="R1002" s="2" t="inlineStr">
        <is>
          <t>Järpe
Lunglav</t>
        </is>
      </c>
      <c r="S1002">
        <f>HYPERLINK("https://klasma.github.io/Logging_2361/artfynd/A 36750-2023 artfynd.xlsx", "A 36750-2023")</f>
        <v/>
      </c>
      <c r="T1002">
        <f>HYPERLINK("https://klasma.github.io/Logging_2361/kartor/A 36750-2023 karta.png", "A 36750-2023")</f>
        <v/>
      </c>
      <c r="V1002">
        <f>HYPERLINK("https://klasma.github.io/Logging_2361/klagomål/A 36750-2023 FSC-klagomål.docx", "A 36750-2023")</f>
        <v/>
      </c>
      <c r="W1002">
        <f>HYPERLINK("https://klasma.github.io/Logging_2361/klagomålsmail/A 36750-2023 FSC-klagomål mail.docx", "A 36750-2023")</f>
        <v/>
      </c>
      <c r="X1002">
        <f>HYPERLINK("https://klasma.github.io/Logging_2361/tillsyn/A 36750-2023 tillsynsbegäran.docx", "A 36750-2023")</f>
        <v/>
      </c>
      <c r="Y1002">
        <f>HYPERLINK("https://klasma.github.io/Logging_2361/tillsynsmail/A 36750-2023 tillsynsbegäran mail.docx", "A 36750-2023")</f>
        <v/>
      </c>
      <c r="Z1002">
        <f>HYPERLINK("https://klasma.github.io/Logging_2361/fåglar/A 36750-2023 prioriterade fågelarter.docx", "A 36750-2023")</f>
        <v/>
      </c>
    </row>
    <row r="1003" ht="15" customHeight="1">
      <c r="A1003" t="inlineStr">
        <is>
          <t>A 37236-2023</t>
        </is>
      </c>
      <c r="B1003" s="1" t="n">
        <v>45155</v>
      </c>
      <c r="C1003" s="1" t="n">
        <v>45363</v>
      </c>
      <c r="D1003" t="inlineStr">
        <is>
          <t>JÄMTLANDS LÄN</t>
        </is>
      </c>
      <c r="E1003" t="inlineStr">
        <is>
          <t>RAGUNDA</t>
        </is>
      </c>
      <c r="F1003" t="inlineStr">
        <is>
          <t>SCA</t>
        </is>
      </c>
      <c r="G1003" t="n">
        <v>4.7</v>
      </c>
      <c r="H1003" t="n">
        <v>0</v>
      </c>
      <c r="I1003" t="n">
        <v>0</v>
      </c>
      <c r="J1003" t="n">
        <v>2</v>
      </c>
      <c r="K1003" t="n">
        <v>0</v>
      </c>
      <c r="L1003" t="n">
        <v>0</v>
      </c>
      <c r="M1003" t="n">
        <v>0</v>
      </c>
      <c r="N1003" t="n">
        <v>0</v>
      </c>
      <c r="O1003" t="n">
        <v>2</v>
      </c>
      <c r="P1003" t="n">
        <v>0</v>
      </c>
      <c r="Q1003" t="n">
        <v>2</v>
      </c>
      <c r="R1003" s="2" t="inlineStr">
        <is>
          <t>Kolflarnlav
Lunglav</t>
        </is>
      </c>
      <c r="S1003">
        <f>HYPERLINK("https://klasma.github.io/Logging_2303/artfynd/A 37236-2023 artfynd.xlsx", "A 37236-2023")</f>
        <v/>
      </c>
      <c r="T1003">
        <f>HYPERLINK("https://klasma.github.io/Logging_2303/kartor/A 37236-2023 karta.png", "A 37236-2023")</f>
        <v/>
      </c>
      <c r="U1003">
        <f>HYPERLINK("https://klasma.github.io/Logging_2303/knärot/A 37236-2023 karta knärot.png", "A 37236-2023")</f>
        <v/>
      </c>
      <c r="V1003">
        <f>HYPERLINK("https://klasma.github.io/Logging_2303/klagomål/A 37236-2023 FSC-klagomål.docx", "A 37236-2023")</f>
        <v/>
      </c>
      <c r="W1003">
        <f>HYPERLINK("https://klasma.github.io/Logging_2303/klagomålsmail/A 37236-2023 FSC-klagomål mail.docx", "A 37236-2023")</f>
        <v/>
      </c>
      <c r="X1003">
        <f>HYPERLINK("https://klasma.github.io/Logging_2303/tillsyn/A 37236-2023 tillsynsbegäran.docx", "A 37236-2023")</f>
        <v/>
      </c>
      <c r="Y1003">
        <f>HYPERLINK("https://klasma.github.io/Logging_2303/tillsynsmail/A 37236-2023 tillsynsbegäran mail.docx", "A 37236-2023")</f>
        <v/>
      </c>
    </row>
    <row r="1004" ht="15" customHeight="1">
      <c r="A1004" t="inlineStr">
        <is>
          <t>A 38334-2023</t>
        </is>
      </c>
      <c r="B1004" s="1" t="n">
        <v>45161</v>
      </c>
      <c r="C1004" s="1" t="n">
        <v>45363</v>
      </c>
      <c r="D1004" t="inlineStr">
        <is>
          <t>JÄMTLANDS LÄN</t>
        </is>
      </c>
      <c r="E1004" t="inlineStr">
        <is>
          <t>ÖSTERSUND</t>
        </is>
      </c>
      <c r="G1004" t="n">
        <v>10.5</v>
      </c>
      <c r="H1004" t="n">
        <v>0</v>
      </c>
      <c r="I1004" t="n">
        <v>0</v>
      </c>
      <c r="J1004" t="n">
        <v>0</v>
      </c>
      <c r="K1004" t="n">
        <v>2</v>
      </c>
      <c r="L1004" t="n">
        <v>0</v>
      </c>
      <c r="M1004" t="n">
        <v>0</v>
      </c>
      <c r="N1004" t="n">
        <v>0</v>
      </c>
      <c r="O1004" t="n">
        <v>2</v>
      </c>
      <c r="P1004" t="n">
        <v>2</v>
      </c>
      <c r="Q1004" t="n">
        <v>2</v>
      </c>
      <c r="R1004" s="2" t="inlineStr">
        <is>
          <t>Rynkskinn
Violett fingersvamp</t>
        </is>
      </c>
      <c r="S1004">
        <f>HYPERLINK("https://klasma.github.io/Logging_2380/artfynd/A 38334-2023 artfynd.xlsx", "A 38334-2023")</f>
        <v/>
      </c>
      <c r="T1004">
        <f>HYPERLINK("https://klasma.github.io/Logging_2380/kartor/A 38334-2023 karta.png", "A 38334-2023")</f>
        <v/>
      </c>
      <c r="V1004">
        <f>HYPERLINK("https://klasma.github.io/Logging_2380/klagomål/A 38334-2023 FSC-klagomål.docx", "A 38334-2023")</f>
        <v/>
      </c>
      <c r="W1004">
        <f>HYPERLINK("https://klasma.github.io/Logging_2380/klagomålsmail/A 38334-2023 FSC-klagomål mail.docx", "A 38334-2023")</f>
        <v/>
      </c>
      <c r="X1004">
        <f>HYPERLINK("https://klasma.github.io/Logging_2380/tillsyn/A 38334-2023 tillsynsbegäran.docx", "A 38334-2023")</f>
        <v/>
      </c>
      <c r="Y1004">
        <f>HYPERLINK("https://klasma.github.io/Logging_2380/tillsynsmail/A 38334-2023 tillsynsbegäran mail.docx", "A 38334-2023")</f>
        <v/>
      </c>
    </row>
    <row r="1005" ht="15" customHeight="1">
      <c r="A1005" t="inlineStr">
        <is>
          <t>A 39055-2023</t>
        </is>
      </c>
      <c r="B1005" s="1" t="n">
        <v>45163</v>
      </c>
      <c r="C1005" s="1" t="n">
        <v>45363</v>
      </c>
      <c r="D1005" t="inlineStr">
        <is>
          <t>JÄMTLANDS LÄN</t>
        </is>
      </c>
      <c r="E1005" t="inlineStr">
        <is>
          <t>STRÖMSUND</t>
        </is>
      </c>
      <c r="F1005" t="inlineStr">
        <is>
          <t>SCA</t>
        </is>
      </c>
      <c r="G1005" t="n">
        <v>7</v>
      </c>
      <c r="H1005" t="n">
        <v>0</v>
      </c>
      <c r="I1005" t="n">
        <v>0</v>
      </c>
      <c r="J1005" t="n">
        <v>2</v>
      </c>
      <c r="K1005" t="n">
        <v>0</v>
      </c>
      <c r="L1005" t="n">
        <v>0</v>
      </c>
      <c r="M1005" t="n">
        <v>0</v>
      </c>
      <c r="N1005" t="n">
        <v>0</v>
      </c>
      <c r="O1005" t="n">
        <v>2</v>
      </c>
      <c r="P1005" t="n">
        <v>0</v>
      </c>
      <c r="Q1005" t="n">
        <v>2</v>
      </c>
      <c r="R1005" s="2" t="inlineStr">
        <is>
          <t>Lunglav
Skrovellav</t>
        </is>
      </c>
      <c r="S1005">
        <f>HYPERLINK("https://klasma.github.io/Logging_2313/artfynd/A 39055-2023 artfynd.xlsx", "A 39055-2023")</f>
        <v/>
      </c>
      <c r="T1005">
        <f>HYPERLINK("https://klasma.github.io/Logging_2313/kartor/A 39055-2023 karta.png", "A 39055-2023")</f>
        <v/>
      </c>
      <c r="V1005">
        <f>HYPERLINK("https://klasma.github.io/Logging_2313/klagomål/A 39055-2023 FSC-klagomål.docx", "A 39055-2023")</f>
        <v/>
      </c>
      <c r="W1005">
        <f>HYPERLINK("https://klasma.github.io/Logging_2313/klagomålsmail/A 39055-2023 FSC-klagomål mail.docx", "A 39055-2023")</f>
        <v/>
      </c>
      <c r="X1005">
        <f>HYPERLINK("https://klasma.github.io/Logging_2313/tillsyn/A 39055-2023 tillsynsbegäran.docx", "A 39055-2023")</f>
        <v/>
      </c>
      <c r="Y1005">
        <f>HYPERLINK("https://klasma.github.io/Logging_2313/tillsynsmail/A 39055-2023 tillsynsbegäran mail.docx", "A 39055-2023")</f>
        <v/>
      </c>
    </row>
    <row r="1006" ht="15" customHeight="1">
      <c r="A1006" t="inlineStr">
        <is>
          <t>A 39818-2023</t>
        </is>
      </c>
      <c r="B1006" s="1" t="n">
        <v>45167</v>
      </c>
      <c r="C1006" s="1" t="n">
        <v>45363</v>
      </c>
      <c r="D1006" t="inlineStr">
        <is>
          <t>JÄMTLANDS LÄN</t>
        </is>
      </c>
      <c r="E1006" t="inlineStr">
        <is>
          <t>RAGUNDA</t>
        </is>
      </c>
      <c r="F1006" t="inlineStr">
        <is>
          <t>SCA</t>
        </is>
      </c>
      <c r="G1006" t="n">
        <v>13.6</v>
      </c>
      <c r="H1006" t="n">
        <v>0</v>
      </c>
      <c r="I1006" t="n">
        <v>0</v>
      </c>
      <c r="J1006" t="n">
        <v>2</v>
      </c>
      <c r="K1006" t="n">
        <v>0</v>
      </c>
      <c r="L1006" t="n">
        <v>0</v>
      </c>
      <c r="M1006" t="n">
        <v>0</v>
      </c>
      <c r="N1006" t="n">
        <v>0</v>
      </c>
      <c r="O1006" t="n">
        <v>2</v>
      </c>
      <c r="P1006" t="n">
        <v>0</v>
      </c>
      <c r="Q1006" t="n">
        <v>2</v>
      </c>
      <c r="R1006" s="2" t="inlineStr">
        <is>
          <t>Lunglav
Ullticka</t>
        </is>
      </c>
      <c r="S1006">
        <f>HYPERLINK("https://klasma.github.io/Logging_2303/artfynd/A 39818-2023 artfynd.xlsx", "A 39818-2023")</f>
        <v/>
      </c>
      <c r="T1006">
        <f>HYPERLINK("https://klasma.github.io/Logging_2303/kartor/A 39818-2023 karta.png", "A 39818-2023")</f>
        <v/>
      </c>
      <c r="V1006">
        <f>HYPERLINK("https://klasma.github.io/Logging_2303/klagomål/A 39818-2023 FSC-klagomål.docx", "A 39818-2023")</f>
        <v/>
      </c>
      <c r="W1006">
        <f>HYPERLINK("https://klasma.github.io/Logging_2303/klagomålsmail/A 39818-2023 FSC-klagomål mail.docx", "A 39818-2023")</f>
        <v/>
      </c>
      <c r="X1006">
        <f>HYPERLINK("https://klasma.github.io/Logging_2303/tillsyn/A 39818-2023 tillsynsbegäran.docx", "A 39818-2023")</f>
        <v/>
      </c>
      <c r="Y1006">
        <f>HYPERLINK("https://klasma.github.io/Logging_2303/tillsynsmail/A 39818-2023 tillsynsbegäran mail.docx", "A 39818-2023")</f>
        <v/>
      </c>
    </row>
    <row r="1007" ht="15" customHeight="1">
      <c r="A1007" t="inlineStr">
        <is>
          <t>A 40015-2023</t>
        </is>
      </c>
      <c r="B1007" s="1" t="n">
        <v>45168</v>
      </c>
      <c r="C1007" s="1" t="n">
        <v>45363</v>
      </c>
      <c r="D1007" t="inlineStr">
        <is>
          <t>JÄMTLANDS LÄN</t>
        </is>
      </c>
      <c r="E1007" t="inlineStr">
        <is>
          <t>HÄRJEDALEN</t>
        </is>
      </c>
      <c r="G1007" t="n">
        <v>21.9</v>
      </c>
      <c r="H1007" t="n">
        <v>0</v>
      </c>
      <c r="I1007" t="n">
        <v>1</v>
      </c>
      <c r="J1007" t="n">
        <v>1</v>
      </c>
      <c r="K1007" t="n">
        <v>0</v>
      </c>
      <c r="L1007" t="n">
        <v>0</v>
      </c>
      <c r="M1007" t="n">
        <v>0</v>
      </c>
      <c r="N1007" t="n">
        <v>0</v>
      </c>
      <c r="O1007" t="n">
        <v>1</v>
      </c>
      <c r="P1007" t="n">
        <v>0</v>
      </c>
      <c r="Q1007" t="n">
        <v>2</v>
      </c>
      <c r="R1007" s="2" t="inlineStr">
        <is>
          <t>Blå taggsvamp
Dropptaggsvamp</t>
        </is>
      </c>
      <c r="S1007">
        <f>HYPERLINK("https://klasma.github.io/Logging_2361/artfynd/A 40015-2023 artfynd.xlsx", "A 40015-2023")</f>
        <v/>
      </c>
      <c r="T1007">
        <f>HYPERLINK("https://klasma.github.io/Logging_2361/kartor/A 40015-2023 karta.png", "A 40015-2023")</f>
        <v/>
      </c>
      <c r="V1007">
        <f>HYPERLINK("https://klasma.github.io/Logging_2361/klagomål/A 40015-2023 FSC-klagomål.docx", "A 40015-2023")</f>
        <v/>
      </c>
      <c r="W1007">
        <f>HYPERLINK("https://klasma.github.io/Logging_2361/klagomålsmail/A 40015-2023 FSC-klagomål mail.docx", "A 40015-2023")</f>
        <v/>
      </c>
      <c r="X1007">
        <f>HYPERLINK("https://klasma.github.io/Logging_2361/tillsyn/A 40015-2023 tillsynsbegäran.docx", "A 40015-2023")</f>
        <v/>
      </c>
      <c r="Y1007">
        <f>HYPERLINK("https://klasma.github.io/Logging_2361/tillsynsmail/A 40015-2023 tillsynsbegäran mail.docx", "A 40015-2023")</f>
        <v/>
      </c>
    </row>
    <row r="1008" ht="15" customHeight="1">
      <c r="A1008" t="inlineStr">
        <is>
          <t>A 40401-2023</t>
        </is>
      </c>
      <c r="B1008" s="1" t="n">
        <v>45169</v>
      </c>
      <c r="C1008" s="1" t="n">
        <v>45363</v>
      </c>
      <c r="D1008" t="inlineStr">
        <is>
          <t>JÄMTLANDS LÄN</t>
        </is>
      </c>
      <c r="E1008" t="inlineStr">
        <is>
          <t>BRÄCKE</t>
        </is>
      </c>
      <c r="F1008" t="inlineStr">
        <is>
          <t>SCA</t>
        </is>
      </c>
      <c r="G1008" t="n">
        <v>2</v>
      </c>
      <c r="H1008" t="n">
        <v>0</v>
      </c>
      <c r="I1008" t="n">
        <v>1</v>
      </c>
      <c r="J1008" t="n">
        <v>1</v>
      </c>
      <c r="K1008" t="n">
        <v>0</v>
      </c>
      <c r="L1008" t="n">
        <v>0</v>
      </c>
      <c r="M1008" t="n">
        <v>0</v>
      </c>
      <c r="N1008" t="n">
        <v>0</v>
      </c>
      <c r="O1008" t="n">
        <v>1</v>
      </c>
      <c r="P1008" t="n">
        <v>0</v>
      </c>
      <c r="Q1008" t="n">
        <v>2</v>
      </c>
      <c r="R1008" s="2" t="inlineStr">
        <is>
          <t>Ullticka
Dropptaggsvamp</t>
        </is>
      </c>
      <c r="S1008">
        <f>HYPERLINK("https://klasma.github.io/Logging_2305/artfynd/A 40401-2023 artfynd.xlsx", "A 40401-2023")</f>
        <v/>
      </c>
      <c r="T1008">
        <f>HYPERLINK("https://klasma.github.io/Logging_2305/kartor/A 40401-2023 karta.png", "A 40401-2023")</f>
        <v/>
      </c>
      <c r="V1008">
        <f>HYPERLINK("https://klasma.github.io/Logging_2305/klagomål/A 40401-2023 FSC-klagomål.docx", "A 40401-2023")</f>
        <v/>
      </c>
      <c r="W1008">
        <f>HYPERLINK("https://klasma.github.io/Logging_2305/klagomålsmail/A 40401-2023 FSC-klagomål mail.docx", "A 40401-2023")</f>
        <v/>
      </c>
      <c r="X1008">
        <f>HYPERLINK("https://klasma.github.io/Logging_2305/tillsyn/A 40401-2023 tillsynsbegäran.docx", "A 40401-2023")</f>
        <v/>
      </c>
      <c r="Y1008">
        <f>HYPERLINK("https://klasma.github.io/Logging_2305/tillsynsmail/A 40401-2023 tillsynsbegäran mail.docx", "A 40401-2023")</f>
        <v/>
      </c>
    </row>
    <row r="1009" ht="15" customHeight="1">
      <c r="A1009" t="inlineStr">
        <is>
          <t>A 40826-2023</t>
        </is>
      </c>
      <c r="B1009" s="1" t="n">
        <v>45171</v>
      </c>
      <c r="C1009" s="1" t="n">
        <v>45363</v>
      </c>
      <c r="D1009" t="inlineStr">
        <is>
          <t>JÄMTLANDS LÄN</t>
        </is>
      </c>
      <c r="E1009" t="inlineStr">
        <is>
          <t>RAGUNDA</t>
        </is>
      </c>
      <c r="F1009" t="inlineStr">
        <is>
          <t>SCA</t>
        </is>
      </c>
      <c r="G1009" t="n">
        <v>4.5</v>
      </c>
      <c r="H1009" t="n">
        <v>0</v>
      </c>
      <c r="I1009" t="n">
        <v>1</v>
      </c>
      <c r="J1009" t="n">
        <v>1</v>
      </c>
      <c r="K1009" t="n">
        <v>0</v>
      </c>
      <c r="L1009" t="n">
        <v>0</v>
      </c>
      <c r="M1009" t="n">
        <v>0</v>
      </c>
      <c r="N1009" t="n">
        <v>0</v>
      </c>
      <c r="O1009" t="n">
        <v>1</v>
      </c>
      <c r="P1009" t="n">
        <v>0</v>
      </c>
      <c r="Q1009" t="n">
        <v>2</v>
      </c>
      <c r="R1009" s="2" t="inlineStr">
        <is>
          <t>Lunglav
Stuplav</t>
        </is>
      </c>
      <c r="S1009">
        <f>HYPERLINK("https://klasma.github.io/Logging_2303/artfynd/A 40826-2023 artfynd.xlsx", "A 40826-2023")</f>
        <v/>
      </c>
      <c r="T1009">
        <f>HYPERLINK("https://klasma.github.io/Logging_2303/kartor/A 40826-2023 karta.png", "A 40826-2023")</f>
        <v/>
      </c>
      <c r="V1009">
        <f>HYPERLINK("https://klasma.github.io/Logging_2303/klagomål/A 40826-2023 FSC-klagomål.docx", "A 40826-2023")</f>
        <v/>
      </c>
      <c r="W1009">
        <f>HYPERLINK("https://klasma.github.io/Logging_2303/klagomålsmail/A 40826-2023 FSC-klagomål mail.docx", "A 40826-2023")</f>
        <v/>
      </c>
      <c r="X1009">
        <f>HYPERLINK("https://klasma.github.io/Logging_2303/tillsyn/A 40826-2023 tillsynsbegäran.docx", "A 40826-2023")</f>
        <v/>
      </c>
      <c r="Y1009">
        <f>HYPERLINK("https://klasma.github.io/Logging_2303/tillsynsmail/A 40826-2023 tillsynsbegäran mail.docx", "A 40826-2023")</f>
        <v/>
      </c>
    </row>
    <row r="1010" ht="15" customHeight="1">
      <c r="A1010" t="inlineStr">
        <is>
          <t>A 41407-2023</t>
        </is>
      </c>
      <c r="B1010" s="1" t="n">
        <v>45174</v>
      </c>
      <c r="C1010" s="1" t="n">
        <v>45363</v>
      </c>
      <c r="D1010" t="inlineStr">
        <is>
          <t>JÄMTLANDS LÄN</t>
        </is>
      </c>
      <c r="E1010" t="inlineStr">
        <is>
          <t>RAGUNDA</t>
        </is>
      </c>
      <c r="F1010" t="inlineStr">
        <is>
          <t>SCA</t>
        </is>
      </c>
      <c r="G1010" t="n">
        <v>1.4</v>
      </c>
      <c r="H1010" t="n">
        <v>0</v>
      </c>
      <c r="I1010" t="n">
        <v>0</v>
      </c>
      <c r="J1010" t="n">
        <v>1</v>
      </c>
      <c r="K1010" t="n">
        <v>1</v>
      </c>
      <c r="L1010" t="n">
        <v>0</v>
      </c>
      <c r="M1010" t="n">
        <v>0</v>
      </c>
      <c r="N1010" t="n">
        <v>0</v>
      </c>
      <c r="O1010" t="n">
        <v>2</v>
      </c>
      <c r="P1010" t="n">
        <v>1</v>
      </c>
      <c r="Q1010" t="n">
        <v>2</v>
      </c>
      <c r="R1010" s="2" t="inlineStr">
        <is>
          <t>Gräddporing
Dvärgbägarlav</t>
        </is>
      </c>
      <c r="S1010">
        <f>HYPERLINK("https://klasma.github.io/Logging_2303/artfynd/A 41407-2023 artfynd.xlsx", "A 41407-2023")</f>
        <v/>
      </c>
      <c r="T1010">
        <f>HYPERLINK("https://klasma.github.io/Logging_2303/kartor/A 41407-2023 karta.png", "A 41407-2023")</f>
        <v/>
      </c>
      <c r="V1010">
        <f>HYPERLINK("https://klasma.github.io/Logging_2303/klagomål/A 41407-2023 FSC-klagomål.docx", "A 41407-2023")</f>
        <v/>
      </c>
      <c r="W1010">
        <f>HYPERLINK("https://klasma.github.io/Logging_2303/klagomålsmail/A 41407-2023 FSC-klagomål mail.docx", "A 41407-2023")</f>
        <v/>
      </c>
      <c r="X1010">
        <f>HYPERLINK("https://klasma.github.io/Logging_2303/tillsyn/A 41407-2023 tillsynsbegäran.docx", "A 41407-2023")</f>
        <v/>
      </c>
      <c r="Y1010">
        <f>HYPERLINK("https://klasma.github.io/Logging_2303/tillsynsmail/A 41407-2023 tillsynsbegäran mail.docx", "A 41407-2023")</f>
        <v/>
      </c>
    </row>
    <row r="1011" ht="15" customHeight="1">
      <c r="A1011" t="inlineStr">
        <is>
          <t>A 41648-2023</t>
        </is>
      </c>
      <c r="B1011" s="1" t="n">
        <v>45175</v>
      </c>
      <c r="C1011" s="1" t="n">
        <v>45363</v>
      </c>
      <c r="D1011" t="inlineStr">
        <is>
          <t>JÄMTLANDS LÄN</t>
        </is>
      </c>
      <c r="E1011" t="inlineStr">
        <is>
          <t>BRÄCKE</t>
        </is>
      </c>
      <c r="F1011" t="inlineStr">
        <is>
          <t>SCA</t>
        </is>
      </c>
      <c r="G1011" t="n">
        <v>6.7</v>
      </c>
      <c r="H1011" t="n">
        <v>1</v>
      </c>
      <c r="I1011" t="n">
        <v>0</v>
      </c>
      <c r="J1011" t="n">
        <v>1</v>
      </c>
      <c r="K1011" t="n">
        <v>1</v>
      </c>
      <c r="L1011" t="n">
        <v>0</v>
      </c>
      <c r="M1011" t="n">
        <v>0</v>
      </c>
      <c r="N1011" t="n">
        <v>0</v>
      </c>
      <c r="O1011" t="n">
        <v>2</v>
      </c>
      <c r="P1011" t="n">
        <v>1</v>
      </c>
      <c r="Q1011" t="n">
        <v>2</v>
      </c>
      <c r="R1011" s="2" t="inlineStr">
        <is>
          <t>Knärot
Flattoppad klubbsvamp</t>
        </is>
      </c>
      <c r="S1011">
        <f>HYPERLINK("https://klasma.github.io/Logging_2305/artfynd/A 41648-2023 artfynd.xlsx", "A 41648-2023")</f>
        <v/>
      </c>
      <c r="T1011">
        <f>HYPERLINK("https://klasma.github.io/Logging_2305/kartor/A 41648-2023 karta.png", "A 41648-2023")</f>
        <v/>
      </c>
      <c r="U1011">
        <f>HYPERLINK("https://klasma.github.io/Logging_2305/knärot/A 41648-2023 karta knärot.png", "A 41648-2023")</f>
        <v/>
      </c>
      <c r="V1011">
        <f>HYPERLINK("https://klasma.github.io/Logging_2305/klagomål/A 41648-2023 FSC-klagomål.docx", "A 41648-2023")</f>
        <v/>
      </c>
      <c r="W1011">
        <f>HYPERLINK("https://klasma.github.io/Logging_2305/klagomålsmail/A 41648-2023 FSC-klagomål mail.docx", "A 41648-2023")</f>
        <v/>
      </c>
      <c r="X1011">
        <f>HYPERLINK("https://klasma.github.io/Logging_2305/tillsyn/A 41648-2023 tillsynsbegäran.docx", "A 41648-2023")</f>
        <v/>
      </c>
      <c r="Y1011">
        <f>HYPERLINK("https://klasma.github.io/Logging_2305/tillsynsmail/A 41648-2023 tillsynsbegäran mail.docx", "A 41648-2023")</f>
        <v/>
      </c>
    </row>
    <row r="1012" ht="15" customHeight="1">
      <c r="A1012" t="inlineStr">
        <is>
          <t>A 43232-2023</t>
        </is>
      </c>
      <c r="B1012" s="1" t="n">
        <v>45180</v>
      </c>
      <c r="C1012" s="1" t="n">
        <v>45363</v>
      </c>
      <c r="D1012" t="inlineStr">
        <is>
          <t>JÄMTLANDS LÄN</t>
        </is>
      </c>
      <c r="E1012" t="inlineStr">
        <is>
          <t>RAGUNDA</t>
        </is>
      </c>
      <c r="G1012" t="n">
        <v>7.9</v>
      </c>
      <c r="H1012" t="n">
        <v>0</v>
      </c>
      <c r="I1012" t="n">
        <v>0</v>
      </c>
      <c r="J1012" t="n">
        <v>2</v>
      </c>
      <c r="K1012" t="n">
        <v>0</v>
      </c>
      <c r="L1012" t="n">
        <v>0</v>
      </c>
      <c r="M1012" t="n">
        <v>0</v>
      </c>
      <c r="N1012" t="n">
        <v>0</v>
      </c>
      <c r="O1012" t="n">
        <v>2</v>
      </c>
      <c r="P1012" t="n">
        <v>0</v>
      </c>
      <c r="Q1012" t="n">
        <v>2</v>
      </c>
      <c r="R1012" s="2" t="inlineStr">
        <is>
          <t>Garnlav
Ullticka</t>
        </is>
      </c>
      <c r="S1012">
        <f>HYPERLINK("https://klasma.github.io/Logging_2303/artfynd/A 43232-2023 artfynd.xlsx", "A 43232-2023")</f>
        <v/>
      </c>
      <c r="T1012">
        <f>HYPERLINK("https://klasma.github.io/Logging_2303/kartor/A 43232-2023 karta.png", "A 43232-2023")</f>
        <v/>
      </c>
      <c r="V1012">
        <f>HYPERLINK("https://klasma.github.io/Logging_2303/klagomål/A 43232-2023 FSC-klagomål.docx", "A 43232-2023")</f>
        <v/>
      </c>
      <c r="W1012">
        <f>HYPERLINK("https://klasma.github.io/Logging_2303/klagomålsmail/A 43232-2023 FSC-klagomål mail.docx", "A 43232-2023")</f>
        <v/>
      </c>
      <c r="X1012">
        <f>HYPERLINK("https://klasma.github.io/Logging_2303/tillsyn/A 43232-2023 tillsynsbegäran.docx", "A 43232-2023")</f>
        <v/>
      </c>
      <c r="Y1012">
        <f>HYPERLINK("https://klasma.github.io/Logging_2303/tillsynsmail/A 43232-2023 tillsynsbegäran mail.docx", "A 43232-2023")</f>
        <v/>
      </c>
    </row>
    <row r="1013" ht="15" customHeight="1">
      <c r="A1013" t="inlineStr">
        <is>
          <t>A 43127-2023</t>
        </is>
      </c>
      <c r="B1013" s="1" t="n">
        <v>45182</v>
      </c>
      <c r="C1013" s="1" t="n">
        <v>45363</v>
      </c>
      <c r="D1013" t="inlineStr">
        <is>
          <t>JÄMTLANDS LÄN</t>
        </is>
      </c>
      <c r="E1013" t="inlineStr">
        <is>
          <t>BRÄCKE</t>
        </is>
      </c>
      <c r="F1013" t="inlineStr">
        <is>
          <t>Naturvårdsverket</t>
        </is>
      </c>
      <c r="G1013" t="n">
        <v>1.7</v>
      </c>
      <c r="H1013" t="n">
        <v>0</v>
      </c>
      <c r="I1013" t="n">
        <v>0</v>
      </c>
      <c r="J1013" t="n">
        <v>2</v>
      </c>
      <c r="K1013" t="n">
        <v>0</v>
      </c>
      <c r="L1013" t="n">
        <v>0</v>
      </c>
      <c r="M1013" t="n">
        <v>0</v>
      </c>
      <c r="N1013" t="n">
        <v>0</v>
      </c>
      <c r="O1013" t="n">
        <v>2</v>
      </c>
      <c r="P1013" t="n">
        <v>0</v>
      </c>
      <c r="Q1013" t="n">
        <v>2</v>
      </c>
      <c r="R1013" s="2" t="inlineStr">
        <is>
          <t>Granticka
Vedskivlav</t>
        </is>
      </c>
      <c r="S1013">
        <f>HYPERLINK("https://klasma.github.io/Logging_2305/artfynd/A 43127-2023 artfynd.xlsx", "A 43127-2023")</f>
        <v/>
      </c>
      <c r="T1013">
        <f>HYPERLINK("https://klasma.github.io/Logging_2305/kartor/A 43127-2023 karta.png", "A 43127-2023")</f>
        <v/>
      </c>
      <c r="V1013">
        <f>HYPERLINK("https://klasma.github.io/Logging_2305/klagomål/A 43127-2023 FSC-klagomål.docx", "A 43127-2023")</f>
        <v/>
      </c>
      <c r="W1013">
        <f>HYPERLINK("https://klasma.github.io/Logging_2305/klagomålsmail/A 43127-2023 FSC-klagomål mail.docx", "A 43127-2023")</f>
        <v/>
      </c>
      <c r="X1013">
        <f>HYPERLINK("https://klasma.github.io/Logging_2305/tillsyn/A 43127-2023 tillsynsbegäran.docx", "A 43127-2023")</f>
        <v/>
      </c>
      <c r="Y1013">
        <f>HYPERLINK("https://klasma.github.io/Logging_2305/tillsynsmail/A 43127-2023 tillsynsbegäran mail.docx", "A 43127-2023")</f>
        <v/>
      </c>
    </row>
    <row r="1014" ht="15" customHeight="1">
      <c r="A1014" t="inlineStr">
        <is>
          <t>A 44409-2023</t>
        </is>
      </c>
      <c r="B1014" s="1" t="n">
        <v>45188</v>
      </c>
      <c r="C1014" s="1" t="n">
        <v>45363</v>
      </c>
      <c r="D1014" t="inlineStr">
        <is>
          <t>JÄMTLANDS LÄN</t>
        </is>
      </c>
      <c r="E1014" t="inlineStr">
        <is>
          <t>RAGUNDA</t>
        </is>
      </c>
      <c r="F1014" t="inlineStr">
        <is>
          <t>SCA</t>
        </is>
      </c>
      <c r="G1014" t="n">
        <v>2.5</v>
      </c>
      <c r="H1014" t="n">
        <v>0</v>
      </c>
      <c r="I1014" t="n">
        <v>1</v>
      </c>
      <c r="J1014" t="n">
        <v>1</v>
      </c>
      <c r="K1014" t="n">
        <v>0</v>
      </c>
      <c r="L1014" t="n">
        <v>0</v>
      </c>
      <c r="M1014" t="n">
        <v>0</v>
      </c>
      <c r="N1014" t="n">
        <v>0</v>
      </c>
      <c r="O1014" t="n">
        <v>1</v>
      </c>
      <c r="P1014" t="n">
        <v>0</v>
      </c>
      <c r="Q1014" t="n">
        <v>2</v>
      </c>
      <c r="R1014" s="2" t="inlineStr">
        <is>
          <t>Garnlav
Norrlandslav</t>
        </is>
      </c>
      <c r="S1014">
        <f>HYPERLINK("https://klasma.github.io/Logging_2303/artfynd/A 44409-2023 artfynd.xlsx", "A 44409-2023")</f>
        <v/>
      </c>
      <c r="T1014">
        <f>HYPERLINK("https://klasma.github.io/Logging_2303/kartor/A 44409-2023 karta.png", "A 44409-2023")</f>
        <v/>
      </c>
      <c r="V1014">
        <f>HYPERLINK("https://klasma.github.io/Logging_2303/klagomål/A 44409-2023 FSC-klagomål.docx", "A 44409-2023")</f>
        <v/>
      </c>
      <c r="W1014">
        <f>HYPERLINK("https://klasma.github.io/Logging_2303/klagomålsmail/A 44409-2023 FSC-klagomål mail.docx", "A 44409-2023")</f>
        <v/>
      </c>
      <c r="X1014">
        <f>HYPERLINK("https://klasma.github.io/Logging_2303/tillsyn/A 44409-2023 tillsynsbegäran.docx", "A 44409-2023")</f>
        <v/>
      </c>
      <c r="Y1014">
        <f>HYPERLINK("https://klasma.github.io/Logging_2303/tillsynsmail/A 44409-2023 tillsynsbegäran mail.docx", "A 44409-2023")</f>
        <v/>
      </c>
    </row>
    <row r="1015" ht="15" customHeight="1">
      <c r="A1015" t="inlineStr">
        <is>
          <t>A 44413-2023</t>
        </is>
      </c>
      <c r="B1015" s="1" t="n">
        <v>45188</v>
      </c>
      <c r="C1015" s="1" t="n">
        <v>45363</v>
      </c>
      <c r="D1015" t="inlineStr">
        <is>
          <t>JÄMTLANDS LÄN</t>
        </is>
      </c>
      <c r="E1015" t="inlineStr">
        <is>
          <t>STRÖMSUND</t>
        </is>
      </c>
      <c r="F1015" t="inlineStr">
        <is>
          <t>SCA</t>
        </is>
      </c>
      <c r="G1015" t="n">
        <v>2</v>
      </c>
      <c r="H1015" t="n">
        <v>1</v>
      </c>
      <c r="I1015" t="n">
        <v>1</v>
      </c>
      <c r="J1015" t="n">
        <v>1</v>
      </c>
      <c r="K1015" t="n">
        <v>0</v>
      </c>
      <c r="L1015" t="n">
        <v>0</v>
      </c>
      <c r="M1015" t="n">
        <v>0</v>
      </c>
      <c r="N1015" t="n">
        <v>0</v>
      </c>
      <c r="O1015" t="n">
        <v>1</v>
      </c>
      <c r="P1015" t="n">
        <v>0</v>
      </c>
      <c r="Q1015" t="n">
        <v>2</v>
      </c>
      <c r="R1015" s="2" t="inlineStr">
        <is>
          <t>Gammelgransskål
Korallrot</t>
        </is>
      </c>
      <c r="S1015">
        <f>HYPERLINK("https://klasma.github.io/Logging_2313/artfynd/A 44413-2023 artfynd.xlsx", "A 44413-2023")</f>
        <v/>
      </c>
      <c r="T1015">
        <f>HYPERLINK("https://klasma.github.io/Logging_2313/kartor/A 44413-2023 karta.png", "A 44413-2023")</f>
        <v/>
      </c>
      <c r="V1015">
        <f>HYPERLINK("https://klasma.github.io/Logging_2313/klagomål/A 44413-2023 FSC-klagomål.docx", "A 44413-2023")</f>
        <v/>
      </c>
      <c r="W1015">
        <f>HYPERLINK("https://klasma.github.io/Logging_2313/klagomålsmail/A 44413-2023 FSC-klagomål mail.docx", "A 44413-2023")</f>
        <v/>
      </c>
      <c r="X1015">
        <f>HYPERLINK("https://klasma.github.io/Logging_2313/tillsyn/A 44413-2023 tillsynsbegäran.docx", "A 44413-2023")</f>
        <v/>
      </c>
      <c r="Y1015">
        <f>HYPERLINK("https://klasma.github.io/Logging_2313/tillsynsmail/A 44413-2023 tillsynsbegäran mail.docx", "A 44413-2023")</f>
        <v/>
      </c>
    </row>
    <row r="1016" ht="15" customHeight="1">
      <c r="A1016" t="inlineStr">
        <is>
          <t>A 45979-2023</t>
        </is>
      </c>
      <c r="B1016" s="1" t="n">
        <v>45189</v>
      </c>
      <c r="C1016" s="1" t="n">
        <v>45363</v>
      </c>
      <c r="D1016" t="inlineStr">
        <is>
          <t>JÄMTLANDS LÄN</t>
        </is>
      </c>
      <c r="E1016" t="inlineStr">
        <is>
          <t>ÖSTERSUND</t>
        </is>
      </c>
      <c r="G1016" t="n">
        <v>3.3</v>
      </c>
      <c r="H1016" t="n">
        <v>0</v>
      </c>
      <c r="I1016" t="n">
        <v>1</v>
      </c>
      <c r="J1016" t="n">
        <v>0</v>
      </c>
      <c r="K1016" t="n">
        <v>0</v>
      </c>
      <c r="L1016" t="n">
        <v>1</v>
      </c>
      <c r="M1016" t="n">
        <v>0</v>
      </c>
      <c r="N1016" t="n">
        <v>0</v>
      </c>
      <c r="O1016" t="n">
        <v>1</v>
      </c>
      <c r="P1016" t="n">
        <v>1</v>
      </c>
      <c r="Q1016" t="n">
        <v>2</v>
      </c>
      <c r="R1016" s="2" t="inlineStr">
        <is>
          <t>Trolldruvemätare
Svart trolldruva</t>
        </is>
      </c>
      <c r="S1016">
        <f>HYPERLINK("https://klasma.github.io/Logging_2380/artfynd/A 45979-2023 artfynd.xlsx", "A 45979-2023")</f>
        <v/>
      </c>
      <c r="T1016">
        <f>HYPERLINK("https://klasma.github.io/Logging_2380/kartor/A 45979-2023 karta.png", "A 45979-2023")</f>
        <v/>
      </c>
      <c r="V1016">
        <f>HYPERLINK("https://klasma.github.io/Logging_2380/klagomål/A 45979-2023 FSC-klagomål.docx", "A 45979-2023")</f>
        <v/>
      </c>
      <c r="W1016">
        <f>HYPERLINK("https://klasma.github.io/Logging_2380/klagomålsmail/A 45979-2023 FSC-klagomål mail.docx", "A 45979-2023")</f>
        <v/>
      </c>
      <c r="X1016">
        <f>HYPERLINK("https://klasma.github.io/Logging_2380/tillsyn/A 45979-2023 tillsynsbegäran.docx", "A 45979-2023")</f>
        <v/>
      </c>
      <c r="Y1016">
        <f>HYPERLINK("https://klasma.github.io/Logging_2380/tillsynsmail/A 45979-2023 tillsynsbegäran mail.docx", "A 45979-2023")</f>
        <v/>
      </c>
    </row>
    <row r="1017" ht="15" customHeight="1">
      <c r="A1017" t="inlineStr">
        <is>
          <t>A 45012-2023</t>
        </is>
      </c>
      <c r="B1017" s="1" t="n">
        <v>45190</v>
      </c>
      <c r="C1017" s="1" t="n">
        <v>45363</v>
      </c>
      <c r="D1017" t="inlineStr">
        <is>
          <t>JÄMTLANDS LÄN</t>
        </is>
      </c>
      <c r="E1017" t="inlineStr">
        <is>
          <t>BRÄCKE</t>
        </is>
      </c>
      <c r="G1017" t="n">
        <v>2.6</v>
      </c>
      <c r="H1017" t="n">
        <v>0</v>
      </c>
      <c r="I1017" t="n">
        <v>1</v>
      </c>
      <c r="J1017" t="n">
        <v>1</v>
      </c>
      <c r="K1017" t="n">
        <v>0</v>
      </c>
      <c r="L1017" t="n">
        <v>0</v>
      </c>
      <c r="M1017" t="n">
        <v>0</v>
      </c>
      <c r="N1017" t="n">
        <v>0</v>
      </c>
      <c r="O1017" t="n">
        <v>1</v>
      </c>
      <c r="P1017" t="n">
        <v>0</v>
      </c>
      <c r="Q1017" t="n">
        <v>2</v>
      </c>
      <c r="R1017" s="2" t="inlineStr">
        <is>
          <t>Dvärgbägarlav
Skinnlav</t>
        </is>
      </c>
      <c r="S1017">
        <f>HYPERLINK("https://klasma.github.io/Logging_2305/artfynd/A 45012-2023 artfynd.xlsx", "A 45012-2023")</f>
        <v/>
      </c>
      <c r="T1017">
        <f>HYPERLINK("https://klasma.github.io/Logging_2305/kartor/A 45012-2023 karta.png", "A 45012-2023")</f>
        <v/>
      </c>
      <c r="V1017">
        <f>HYPERLINK("https://klasma.github.io/Logging_2305/klagomål/A 45012-2023 FSC-klagomål.docx", "A 45012-2023")</f>
        <v/>
      </c>
      <c r="W1017">
        <f>HYPERLINK("https://klasma.github.io/Logging_2305/klagomålsmail/A 45012-2023 FSC-klagomål mail.docx", "A 45012-2023")</f>
        <v/>
      </c>
      <c r="X1017">
        <f>HYPERLINK("https://klasma.github.io/Logging_2305/tillsyn/A 45012-2023 tillsynsbegäran.docx", "A 45012-2023")</f>
        <v/>
      </c>
      <c r="Y1017">
        <f>HYPERLINK("https://klasma.github.io/Logging_2305/tillsynsmail/A 45012-2023 tillsynsbegäran mail.docx", "A 45012-2023")</f>
        <v/>
      </c>
    </row>
    <row r="1018" ht="15" customHeight="1">
      <c r="A1018" t="inlineStr">
        <is>
          <t>A 44993-2023</t>
        </is>
      </c>
      <c r="B1018" s="1" t="n">
        <v>45190</v>
      </c>
      <c r="C1018" s="1" t="n">
        <v>45363</v>
      </c>
      <c r="D1018" t="inlineStr">
        <is>
          <t>JÄMTLANDS LÄN</t>
        </is>
      </c>
      <c r="E1018" t="inlineStr">
        <is>
          <t>BRÄCKE</t>
        </is>
      </c>
      <c r="F1018" t="inlineStr">
        <is>
          <t>Naturvårdsverket</t>
        </is>
      </c>
      <c r="G1018" t="n">
        <v>7.1</v>
      </c>
      <c r="H1018" t="n">
        <v>0</v>
      </c>
      <c r="I1018" t="n">
        <v>0</v>
      </c>
      <c r="J1018" t="n">
        <v>2</v>
      </c>
      <c r="K1018" t="n">
        <v>0</v>
      </c>
      <c r="L1018" t="n">
        <v>0</v>
      </c>
      <c r="M1018" t="n">
        <v>0</v>
      </c>
      <c r="N1018" t="n">
        <v>0</v>
      </c>
      <c r="O1018" t="n">
        <v>2</v>
      </c>
      <c r="P1018" t="n">
        <v>0</v>
      </c>
      <c r="Q1018" t="n">
        <v>2</v>
      </c>
      <c r="R1018" s="2" t="inlineStr">
        <is>
          <t>Blå taggsvamp
Skrovlig taggsvamp</t>
        </is>
      </c>
      <c r="S1018">
        <f>HYPERLINK("https://klasma.github.io/Logging_2305/artfynd/A 44993-2023 artfynd.xlsx", "A 44993-2023")</f>
        <v/>
      </c>
      <c r="T1018">
        <f>HYPERLINK("https://klasma.github.io/Logging_2305/kartor/A 44993-2023 karta.png", "A 44993-2023")</f>
        <v/>
      </c>
      <c r="V1018">
        <f>HYPERLINK("https://klasma.github.io/Logging_2305/klagomål/A 44993-2023 FSC-klagomål.docx", "A 44993-2023")</f>
        <v/>
      </c>
      <c r="W1018">
        <f>HYPERLINK("https://klasma.github.io/Logging_2305/klagomålsmail/A 44993-2023 FSC-klagomål mail.docx", "A 44993-2023")</f>
        <v/>
      </c>
      <c r="X1018">
        <f>HYPERLINK("https://klasma.github.io/Logging_2305/tillsyn/A 44993-2023 tillsynsbegäran.docx", "A 44993-2023")</f>
        <v/>
      </c>
      <c r="Y1018">
        <f>HYPERLINK("https://klasma.github.io/Logging_2305/tillsynsmail/A 44993-2023 tillsynsbegäran mail.docx", "A 44993-2023")</f>
        <v/>
      </c>
    </row>
    <row r="1019" ht="15" customHeight="1">
      <c r="A1019" t="inlineStr">
        <is>
          <t>A 45021-2023</t>
        </is>
      </c>
      <c r="B1019" s="1" t="n">
        <v>45190</v>
      </c>
      <c r="C1019" s="1" t="n">
        <v>45363</v>
      </c>
      <c r="D1019" t="inlineStr">
        <is>
          <t>JÄMTLANDS LÄN</t>
        </is>
      </c>
      <c r="E1019" t="inlineStr">
        <is>
          <t>RAGUNDA</t>
        </is>
      </c>
      <c r="F1019" t="inlineStr">
        <is>
          <t>SCA</t>
        </is>
      </c>
      <c r="G1019" t="n">
        <v>1.6</v>
      </c>
      <c r="H1019" t="n">
        <v>1</v>
      </c>
      <c r="I1019" t="n">
        <v>0</v>
      </c>
      <c r="J1019" t="n">
        <v>1</v>
      </c>
      <c r="K1019" t="n">
        <v>0</v>
      </c>
      <c r="L1019" t="n">
        <v>0</v>
      </c>
      <c r="M1019" t="n">
        <v>0</v>
      </c>
      <c r="N1019" t="n">
        <v>0</v>
      </c>
      <c r="O1019" t="n">
        <v>1</v>
      </c>
      <c r="P1019" t="n">
        <v>0</v>
      </c>
      <c r="Q1019" t="n">
        <v>2</v>
      </c>
      <c r="R1019" s="2" t="inlineStr">
        <is>
          <t>Lunglav
Fläcknycklar</t>
        </is>
      </c>
      <c r="S1019">
        <f>HYPERLINK("https://klasma.github.io/Logging_2303/artfynd/A 45021-2023 artfynd.xlsx", "A 45021-2023")</f>
        <v/>
      </c>
      <c r="T1019">
        <f>HYPERLINK("https://klasma.github.io/Logging_2303/kartor/A 45021-2023 karta.png", "A 45021-2023")</f>
        <v/>
      </c>
      <c r="V1019">
        <f>HYPERLINK("https://klasma.github.io/Logging_2303/klagomål/A 45021-2023 FSC-klagomål.docx", "A 45021-2023")</f>
        <v/>
      </c>
      <c r="W1019">
        <f>HYPERLINK("https://klasma.github.io/Logging_2303/klagomålsmail/A 45021-2023 FSC-klagomål mail.docx", "A 45021-2023")</f>
        <v/>
      </c>
      <c r="X1019">
        <f>HYPERLINK("https://klasma.github.io/Logging_2303/tillsyn/A 45021-2023 tillsynsbegäran.docx", "A 45021-2023")</f>
        <v/>
      </c>
      <c r="Y1019">
        <f>HYPERLINK("https://klasma.github.io/Logging_2303/tillsynsmail/A 45021-2023 tillsynsbegäran mail.docx", "A 45021-2023")</f>
        <v/>
      </c>
    </row>
    <row r="1020" ht="15" customHeight="1">
      <c r="A1020" t="inlineStr">
        <is>
          <t>A 45035-2023</t>
        </is>
      </c>
      <c r="B1020" s="1" t="n">
        <v>45191</v>
      </c>
      <c r="C1020" s="1" t="n">
        <v>45363</v>
      </c>
      <c r="D1020" t="inlineStr">
        <is>
          <t>JÄMTLANDS LÄN</t>
        </is>
      </c>
      <c r="E1020" t="inlineStr">
        <is>
          <t>RAGUNDA</t>
        </is>
      </c>
      <c r="G1020" t="n">
        <v>2.9</v>
      </c>
      <c r="H1020" t="n">
        <v>0</v>
      </c>
      <c r="I1020" t="n">
        <v>1</v>
      </c>
      <c r="J1020" t="n">
        <v>1</v>
      </c>
      <c r="K1020" t="n">
        <v>0</v>
      </c>
      <c r="L1020" t="n">
        <v>0</v>
      </c>
      <c r="M1020" t="n">
        <v>0</v>
      </c>
      <c r="N1020" t="n">
        <v>0</v>
      </c>
      <c r="O1020" t="n">
        <v>1</v>
      </c>
      <c r="P1020" t="n">
        <v>0</v>
      </c>
      <c r="Q1020" t="n">
        <v>2</v>
      </c>
      <c r="R1020" s="2" t="inlineStr">
        <is>
          <t>Lunglav
Korallblylav</t>
        </is>
      </c>
      <c r="S1020">
        <f>HYPERLINK("https://klasma.github.io/Logging_2303/artfynd/A 45035-2023 artfynd.xlsx", "A 45035-2023")</f>
        <v/>
      </c>
      <c r="T1020">
        <f>HYPERLINK("https://klasma.github.io/Logging_2303/kartor/A 45035-2023 karta.png", "A 45035-2023")</f>
        <v/>
      </c>
      <c r="V1020">
        <f>HYPERLINK("https://klasma.github.io/Logging_2303/klagomål/A 45035-2023 FSC-klagomål.docx", "A 45035-2023")</f>
        <v/>
      </c>
      <c r="W1020">
        <f>HYPERLINK("https://klasma.github.io/Logging_2303/klagomålsmail/A 45035-2023 FSC-klagomål mail.docx", "A 45035-2023")</f>
        <v/>
      </c>
      <c r="X1020">
        <f>HYPERLINK("https://klasma.github.io/Logging_2303/tillsyn/A 45035-2023 tillsynsbegäran.docx", "A 45035-2023")</f>
        <v/>
      </c>
      <c r="Y1020">
        <f>HYPERLINK("https://klasma.github.io/Logging_2303/tillsynsmail/A 45035-2023 tillsynsbegäran mail.docx", "A 45035-2023")</f>
        <v/>
      </c>
    </row>
    <row r="1021" ht="15" customHeight="1">
      <c r="A1021" t="inlineStr">
        <is>
          <t>A 45191-2023</t>
        </is>
      </c>
      <c r="B1021" s="1" t="n">
        <v>45191</v>
      </c>
      <c r="C1021" s="1" t="n">
        <v>45363</v>
      </c>
      <c r="D1021" t="inlineStr">
        <is>
          <t>JÄMTLANDS LÄN</t>
        </is>
      </c>
      <c r="E1021" t="inlineStr">
        <is>
          <t>HÄRJEDALEN</t>
        </is>
      </c>
      <c r="F1021" t="inlineStr">
        <is>
          <t>Sveaskog</t>
        </is>
      </c>
      <c r="G1021" t="n">
        <v>2.4</v>
      </c>
      <c r="H1021" t="n">
        <v>0</v>
      </c>
      <c r="I1021" t="n">
        <v>0</v>
      </c>
      <c r="J1021" t="n">
        <v>2</v>
      </c>
      <c r="K1021" t="n">
        <v>0</v>
      </c>
      <c r="L1021" t="n">
        <v>0</v>
      </c>
      <c r="M1021" t="n">
        <v>0</v>
      </c>
      <c r="N1021" t="n">
        <v>0</v>
      </c>
      <c r="O1021" t="n">
        <v>2</v>
      </c>
      <c r="P1021" t="n">
        <v>0</v>
      </c>
      <c r="Q1021" t="n">
        <v>2</v>
      </c>
      <c r="R1021" s="2" t="inlineStr">
        <is>
          <t>Kolflarnlav
Mörk kolflarnlav</t>
        </is>
      </c>
      <c r="S1021">
        <f>HYPERLINK("https://klasma.github.io/Logging_2361/artfynd/A 45191-2023 artfynd.xlsx", "A 45191-2023")</f>
        <v/>
      </c>
      <c r="T1021">
        <f>HYPERLINK("https://klasma.github.io/Logging_2361/kartor/A 45191-2023 karta.png", "A 45191-2023")</f>
        <v/>
      </c>
      <c r="V1021">
        <f>HYPERLINK("https://klasma.github.io/Logging_2361/klagomål/A 45191-2023 FSC-klagomål.docx", "A 45191-2023")</f>
        <v/>
      </c>
      <c r="W1021">
        <f>HYPERLINK("https://klasma.github.io/Logging_2361/klagomålsmail/A 45191-2023 FSC-klagomål mail.docx", "A 45191-2023")</f>
        <v/>
      </c>
      <c r="X1021">
        <f>HYPERLINK("https://klasma.github.io/Logging_2361/tillsyn/A 45191-2023 tillsynsbegäran.docx", "A 45191-2023")</f>
        <v/>
      </c>
      <c r="Y1021">
        <f>HYPERLINK("https://klasma.github.io/Logging_2361/tillsynsmail/A 45191-2023 tillsynsbegäran mail.docx", "A 45191-2023")</f>
        <v/>
      </c>
    </row>
    <row r="1022" ht="15" customHeight="1">
      <c r="A1022" t="inlineStr">
        <is>
          <t>A 47295-2023</t>
        </is>
      </c>
      <c r="B1022" s="1" t="n">
        <v>45196</v>
      </c>
      <c r="C1022" s="1" t="n">
        <v>45363</v>
      </c>
      <c r="D1022" t="inlineStr">
        <is>
          <t>JÄMTLANDS LÄN</t>
        </is>
      </c>
      <c r="E1022" t="inlineStr">
        <is>
          <t>BRÄCKE</t>
        </is>
      </c>
      <c r="F1022" t="inlineStr">
        <is>
          <t>SCA</t>
        </is>
      </c>
      <c r="G1022" t="n">
        <v>11.4</v>
      </c>
      <c r="H1022" t="n">
        <v>1</v>
      </c>
      <c r="I1022" t="n">
        <v>0</v>
      </c>
      <c r="J1022" t="n">
        <v>1</v>
      </c>
      <c r="K1022" t="n">
        <v>1</v>
      </c>
      <c r="L1022" t="n">
        <v>0</v>
      </c>
      <c r="M1022" t="n">
        <v>0</v>
      </c>
      <c r="N1022" t="n">
        <v>0</v>
      </c>
      <c r="O1022" t="n">
        <v>2</v>
      </c>
      <c r="P1022" t="n">
        <v>1</v>
      </c>
      <c r="Q1022" t="n">
        <v>2</v>
      </c>
      <c r="R1022" s="2" t="inlineStr">
        <is>
          <t>Knärot
Lunglav</t>
        </is>
      </c>
      <c r="S1022">
        <f>HYPERLINK("https://klasma.github.io/Logging_2305/artfynd/A 47295-2023 artfynd.xlsx", "A 47295-2023")</f>
        <v/>
      </c>
      <c r="T1022">
        <f>HYPERLINK("https://klasma.github.io/Logging_2305/kartor/A 47295-2023 karta.png", "A 47295-2023")</f>
        <v/>
      </c>
      <c r="U1022">
        <f>HYPERLINK("https://klasma.github.io/Logging_2305/knärot/A 47295-2023 karta knärot.png", "A 47295-2023")</f>
        <v/>
      </c>
      <c r="V1022">
        <f>HYPERLINK("https://klasma.github.io/Logging_2305/klagomål/A 47295-2023 FSC-klagomål.docx", "A 47295-2023")</f>
        <v/>
      </c>
      <c r="W1022">
        <f>HYPERLINK("https://klasma.github.io/Logging_2305/klagomålsmail/A 47295-2023 FSC-klagomål mail.docx", "A 47295-2023")</f>
        <v/>
      </c>
      <c r="X1022">
        <f>HYPERLINK("https://klasma.github.io/Logging_2305/tillsyn/A 47295-2023 tillsynsbegäran.docx", "A 47295-2023")</f>
        <v/>
      </c>
      <c r="Y1022">
        <f>HYPERLINK("https://klasma.github.io/Logging_2305/tillsynsmail/A 47295-2023 tillsynsbegäran mail.docx", "A 47295-2023")</f>
        <v/>
      </c>
    </row>
    <row r="1023" ht="15" customHeight="1">
      <c r="A1023" t="inlineStr">
        <is>
          <t>A 47498-2023</t>
        </is>
      </c>
      <c r="B1023" s="1" t="n">
        <v>45202</v>
      </c>
      <c r="C1023" s="1" t="n">
        <v>45363</v>
      </c>
      <c r="D1023" t="inlineStr">
        <is>
          <t>JÄMTLANDS LÄN</t>
        </is>
      </c>
      <c r="E1023" t="inlineStr">
        <is>
          <t>BRÄCKE</t>
        </is>
      </c>
      <c r="F1023" t="inlineStr">
        <is>
          <t>SCA</t>
        </is>
      </c>
      <c r="G1023" t="n">
        <v>6.1</v>
      </c>
      <c r="H1023" t="n">
        <v>1</v>
      </c>
      <c r="I1023" t="n">
        <v>1</v>
      </c>
      <c r="J1023" t="n">
        <v>0</v>
      </c>
      <c r="K1023" t="n">
        <v>1</v>
      </c>
      <c r="L1023" t="n">
        <v>0</v>
      </c>
      <c r="M1023" t="n">
        <v>0</v>
      </c>
      <c r="N1023" t="n">
        <v>0</v>
      </c>
      <c r="O1023" t="n">
        <v>1</v>
      </c>
      <c r="P1023" t="n">
        <v>1</v>
      </c>
      <c r="Q1023" t="n">
        <v>2</v>
      </c>
      <c r="R1023" s="2" t="inlineStr">
        <is>
          <t>Bandnate
Guckusko</t>
        </is>
      </c>
      <c r="S1023">
        <f>HYPERLINK("https://klasma.github.io/Logging_2305/artfynd/A 47498-2023 artfynd.xlsx", "A 47498-2023")</f>
        <v/>
      </c>
      <c r="T1023">
        <f>HYPERLINK("https://klasma.github.io/Logging_2305/kartor/A 47498-2023 karta.png", "A 47498-2023")</f>
        <v/>
      </c>
      <c r="V1023">
        <f>HYPERLINK("https://klasma.github.io/Logging_2305/klagomål/A 47498-2023 FSC-klagomål.docx", "A 47498-2023")</f>
        <v/>
      </c>
      <c r="W1023">
        <f>HYPERLINK("https://klasma.github.io/Logging_2305/klagomålsmail/A 47498-2023 FSC-klagomål mail.docx", "A 47498-2023")</f>
        <v/>
      </c>
      <c r="X1023">
        <f>HYPERLINK("https://klasma.github.io/Logging_2305/tillsyn/A 47498-2023 tillsynsbegäran.docx", "A 47498-2023")</f>
        <v/>
      </c>
      <c r="Y1023">
        <f>HYPERLINK("https://klasma.github.io/Logging_2305/tillsynsmail/A 47498-2023 tillsynsbegäran mail.docx", "A 47498-2023")</f>
        <v/>
      </c>
    </row>
    <row r="1024" ht="15" customHeight="1">
      <c r="A1024" t="inlineStr">
        <is>
          <t>A 48427-2023</t>
        </is>
      </c>
      <c r="B1024" s="1" t="n">
        <v>45205</v>
      </c>
      <c r="C1024" s="1" t="n">
        <v>45363</v>
      </c>
      <c r="D1024" t="inlineStr">
        <is>
          <t>JÄMTLANDS LÄN</t>
        </is>
      </c>
      <c r="E1024" t="inlineStr">
        <is>
          <t>RAGUNDA</t>
        </is>
      </c>
      <c r="F1024" t="inlineStr">
        <is>
          <t>SCA</t>
        </is>
      </c>
      <c r="G1024" t="n">
        <v>10.1</v>
      </c>
      <c r="H1024" t="n">
        <v>0</v>
      </c>
      <c r="I1024" t="n">
        <v>1</v>
      </c>
      <c r="J1024" t="n">
        <v>1</v>
      </c>
      <c r="K1024" t="n">
        <v>0</v>
      </c>
      <c r="L1024" t="n">
        <v>0</v>
      </c>
      <c r="M1024" t="n">
        <v>0</v>
      </c>
      <c r="N1024" t="n">
        <v>0</v>
      </c>
      <c r="O1024" t="n">
        <v>1</v>
      </c>
      <c r="P1024" t="n">
        <v>0</v>
      </c>
      <c r="Q1024" t="n">
        <v>2</v>
      </c>
      <c r="R1024" s="2" t="inlineStr">
        <is>
          <t>Lunglav
Luddlav</t>
        </is>
      </c>
      <c r="S1024">
        <f>HYPERLINK("https://klasma.github.io/Logging_2303/artfynd/A 48427-2023 artfynd.xlsx", "A 48427-2023")</f>
        <v/>
      </c>
      <c r="T1024">
        <f>HYPERLINK("https://klasma.github.io/Logging_2303/kartor/A 48427-2023 karta.png", "A 48427-2023")</f>
        <v/>
      </c>
      <c r="V1024">
        <f>HYPERLINK("https://klasma.github.io/Logging_2303/klagomål/A 48427-2023 FSC-klagomål.docx", "A 48427-2023")</f>
        <v/>
      </c>
      <c r="W1024">
        <f>HYPERLINK("https://klasma.github.io/Logging_2303/klagomålsmail/A 48427-2023 FSC-klagomål mail.docx", "A 48427-2023")</f>
        <v/>
      </c>
      <c r="X1024">
        <f>HYPERLINK("https://klasma.github.io/Logging_2303/tillsyn/A 48427-2023 tillsynsbegäran.docx", "A 48427-2023")</f>
        <v/>
      </c>
      <c r="Y1024">
        <f>HYPERLINK("https://klasma.github.io/Logging_2303/tillsynsmail/A 48427-2023 tillsynsbegäran mail.docx", "A 48427-2023")</f>
        <v/>
      </c>
    </row>
    <row r="1025" ht="15" customHeight="1">
      <c r="A1025" t="inlineStr">
        <is>
          <t>A 48474-2023</t>
        </is>
      </c>
      <c r="B1025" s="1" t="n">
        <v>45206</v>
      </c>
      <c r="C1025" s="1" t="n">
        <v>45363</v>
      </c>
      <c r="D1025" t="inlineStr">
        <is>
          <t>JÄMTLANDS LÄN</t>
        </is>
      </c>
      <c r="E1025" t="inlineStr">
        <is>
          <t>RAGUNDA</t>
        </is>
      </c>
      <c r="F1025" t="inlineStr">
        <is>
          <t>SCA</t>
        </is>
      </c>
      <c r="G1025" t="n">
        <v>10.1</v>
      </c>
      <c r="H1025" t="n">
        <v>0</v>
      </c>
      <c r="I1025" t="n">
        <v>1</v>
      </c>
      <c r="J1025" t="n">
        <v>1</v>
      </c>
      <c r="K1025" t="n">
        <v>0</v>
      </c>
      <c r="L1025" t="n">
        <v>0</v>
      </c>
      <c r="M1025" t="n">
        <v>0</v>
      </c>
      <c r="N1025" t="n">
        <v>0</v>
      </c>
      <c r="O1025" t="n">
        <v>1</v>
      </c>
      <c r="P1025" t="n">
        <v>0</v>
      </c>
      <c r="Q1025" t="n">
        <v>2</v>
      </c>
      <c r="R1025" s="2" t="inlineStr">
        <is>
          <t>Lunglav
Luddlav</t>
        </is>
      </c>
      <c r="S1025">
        <f>HYPERLINK("https://klasma.github.io/Logging_2303/artfynd/A 48474-2023 artfynd.xlsx", "A 48474-2023")</f>
        <v/>
      </c>
      <c r="T1025">
        <f>HYPERLINK("https://klasma.github.io/Logging_2303/kartor/A 48474-2023 karta.png", "A 48474-2023")</f>
        <v/>
      </c>
      <c r="V1025">
        <f>HYPERLINK("https://klasma.github.io/Logging_2303/klagomål/A 48474-2023 FSC-klagomål.docx", "A 48474-2023")</f>
        <v/>
      </c>
      <c r="W1025">
        <f>HYPERLINK("https://klasma.github.io/Logging_2303/klagomålsmail/A 48474-2023 FSC-klagomål mail.docx", "A 48474-2023")</f>
        <v/>
      </c>
      <c r="X1025">
        <f>HYPERLINK("https://klasma.github.io/Logging_2303/tillsyn/A 48474-2023 tillsynsbegäran.docx", "A 48474-2023")</f>
        <v/>
      </c>
      <c r="Y1025">
        <f>HYPERLINK("https://klasma.github.io/Logging_2303/tillsynsmail/A 48474-2023 tillsynsbegäran mail.docx", "A 48474-2023")</f>
        <v/>
      </c>
    </row>
    <row r="1026" ht="15" customHeight="1">
      <c r="A1026" t="inlineStr">
        <is>
          <t>A 48780-2023</t>
        </is>
      </c>
      <c r="B1026" s="1" t="n">
        <v>45208</v>
      </c>
      <c r="C1026" s="1" t="n">
        <v>45363</v>
      </c>
      <c r="D1026" t="inlineStr">
        <is>
          <t>JÄMTLANDS LÄN</t>
        </is>
      </c>
      <c r="E1026" t="inlineStr">
        <is>
          <t>BRÄCKE</t>
        </is>
      </c>
      <c r="F1026" t="inlineStr">
        <is>
          <t>Naturvårdsverket</t>
        </is>
      </c>
      <c r="G1026" t="n">
        <v>11.2</v>
      </c>
      <c r="H1026" t="n">
        <v>0</v>
      </c>
      <c r="I1026" t="n">
        <v>1</v>
      </c>
      <c r="J1026" t="n">
        <v>1</v>
      </c>
      <c r="K1026" t="n">
        <v>0</v>
      </c>
      <c r="L1026" t="n">
        <v>0</v>
      </c>
      <c r="M1026" t="n">
        <v>0</v>
      </c>
      <c r="N1026" t="n">
        <v>0</v>
      </c>
      <c r="O1026" t="n">
        <v>1</v>
      </c>
      <c r="P1026" t="n">
        <v>0</v>
      </c>
      <c r="Q1026" t="n">
        <v>2</v>
      </c>
      <c r="R1026" s="2" t="inlineStr">
        <is>
          <t>Lunglav
Dropptaggsvamp</t>
        </is>
      </c>
      <c r="S1026">
        <f>HYPERLINK("https://klasma.github.io/Logging_2305/artfynd/A 48780-2023 artfynd.xlsx", "A 48780-2023")</f>
        <v/>
      </c>
      <c r="T1026">
        <f>HYPERLINK("https://klasma.github.io/Logging_2305/kartor/A 48780-2023 karta.png", "A 48780-2023")</f>
        <v/>
      </c>
      <c r="V1026">
        <f>HYPERLINK("https://klasma.github.io/Logging_2305/klagomål/A 48780-2023 FSC-klagomål.docx", "A 48780-2023")</f>
        <v/>
      </c>
      <c r="W1026">
        <f>HYPERLINK("https://klasma.github.io/Logging_2305/klagomålsmail/A 48780-2023 FSC-klagomål mail.docx", "A 48780-2023")</f>
        <v/>
      </c>
      <c r="X1026">
        <f>HYPERLINK("https://klasma.github.io/Logging_2305/tillsyn/A 48780-2023 tillsynsbegäran.docx", "A 48780-2023")</f>
        <v/>
      </c>
      <c r="Y1026">
        <f>HYPERLINK("https://klasma.github.io/Logging_2305/tillsynsmail/A 48780-2023 tillsynsbegäran mail.docx", "A 48780-2023")</f>
        <v/>
      </c>
    </row>
    <row r="1027" ht="15" customHeight="1">
      <c r="A1027" t="inlineStr">
        <is>
          <t>A 48880-2023</t>
        </is>
      </c>
      <c r="B1027" s="1" t="n">
        <v>45209</v>
      </c>
      <c r="C1027" s="1" t="n">
        <v>45363</v>
      </c>
      <c r="D1027" t="inlineStr">
        <is>
          <t>JÄMTLANDS LÄN</t>
        </is>
      </c>
      <c r="E1027" t="inlineStr">
        <is>
          <t>BERG</t>
        </is>
      </c>
      <c r="F1027" t="inlineStr">
        <is>
          <t>Naturvårdsverket</t>
        </is>
      </c>
      <c r="G1027" t="n">
        <v>5.5</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HYPERLINK("https://klasma.github.io/Logging_2326/artfynd/A 48880-2023 artfynd.xlsx", "A 48880-2023")</f>
        <v/>
      </c>
      <c r="T1027">
        <f>HYPERLINK("https://klasma.github.io/Logging_2326/kartor/A 48880-2023 karta.png", "A 48880-2023")</f>
        <v/>
      </c>
      <c r="U1027">
        <f>HYPERLINK("https://klasma.github.io/Logging_2326/knärot/A 48880-2023 karta knärot.png", "A 48880-2023")</f>
        <v/>
      </c>
      <c r="V1027">
        <f>HYPERLINK("https://klasma.github.io/Logging_2326/klagomål/A 48880-2023 FSC-klagomål.docx", "A 48880-2023")</f>
        <v/>
      </c>
      <c r="W1027">
        <f>HYPERLINK("https://klasma.github.io/Logging_2326/klagomålsmail/A 48880-2023 FSC-klagomål mail.docx", "A 48880-2023")</f>
        <v/>
      </c>
      <c r="X1027">
        <f>HYPERLINK("https://klasma.github.io/Logging_2326/tillsyn/A 48880-2023 tillsynsbegäran.docx", "A 48880-2023")</f>
        <v/>
      </c>
      <c r="Y1027">
        <f>HYPERLINK("https://klasma.github.io/Logging_2326/tillsynsmail/A 48880-2023 tillsynsbegäran mail.docx", "A 48880-2023")</f>
        <v/>
      </c>
    </row>
    <row r="1028" ht="15" customHeight="1">
      <c r="A1028" t="inlineStr">
        <is>
          <t>A 50497-2023</t>
        </is>
      </c>
      <c r="B1028" s="1" t="n">
        <v>45217</v>
      </c>
      <c r="C1028" s="1" t="n">
        <v>45363</v>
      </c>
      <c r="D1028" t="inlineStr">
        <is>
          <t>JÄMTLANDS LÄN</t>
        </is>
      </c>
      <c r="E1028" t="inlineStr">
        <is>
          <t>BRÄCKE</t>
        </is>
      </c>
      <c r="F1028" t="inlineStr">
        <is>
          <t>SCA</t>
        </is>
      </c>
      <c r="G1028" t="n">
        <v>2.5</v>
      </c>
      <c r="H1028" t="n">
        <v>1</v>
      </c>
      <c r="I1028" t="n">
        <v>1</v>
      </c>
      <c r="J1028" t="n">
        <v>0</v>
      </c>
      <c r="K1028" t="n">
        <v>1</v>
      </c>
      <c r="L1028" t="n">
        <v>0</v>
      </c>
      <c r="M1028" t="n">
        <v>0</v>
      </c>
      <c r="N1028" t="n">
        <v>0</v>
      </c>
      <c r="O1028" t="n">
        <v>1</v>
      </c>
      <c r="P1028" t="n">
        <v>1</v>
      </c>
      <c r="Q1028" t="n">
        <v>2</v>
      </c>
      <c r="R1028" s="2" t="inlineStr">
        <is>
          <t>Knärot
Skuggblåslav</t>
        </is>
      </c>
      <c r="S1028">
        <f>HYPERLINK("https://klasma.github.io/Logging_2305/artfynd/A 50497-2023 artfynd.xlsx", "A 50497-2023")</f>
        <v/>
      </c>
      <c r="T1028">
        <f>HYPERLINK("https://klasma.github.io/Logging_2305/kartor/A 50497-2023 karta.png", "A 50497-2023")</f>
        <v/>
      </c>
      <c r="U1028">
        <f>HYPERLINK("https://klasma.github.io/Logging_2305/knärot/A 50497-2023 karta knärot.png", "A 50497-2023")</f>
        <v/>
      </c>
      <c r="V1028">
        <f>HYPERLINK("https://klasma.github.io/Logging_2305/klagomål/A 50497-2023 FSC-klagomål.docx", "A 50497-2023")</f>
        <v/>
      </c>
      <c r="W1028">
        <f>HYPERLINK("https://klasma.github.io/Logging_2305/klagomålsmail/A 50497-2023 FSC-klagomål mail.docx", "A 50497-2023")</f>
        <v/>
      </c>
      <c r="X1028">
        <f>HYPERLINK("https://klasma.github.io/Logging_2305/tillsyn/A 50497-2023 tillsynsbegäran.docx", "A 50497-2023")</f>
        <v/>
      </c>
      <c r="Y1028">
        <f>HYPERLINK("https://klasma.github.io/Logging_2305/tillsynsmail/A 50497-2023 tillsynsbegäran mail.docx", "A 50497-2023")</f>
        <v/>
      </c>
    </row>
    <row r="1029" ht="15" customHeight="1">
      <c r="A1029" t="inlineStr">
        <is>
          <t>A 50826-2023</t>
        </is>
      </c>
      <c r="B1029" s="1" t="n">
        <v>45217</v>
      </c>
      <c r="C1029" s="1" t="n">
        <v>45363</v>
      </c>
      <c r="D1029" t="inlineStr">
        <is>
          <t>JÄMTLANDS LÄN</t>
        </is>
      </c>
      <c r="E1029" t="inlineStr">
        <is>
          <t>BRÄCKE</t>
        </is>
      </c>
      <c r="F1029" t="inlineStr">
        <is>
          <t>SCA</t>
        </is>
      </c>
      <c r="G1029" t="n">
        <v>5.2</v>
      </c>
      <c r="H1029" t="n">
        <v>0</v>
      </c>
      <c r="I1029" t="n">
        <v>0</v>
      </c>
      <c r="J1029" t="n">
        <v>2</v>
      </c>
      <c r="K1029" t="n">
        <v>0</v>
      </c>
      <c r="L1029" t="n">
        <v>0</v>
      </c>
      <c r="M1029" t="n">
        <v>0</v>
      </c>
      <c r="N1029" t="n">
        <v>0</v>
      </c>
      <c r="O1029" t="n">
        <v>2</v>
      </c>
      <c r="P1029" t="n">
        <v>0</v>
      </c>
      <c r="Q1029" t="n">
        <v>2</v>
      </c>
      <c r="R1029" s="2" t="inlineStr">
        <is>
          <t>Garnlav
Lunglav</t>
        </is>
      </c>
      <c r="S1029">
        <f>HYPERLINK("https://klasma.github.io/Logging_2305/artfynd/A 50826-2023 artfynd.xlsx", "A 50826-2023")</f>
        <v/>
      </c>
      <c r="T1029">
        <f>HYPERLINK("https://klasma.github.io/Logging_2305/kartor/A 50826-2023 karta.png", "A 50826-2023")</f>
        <v/>
      </c>
      <c r="V1029">
        <f>HYPERLINK("https://klasma.github.io/Logging_2305/klagomål/A 50826-2023 FSC-klagomål.docx", "A 50826-2023")</f>
        <v/>
      </c>
      <c r="W1029">
        <f>HYPERLINK("https://klasma.github.io/Logging_2305/klagomålsmail/A 50826-2023 FSC-klagomål mail.docx", "A 50826-2023")</f>
        <v/>
      </c>
      <c r="X1029">
        <f>HYPERLINK("https://klasma.github.io/Logging_2305/tillsyn/A 50826-2023 tillsynsbegäran.docx", "A 50826-2023")</f>
        <v/>
      </c>
      <c r="Y1029">
        <f>HYPERLINK("https://klasma.github.io/Logging_2305/tillsynsmail/A 50826-2023 tillsynsbegäran mail.docx", "A 50826-2023")</f>
        <v/>
      </c>
    </row>
    <row r="1030" ht="15" customHeight="1">
      <c r="A1030" t="inlineStr">
        <is>
          <t>A 51822-2023</t>
        </is>
      </c>
      <c r="B1030" s="1" t="n">
        <v>45222</v>
      </c>
      <c r="C1030" s="1" t="n">
        <v>45363</v>
      </c>
      <c r="D1030" t="inlineStr">
        <is>
          <t>JÄMTLANDS LÄN</t>
        </is>
      </c>
      <c r="E1030" t="inlineStr">
        <is>
          <t>BRÄCKE</t>
        </is>
      </c>
      <c r="F1030" t="inlineStr">
        <is>
          <t>SCA</t>
        </is>
      </c>
      <c r="G1030" t="n">
        <v>3</v>
      </c>
      <c r="H1030" t="n">
        <v>0</v>
      </c>
      <c r="I1030" t="n">
        <v>0</v>
      </c>
      <c r="J1030" t="n">
        <v>2</v>
      </c>
      <c r="K1030" t="n">
        <v>0</v>
      </c>
      <c r="L1030" t="n">
        <v>0</v>
      </c>
      <c r="M1030" t="n">
        <v>0</v>
      </c>
      <c r="N1030" t="n">
        <v>0</v>
      </c>
      <c r="O1030" t="n">
        <v>2</v>
      </c>
      <c r="P1030" t="n">
        <v>0</v>
      </c>
      <c r="Q1030" t="n">
        <v>2</v>
      </c>
      <c r="R1030" s="2" t="inlineStr">
        <is>
          <t>Harticka
Ullticka</t>
        </is>
      </c>
      <c r="S1030">
        <f>HYPERLINK("https://klasma.github.io/Logging_2305/artfynd/A 51822-2023 artfynd.xlsx", "A 51822-2023")</f>
        <v/>
      </c>
      <c r="T1030">
        <f>HYPERLINK("https://klasma.github.io/Logging_2305/kartor/A 51822-2023 karta.png", "A 51822-2023")</f>
        <v/>
      </c>
      <c r="V1030">
        <f>HYPERLINK("https://klasma.github.io/Logging_2305/klagomål/A 51822-2023 FSC-klagomål.docx", "A 51822-2023")</f>
        <v/>
      </c>
      <c r="W1030">
        <f>HYPERLINK("https://klasma.github.io/Logging_2305/klagomålsmail/A 51822-2023 FSC-klagomål mail.docx", "A 51822-2023")</f>
        <v/>
      </c>
      <c r="X1030">
        <f>HYPERLINK("https://klasma.github.io/Logging_2305/tillsyn/A 51822-2023 tillsynsbegäran.docx", "A 51822-2023")</f>
        <v/>
      </c>
      <c r="Y1030">
        <f>HYPERLINK("https://klasma.github.io/Logging_2305/tillsynsmail/A 51822-2023 tillsynsbegäran mail.docx", "A 51822-2023")</f>
        <v/>
      </c>
    </row>
    <row r="1031" ht="15" customHeight="1">
      <c r="A1031" t="inlineStr">
        <is>
          <t>A 52021-2023</t>
        </is>
      </c>
      <c r="B1031" s="1" t="n">
        <v>45223</v>
      </c>
      <c r="C1031" s="1" t="n">
        <v>45363</v>
      </c>
      <c r="D1031" t="inlineStr">
        <is>
          <t>JÄMTLANDS LÄN</t>
        </is>
      </c>
      <c r="E1031" t="inlineStr">
        <is>
          <t>KROKOM</t>
        </is>
      </c>
      <c r="F1031" t="inlineStr">
        <is>
          <t>Övriga Aktiebolag</t>
        </is>
      </c>
      <c r="G1031" t="n">
        <v>1.5</v>
      </c>
      <c r="H1031" t="n">
        <v>1</v>
      </c>
      <c r="I1031" t="n">
        <v>0</v>
      </c>
      <c r="J1031" t="n">
        <v>2</v>
      </c>
      <c r="K1031" t="n">
        <v>0</v>
      </c>
      <c r="L1031" t="n">
        <v>0</v>
      </c>
      <c r="M1031" t="n">
        <v>0</v>
      </c>
      <c r="N1031" t="n">
        <v>0</v>
      </c>
      <c r="O1031" t="n">
        <v>2</v>
      </c>
      <c r="P1031" t="n">
        <v>0</v>
      </c>
      <c r="Q1031" t="n">
        <v>2</v>
      </c>
      <c r="R1031" s="2" t="inlineStr">
        <is>
          <t>Granticka
Tretåig hackspett</t>
        </is>
      </c>
      <c r="S1031">
        <f>HYPERLINK("https://klasma.github.io/Logging_2309/artfynd/A 52021-2023 artfynd.xlsx", "A 52021-2023")</f>
        <v/>
      </c>
      <c r="T1031">
        <f>HYPERLINK("https://klasma.github.io/Logging_2309/kartor/A 52021-2023 karta.png", "A 52021-2023")</f>
        <v/>
      </c>
      <c r="V1031">
        <f>HYPERLINK("https://klasma.github.io/Logging_2309/klagomål/A 52021-2023 FSC-klagomål.docx", "A 52021-2023")</f>
        <v/>
      </c>
      <c r="W1031">
        <f>HYPERLINK("https://klasma.github.io/Logging_2309/klagomålsmail/A 52021-2023 FSC-klagomål mail.docx", "A 52021-2023")</f>
        <v/>
      </c>
      <c r="X1031">
        <f>HYPERLINK("https://klasma.github.io/Logging_2309/tillsyn/A 52021-2023 tillsynsbegäran.docx", "A 52021-2023")</f>
        <v/>
      </c>
      <c r="Y1031">
        <f>HYPERLINK("https://klasma.github.io/Logging_2309/tillsynsmail/A 52021-2023 tillsynsbegäran mail.docx", "A 52021-2023")</f>
        <v/>
      </c>
      <c r="Z1031">
        <f>HYPERLINK("https://klasma.github.io/Logging_2309/fåglar/A 52021-2023 prioriterade fågelarter.docx", "A 52021-2023")</f>
        <v/>
      </c>
    </row>
    <row r="1032" ht="15" customHeight="1">
      <c r="A1032" t="inlineStr">
        <is>
          <t>A 52129-2023</t>
        </is>
      </c>
      <c r="B1032" s="1" t="n">
        <v>45223</v>
      </c>
      <c r="C1032" s="1" t="n">
        <v>45363</v>
      </c>
      <c r="D1032" t="inlineStr">
        <is>
          <t>JÄMTLANDS LÄN</t>
        </is>
      </c>
      <c r="E1032" t="inlineStr">
        <is>
          <t>ÖSTERSUND</t>
        </is>
      </c>
      <c r="F1032" t="inlineStr">
        <is>
          <t>SCA</t>
        </is>
      </c>
      <c r="G1032" t="n">
        <v>2</v>
      </c>
      <c r="H1032" t="n">
        <v>0</v>
      </c>
      <c r="I1032" t="n">
        <v>0</v>
      </c>
      <c r="J1032" t="n">
        <v>2</v>
      </c>
      <c r="K1032" t="n">
        <v>0</v>
      </c>
      <c r="L1032" t="n">
        <v>0</v>
      </c>
      <c r="M1032" t="n">
        <v>0</v>
      </c>
      <c r="N1032" t="n">
        <v>0</v>
      </c>
      <c r="O1032" t="n">
        <v>2</v>
      </c>
      <c r="P1032" t="n">
        <v>0</v>
      </c>
      <c r="Q1032" t="n">
        <v>2</v>
      </c>
      <c r="R1032" s="2" t="inlineStr">
        <is>
          <t>Dvärgbägarlav
Kolflarnlav</t>
        </is>
      </c>
      <c r="S1032">
        <f>HYPERLINK("https://klasma.github.io/Logging_2380/artfynd/A 52129-2023 artfynd.xlsx", "A 52129-2023")</f>
        <v/>
      </c>
      <c r="T1032">
        <f>HYPERLINK("https://klasma.github.io/Logging_2380/kartor/A 52129-2023 karta.png", "A 52129-2023")</f>
        <v/>
      </c>
      <c r="V1032">
        <f>HYPERLINK("https://klasma.github.io/Logging_2380/klagomål/A 52129-2023 FSC-klagomål.docx", "A 52129-2023")</f>
        <v/>
      </c>
      <c r="W1032">
        <f>HYPERLINK("https://klasma.github.io/Logging_2380/klagomålsmail/A 52129-2023 FSC-klagomål mail.docx", "A 52129-2023")</f>
        <v/>
      </c>
      <c r="X1032">
        <f>HYPERLINK("https://klasma.github.io/Logging_2380/tillsyn/A 52129-2023 tillsynsbegäran.docx", "A 52129-2023")</f>
        <v/>
      </c>
      <c r="Y1032">
        <f>HYPERLINK("https://klasma.github.io/Logging_2380/tillsynsmail/A 52129-2023 tillsynsbegäran mail.docx", "A 52129-2023")</f>
        <v/>
      </c>
    </row>
    <row r="1033" ht="15" customHeight="1">
      <c r="A1033" t="inlineStr">
        <is>
          <t>A 53014-2023</t>
        </is>
      </c>
      <c r="B1033" s="1" t="n">
        <v>45226</v>
      </c>
      <c r="C1033" s="1" t="n">
        <v>45363</v>
      </c>
      <c r="D1033" t="inlineStr">
        <is>
          <t>JÄMTLANDS LÄN</t>
        </is>
      </c>
      <c r="E1033" t="inlineStr">
        <is>
          <t>ÅRE</t>
        </is>
      </c>
      <c r="F1033" t="inlineStr">
        <is>
          <t>Övriga Aktiebolag</t>
        </is>
      </c>
      <c r="G1033" t="n">
        <v>9.4</v>
      </c>
      <c r="H1033" t="n">
        <v>1</v>
      </c>
      <c r="I1033" t="n">
        <v>1</v>
      </c>
      <c r="J1033" t="n">
        <v>1</v>
      </c>
      <c r="K1033" t="n">
        <v>0</v>
      </c>
      <c r="L1033" t="n">
        <v>0</v>
      </c>
      <c r="M1033" t="n">
        <v>0</v>
      </c>
      <c r="N1033" t="n">
        <v>0</v>
      </c>
      <c r="O1033" t="n">
        <v>1</v>
      </c>
      <c r="P1033" t="n">
        <v>0</v>
      </c>
      <c r="Q1033" t="n">
        <v>2</v>
      </c>
      <c r="R1033" s="2" t="inlineStr">
        <is>
          <t>Vedflikmossa
Spindelblomster</t>
        </is>
      </c>
      <c r="S1033">
        <f>HYPERLINK("https://klasma.github.io/Logging_2321/artfynd/A 53014-2023 artfynd.xlsx", "A 53014-2023")</f>
        <v/>
      </c>
      <c r="T1033">
        <f>HYPERLINK("https://klasma.github.io/Logging_2321/kartor/A 53014-2023 karta.png", "A 53014-2023")</f>
        <v/>
      </c>
      <c r="V1033">
        <f>HYPERLINK("https://klasma.github.io/Logging_2321/klagomål/A 53014-2023 FSC-klagomål.docx", "A 53014-2023")</f>
        <v/>
      </c>
      <c r="W1033">
        <f>HYPERLINK("https://klasma.github.io/Logging_2321/klagomålsmail/A 53014-2023 FSC-klagomål mail.docx", "A 53014-2023")</f>
        <v/>
      </c>
      <c r="X1033">
        <f>HYPERLINK("https://klasma.github.io/Logging_2321/tillsyn/A 53014-2023 tillsynsbegäran.docx", "A 53014-2023")</f>
        <v/>
      </c>
      <c r="Y1033">
        <f>HYPERLINK("https://klasma.github.io/Logging_2321/tillsynsmail/A 53014-2023 tillsynsbegäran mail.docx", "A 53014-2023")</f>
        <v/>
      </c>
    </row>
    <row r="1034" ht="15" customHeight="1">
      <c r="A1034" t="inlineStr">
        <is>
          <t>A 54051-2023</t>
        </is>
      </c>
      <c r="B1034" s="1" t="n">
        <v>45232</v>
      </c>
      <c r="C1034" s="1" t="n">
        <v>45363</v>
      </c>
      <c r="D1034" t="inlineStr">
        <is>
          <t>JÄMTLANDS LÄN</t>
        </is>
      </c>
      <c r="E1034" t="inlineStr">
        <is>
          <t>BRÄCKE</t>
        </is>
      </c>
      <c r="F1034" t="inlineStr">
        <is>
          <t>SCA</t>
        </is>
      </c>
      <c r="G1034" t="n">
        <v>2.4</v>
      </c>
      <c r="H1034" t="n">
        <v>0</v>
      </c>
      <c r="I1034" t="n">
        <v>0</v>
      </c>
      <c r="J1034" t="n">
        <v>2</v>
      </c>
      <c r="K1034" t="n">
        <v>0</v>
      </c>
      <c r="L1034" t="n">
        <v>0</v>
      </c>
      <c r="M1034" t="n">
        <v>0</v>
      </c>
      <c r="N1034" t="n">
        <v>0</v>
      </c>
      <c r="O1034" t="n">
        <v>2</v>
      </c>
      <c r="P1034" t="n">
        <v>0</v>
      </c>
      <c r="Q1034" t="n">
        <v>2</v>
      </c>
      <c r="R1034" s="2" t="inlineStr">
        <is>
          <t>Blå taggsvamp
Skrovlig taggsvamp</t>
        </is>
      </c>
      <c r="S1034">
        <f>HYPERLINK("https://klasma.github.io/Logging_2305/artfynd/A 54051-2023 artfynd.xlsx", "A 54051-2023")</f>
        <v/>
      </c>
      <c r="T1034">
        <f>HYPERLINK("https://klasma.github.io/Logging_2305/kartor/A 54051-2023 karta.png", "A 54051-2023")</f>
        <v/>
      </c>
      <c r="V1034">
        <f>HYPERLINK("https://klasma.github.io/Logging_2305/klagomål/A 54051-2023 FSC-klagomål.docx", "A 54051-2023")</f>
        <v/>
      </c>
      <c r="W1034">
        <f>HYPERLINK("https://klasma.github.io/Logging_2305/klagomålsmail/A 54051-2023 FSC-klagomål mail.docx", "A 54051-2023")</f>
        <v/>
      </c>
      <c r="X1034">
        <f>HYPERLINK("https://klasma.github.io/Logging_2305/tillsyn/A 54051-2023 tillsynsbegäran.docx", "A 54051-2023")</f>
        <v/>
      </c>
      <c r="Y1034">
        <f>HYPERLINK("https://klasma.github.io/Logging_2305/tillsynsmail/A 54051-2023 tillsynsbegäran mail.docx", "A 54051-2023")</f>
        <v/>
      </c>
    </row>
    <row r="1035" ht="15" customHeight="1">
      <c r="A1035" t="inlineStr">
        <is>
          <t>A 54055-2023</t>
        </is>
      </c>
      <c r="B1035" s="1" t="n">
        <v>45231</v>
      </c>
      <c r="C1035" s="1" t="n">
        <v>45363</v>
      </c>
      <c r="D1035" t="inlineStr">
        <is>
          <t>JÄMTLANDS LÄN</t>
        </is>
      </c>
      <c r="E1035" t="inlineStr">
        <is>
          <t>ÅRE</t>
        </is>
      </c>
      <c r="F1035" t="inlineStr">
        <is>
          <t>Övriga Aktiebolag</t>
        </is>
      </c>
      <c r="G1035" t="n">
        <v>14.1</v>
      </c>
      <c r="H1035" t="n">
        <v>1</v>
      </c>
      <c r="I1035" t="n">
        <v>0</v>
      </c>
      <c r="J1035" t="n">
        <v>2</v>
      </c>
      <c r="K1035" t="n">
        <v>0</v>
      </c>
      <c r="L1035" t="n">
        <v>0</v>
      </c>
      <c r="M1035" t="n">
        <v>0</v>
      </c>
      <c r="N1035" t="n">
        <v>0</v>
      </c>
      <c r="O1035" t="n">
        <v>2</v>
      </c>
      <c r="P1035" t="n">
        <v>0</v>
      </c>
      <c r="Q1035" t="n">
        <v>2</v>
      </c>
      <c r="R1035" s="2" t="inlineStr">
        <is>
          <t>Tretåig hackspett
Ullticka</t>
        </is>
      </c>
      <c r="S1035">
        <f>HYPERLINK("https://klasma.github.io/Logging_2321/artfynd/A 54055-2023 artfynd.xlsx", "A 54055-2023")</f>
        <v/>
      </c>
      <c r="T1035">
        <f>HYPERLINK("https://klasma.github.io/Logging_2321/kartor/A 54055-2023 karta.png", "A 54055-2023")</f>
        <v/>
      </c>
      <c r="V1035">
        <f>HYPERLINK("https://klasma.github.io/Logging_2321/klagomål/A 54055-2023 FSC-klagomål.docx", "A 54055-2023")</f>
        <v/>
      </c>
      <c r="W1035">
        <f>HYPERLINK("https://klasma.github.io/Logging_2321/klagomålsmail/A 54055-2023 FSC-klagomål mail.docx", "A 54055-2023")</f>
        <v/>
      </c>
      <c r="X1035">
        <f>HYPERLINK("https://klasma.github.io/Logging_2321/tillsyn/A 54055-2023 tillsynsbegäran.docx", "A 54055-2023")</f>
        <v/>
      </c>
      <c r="Y1035">
        <f>HYPERLINK("https://klasma.github.io/Logging_2321/tillsynsmail/A 54055-2023 tillsynsbegäran mail.docx", "A 54055-2023")</f>
        <v/>
      </c>
      <c r="Z1035">
        <f>HYPERLINK("https://klasma.github.io/Logging_2321/fåglar/A 54055-2023 prioriterade fågelarter.docx", "A 54055-2023")</f>
        <v/>
      </c>
    </row>
    <row r="1036" ht="15" customHeight="1">
      <c r="A1036" t="inlineStr">
        <is>
          <t>A 56006-2023</t>
        </is>
      </c>
      <c r="B1036" s="1" t="n">
        <v>45233</v>
      </c>
      <c r="C1036" s="1" t="n">
        <v>45363</v>
      </c>
      <c r="D1036" t="inlineStr">
        <is>
          <t>JÄMTLANDS LÄN</t>
        </is>
      </c>
      <c r="E1036" t="inlineStr">
        <is>
          <t>ÖSTERSUND</t>
        </is>
      </c>
      <c r="G1036" t="n">
        <v>2.3</v>
      </c>
      <c r="H1036" t="n">
        <v>0</v>
      </c>
      <c r="I1036" t="n">
        <v>2</v>
      </c>
      <c r="J1036" t="n">
        <v>0</v>
      </c>
      <c r="K1036" t="n">
        <v>0</v>
      </c>
      <c r="L1036" t="n">
        <v>0</v>
      </c>
      <c r="M1036" t="n">
        <v>0</v>
      </c>
      <c r="N1036" t="n">
        <v>0</v>
      </c>
      <c r="O1036" t="n">
        <v>0</v>
      </c>
      <c r="P1036" t="n">
        <v>0</v>
      </c>
      <c r="Q1036" t="n">
        <v>2</v>
      </c>
      <c r="R1036" s="2" t="inlineStr">
        <is>
          <t>Korallblylav
Skinnlav</t>
        </is>
      </c>
      <c r="S1036">
        <f>HYPERLINK("https://klasma.github.io/Logging_2380/artfynd/A 56006-2023 artfynd.xlsx", "A 56006-2023")</f>
        <v/>
      </c>
      <c r="T1036">
        <f>HYPERLINK("https://klasma.github.io/Logging_2380/kartor/A 56006-2023 karta.png", "A 56006-2023")</f>
        <v/>
      </c>
      <c r="V1036">
        <f>HYPERLINK("https://klasma.github.io/Logging_2380/klagomål/A 56006-2023 FSC-klagomål.docx", "A 56006-2023")</f>
        <v/>
      </c>
      <c r="W1036">
        <f>HYPERLINK("https://klasma.github.io/Logging_2380/klagomålsmail/A 56006-2023 FSC-klagomål mail.docx", "A 56006-2023")</f>
        <v/>
      </c>
      <c r="X1036">
        <f>HYPERLINK("https://klasma.github.io/Logging_2380/tillsyn/A 56006-2023 tillsynsbegäran.docx", "A 56006-2023")</f>
        <v/>
      </c>
      <c r="Y1036">
        <f>HYPERLINK("https://klasma.github.io/Logging_2380/tillsynsmail/A 56006-2023 tillsynsbegäran mail.docx", "A 56006-2023")</f>
        <v/>
      </c>
    </row>
    <row r="1037" ht="15" customHeight="1">
      <c r="A1037" t="inlineStr">
        <is>
          <t>A 54996-2023</t>
        </is>
      </c>
      <c r="B1037" s="1" t="n">
        <v>45237</v>
      </c>
      <c r="C1037" s="1" t="n">
        <v>45363</v>
      </c>
      <c r="D1037" t="inlineStr">
        <is>
          <t>JÄMTLANDS LÄN</t>
        </is>
      </c>
      <c r="E1037" t="inlineStr">
        <is>
          <t>BERG</t>
        </is>
      </c>
      <c r="F1037" t="inlineStr">
        <is>
          <t>SCA</t>
        </is>
      </c>
      <c r="G1037" t="n">
        <v>6.2</v>
      </c>
      <c r="H1037" t="n">
        <v>0</v>
      </c>
      <c r="I1037" t="n">
        <v>0</v>
      </c>
      <c r="J1037" t="n">
        <v>2</v>
      </c>
      <c r="K1037" t="n">
        <v>0</v>
      </c>
      <c r="L1037" t="n">
        <v>0</v>
      </c>
      <c r="M1037" t="n">
        <v>0</v>
      </c>
      <c r="N1037" t="n">
        <v>0</v>
      </c>
      <c r="O1037" t="n">
        <v>2</v>
      </c>
      <c r="P1037" t="n">
        <v>0</v>
      </c>
      <c r="Q1037" t="n">
        <v>2</v>
      </c>
      <c r="R1037" s="2" t="inlineStr">
        <is>
          <t>Dvärgbägarlav
Vedflamlav</t>
        </is>
      </c>
      <c r="S1037">
        <f>HYPERLINK("https://klasma.github.io/Logging_2326/artfynd/A 54996-2023 artfynd.xlsx", "A 54996-2023")</f>
        <v/>
      </c>
      <c r="T1037">
        <f>HYPERLINK("https://klasma.github.io/Logging_2326/kartor/A 54996-2023 karta.png", "A 54996-2023")</f>
        <v/>
      </c>
      <c r="V1037">
        <f>HYPERLINK("https://klasma.github.io/Logging_2326/klagomål/A 54996-2023 FSC-klagomål.docx", "A 54996-2023")</f>
        <v/>
      </c>
      <c r="W1037">
        <f>HYPERLINK("https://klasma.github.io/Logging_2326/klagomålsmail/A 54996-2023 FSC-klagomål mail.docx", "A 54996-2023")</f>
        <v/>
      </c>
      <c r="X1037">
        <f>HYPERLINK("https://klasma.github.io/Logging_2326/tillsyn/A 54996-2023 tillsynsbegäran.docx", "A 54996-2023")</f>
        <v/>
      </c>
      <c r="Y1037">
        <f>HYPERLINK("https://klasma.github.io/Logging_2326/tillsynsmail/A 54996-2023 tillsynsbegäran mail.docx", "A 54996-2023")</f>
        <v/>
      </c>
    </row>
    <row r="1038" ht="15" customHeight="1">
      <c r="A1038" t="inlineStr">
        <is>
          <t>A 55331-2023</t>
        </is>
      </c>
      <c r="B1038" s="1" t="n">
        <v>45238</v>
      </c>
      <c r="C1038" s="1" t="n">
        <v>45363</v>
      </c>
      <c r="D1038" t="inlineStr">
        <is>
          <t>JÄMTLANDS LÄN</t>
        </is>
      </c>
      <c r="E1038" t="inlineStr">
        <is>
          <t>BERG</t>
        </is>
      </c>
      <c r="F1038" t="inlineStr">
        <is>
          <t>SCA</t>
        </is>
      </c>
      <c r="G1038" t="n">
        <v>8.800000000000001</v>
      </c>
      <c r="H1038" t="n">
        <v>1</v>
      </c>
      <c r="I1038" t="n">
        <v>1</v>
      </c>
      <c r="J1038" t="n">
        <v>0</v>
      </c>
      <c r="K1038" t="n">
        <v>0</v>
      </c>
      <c r="L1038" t="n">
        <v>0</v>
      </c>
      <c r="M1038" t="n">
        <v>0</v>
      </c>
      <c r="N1038" t="n">
        <v>0</v>
      </c>
      <c r="O1038" t="n">
        <v>0</v>
      </c>
      <c r="P1038" t="n">
        <v>0</v>
      </c>
      <c r="Q1038" t="n">
        <v>2</v>
      </c>
      <c r="R1038" s="2" t="inlineStr">
        <is>
          <t>Tibast
Fläcknycklar</t>
        </is>
      </c>
      <c r="S1038">
        <f>HYPERLINK("https://klasma.github.io/Logging_2326/artfynd/A 55331-2023 artfynd.xlsx", "A 55331-2023")</f>
        <v/>
      </c>
      <c r="T1038">
        <f>HYPERLINK("https://klasma.github.io/Logging_2326/kartor/A 55331-2023 karta.png", "A 55331-2023")</f>
        <v/>
      </c>
      <c r="V1038">
        <f>HYPERLINK("https://klasma.github.io/Logging_2326/klagomål/A 55331-2023 FSC-klagomål.docx", "A 55331-2023")</f>
        <v/>
      </c>
      <c r="W1038">
        <f>HYPERLINK("https://klasma.github.io/Logging_2326/klagomålsmail/A 55331-2023 FSC-klagomål mail.docx", "A 55331-2023")</f>
        <v/>
      </c>
      <c r="X1038">
        <f>HYPERLINK("https://klasma.github.io/Logging_2326/tillsyn/A 55331-2023 tillsynsbegäran.docx", "A 55331-2023")</f>
        <v/>
      </c>
      <c r="Y1038">
        <f>HYPERLINK("https://klasma.github.io/Logging_2326/tillsynsmail/A 55331-2023 tillsynsbegäran mail.docx", "A 55331-2023")</f>
        <v/>
      </c>
    </row>
    <row r="1039" ht="15" customHeight="1">
      <c r="A1039" t="inlineStr">
        <is>
          <t>A 55343-2023</t>
        </is>
      </c>
      <c r="B1039" s="1" t="n">
        <v>45237</v>
      </c>
      <c r="C1039" s="1" t="n">
        <v>45363</v>
      </c>
      <c r="D1039" t="inlineStr">
        <is>
          <t>JÄMTLANDS LÄN</t>
        </is>
      </c>
      <c r="E1039" t="inlineStr">
        <is>
          <t>BRÄCKE</t>
        </is>
      </c>
      <c r="F1039" t="inlineStr">
        <is>
          <t>Kyrkan</t>
        </is>
      </c>
      <c r="G1039" t="n">
        <v>12</v>
      </c>
      <c r="H1039" t="n">
        <v>1</v>
      </c>
      <c r="I1039" t="n">
        <v>0</v>
      </c>
      <c r="J1039" t="n">
        <v>1</v>
      </c>
      <c r="K1039" t="n">
        <v>1</v>
      </c>
      <c r="L1039" t="n">
        <v>0</v>
      </c>
      <c r="M1039" t="n">
        <v>0</v>
      </c>
      <c r="N1039" t="n">
        <v>0</v>
      </c>
      <c r="O1039" t="n">
        <v>2</v>
      </c>
      <c r="P1039" t="n">
        <v>1</v>
      </c>
      <c r="Q1039" t="n">
        <v>2</v>
      </c>
      <c r="R1039" s="2" t="inlineStr">
        <is>
          <t>Doftticka
Lunglav</t>
        </is>
      </c>
      <c r="S1039">
        <f>HYPERLINK("https://klasma.github.io/Logging_2305/artfynd/A 55343-2023 artfynd.xlsx", "A 55343-2023")</f>
        <v/>
      </c>
      <c r="T1039">
        <f>HYPERLINK("https://klasma.github.io/Logging_2305/kartor/A 55343-2023 karta.png", "A 55343-2023")</f>
        <v/>
      </c>
      <c r="V1039">
        <f>HYPERLINK("https://klasma.github.io/Logging_2305/klagomål/A 55343-2023 FSC-klagomål.docx", "A 55343-2023")</f>
        <v/>
      </c>
      <c r="W1039">
        <f>HYPERLINK("https://klasma.github.io/Logging_2305/klagomålsmail/A 55343-2023 FSC-klagomål mail.docx", "A 55343-2023")</f>
        <v/>
      </c>
      <c r="X1039">
        <f>HYPERLINK("https://klasma.github.io/Logging_2305/tillsyn/A 55343-2023 tillsynsbegäran.docx", "A 55343-2023")</f>
        <v/>
      </c>
      <c r="Y1039">
        <f>HYPERLINK("https://klasma.github.io/Logging_2305/tillsynsmail/A 55343-2023 tillsynsbegäran mail.docx", "A 55343-2023")</f>
        <v/>
      </c>
    </row>
    <row r="1040" ht="15" customHeight="1">
      <c r="A1040" t="inlineStr">
        <is>
          <t>A 55658-2023</t>
        </is>
      </c>
      <c r="B1040" s="1" t="n">
        <v>45238</v>
      </c>
      <c r="C1040" s="1" t="n">
        <v>45363</v>
      </c>
      <c r="D1040" t="inlineStr">
        <is>
          <t>JÄMTLANDS LÄN</t>
        </is>
      </c>
      <c r="E1040" t="inlineStr">
        <is>
          <t>STRÖMSUND</t>
        </is>
      </c>
      <c r="F1040" t="inlineStr">
        <is>
          <t>SCA</t>
        </is>
      </c>
      <c r="G1040" t="n">
        <v>6.2</v>
      </c>
      <c r="H1040" t="n">
        <v>0</v>
      </c>
      <c r="I1040" t="n">
        <v>0</v>
      </c>
      <c r="J1040" t="n">
        <v>2</v>
      </c>
      <c r="K1040" t="n">
        <v>0</v>
      </c>
      <c r="L1040" t="n">
        <v>0</v>
      </c>
      <c r="M1040" t="n">
        <v>0</v>
      </c>
      <c r="N1040" t="n">
        <v>0</v>
      </c>
      <c r="O1040" t="n">
        <v>2</v>
      </c>
      <c r="P1040" t="n">
        <v>0</v>
      </c>
      <c r="Q1040" t="n">
        <v>2</v>
      </c>
      <c r="R1040" s="2" t="inlineStr">
        <is>
          <t>Lunglav
Skrovellav</t>
        </is>
      </c>
      <c r="S1040">
        <f>HYPERLINK("https://klasma.github.io/Logging_2313/artfynd/A 55658-2023 artfynd.xlsx", "A 55658-2023")</f>
        <v/>
      </c>
      <c r="T1040">
        <f>HYPERLINK("https://klasma.github.io/Logging_2313/kartor/A 55658-2023 karta.png", "A 55658-2023")</f>
        <v/>
      </c>
      <c r="V1040">
        <f>HYPERLINK("https://klasma.github.io/Logging_2313/klagomål/A 55658-2023 FSC-klagomål.docx", "A 55658-2023")</f>
        <v/>
      </c>
      <c r="W1040">
        <f>HYPERLINK("https://klasma.github.io/Logging_2313/klagomålsmail/A 55658-2023 FSC-klagomål mail.docx", "A 55658-2023")</f>
        <v/>
      </c>
      <c r="X1040">
        <f>HYPERLINK("https://klasma.github.io/Logging_2313/tillsyn/A 55658-2023 tillsynsbegäran.docx", "A 55658-2023")</f>
        <v/>
      </c>
      <c r="Y1040">
        <f>HYPERLINK("https://klasma.github.io/Logging_2313/tillsynsmail/A 55658-2023 tillsynsbegäran mail.docx", "A 55658-2023")</f>
        <v/>
      </c>
    </row>
    <row r="1041" ht="15" customHeight="1">
      <c r="A1041" t="inlineStr">
        <is>
          <t>A 55648-2023</t>
        </is>
      </c>
      <c r="B1041" s="1" t="n">
        <v>45238</v>
      </c>
      <c r="C1041" s="1" t="n">
        <v>45363</v>
      </c>
      <c r="D1041" t="inlineStr">
        <is>
          <t>JÄMTLANDS LÄN</t>
        </is>
      </c>
      <c r="E1041" t="inlineStr">
        <is>
          <t>ÖSTERSUND</t>
        </is>
      </c>
      <c r="G1041" t="n">
        <v>10.9</v>
      </c>
      <c r="H1041" t="n">
        <v>1</v>
      </c>
      <c r="I1041" t="n">
        <v>0</v>
      </c>
      <c r="J1041" t="n">
        <v>2</v>
      </c>
      <c r="K1041" t="n">
        <v>0</v>
      </c>
      <c r="L1041" t="n">
        <v>0</v>
      </c>
      <c r="M1041" t="n">
        <v>0</v>
      </c>
      <c r="N1041" t="n">
        <v>0</v>
      </c>
      <c r="O1041" t="n">
        <v>2</v>
      </c>
      <c r="P1041" t="n">
        <v>0</v>
      </c>
      <c r="Q1041" t="n">
        <v>2</v>
      </c>
      <c r="R1041" s="2" t="inlineStr">
        <is>
          <t>Granticka
Tretåig hackspett</t>
        </is>
      </c>
      <c r="S1041">
        <f>HYPERLINK("https://klasma.github.io/Logging_2380/artfynd/A 55648-2023 artfynd.xlsx", "A 55648-2023")</f>
        <v/>
      </c>
      <c r="T1041">
        <f>HYPERLINK("https://klasma.github.io/Logging_2380/kartor/A 55648-2023 karta.png", "A 55648-2023")</f>
        <v/>
      </c>
      <c r="V1041">
        <f>HYPERLINK("https://klasma.github.io/Logging_2380/klagomål/A 55648-2023 FSC-klagomål.docx", "A 55648-2023")</f>
        <v/>
      </c>
      <c r="W1041">
        <f>HYPERLINK("https://klasma.github.io/Logging_2380/klagomålsmail/A 55648-2023 FSC-klagomål mail.docx", "A 55648-2023")</f>
        <v/>
      </c>
      <c r="X1041">
        <f>HYPERLINK("https://klasma.github.io/Logging_2380/tillsyn/A 55648-2023 tillsynsbegäran.docx", "A 55648-2023")</f>
        <v/>
      </c>
      <c r="Y1041">
        <f>HYPERLINK("https://klasma.github.io/Logging_2380/tillsynsmail/A 55648-2023 tillsynsbegäran mail.docx", "A 55648-2023")</f>
        <v/>
      </c>
      <c r="Z1041">
        <f>HYPERLINK("https://klasma.github.io/Logging_2380/fåglar/A 55648-2023 prioriterade fågelarter.docx", "A 55648-2023")</f>
        <v/>
      </c>
    </row>
    <row r="1042" ht="15" customHeight="1">
      <c r="A1042" t="inlineStr">
        <is>
          <t>A 55647-2023</t>
        </is>
      </c>
      <c r="B1042" s="1" t="n">
        <v>45238</v>
      </c>
      <c r="C1042" s="1" t="n">
        <v>45363</v>
      </c>
      <c r="D1042" t="inlineStr">
        <is>
          <t>JÄMTLANDS LÄN</t>
        </is>
      </c>
      <c r="E1042" t="inlineStr">
        <is>
          <t>RAGUNDA</t>
        </is>
      </c>
      <c r="F1042" t="inlineStr">
        <is>
          <t>SCA</t>
        </is>
      </c>
      <c r="G1042" t="n">
        <v>3.7</v>
      </c>
      <c r="H1042" t="n">
        <v>0</v>
      </c>
      <c r="I1042" t="n">
        <v>1</v>
      </c>
      <c r="J1042" t="n">
        <v>1</v>
      </c>
      <c r="K1042" t="n">
        <v>0</v>
      </c>
      <c r="L1042" t="n">
        <v>0</v>
      </c>
      <c r="M1042" t="n">
        <v>0</v>
      </c>
      <c r="N1042" t="n">
        <v>0</v>
      </c>
      <c r="O1042" t="n">
        <v>1</v>
      </c>
      <c r="P1042" t="n">
        <v>0</v>
      </c>
      <c r="Q1042" t="n">
        <v>2</v>
      </c>
      <c r="R1042" s="2" t="inlineStr">
        <is>
          <t>Granticka
Trådticka</t>
        </is>
      </c>
      <c r="S1042">
        <f>HYPERLINK("https://klasma.github.io/Logging_2303/artfynd/A 55647-2023 artfynd.xlsx", "A 55647-2023")</f>
        <v/>
      </c>
      <c r="T1042">
        <f>HYPERLINK("https://klasma.github.io/Logging_2303/kartor/A 55647-2023 karta.png", "A 55647-2023")</f>
        <v/>
      </c>
      <c r="V1042">
        <f>HYPERLINK("https://klasma.github.io/Logging_2303/klagomål/A 55647-2023 FSC-klagomål.docx", "A 55647-2023")</f>
        <v/>
      </c>
      <c r="W1042">
        <f>HYPERLINK("https://klasma.github.io/Logging_2303/klagomålsmail/A 55647-2023 FSC-klagomål mail.docx", "A 55647-2023")</f>
        <v/>
      </c>
      <c r="X1042">
        <f>HYPERLINK("https://klasma.github.io/Logging_2303/tillsyn/A 55647-2023 tillsynsbegäran.docx", "A 55647-2023")</f>
        <v/>
      </c>
      <c r="Y1042">
        <f>HYPERLINK("https://klasma.github.io/Logging_2303/tillsynsmail/A 55647-2023 tillsynsbegäran mail.docx", "A 55647-2023")</f>
        <v/>
      </c>
    </row>
    <row r="1043" ht="15" customHeight="1">
      <c r="A1043" t="inlineStr">
        <is>
          <t>A 56285-2023</t>
        </is>
      </c>
      <c r="B1043" s="1" t="n">
        <v>45241</v>
      </c>
      <c r="C1043" s="1" t="n">
        <v>45363</v>
      </c>
      <c r="D1043" t="inlineStr">
        <is>
          <t>JÄMTLANDS LÄN</t>
        </is>
      </c>
      <c r="E1043" t="inlineStr">
        <is>
          <t>RAGUNDA</t>
        </is>
      </c>
      <c r="F1043" t="inlineStr">
        <is>
          <t>SCA</t>
        </is>
      </c>
      <c r="G1043" t="n">
        <v>5.5</v>
      </c>
      <c r="H1043" t="n">
        <v>0</v>
      </c>
      <c r="I1043" t="n">
        <v>0</v>
      </c>
      <c r="J1043" t="n">
        <v>2</v>
      </c>
      <c r="K1043" t="n">
        <v>0</v>
      </c>
      <c r="L1043" t="n">
        <v>0</v>
      </c>
      <c r="M1043" t="n">
        <v>0</v>
      </c>
      <c r="N1043" t="n">
        <v>0</v>
      </c>
      <c r="O1043" t="n">
        <v>2</v>
      </c>
      <c r="P1043" t="n">
        <v>0</v>
      </c>
      <c r="Q1043" t="n">
        <v>2</v>
      </c>
      <c r="R1043" s="2" t="inlineStr">
        <is>
          <t>Lunglav
Skrovellav</t>
        </is>
      </c>
      <c r="S1043">
        <f>HYPERLINK("https://klasma.github.io/Logging_2303/artfynd/A 56285-2023 artfynd.xlsx", "A 56285-2023")</f>
        <v/>
      </c>
      <c r="T1043">
        <f>HYPERLINK("https://klasma.github.io/Logging_2303/kartor/A 56285-2023 karta.png", "A 56285-2023")</f>
        <v/>
      </c>
      <c r="V1043">
        <f>HYPERLINK("https://klasma.github.io/Logging_2303/klagomål/A 56285-2023 FSC-klagomål.docx", "A 56285-2023")</f>
        <v/>
      </c>
      <c r="W1043">
        <f>HYPERLINK("https://klasma.github.io/Logging_2303/klagomålsmail/A 56285-2023 FSC-klagomål mail.docx", "A 56285-2023")</f>
        <v/>
      </c>
      <c r="X1043">
        <f>HYPERLINK("https://klasma.github.io/Logging_2303/tillsyn/A 56285-2023 tillsynsbegäran.docx", "A 56285-2023")</f>
        <v/>
      </c>
      <c r="Y1043">
        <f>HYPERLINK("https://klasma.github.io/Logging_2303/tillsynsmail/A 56285-2023 tillsynsbegäran mail.docx", "A 56285-2023")</f>
        <v/>
      </c>
    </row>
    <row r="1044" ht="15" customHeight="1">
      <c r="A1044" t="inlineStr">
        <is>
          <t>A 56476-2023</t>
        </is>
      </c>
      <c r="B1044" s="1" t="n">
        <v>45243</v>
      </c>
      <c r="C1044" s="1" t="n">
        <v>45363</v>
      </c>
      <c r="D1044" t="inlineStr">
        <is>
          <t>JÄMTLANDS LÄN</t>
        </is>
      </c>
      <c r="E1044" t="inlineStr">
        <is>
          <t>KROKOM</t>
        </is>
      </c>
      <c r="G1044" t="n">
        <v>19.8</v>
      </c>
      <c r="H1044" t="n">
        <v>0</v>
      </c>
      <c r="I1044" t="n">
        <v>0</v>
      </c>
      <c r="J1044" t="n">
        <v>2</v>
      </c>
      <c r="K1044" t="n">
        <v>0</v>
      </c>
      <c r="L1044" t="n">
        <v>0</v>
      </c>
      <c r="M1044" t="n">
        <v>0</v>
      </c>
      <c r="N1044" t="n">
        <v>0</v>
      </c>
      <c r="O1044" t="n">
        <v>2</v>
      </c>
      <c r="P1044" t="n">
        <v>0</v>
      </c>
      <c r="Q1044" t="n">
        <v>2</v>
      </c>
      <c r="R1044" s="2" t="inlineStr">
        <is>
          <t>Gammelgransskål
Gränsticka</t>
        </is>
      </c>
      <c r="S1044">
        <f>HYPERLINK("https://klasma.github.io/Logging_2309/artfynd/A 56476-2023 artfynd.xlsx", "A 56476-2023")</f>
        <v/>
      </c>
      <c r="T1044">
        <f>HYPERLINK("https://klasma.github.io/Logging_2309/kartor/A 56476-2023 karta.png", "A 56476-2023")</f>
        <v/>
      </c>
      <c r="V1044">
        <f>HYPERLINK("https://klasma.github.io/Logging_2309/klagomål/A 56476-2023 FSC-klagomål.docx", "A 56476-2023")</f>
        <v/>
      </c>
      <c r="W1044">
        <f>HYPERLINK("https://klasma.github.io/Logging_2309/klagomålsmail/A 56476-2023 FSC-klagomål mail.docx", "A 56476-2023")</f>
        <v/>
      </c>
      <c r="X1044">
        <f>HYPERLINK("https://klasma.github.io/Logging_2309/tillsyn/A 56476-2023 tillsynsbegäran.docx", "A 56476-2023")</f>
        <v/>
      </c>
      <c r="Y1044">
        <f>HYPERLINK("https://klasma.github.io/Logging_2309/tillsynsmail/A 56476-2023 tillsynsbegäran mail.docx", "A 56476-2023")</f>
        <v/>
      </c>
    </row>
    <row r="1045" ht="15" customHeight="1">
      <c r="A1045" t="inlineStr">
        <is>
          <t>A 57491-2023</t>
        </is>
      </c>
      <c r="B1045" s="1" t="n">
        <v>45246</v>
      </c>
      <c r="C1045" s="1" t="n">
        <v>45363</v>
      </c>
      <c r="D1045" t="inlineStr">
        <is>
          <t>JÄMTLANDS LÄN</t>
        </is>
      </c>
      <c r="E1045" t="inlineStr">
        <is>
          <t>ÖSTERSUND</t>
        </is>
      </c>
      <c r="G1045" t="n">
        <v>9.699999999999999</v>
      </c>
      <c r="H1045" t="n">
        <v>1</v>
      </c>
      <c r="I1045" t="n">
        <v>0</v>
      </c>
      <c r="J1045" t="n">
        <v>1</v>
      </c>
      <c r="K1045" t="n">
        <v>1</v>
      </c>
      <c r="L1045" t="n">
        <v>0</v>
      </c>
      <c r="M1045" t="n">
        <v>0</v>
      </c>
      <c r="N1045" t="n">
        <v>0</v>
      </c>
      <c r="O1045" t="n">
        <v>2</v>
      </c>
      <c r="P1045" t="n">
        <v>1</v>
      </c>
      <c r="Q1045" t="n">
        <v>2</v>
      </c>
      <c r="R1045" s="2" t="inlineStr">
        <is>
          <t>Doftticka
Lunglav</t>
        </is>
      </c>
      <c r="S1045">
        <f>HYPERLINK("https://klasma.github.io/Logging_2380/artfynd/A 57491-2023 artfynd.xlsx", "A 57491-2023")</f>
        <v/>
      </c>
      <c r="T1045">
        <f>HYPERLINK("https://klasma.github.io/Logging_2380/kartor/A 57491-2023 karta.png", "A 57491-2023")</f>
        <v/>
      </c>
      <c r="V1045">
        <f>HYPERLINK("https://klasma.github.io/Logging_2380/klagomål/A 57491-2023 FSC-klagomål.docx", "A 57491-2023")</f>
        <v/>
      </c>
      <c r="W1045">
        <f>HYPERLINK("https://klasma.github.io/Logging_2380/klagomålsmail/A 57491-2023 FSC-klagomål mail.docx", "A 57491-2023")</f>
        <v/>
      </c>
      <c r="X1045">
        <f>HYPERLINK("https://klasma.github.io/Logging_2380/tillsyn/A 57491-2023 tillsynsbegäran.docx", "A 57491-2023")</f>
        <v/>
      </c>
      <c r="Y1045">
        <f>HYPERLINK("https://klasma.github.io/Logging_2380/tillsynsmail/A 57491-2023 tillsynsbegäran mail.docx", "A 57491-2023")</f>
        <v/>
      </c>
    </row>
    <row r="1046" ht="15" customHeight="1">
      <c r="A1046" t="inlineStr">
        <is>
          <t>A 57771-2023</t>
        </is>
      </c>
      <c r="B1046" s="1" t="n">
        <v>45246</v>
      </c>
      <c r="C1046" s="1" t="n">
        <v>45363</v>
      </c>
      <c r="D1046" t="inlineStr">
        <is>
          <t>JÄMTLANDS LÄN</t>
        </is>
      </c>
      <c r="E1046" t="inlineStr">
        <is>
          <t>ÅRE</t>
        </is>
      </c>
      <c r="G1046" t="n">
        <v>2.1</v>
      </c>
      <c r="H1046" t="n">
        <v>0</v>
      </c>
      <c r="I1046" t="n">
        <v>0</v>
      </c>
      <c r="J1046" t="n">
        <v>2</v>
      </c>
      <c r="K1046" t="n">
        <v>0</v>
      </c>
      <c r="L1046" t="n">
        <v>0</v>
      </c>
      <c r="M1046" t="n">
        <v>0</v>
      </c>
      <c r="N1046" t="n">
        <v>0</v>
      </c>
      <c r="O1046" t="n">
        <v>2</v>
      </c>
      <c r="P1046" t="n">
        <v>0</v>
      </c>
      <c r="Q1046" t="n">
        <v>2</v>
      </c>
      <c r="R1046" s="2" t="inlineStr">
        <is>
          <t>Granticka
Harticka</t>
        </is>
      </c>
      <c r="S1046">
        <f>HYPERLINK("https://klasma.github.io/Logging_2321/artfynd/A 57771-2023 artfynd.xlsx", "A 57771-2023")</f>
        <v/>
      </c>
      <c r="T1046">
        <f>HYPERLINK("https://klasma.github.io/Logging_2321/kartor/A 57771-2023 karta.png", "A 57771-2023")</f>
        <v/>
      </c>
      <c r="V1046">
        <f>HYPERLINK("https://klasma.github.io/Logging_2321/klagomål/A 57771-2023 FSC-klagomål.docx", "A 57771-2023")</f>
        <v/>
      </c>
      <c r="W1046">
        <f>HYPERLINK("https://klasma.github.io/Logging_2321/klagomålsmail/A 57771-2023 FSC-klagomål mail.docx", "A 57771-2023")</f>
        <v/>
      </c>
      <c r="X1046">
        <f>HYPERLINK("https://klasma.github.io/Logging_2321/tillsyn/A 57771-2023 tillsynsbegäran.docx", "A 57771-2023")</f>
        <v/>
      </c>
      <c r="Y1046">
        <f>HYPERLINK("https://klasma.github.io/Logging_2321/tillsynsmail/A 57771-2023 tillsynsbegäran mail.docx", "A 57771-2023")</f>
        <v/>
      </c>
    </row>
    <row r="1047" ht="15" customHeight="1">
      <c r="A1047" t="inlineStr">
        <is>
          <t>A 60503-2023</t>
        </is>
      </c>
      <c r="B1047" s="1" t="n">
        <v>45258</v>
      </c>
      <c r="C1047" s="1" t="n">
        <v>45363</v>
      </c>
      <c r="D1047" t="inlineStr">
        <is>
          <t>JÄMTLANDS LÄN</t>
        </is>
      </c>
      <c r="E1047" t="inlineStr">
        <is>
          <t>STRÖMSUND</t>
        </is>
      </c>
      <c r="G1047" t="n">
        <v>5.7</v>
      </c>
      <c r="H1047" t="n">
        <v>1</v>
      </c>
      <c r="I1047" t="n">
        <v>0</v>
      </c>
      <c r="J1047" t="n">
        <v>2</v>
      </c>
      <c r="K1047" t="n">
        <v>0</v>
      </c>
      <c r="L1047" t="n">
        <v>0</v>
      </c>
      <c r="M1047" t="n">
        <v>0</v>
      </c>
      <c r="N1047" t="n">
        <v>0</v>
      </c>
      <c r="O1047" t="n">
        <v>2</v>
      </c>
      <c r="P1047" t="n">
        <v>0</v>
      </c>
      <c r="Q1047" t="n">
        <v>2</v>
      </c>
      <c r="R1047" s="2" t="inlineStr">
        <is>
          <t>Garnlav
Tretåig hackspett</t>
        </is>
      </c>
      <c r="S1047">
        <f>HYPERLINK("https://klasma.github.io/Logging_2313/artfynd/A 60503-2023 artfynd.xlsx", "A 60503-2023")</f>
        <v/>
      </c>
      <c r="T1047">
        <f>HYPERLINK("https://klasma.github.io/Logging_2313/kartor/A 60503-2023 karta.png", "A 60503-2023")</f>
        <v/>
      </c>
      <c r="V1047">
        <f>HYPERLINK("https://klasma.github.io/Logging_2313/klagomål/A 60503-2023 FSC-klagomål.docx", "A 60503-2023")</f>
        <v/>
      </c>
      <c r="W1047">
        <f>HYPERLINK("https://klasma.github.io/Logging_2313/klagomålsmail/A 60503-2023 FSC-klagomål mail.docx", "A 60503-2023")</f>
        <v/>
      </c>
      <c r="X1047">
        <f>HYPERLINK("https://klasma.github.io/Logging_2313/tillsyn/A 60503-2023 tillsynsbegäran.docx", "A 60503-2023")</f>
        <v/>
      </c>
      <c r="Y1047">
        <f>HYPERLINK("https://klasma.github.io/Logging_2313/tillsynsmail/A 60503-2023 tillsynsbegäran mail.docx", "A 60503-2023")</f>
        <v/>
      </c>
      <c r="Z1047">
        <f>HYPERLINK("https://klasma.github.io/Logging_2313/fåglar/A 60503-2023 prioriterade fågelarter.docx", "A 60503-2023")</f>
        <v/>
      </c>
    </row>
    <row r="1048" ht="15" customHeight="1">
      <c r="A1048" t="inlineStr">
        <is>
          <t>A 63930-2023</t>
        </is>
      </c>
      <c r="B1048" s="1" t="n">
        <v>45278</v>
      </c>
      <c r="C1048" s="1" t="n">
        <v>45363</v>
      </c>
      <c r="D1048" t="inlineStr">
        <is>
          <t>JÄMTLANDS LÄN</t>
        </is>
      </c>
      <c r="E1048" t="inlineStr">
        <is>
          <t>ÖSTERSUND</t>
        </is>
      </c>
      <c r="G1048" t="n">
        <v>2.1</v>
      </c>
      <c r="H1048" t="n">
        <v>0</v>
      </c>
      <c r="I1048" t="n">
        <v>2</v>
      </c>
      <c r="J1048" t="n">
        <v>0</v>
      </c>
      <c r="K1048" t="n">
        <v>0</v>
      </c>
      <c r="L1048" t="n">
        <v>0</v>
      </c>
      <c r="M1048" t="n">
        <v>0</v>
      </c>
      <c r="N1048" t="n">
        <v>0</v>
      </c>
      <c r="O1048" t="n">
        <v>0</v>
      </c>
      <c r="P1048" t="n">
        <v>0</v>
      </c>
      <c r="Q1048" t="n">
        <v>2</v>
      </c>
      <c r="R1048" s="2" t="inlineStr">
        <is>
          <t>Strimspindling
Svavelriska</t>
        </is>
      </c>
      <c r="S1048">
        <f>HYPERLINK("https://klasma.github.io/Logging_2380/artfynd/A 63930-2023 artfynd.xlsx", "A 63930-2023")</f>
        <v/>
      </c>
      <c r="T1048">
        <f>HYPERLINK("https://klasma.github.io/Logging_2380/kartor/A 63930-2023 karta.png", "A 63930-2023")</f>
        <v/>
      </c>
      <c r="V1048">
        <f>HYPERLINK("https://klasma.github.io/Logging_2380/klagomål/A 63930-2023 FSC-klagomål.docx", "A 63930-2023")</f>
        <v/>
      </c>
      <c r="W1048">
        <f>HYPERLINK("https://klasma.github.io/Logging_2380/klagomålsmail/A 63930-2023 FSC-klagomål mail.docx", "A 63930-2023")</f>
        <v/>
      </c>
      <c r="X1048">
        <f>HYPERLINK("https://klasma.github.io/Logging_2380/tillsyn/A 63930-2023 tillsynsbegäran.docx", "A 63930-2023")</f>
        <v/>
      </c>
      <c r="Y1048">
        <f>HYPERLINK("https://klasma.github.io/Logging_2380/tillsynsmail/A 63930-2023 tillsynsbegäran mail.docx", "A 63930-2023")</f>
        <v/>
      </c>
    </row>
    <row r="1049" ht="15" customHeight="1">
      <c r="A1049" t="inlineStr">
        <is>
          <t>A 1279-2024</t>
        </is>
      </c>
      <c r="B1049" s="1" t="n">
        <v>45302</v>
      </c>
      <c r="C1049" s="1" t="n">
        <v>45363</v>
      </c>
      <c r="D1049" t="inlineStr">
        <is>
          <t>JÄMTLANDS LÄN</t>
        </is>
      </c>
      <c r="E1049" t="inlineStr">
        <is>
          <t>BRÄCKE</t>
        </is>
      </c>
      <c r="F1049" t="inlineStr">
        <is>
          <t>SCA</t>
        </is>
      </c>
      <c r="G1049" t="n">
        <v>16.1</v>
      </c>
      <c r="H1049" t="n">
        <v>0</v>
      </c>
      <c r="I1049" t="n">
        <v>0</v>
      </c>
      <c r="J1049" t="n">
        <v>1</v>
      </c>
      <c r="K1049" t="n">
        <v>1</v>
      </c>
      <c r="L1049" t="n">
        <v>0</v>
      </c>
      <c r="M1049" t="n">
        <v>0</v>
      </c>
      <c r="N1049" t="n">
        <v>0</v>
      </c>
      <c r="O1049" t="n">
        <v>2</v>
      </c>
      <c r="P1049" t="n">
        <v>1</v>
      </c>
      <c r="Q1049" t="n">
        <v>2</v>
      </c>
      <c r="R1049" s="2" t="inlineStr">
        <is>
          <t>Åsstarr
Månlåsbräken</t>
        </is>
      </c>
      <c r="S1049">
        <f>HYPERLINK("https://klasma.github.io/Logging_2305/artfynd/A 1279-2024 artfynd.xlsx", "A 1279-2024")</f>
        <v/>
      </c>
      <c r="T1049">
        <f>HYPERLINK("https://klasma.github.io/Logging_2305/kartor/A 1279-2024 karta.png", "A 1279-2024")</f>
        <v/>
      </c>
      <c r="V1049">
        <f>HYPERLINK("https://klasma.github.io/Logging_2305/klagomål/A 1279-2024 FSC-klagomål.docx", "A 1279-2024")</f>
        <v/>
      </c>
      <c r="W1049">
        <f>HYPERLINK("https://klasma.github.io/Logging_2305/klagomålsmail/A 1279-2024 FSC-klagomål mail.docx", "A 1279-2024")</f>
        <v/>
      </c>
      <c r="X1049">
        <f>HYPERLINK("https://klasma.github.io/Logging_2305/tillsyn/A 1279-2024 tillsynsbegäran.docx", "A 1279-2024")</f>
        <v/>
      </c>
      <c r="Y1049">
        <f>HYPERLINK("https://klasma.github.io/Logging_2305/tillsynsmail/A 1279-2024 tillsynsbegäran mail.docx", "A 1279-2024")</f>
        <v/>
      </c>
    </row>
    <row r="1050" ht="15" customHeight="1">
      <c r="A1050" t="inlineStr">
        <is>
          <t>A 3838-2024</t>
        </is>
      </c>
      <c r="B1050" s="1" t="n">
        <v>45321</v>
      </c>
      <c r="C1050" s="1" t="n">
        <v>45363</v>
      </c>
      <c r="D1050" t="inlineStr">
        <is>
          <t>JÄMTLANDS LÄN</t>
        </is>
      </c>
      <c r="E1050" t="inlineStr">
        <is>
          <t>RAGUNDA</t>
        </is>
      </c>
      <c r="F1050" t="inlineStr">
        <is>
          <t>SCA</t>
        </is>
      </c>
      <c r="G1050" t="n">
        <v>2</v>
      </c>
      <c r="H1050" t="n">
        <v>1</v>
      </c>
      <c r="I1050" t="n">
        <v>1</v>
      </c>
      <c r="J1050" t="n">
        <v>1</v>
      </c>
      <c r="K1050" t="n">
        <v>0</v>
      </c>
      <c r="L1050" t="n">
        <v>0</v>
      </c>
      <c r="M1050" t="n">
        <v>0</v>
      </c>
      <c r="N1050" t="n">
        <v>0</v>
      </c>
      <c r="O1050" t="n">
        <v>1</v>
      </c>
      <c r="P1050" t="n">
        <v>0</v>
      </c>
      <c r="Q1050" t="n">
        <v>2</v>
      </c>
      <c r="R1050" s="2" t="inlineStr">
        <is>
          <t>Garnlav
Guckusko</t>
        </is>
      </c>
      <c r="S1050">
        <f>HYPERLINK("https://klasma.github.io/Logging_2303/artfynd/A 3838-2024 artfynd.xlsx", "A 3838-2024")</f>
        <v/>
      </c>
      <c r="T1050">
        <f>HYPERLINK("https://klasma.github.io/Logging_2303/kartor/A 3838-2024 karta.png", "A 3838-2024")</f>
        <v/>
      </c>
      <c r="V1050">
        <f>HYPERLINK("https://klasma.github.io/Logging_2303/klagomål/A 3838-2024 FSC-klagomål.docx", "A 3838-2024")</f>
        <v/>
      </c>
      <c r="W1050">
        <f>HYPERLINK("https://klasma.github.io/Logging_2303/klagomålsmail/A 3838-2024 FSC-klagomål mail.docx", "A 3838-2024")</f>
        <v/>
      </c>
      <c r="X1050">
        <f>HYPERLINK("https://klasma.github.io/Logging_2303/tillsyn/A 3838-2024 tillsynsbegäran.docx", "A 3838-2024")</f>
        <v/>
      </c>
      <c r="Y1050">
        <f>HYPERLINK("https://klasma.github.io/Logging_2303/tillsynsmail/A 3838-2024 tillsynsbegäran mail.docx", "A 3838-2024")</f>
        <v/>
      </c>
    </row>
    <row r="1051" ht="15" customHeight="1">
      <c r="A1051" t="inlineStr">
        <is>
          <t>A 3846-2024</t>
        </is>
      </c>
      <c r="B1051" s="1" t="n">
        <v>45321</v>
      </c>
      <c r="C1051" s="1" t="n">
        <v>45363</v>
      </c>
      <c r="D1051" t="inlineStr">
        <is>
          <t>JÄMTLANDS LÄN</t>
        </is>
      </c>
      <c r="E1051" t="inlineStr">
        <is>
          <t>ÖSTERSUND</t>
        </is>
      </c>
      <c r="G1051" t="n">
        <v>2.2</v>
      </c>
      <c r="H1051" t="n">
        <v>0</v>
      </c>
      <c r="I1051" t="n">
        <v>2</v>
      </c>
      <c r="J1051" t="n">
        <v>0</v>
      </c>
      <c r="K1051" t="n">
        <v>0</v>
      </c>
      <c r="L1051" t="n">
        <v>0</v>
      </c>
      <c r="M1051" t="n">
        <v>0</v>
      </c>
      <c r="N1051" t="n">
        <v>0</v>
      </c>
      <c r="O1051" t="n">
        <v>0</v>
      </c>
      <c r="P1051" t="n">
        <v>0</v>
      </c>
      <c r="Q1051" t="n">
        <v>2</v>
      </c>
      <c r="R1051" s="2" t="inlineStr">
        <is>
          <t>Olivspindling
Svavelriska</t>
        </is>
      </c>
      <c r="S1051">
        <f>HYPERLINK("https://klasma.github.io/Logging_2380/artfynd/A 3846-2024 artfynd.xlsx", "A 3846-2024")</f>
        <v/>
      </c>
      <c r="T1051">
        <f>HYPERLINK("https://klasma.github.io/Logging_2380/kartor/A 3846-2024 karta.png", "A 3846-2024")</f>
        <v/>
      </c>
      <c r="V1051">
        <f>HYPERLINK("https://klasma.github.io/Logging_2380/klagomål/A 3846-2024 FSC-klagomål.docx", "A 3846-2024")</f>
        <v/>
      </c>
      <c r="W1051">
        <f>HYPERLINK("https://klasma.github.io/Logging_2380/klagomålsmail/A 3846-2024 FSC-klagomål mail.docx", "A 3846-2024")</f>
        <v/>
      </c>
      <c r="X1051">
        <f>HYPERLINK("https://klasma.github.io/Logging_2380/tillsyn/A 3846-2024 tillsynsbegäran.docx", "A 3846-2024")</f>
        <v/>
      </c>
      <c r="Y1051">
        <f>HYPERLINK("https://klasma.github.io/Logging_2380/tillsynsmail/A 3846-2024 tillsynsbegäran mail.docx", "A 3846-2024")</f>
        <v/>
      </c>
    </row>
    <row r="1052" ht="15" customHeight="1">
      <c r="A1052" t="inlineStr">
        <is>
          <t>A 8248-2024</t>
        </is>
      </c>
      <c r="B1052" s="1" t="n">
        <v>45351</v>
      </c>
      <c r="C1052" s="1" t="n">
        <v>45363</v>
      </c>
      <c r="D1052" t="inlineStr">
        <is>
          <t>JÄMTLANDS LÄN</t>
        </is>
      </c>
      <c r="E1052" t="inlineStr">
        <is>
          <t>BRÄCKE</t>
        </is>
      </c>
      <c r="F1052" t="inlineStr">
        <is>
          <t>SCA</t>
        </is>
      </c>
      <c r="G1052" t="n">
        <v>1.8</v>
      </c>
      <c r="H1052" t="n">
        <v>0</v>
      </c>
      <c r="I1052" t="n">
        <v>0</v>
      </c>
      <c r="J1052" t="n">
        <v>2</v>
      </c>
      <c r="K1052" t="n">
        <v>0</v>
      </c>
      <c r="L1052" t="n">
        <v>0</v>
      </c>
      <c r="M1052" t="n">
        <v>0</v>
      </c>
      <c r="N1052" t="n">
        <v>0</v>
      </c>
      <c r="O1052" t="n">
        <v>2</v>
      </c>
      <c r="P1052" t="n">
        <v>0</v>
      </c>
      <c r="Q1052" t="n">
        <v>2</v>
      </c>
      <c r="R1052" s="2" t="inlineStr">
        <is>
          <t>Rosenticka
Ullticka</t>
        </is>
      </c>
      <c r="S1052">
        <f>HYPERLINK("https://klasma.github.io/Logging_2305/artfynd/A 8248-2024 artfynd.xlsx", "A 8248-2024")</f>
        <v/>
      </c>
      <c r="T1052">
        <f>HYPERLINK("https://klasma.github.io/Logging_2305/kartor/A 8248-2024 karta.png", "A 8248-2024")</f>
        <v/>
      </c>
      <c r="V1052">
        <f>HYPERLINK("https://klasma.github.io/Logging_2305/klagomål/A 8248-2024 FSC-klagomål.docx", "A 8248-2024")</f>
        <v/>
      </c>
      <c r="W1052">
        <f>HYPERLINK("https://klasma.github.io/Logging_2305/klagomålsmail/A 8248-2024 FSC-klagomål mail.docx", "A 8248-2024")</f>
        <v/>
      </c>
      <c r="X1052">
        <f>HYPERLINK("https://klasma.github.io/Logging_2305/tillsyn/A 8248-2024 tillsynsbegäran.docx", "A 8248-2024")</f>
        <v/>
      </c>
      <c r="Y1052">
        <f>HYPERLINK("https://klasma.github.io/Logging_2305/tillsynsmail/A 8248-2024 tillsynsbegäran mail.docx", "A 8248-2024")</f>
        <v/>
      </c>
    </row>
    <row r="1053" ht="15" customHeight="1">
      <c r="A1053" t="inlineStr">
        <is>
          <t>A 33947-2018</t>
        </is>
      </c>
      <c r="B1053" s="1" t="n">
        <v>43314</v>
      </c>
      <c r="C1053" s="1" t="n">
        <v>45363</v>
      </c>
      <c r="D1053" t="inlineStr">
        <is>
          <t>JÄMTLANDS LÄN</t>
        </is>
      </c>
      <c r="E1053" t="inlineStr">
        <is>
          <t>ÅRE</t>
        </is>
      </c>
      <c r="F1053" t="inlineStr">
        <is>
          <t>Övriga Aktiebolag</t>
        </is>
      </c>
      <c r="G1053" t="n">
        <v>8.5</v>
      </c>
      <c r="H1053" t="n">
        <v>0</v>
      </c>
      <c r="I1053" t="n">
        <v>0</v>
      </c>
      <c r="J1053" t="n">
        <v>0</v>
      </c>
      <c r="K1053" t="n">
        <v>1</v>
      </c>
      <c r="L1053" t="n">
        <v>0</v>
      </c>
      <c r="M1053" t="n">
        <v>0</v>
      </c>
      <c r="N1053" t="n">
        <v>0</v>
      </c>
      <c r="O1053" t="n">
        <v>1</v>
      </c>
      <c r="P1053" t="n">
        <v>1</v>
      </c>
      <c r="Q1053" t="n">
        <v>1</v>
      </c>
      <c r="R1053" s="2" t="inlineStr">
        <is>
          <t>Norsk näverlav</t>
        </is>
      </c>
      <c r="S1053">
        <f>HYPERLINK("https://klasma.github.io/Logging_2321/artfynd/A 33947-2018 artfynd.xlsx", "A 33947-2018")</f>
        <v/>
      </c>
      <c r="T1053">
        <f>HYPERLINK("https://klasma.github.io/Logging_2321/kartor/A 33947-2018 karta.png", "A 33947-2018")</f>
        <v/>
      </c>
      <c r="V1053">
        <f>HYPERLINK("https://klasma.github.io/Logging_2321/klagomål/A 33947-2018 FSC-klagomål.docx", "A 33947-2018")</f>
        <v/>
      </c>
      <c r="W1053">
        <f>HYPERLINK("https://klasma.github.io/Logging_2321/klagomålsmail/A 33947-2018 FSC-klagomål mail.docx", "A 33947-2018")</f>
        <v/>
      </c>
      <c r="X1053">
        <f>HYPERLINK("https://klasma.github.io/Logging_2321/tillsyn/A 33947-2018 tillsynsbegäran.docx", "A 33947-2018")</f>
        <v/>
      </c>
      <c r="Y1053">
        <f>HYPERLINK("https://klasma.github.io/Logging_2321/tillsynsmail/A 33947-2018 tillsynsbegäran mail.docx", "A 33947-2018")</f>
        <v/>
      </c>
    </row>
    <row r="1054" ht="15" customHeight="1">
      <c r="A1054" t="inlineStr">
        <is>
          <t>A 35993-2018</t>
        </is>
      </c>
      <c r="B1054" s="1" t="n">
        <v>43327</v>
      </c>
      <c r="C1054" s="1" t="n">
        <v>45363</v>
      </c>
      <c r="D1054" t="inlineStr">
        <is>
          <t>JÄMTLANDS LÄN</t>
        </is>
      </c>
      <c r="E1054" t="inlineStr">
        <is>
          <t>STRÖMSUND</t>
        </is>
      </c>
      <c r="G1054" t="n">
        <v>14.3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HYPERLINK("https://klasma.github.io/Logging_2313/artfynd/A 35993-2018 artfynd.xlsx", "A 35993-2018")</f>
        <v/>
      </c>
      <c r="T1054">
        <f>HYPERLINK("https://klasma.github.io/Logging_2313/kartor/A 35993-2018 karta.png", "A 35993-2018")</f>
        <v/>
      </c>
      <c r="V1054">
        <f>HYPERLINK("https://klasma.github.io/Logging_2313/klagomål/A 35993-2018 FSC-klagomål.docx", "A 35993-2018")</f>
        <v/>
      </c>
      <c r="W1054">
        <f>HYPERLINK("https://klasma.github.io/Logging_2313/klagomålsmail/A 35993-2018 FSC-klagomål mail.docx", "A 35993-2018")</f>
        <v/>
      </c>
      <c r="X1054">
        <f>HYPERLINK("https://klasma.github.io/Logging_2313/tillsyn/A 35993-2018 tillsynsbegäran.docx", "A 35993-2018")</f>
        <v/>
      </c>
      <c r="Y1054">
        <f>HYPERLINK("https://klasma.github.io/Logging_2313/tillsynsmail/A 35993-2018 tillsynsbegäran mail.docx", "A 35993-2018")</f>
        <v/>
      </c>
      <c r="Z1054">
        <f>HYPERLINK("https://klasma.github.io/Logging_2313/fåglar/A 35993-2018 prioriterade fågelarter.docx", "A 35993-2018")</f>
        <v/>
      </c>
    </row>
    <row r="1055" ht="15" customHeight="1">
      <c r="A1055" t="inlineStr">
        <is>
          <t>A 35917-2018</t>
        </is>
      </c>
      <c r="B1055" s="1" t="n">
        <v>43327</v>
      </c>
      <c r="C1055" s="1" t="n">
        <v>45363</v>
      </c>
      <c r="D1055" t="inlineStr">
        <is>
          <t>JÄMTLANDS LÄN</t>
        </is>
      </c>
      <c r="E1055" t="inlineStr">
        <is>
          <t>KROKOM</t>
        </is>
      </c>
      <c r="G1055" t="n">
        <v>11.2</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HYPERLINK("https://klasma.github.io/Logging_2309/artfynd/A 35917-2018 artfynd.xlsx", "A 35917-2018")</f>
        <v/>
      </c>
      <c r="T1055">
        <f>HYPERLINK("https://klasma.github.io/Logging_2309/kartor/A 35917-2018 karta.png", "A 35917-2018")</f>
        <v/>
      </c>
      <c r="V1055">
        <f>HYPERLINK("https://klasma.github.io/Logging_2309/klagomål/A 35917-2018 FSC-klagomål.docx", "A 35917-2018")</f>
        <v/>
      </c>
      <c r="W1055">
        <f>HYPERLINK("https://klasma.github.io/Logging_2309/klagomålsmail/A 35917-2018 FSC-klagomål mail.docx", "A 35917-2018")</f>
        <v/>
      </c>
      <c r="X1055">
        <f>HYPERLINK("https://klasma.github.io/Logging_2309/tillsyn/A 35917-2018 tillsynsbegäran.docx", "A 35917-2018")</f>
        <v/>
      </c>
      <c r="Y1055">
        <f>HYPERLINK("https://klasma.github.io/Logging_2309/tillsynsmail/A 35917-2018 tillsynsbegäran mail.docx", "A 35917-2018")</f>
        <v/>
      </c>
      <c r="Z1055">
        <f>HYPERLINK("https://klasma.github.io/Logging_2309/fåglar/A 35917-2018 prioriterade fågelarter.docx", "A 35917-2018")</f>
        <v/>
      </c>
    </row>
    <row r="1056" ht="15" customHeight="1">
      <c r="A1056" t="inlineStr">
        <is>
          <t>A 61187-2018</t>
        </is>
      </c>
      <c r="B1056" s="1" t="n">
        <v>43412</v>
      </c>
      <c r="C1056" s="1" t="n">
        <v>45363</v>
      </c>
      <c r="D1056" t="inlineStr">
        <is>
          <t>JÄMTLANDS LÄN</t>
        </is>
      </c>
      <c r="E1056" t="inlineStr">
        <is>
          <t>KROKOM</t>
        </is>
      </c>
      <c r="G1056" t="n">
        <v>2</v>
      </c>
      <c r="H1056" t="n">
        <v>1</v>
      </c>
      <c r="I1056" t="n">
        <v>0</v>
      </c>
      <c r="J1056" t="n">
        <v>0</v>
      </c>
      <c r="K1056" t="n">
        <v>0</v>
      </c>
      <c r="L1056" t="n">
        <v>0</v>
      </c>
      <c r="M1056" t="n">
        <v>0</v>
      </c>
      <c r="N1056" t="n">
        <v>0</v>
      </c>
      <c r="O1056" t="n">
        <v>0</v>
      </c>
      <c r="P1056" t="n">
        <v>0</v>
      </c>
      <c r="Q1056" t="n">
        <v>1</v>
      </c>
      <c r="R1056" s="2" t="inlineStr">
        <is>
          <t>Fläcknycklar</t>
        </is>
      </c>
      <c r="S1056">
        <f>HYPERLINK("https://klasma.github.io/Logging_2309/artfynd/A 61187-2018 artfynd.xlsx", "A 61187-2018")</f>
        <v/>
      </c>
      <c r="T1056">
        <f>HYPERLINK("https://klasma.github.io/Logging_2309/kartor/A 61187-2018 karta.png", "A 61187-2018")</f>
        <v/>
      </c>
      <c r="V1056">
        <f>HYPERLINK("https://klasma.github.io/Logging_2309/klagomål/A 61187-2018 FSC-klagomål.docx", "A 61187-2018")</f>
        <v/>
      </c>
      <c r="W1056">
        <f>HYPERLINK("https://klasma.github.io/Logging_2309/klagomålsmail/A 61187-2018 FSC-klagomål mail.docx", "A 61187-2018")</f>
        <v/>
      </c>
      <c r="X1056">
        <f>HYPERLINK("https://klasma.github.io/Logging_2309/tillsyn/A 61187-2018 tillsynsbegäran.docx", "A 61187-2018")</f>
        <v/>
      </c>
      <c r="Y1056">
        <f>HYPERLINK("https://klasma.github.io/Logging_2309/tillsynsmail/A 61187-2018 tillsynsbegäran mail.docx", "A 61187-2018")</f>
        <v/>
      </c>
    </row>
    <row r="1057" ht="15" customHeight="1">
      <c r="A1057" t="inlineStr">
        <is>
          <t>A 62476-2018</t>
        </is>
      </c>
      <c r="B1057" s="1" t="n">
        <v>43415</v>
      </c>
      <c r="C1057" s="1" t="n">
        <v>45363</v>
      </c>
      <c r="D1057" t="inlineStr">
        <is>
          <t>JÄMTLANDS LÄN</t>
        </is>
      </c>
      <c r="E1057" t="inlineStr">
        <is>
          <t>STRÖMSUND</t>
        </is>
      </c>
      <c r="F1057" t="inlineStr">
        <is>
          <t>SCA</t>
        </is>
      </c>
      <c r="G1057" t="n">
        <v>4.6</v>
      </c>
      <c r="H1057" t="n">
        <v>0</v>
      </c>
      <c r="I1057" t="n">
        <v>0</v>
      </c>
      <c r="J1057" t="n">
        <v>1</v>
      </c>
      <c r="K1057" t="n">
        <v>0</v>
      </c>
      <c r="L1057" t="n">
        <v>0</v>
      </c>
      <c r="M1057" t="n">
        <v>0</v>
      </c>
      <c r="N1057" t="n">
        <v>0</v>
      </c>
      <c r="O1057" t="n">
        <v>1</v>
      </c>
      <c r="P1057" t="n">
        <v>0</v>
      </c>
      <c r="Q1057" t="n">
        <v>1</v>
      </c>
      <c r="R1057" s="2" t="inlineStr">
        <is>
          <t>Ullticka</t>
        </is>
      </c>
      <c r="S1057">
        <f>HYPERLINK("https://klasma.github.io/Logging_2313/artfynd/A 62476-2018 artfynd.xlsx", "A 62476-2018")</f>
        <v/>
      </c>
      <c r="T1057">
        <f>HYPERLINK("https://klasma.github.io/Logging_2313/kartor/A 62476-2018 karta.png", "A 62476-2018")</f>
        <v/>
      </c>
      <c r="V1057">
        <f>HYPERLINK("https://klasma.github.io/Logging_2313/klagomål/A 62476-2018 FSC-klagomål.docx", "A 62476-2018")</f>
        <v/>
      </c>
      <c r="W1057">
        <f>HYPERLINK("https://klasma.github.io/Logging_2313/klagomålsmail/A 62476-2018 FSC-klagomål mail.docx", "A 62476-2018")</f>
        <v/>
      </c>
      <c r="X1057">
        <f>HYPERLINK("https://klasma.github.io/Logging_2313/tillsyn/A 62476-2018 tillsynsbegäran.docx", "A 62476-2018")</f>
        <v/>
      </c>
      <c r="Y1057">
        <f>HYPERLINK("https://klasma.github.io/Logging_2313/tillsynsmail/A 62476-2018 tillsynsbegäran mail.docx", "A 62476-2018")</f>
        <v/>
      </c>
    </row>
    <row r="1058" ht="15" customHeight="1">
      <c r="A1058" t="inlineStr">
        <is>
          <t>A 64311-2018</t>
        </is>
      </c>
      <c r="B1058" s="1" t="n">
        <v>43430</v>
      </c>
      <c r="C1058" s="1" t="n">
        <v>45363</v>
      </c>
      <c r="D1058" t="inlineStr">
        <is>
          <t>JÄMTLANDS LÄN</t>
        </is>
      </c>
      <c r="E1058" t="inlineStr">
        <is>
          <t>BRÄCKE</t>
        </is>
      </c>
      <c r="F1058" t="inlineStr">
        <is>
          <t>Övriga Aktiebolag</t>
        </is>
      </c>
      <c r="G1058" t="n">
        <v>29.1</v>
      </c>
      <c r="H1058" t="n">
        <v>0</v>
      </c>
      <c r="I1058" t="n">
        <v>0</v>
      </c>
      <c r="J1058" t="n">
        <v>1</v>
      </c>
      <c r="K1058" t="n">
        <v>0</v>
      </c>
      <c r="L1058" t="n">
        <v>0</v>
      </c>
      <c r="M1058" t="n">
        <v>0</v>
      </c>
      <c r="N1058" t="n">
        <v>0</v>
      </c>
      <c r="O1058" t="n">
        <v>1</v>
      </c>
      <c r="P1058" t="n">
        <v>0</v>
      </c>
      <c r="Q1058" t="n">
        <v>1</v>
      </c>
      <c r="R1058" s="2" t="inlineStr">
        <is>
          <t>Brunklöver</t>
        </is>
      </c>
      <c r="S1058">
        <f>HYPERLINK("https://klasma.github.io/Logging_2305/artfynd/A 64311-2018 artfynd.xlsx", "A 64311-2018")</f>
        <v/>
      </c>
      <c r="T1058">
        <f>HYPERLINK("https://klasma.github.io/Logging_2305/kartor/A 64311-2018 karta.png", "A 64311-2018")</f>
        <v/>
      </c>
      <c r="V1058">
        <f>HYPERLINK("https://klasma.github.io/Logging_2305/klagomål/A 64311-2018 FSC-klagomål.docx", "A 64311-2018")</f>
        <v/>
      </c>
      <c r="W1058">
        <f>HYPERLINK("https://klasma.github.io/Logging_2305/klagomålsmail/A 64311-2018 FSC-klagomål mail.docx", "A 64311-2018")</f>
        <v/>
      </c>
      <c r="X1058">
        <f>HYPERLINK("https://klasma.github.io/Logging_2305/tillsyn/A 64311-2018 tillsynsbegäran.docx", "A 64311-2018")</f>
        <v/>
      </c>
      <c r="Y1058">
        <f>HYPERLINK("https://klasma.github.io/Logging_2305/tillsynsmail/A 64311-2018 tillsynsbegäran mail.docx", "A 64311-2018")</f>
        <v/>
      </c>
    </row>
    <row r="1059" ht="15" customHeight="1">
      <c r="A1059" t="inlineStr">
        <is>
          <t>A 64479-2018</t>
        </is>
      </c>
      <c r="B1059" s="1" t="n">
        <v>43431</v>
      </c>
      <c r="C1059" s="1" t="n">
        <v>45363</v>
      </c>
      <c r="D1059" t="inlineStr">
        <is>
          <t>JÄMTLANDS LÄN</t>
        </is>
      </c>
      <c r="E1059" t="inlineStr">
        <is>
          <t>ÅRE</t>
        </is>
      </c>
      <c r="G1059" t="n">
        <v>10.1</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HYPERLINK("https://klasma.github.io/Logging_2321/artfynd/A 64479-2018 artfynd.xlsx", "A 64479-2018")</f>
        <v/>
      </c>
      <c r="T1059">
        <f>HYPERLINK("https://klasma.github.io/Logging_2321/kartor/A 64479-2018 karta.png", "A 64479-2018")</f>
        <v/>
      </c>
      <c r="V1059">
        <f>HYPERLINK("https://klasma.github.io/Logging_2321/klagomål/A 64479-2018 FSC-klagomål.docx", "A 64479-2018")</f>
        <v/>
      </c>
      <c r="W1059">
        <f>HYPERLINK("https://klasma.github.io/Logging_2321/klagomålsmail/A 64479-2018 FSC-klagomål mail.docx", "A 64479-2018")</f>
        <v/>
      </c>
      <c r="X1059">
        <f>HYPERLINK("https://klasma.github.io/Logging_2321/tillsyn/A 64479-2018 tillsynsbegäran.docx", "A 64479-2018")</f>
        <v/>
      </c>
      <c r="Y1059">
        <f>HYPERLINK("https://klasma.github.io/Logging_2321/tillsynsmail/A 64479-2018 tillsynsbegäran mail.docx", "A 64479-2018")</f>
        <v/>
      </c>
      <c r="Z1059">
        <f>HYPERLINK("https://klasma.github.io/Logging_2321/fåglar/A 64479-2018 prioriterade fågelarter.docx", "A 64479-2018")</f>
        <v/>
      </c>
    </row>
    <row r="1060" ht="15" customHeight="1">
      <c r="A1060" t="inlineStr">
        <is>
          <t>A 66769-2018</t>
        </is>
      </c>
      <c r="B1060" s="1" t="n">
        <v>43437</v>
      </c>
      <c r="C1060" s="1" t="n">
        <v>45363</v>
      </c>
      <c r="D1060" t="inlineStr">
        <is>
          <t>JÄMTLANDS LÄN</t>
        </is>
      </c>
      <c r="E1060" t="inlineStr">
        <is>
          <t>BERG</t>
        </is>
      </c>
      <c r="G1060" t="n">
        <v>0.9</v>
      </c>
      <c r="H1060" t="n">
        <v>0</v>
      </c>
      <c r="I1060" t="n">
        <v>0</v>
      </c>
      <c r="J1060" t="n">
        <v>1</v>
      </c>
      <c r="K1060" t="n">
        <v>0</v>
      </c>
      <c r="L1060" t="n">
        <v>0</v>
      </c>
      <c r="M1060" t="n">
        <v>0</v>
      </c>
      <c r="N1060" t="n">
        <v>0</v>
      </c>
      <c r="O1060" t="n">
        <v>1</v>
      </c>
      <c r="P1060" t="n">
        <v>0</v>
      </c>
      <c r="Q1060" t="n">
        <v>1</v>
      </c>
      <c r="R1060" s="2" t="inlineStr">
        <is>
          <t>Garnlav</t>
        </is>
      </c>
      <c r="S1060">
        <f>HYPERLINK("https://klasma.github.io/Logging_2326/artfynd/A 66769-2018 artfynd.xlsx", "A 66769-2018")</f>
        <v/>
      </c>
      <c r="T1060">
        <f>HYPERLINK("https://klasma.github.io/Logging_2326/kartor/A 66769-2018 karta.png", "A 66769-2018")</f>
        <v/>
      </c>
      <c r="V1060">
        <f>HYPERLINK("https://klasma.github.io/Logging_2326/klagomål/A 66769-2018 FSC-klagomål.docx", "A 66769-2018")</f>
        <v/>
      </c>
      <c r="W1060">
        <f>HYPERLINK("https://klasma.github.io/Logging_2326/klagomålsmail/A 66769-2018 FSC-klagomål mail.docx", "A 66769-2018")</f>
        <v/>
      </c>
      <c r="X1060">
        <f>HYPERLINK("https://klasma.github.io/Logging_2326/tillsyn/A 66769-2018 tillsynsbegäran.docx", "A 66769-2018")</f>
        <v/>
      </c>
      <c r="Y1060">
        <f>HYPERLINK("https://klasma.github.io/Logging_2326/tillsynsmail/A 66769-2018 tillsynsbegäran mail.docx", "A 66769-2018")</f>
        <v/>
      </c>
    </row>
    <row r="1061" ht="15" customHeight="1">
      <c r="A1061" t="inlineStr">
        <is>
          <t>A 1417-2019</t>
        </is>
      </c>
      <c r="B1061" s="1" t="n">
        <v>43461</v>
      </c>
      <c r="C1061" s="1" t="n">
        <v>45363</v>
      </c>
      <c r="D1061" t="inlineStr">
        <is>
          <t>JÄMTLANDS LÄN</t>
        </is>
      </c>
      <c r="E1061" t="inlineStr">
        <is>
          <t>HÄRJEDALEN</t>
        </is>
      </c>
      <c r="G1061" t="n">
        <v>46.2</v>
      </c>
      <c r="H1061" t="n">
        <v>0</v>
      </c>
      <c r="I1061" t="n">
        <v>0</v>
      </c>
      <c r="J1061" t="n">
        <v>1</v>
      </c>
      <c r="K1061" t="n">
        <v>0</v>
      </c>
      <c r="L1061" t="n">
        <v>0</v>
      </c>
      <c r="M1061" t="n">
        <v>0</v>
      </c>
      <c r="N1061" t="n">
        <v>0</v>
      </c>
      <c r="O1061" t="n">
        <v>1</v>
      </c>
      <c r="P1061" t="n">
        <v>0</v>
      </c>
      <c r="Q1061" t="n">
        <v>1</v>
      </c>
      <c r="R1061" s="2" t="inlineStr">
        <is>
          <t>Garnlav</t>
        </is>
      </c>
      <c r="S1061">
        <f>HYPERLINK("https://klasma.github.io/Logging_2361/artfynd/A 1417-2019 artfynd.xlsx", "A 1417-2019")</f>
        <v/>
      </c>
      <c r="T1061">
        <f>HYPERLINK("https://klasma.github.io/Logging_2361/kartor/A 1417-2019 karta.png", "A 1417-2019")</f>
        <v/>
      </c>
      <c r="V1061">
        <f>HYPERLINK("https://klasma.github.io/Logging_2361/klagomål/A 1417-2019 FSC-klagomål.docx", "A 1417-2019")</f>
        <v/>
      </c>
      <c r="W1061">
        <f>HYPERLINK("https://klasma.github.io/Logging_2361/klagomålsmail/A 1417-2019 FSC-klagomål mail.docx", "A 1417-2019")</f>
        <v/>
      </c>
      <c r="X1061">
        <f>HYPERLINK("https://klasma.github.io/Logging_2361/tillsyn/A 1417-2019 tillsynsbegäran.docx", "A 1417-2019")</f>
        <v/>
      </c>
      <c r="Y1061">
        <f>HYPERLINK("https://klasma.github.io/Logging_2361/tillsynsmail/A 1417-2019 tillsynsbegäran mail.docx", "A 1417-2019")</f>
        <v/>
      </c>
    </row>
    <row r="1062" ht="15" customHeight="1">
      <c r="A1062" t="inlineStr">
        <is>
          <t>A 1129-2019</t>
        </is>
      </c>
      <c r="B1062" s="1" t="n">
        <v>43472</v>
      </c>
      <c r="C1062" s="1" t="n">
        <v>45363</v>
      </c>
      <c r="D1062" t="inlineStr">
        <is>
          <t>JÄMTLANDS LÄN</t>
        </is>
      </c>
      <c r="E1062" t="inlineStr">
        <is>
          <t>STRÖMSUND</t>
        </is>
      </c>
      <c r="F1062" t="inlineStr">
        <is>
          <t>SCA</t>
        </is>
      </c>
      <c r="G1062" t="n">
        <v>4.3</v>
      </c>
      <c r="H1062" t="n">
        <v>1</v>
      </c>
      <c r="I1062" t="n">
        <v>0</v>
      </c>
      <c r="J1062" t="n">
        <v>0</v>
      </c>
      <c r="K1062" t="n">
        <v>0</v>
      </c>
      <c r="L1062" t="n">
        <v>0</v>
      </c>
      <c r="M1062" t="n">
        <v>0</v>
      </c>
      <c r="N1062" t="n">
        <v>0</v>
      </c>
      <c r="O1062" t="n">
        <v>0</v>
      </c>
      <c r="P1062" t="n">
        <v>0</v>
      </c>
      <c r="Q1062" t="n">
        <v>1</v>
      </c>
      <c r="R1062" s="2" t="inlineStr">
        <is>
          <t>Fläcknycklar</t>
        </is>
      </c>
      <c r="S1062">
        <f>HYPERLINK("https://klasma.github.io/Logging_2313/artfynd/A 1129-2019 artfynd.xlsx", "A 1129-2019")</f>
        <v/>
      </c>
      <c r="T1062">
        <f>HYPERLINK("https://klasma.github.io/Logging_2313/kartor/A 1129-2019 karta.png", "A 1129-2019")</f>
        <v/>
      </c>
      <c r="V1062">
        <f>HYPERLINK("https://klasma.github.io/Logging_2313/klagomål/A 1129-2019 FSC-klagomål.docx", "A 1129-2019")</f>
        <v/>
      </c>
      <c r="W1062">
        <f>HYPERLINK("https://klasma.github.io/Logging_2313/klagomålsmail/A 1129-2019 FSC-klagomål mail.docx", "A 1129-2019")</f>
        <v/>
      </c>
      <c r="X1062">
        <f>HYPERLINK("https://klasma.github.io/Logging_2313/tillsyn/A 1129-2019 tillsynsbegäran.docx", "A 1129-2019")</f>
        <v/>
      </c>
      <c r="Y1062">
        <f>HYPERLINK("https://klasma.github.io/Logging_2313/tillsynsmail/A 1129-2019 tillsynsbegäran mail.docx", "A 1129-2019")</f>
        <v/>
      </c>
    </row>
    <row r="1063" ht="15" customHeight="1">
      <c r="A1063" t="inlineStr">
        <is>
          <t>A 9736-2019</t>
        </is>
      </c>
      <c r="B1063" s="1" t="n">
        <v>43508</v>
      </c>
      <c r="C1063" s="1" t="n">
        <v>45363</v>
      </c>
      <c r="D1063" t="inlineStr">
        <is>
          <t>JÄMTLANDS LÄN</t>
        </is>
      </c>
      <c r="E1063" t="inlineStr">
        <is>
          <t>KROKOM</t>
        </is>
      </c>
      <c r="G1063" t="n">
        <v>1</v>
      </c>
      <c r="H1063" t="n">
        <v>0</v>
      </c>
      <c r="I1063" t="n">
        <v>1</v>
      </c>
      <c r="J1063" t="n">
        <v>0</v>
      </c>
      <c r="K1063" t="n">
        <v>0</v>
      </c>
      <c r="L1063" t="n">
        <v>0</v>
      </c>
      <c r="M1063" t="n">
        <v>0</v>
      </c>
      <c r="N1063" t="n">
        <v>0</v>
      </c>
      <c r="O1063" t="n">
        <v>0</v>
      </c>
      <c r="P1063" t="n">
        <v>0</v>
      </c>
      <c r="Q1063" t="n">
        <v>1</v>
      </c>
      <c r="R1063" s="2" t="inlineStr">
        <is>
          <t>Barkkornlav</t>
        </is>
      </c>
      <c r="S1063">
        <f>HYPERLINK("https://klasma.github.io/Logging_2309/artfynd/A 9736-2019 artfynd.xlsx", "A 9736-2019")</f>
        <v/>
      </c>
      <c r="T1063">
        <f>HYPERLINK("https://klasma.github.io/Logging_2309/kartor/A 9736-2019 karta.png", "A 9736-2019")</f>
        <v/>
      </c>
      <c r="V1063">
        <f>HYPERLINK("https://klasma.github.io/Logging_2309/klagomål/A 9736-2019 FSC-klagomål.docx", "A 9736-2019")</f>
        <v/>
      </c>
      <c r="W1063">
        <f>HYPERLINK("https://klasma.github.io/Logging_2309/klagomålsmail/A 9736-2019 FSC-klagomål mail.docx", "A 9736-2019")</f>
        <v/>
      </c>
      <c r="X1063">
        <f>HYPERLINK("https://klasma.github.io/Logging_2309/tillsyn/A 9736-2019 tillsynsbegäran.docx", "A 9736-2019")</f>
        <v/>
      </c>
      <c r="Y1063">
        <f>HYPERLINK("https://klasma.github.io/Logging_2309/tillsynsmail/A 9736-2019 tillsynsbegäran mail.docx", "A 9736-2019")</f>
        <v/>
      </c>
    </row>
    <row r="1064" ht="15" customHeight="1">
      <c r="A1064" t="inlineStr">
        <is>
          <t>A 11079-2019</t>
        </is>
      </c>
      <c r="B1064" s="1" t="n">
        <v>43515</v>
      </c>
      <c r="C1064" s="1" t="n">
        <v>45363</v>
      </c>
      <c r="D1064" t="inlineStr">
        <is>
          <t>JÄMTLANDS LÄN</t>
        </is>
      </c>
      <c r="E1064" t="inlineStr">
        <is>
          <t>RAGUNDA</t>
        </is>
      </c>
      <c r="G1064" t="n">
        <v>0.9</v>
      </c>
      <c r="H1064" t="n">
        <v>1</v>
      </c>
      <c r="I1064" t="n">
        <v>0</v>
      </c>
      <c r="J1064" t="n">
        <v>0</v>
      </c>
      <c r="K1064" t="n">
        <v>1</v>
      </c>
      <c r="L1064" t="n">
        <v>0</v>
      </c>
      <c r="M1064" t="n">
        <v>0</v>
      </c>
      <c r="N1064" t="n">
        <v>0</v>
      </c>
      <c r="O1064" t="n">
        <v>1</v>
      </c>
      <c r="P1064" t="n">
        <v>1</v>
      </c>
      <c r="Q1064" t="n">
        <v>1</v>
      </c>
      <c r="R1064" s="2" t="inlineStr">
        <is>
          <t>Bombmurkla</t>
        </is>
      </c>
      <c r="S1064">
        <f>HYPERLINK("https://klasma.github.io/Logging_2303/artfynd/A 11079-2019 artfynd.xlsx", "A 11079-2019")</f>
        <v/>
      </c>
      <c r="T1064">
        <f>HYPERLINK("https://klasma.github.io/Logging_2303/kartor/A 11079-2019 karta.png", "A 11079-2019")</f>
        <v/>
      </c>
      <c r="V1064">
        <f>HYPERLINK("https://klasma.github.io/Logging_2303/klagomål/A 11079-2019 FSC-klagomål.docx", "A 11079-2019")</f>
        <v/>
      </c>
      <c r="W1064">
        <f>HYPERLINK("https://klasma.github.io/Logging_2303/klagomålsmail/A 11079-2019 FSC-klagomål mail.docx", "A 11079-2019")</f>
        <v/>
      </c>
      <c r="X1064">
        <f>HYPERLINK("https://klasma.github.io/Logging_2303/tillsyn/A 11079-2019 tillsynsbegäran.docx", "A 11079-2019")</f>
        <v/>
      </c>
      <c r="Y1064">
        <f>HYPERLINK("https://klasma.github.io/Logging_2303/tillsynsmail/A 11079-2019 tillsynsbegäran mail.docx", "A 11079-2019")</f>
        <v/>
      </c>
    </row>
    <row r="1065" ht="15" customHeight="1">
      <c r="A1065" t="inlineStr">
        <is>
          <t>A 14312-2019</t>
        </is>
      </c>
      <c r="B1065" s="1" t="n">
        <v>43535</v>
      </c>
      <c r="C1065" s="1" t="n">
        <v>45363</v>
      </c>
      <c r="D1065" t="inlineStr">
        <is>
          <t>JÄMTLANDS LÄN</t>
        </is>
      </c>
      <c r="E1065" t="inlineStr">
        <is>
          <t>BERG</t>
        </is>
      </c>
      <c r="G1065" t="n">
        <v>5.3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HYPERLINK("https://klasma.github.io/Logging_2326/artfynd/A 14312-2019 artfynd.xlsx", "A 14312-2019")</f>
        <v/>
      </c>
      <c r="T1065">
        <f>HYPERLINK("https://klasma.github.io/Logging_2326/kartor/A 14312-2019 karta.png", "A 14312-2019")</f>
        <v/>
      </c>
      <c r="V1065">
        <f>HYPERLINK("https://klasma.github.io/Logging_2326/klagomål/A 14312-2019 FSC-klagomål.docx", "A 14312-2019")</f>
        <v/>
      </c>
      <c r="W1065">
        <f>HYPERLINK("https://klasma.github.io/Logging_2326/klagomålsmail/A 14312-2019 FSC-klagomål mail.docx", "A 14312-2019")</f>
        <v/>
      </c>
      <c r="X1065">
        <f>HYPERLINK("https://klasma.github.io/Logging_2326/tillsyn/A 14312-2019 tillsynsbegäran.docx", "A 14312-2019")</f>
        <v/>
      </c>
      <c r="Y1065">
        <f>HYPERLINK("https://klasma.github.io/Logging_2326/tillsynsmail/A 14312-2019 tillsynsbegäran mail.docx", "A 14312-2019")</f>
        <v/>
      </c>
      <c r="Z1065">
        <f>HYPERLINK("https://klasma.github.io/Logging_2326/fåglar/A 14312-2019 prioriterade fågelarter.docx", "A 14312-2019")</f>
        <v/>
      </c>
    </row>
    <row r="1066" ht="15" customHeight="1">
      <c r="A1066" t="inlineStr">
        <is>
          <t>A 14325-2019</t>
        </is>
      </c>
      <c r="B1066" s="1" t="n">
        <v>43535</v>
      </c>
      <c r="C1066" s="1" t="n">
        <v>45363</v>
      </c>
      <c r="D1066" t="inlineStr">
        <is>
          <t>JÄMTLANDS LÄN</t>
        </is>
      </c>
      <c r="E1066" t="inlineStr">
        <is>
          <t>BERG</t>
        </is>
      </c>
      <c r="G1066" t="n">
        <v>1.5</v>
      </c>
      <c r="H1066" t="n">
        <v>0</v>
      </c>
      <c r="I1066" t="n">
        <v>0</v>
      </c>
      <c r="J1066" t="n">
        <v>1</v>
      </c>
      <c r="K1066" t="n">
        <v>0</v>
      </c>
      <c r="L1066" t="n">
        <v>0</v>
      </c>
      <c r="M1066" t="n">
        <v>0</v>
      </c>
      <c r="N1066" t="n">
        <v>0</v>
      </c>
      <c r="O1066" t="n">
        <v>1</v>
      </c>
      <c r="P1066" t="n">
        <v>0</v>
      </c>
      <c r="Q1066" t="n">
        <v>1</v>
      </c>
      <c r="R1066" s="2" t="inlineStr">
        <is>
          <t>Ullticka</t>
        </is>
      </c>
      <c r="S1066">
        <f>HYPERLINK("https://klasma.github.io/Logging_2326/artfynd/A 14325-2019 artfynd.xlsx", "A 14325-2019")</f>
        <v/>
      </c>
      <c r="T1066">
        <f>HYPERLINK("https://klasma.github.io/Logging_2326/kartor/A 14325-2019 karta.png", "A 14325-2019")</f>
        <v/>
      </c>
      <c r="V1066">
        <f>HYPERLINK("https://klasma.github.io/Logging_2326/klagomål/A 14325-2019 FSC-klagomål.docx", "A 14325-2019")</f>
        <v/>
      </c>
      <c r="W1066">
        <f>HYPERLINK("https://klasma.github.io/Logging_2326/klagomålsmail/A 14325-2019 FSC-klagomål mail.docx", "A 14325-2019")</f>
        <v/>
      </c>
      <c r="X1066">
        <f>HYPERLINK("https://klasma.github.io/Logging_2326/tillsyn/A 14325-2019 tillsynsbegäran.docx", "A 14325-2019")</f>
        <v/>
      </c>
      <c r="Y1066">
        <f>HYPERLINK("https://klasma.github.io/Logging_2326/tillsynsmail/A 14325-2019 tillsynsbegäran mail.docx", "A 14325-2019")</f>
        <v/>
      </c>
    </row>
    <row r="1067" ht="15" customHeight="1">
      <c r="A1067" t="inlineStr">
        <is>
          <t>A 18156-2019</t>
        </is>
      </c>
      <c r="B1067" s="1" t="n">
        <v>43558</v>
      </c>
      <c r="C1067" s="1" t="n">
        <v>45363</v>
      </c>
      <c r="D1067" t="inlineStr">
        <is>
          <t>JÄMTLANDS LÄN</t>
        </is>
      </c>
      <c r="E1067" t="inlineStr">
        <is>
          <t>HÄRJEDALEN</t>
        </is>
      </c>
      <c r="F1067" t="inlineStr">
        <is>
          <t>Bergvik skog väst AB</t>
        </is>
      </c>
      <c r="G1067" t="n">
        <v>102.9</v>
      </c>
      <c r="H1067" t="n">
        <v>0</v>
      </c>
      <c r="I1067" t="n">
        <v>0</v>
      </c>
      <c r="J1067" t="n">
        <v>1</v>
      </c>
      <c r="K1067" t="n">
        <v>0</v>
      </c>
      <c r="L1067" t="n">
        <v>0</v>
      </c>
      <c r="M1067" t="n">
        <v>0</v>
      </c>
      <c r="N1067" t="n">
        <v>0</v>
      </c>
      <c r="O1067" t="n">
        <v>1</v>
      </c>
      <c r="P1067" t="n">
        <v>0</v>
      </c>
      <c r="Q1067" t="n">
        <v>1</v>
      </c>
      <c r="R1067" s="2" t="inlineStr">
        <is>
          <t>Stiftgelélav</t>
        </is>
      </c>
      <c r="S1067">
        <f>HYPERLINK("https://klasma.github.io/Logging_2361/artfynd/A 18156-2019 artfynd.xlsx", "A 18156-2019")</f>
        <v/>
      </c>
      <c r="T1067">
        <f>HYPERLINK("https://klasma.github.io/Logging_2361/kartor/A 18156-2019 karta.png", "A 18156-2019")</f>
        <v/>
      </c>
      <c r="V1067">
        <f>HYPERLINK("https://klasma.github.io/Logging_2361/klagomål/A 18156-2019 FSC-klagomål.docx", "A 18156-2019")</f>
        <v/>
      </c>
      <c r="W1067">
        <f>HYPERLINK("https://klasma.github.io/Logging_2361/klagomålsmail/A 18156-2019 FSC-klagomål mail.docx", "A 18156-2019")</f>
        <v/>
      </c>
      <c r="X1067">
        <f>HYPERLINK("https://klasma.github.io/Logging_2361/tillsyn/A 18156-2019 tillsynsbegäran.docx", "A 18156-2019")</f>
        <v/>
      </c>
      <c r="Y1067">
        <f>HYPERLINK("https://klasma.github.io/Logging_2361/tillsynsmail/A 18156-2019 tillsynsbegäran mail.docx", "A 18156-2019")</f>
        <v/>
      </c>
    </row>
    <row r="1068" ht="15" customHeight="1">
      <c r="A1068" t="inlineStr">
        <is>
          <t>A 21660-2019</t>
        </is>
      </c>
      <c r="B1068" s="1" t="n">
        <v>43581</v>
      </c>
      <c r="C1068" s="1" t="n">
        <v>45363</v>
      </c>
      <c r="D1068" t="inlineStr">
        <is>
          <t>JÄMTLANDS LÄN</t>
        </is>
      </c>
      <c r="E1068" t="inlineStr">
        <is>
          <t>STRÖMSUND</t>
        </is>
      </c>
      <c r="G1068" t="n">
        <v>1.7</v>
      </c>
      <c r="H1068" t="n">
        <v>0</v>
      </c>
      <c r="I1068" t="n">
        <v>0</v>
      </c>
      <c r="J1068" t="n">
        <v>1</v>
      </c>
      <c r="K1068" t="n">
        <v>0</v>
      </c>
      <c r="L1068" t="n">
        <v>0</v>
      </c>
      <c r="M1068" t="n">
        <v>0</v>
      </c>
      <c r="N1068" t="n">
        <v>0</v>
      </c>
      <c r="O1068" t="n">
        <v>1</v>
      </c>
      <c r="P1068" t="n">
        <v>0</v>
      </c>
      <c r="Q1068" t="n">
        <v>1</v>
      </c>
      <c r="R1068" s="2" t="inlineStr">
        <is>
          <t>Granticka</t>
        </is>
      </c>
      <c r="S1068">
        <f>HYPERLINK("https://klasma.github.io/Logging_2313/artfynd/A 21660-2019 artfynd.xlsx", "A 21660-2019")</f>
        <v/>
      </c>
      <c r="T1068">
        <f>HYPERLINK("https://klasma.github.io/Logging_2313/kartor/A 21660-2019 karta.png", "A 21660-2019")</f>
        <v/>
      </c>
      <c r="V1068">
        <f>HYPERLINK("https://klasma.github.io/Logging_2313/klagomål/A 21660-2019 FSC-klagomål.docx", "A 21660-2019")</f>
        <v/>
      </c>
      <c r="W1068">
        <f>HYPERLINK("https://klasma.github.io/Logging_2313/klagomålsmail/A 21660-2019 FSC-klagomål mail.docx", "A 21660-2019")</f>
        <v/>
      </c>
      <c r="X1068">
        <f>HYPERLINK("https://klasma.github.io/Logging_2313/tillsyn/A 21660-2019 tillsynsbegäran.docx", "A 21660-2019")</f>
        <v/>
      </c>
      <c r="Y1068">
        <f>HYPERLINK("https://klasma.github.io/Logging_2313/tillsynsmail/A 21660-2019 tillsynsbegäran mail.docx", "A 21660-2019")</f>
        <v/>
      </c>
    </row>
    <row r="1069" ht="15" customHeight="1">
      <c r="A1069" t="inlineStr">
        <is>
          <t>A 22339-2019</t>
        </is>
      </c>
      <c r="B1069" s="1" t="n">
        <v>43586</v>
      </c>
      <c r="C1069" s="1" t="n">
        <v>45363</v>
      </c>
      <c r="D1069" t="inlineStr">
        <is>
          <t>JÄMTLANDS LÄN</t>
        </is>
      </c>
      <c r="E1069" t="inlineStr">
        <is>
          <t>STRÖMSUND</t>
        </is>
      </c>
      <c r="F1069" t="inlineStr">
        <is>
          <t>SCA</t>
        </is>
      </c>
      <c r="G1069" t="n">
        <v>2.8</v>
      </c>
      <c r="H1069" t="n">
        <v>0</v>
      </c>
      <c r="I1069" t="n">
        <v>0</v>
      </c>
      <c r="J1069" t="n">
        <v>1</v>
      </c>
      <c r="K1069" t="n">
        <v>0</v>
      </c>
      <c r="L1069" t="n">
        <v>0</v>
      </c>
      <c r="M1069" t="n">
        <v>0</v>
      </c>
      <c r="N1069" t="n">
        <v>0</v>
      </c>
      <c r="O1069" t="n">
        <v>1</v>
      </c>
      <c r="P1069" t="n">
        <v>0</v>
      </c>
      <c r="Q1069" t="n">
        <v>1</v>
      </c>
      <c r="R1069" s="2" t="inlineStr">
        <is>
          <t>Vedflikmossa</t>
        </is>
      </c>
      <c r="S1069">
        <f>HYPERLINK("https://klasma.github.io/Logging_2313/artfynd/A 22339-2019 artfynd.xlsx", "A 22339-2019")</f>
        <v/>
      </c>
      <c r="T1069">
        <f>HYPERLINK("https://klasma.github.io/Logging_2313/kartor/A 22339-2019 karta.png", "A 22339-2019")</f>
        <v/>
      </c>
      <c r="V1069">
        <f>HYPERLINK("https://klasma.github.io/Logging_2313/klagomål/A 22339-2019 FSC-klagomål.docx", "A 22339-2019")</f>
        <v/>
      </c>
      <c r="W1069">
        <f>HYPERLINK("https://klasma.github.io/Logging_2313/klagomålsmail/A 22339-2019 FSC-klagomål mail.docx", "A 22339-2019")</f>
        <v/>
      </c>
      <c r="X1069">
        <f>HYPERLINK("https://klasma.github.io/Logging_2313/tillsyn/A 22339-2019 tillsynsbegäran.docx", "A 22339-2019")</f>
        <v/>
      </c>
      <c r="Y1069">
        <f>HYPERLINK("https://klasma.github.io/Logging_2313/tillsynsmail/A 22339-2019 tillsynsbegäran mail.docx", "A 22339-2019")</f>
        <v/>
      </c>
    </row>
    <row r="1070" ht="15" customHeight="1">
      <c r="A1070" t="inlineStr">
        <is>
          <t>A 28216-2019</t>
        </is>
      </c>
      <c r="B1070" s="1" t="n">
        <v>43621</v>
      </c>
      <c r="C1070" s="1" t="n">
        <v>45363</v>
      </c>
      <c r="D1070" t="inlineStr">
        <is>
          <t>JÄMTLANDS LÄN</t>
        </is>
      </c>
      <c r="E1070" t="inlineStr">
        <is>
          <t>BRÄCKE</t>
        </is>
      </c>
      <c r="F1070" t="inlineStr">
        <is>
          <t>SCA</t>
        </is>
      </c>
      <c r="G1070" t="n">
        <v>4.6</v>
      </c>
      <c r="H1070" t="n">
        <v>0</v>
      </c>
      <c r="I1070" t="n">
        <v>0</v>
      </c>
      <c r="J1070" t="n">
        <v>1</v>
      </c>
      <c r="K1070" t="n">
        <v>0</v>
      </c>
      <c r="L1070" t="n">
        <v>0</v>
      </c>
      <c r="M1070" t="n">
        <v>0</v>
      </c>
      <c r="N1070" t="n">
        <v>0</v>
      </c>
      <c r="O1070" t="n">
        <v>1</v>
      </c>
      <c r="P1070" t="n">
        <v>0</v>
      </c>
      <c r="Q1070" t="n">
        <v>1</v>
      </c>
      <c r="R1070" s="2" t="inlineStr">
        <is>
          <t>Lunglav</t>
        </is>
      </c>
      <c r="S1070">
        <f>HYPERLINK("https://klasma.github.io/Logging_2305/artfynd/A 28216-2019 artfynd.xlsx", "A 28216-2019")</f>
        <v/>
      </c>
      <c r="T1070">
        <f>HYPERLINK("https://klasma.github.io/Logging_2305/kartor/A 28216-2019 karta.png", "A 28216-2019")</f>
        <v/>
      </c>
      <c r="V1070">
        <f>HYPERLINK("https://klasma.github.io/Logging_2305/klagomål/A 28216-2019 FSC-klagomål.docx", "A 28216-2019")</f>
        <v/>
      </c>
      <c r="W1070">
        <f>HYPERLINK("https://klasma.github.io/Logging_2305/klagomålsmail/A 28216-2019 FSC-klagomål mail.docx", "A 28216-2019")</f>
        <v/>
      </c>
      <c r="X1070">
        <f>HYPERLINK("https://klasma.github.io/Logging_2305/tillsyn/A 28216-2019 tillsynsbegäran.docx", "A 28216-2019")</f>
        <v/>
      </c>
      <c r="Y1070">
        <f>HYPERLINK("https://klasma.github.io/Logging_2305/tillsynsmail/A 28216-2019 tillsynsbegäran mail.docx", "A 28216-2019")</f>
        <v/>
      </c>
    </row>
    <row r="1071" ht="15" customHeight="1">
      <c r="A1071" t="inlineStr">
        <is>
          <t>A 29291-2019</t>
        </is>
      </c>
      <c r="B1071" s="1" t="n">
        <v>43629</v>
      </c>
      <c r="C1071" s="1" t="n">
        <v>45363</v>
      </c>
      <c r="D1071" t="inlineStr">
        <is>
          <t>JÄMTLANDS LÄN</t>
        </is>
      </c>
      <c r="E1071" t="inlineStr">
        <is>
          <t>STRÖMSUND</t>
        </is>
      </c>
      <c r="G1071" t="n">
        <v>16</v>
      </c>
      <c r="H1071" t="n">
        <v>0</v>
      </c>
      <c r="I1071" t="n">
        <v>1</v>
      </c>
      <c r="J1071" t="n">
        <v>0</v>
      </c>
      <c r="K1071" t="n">
        <v>0</v>
      </c>
      <c r="L1071" t="n">
        <v>0</v>
      </c>
      <c r="M1071" t="n">
        <v>0</v>
      </c>
      <c r="N1071" t="n">
        <v>0</v>
      </c>
      <c r="O1071" t="n">
        <v>0</v>
      </c>
      <c r="P1071" t="n">
        <v>0</v>
      </c>
      <c r="Q1071" t="n">
        <v>1</v>
      </c>
      <c r="R1071" s="2" t="inlineStr">
        <is>
          <t>Finbräken</t>
        </is>
      </c>
      <c r="S1071">
        <f>HYPERLINK("https://klasma.github.io/Logging_2313/artfynd/A 29291-2019 artfynd.xlsx", "A 29291-2019")</f>
        <v/>
      </c>
      <c r="T1071">
        <f>HYPERLINK("https://klasma.github.io/Logging_2313/kartor/A 29291-2019 karta.png", "A 29291-2019")</f>
        <v/>
      </c>
      <c r="V1071">
        <f>HYPERLINK("https://klasma.github.io/Logging_2313/klagomål/A 29291-2019 FSC-klagomål.docx", "A 29291-2019")</f>
        <v/>
      </c>
      <c r="W1071">
        <f>HYPERLINK("https://klasma.github.io/Logging_2313/klagomålsmail/A 29291-2019 FSC-klagomål mail.docx", "A 29291-2019")</f>
        <v/>
      </c>
      <c r="X1071">
        <f>HYPERLINK("https://klasma.github.io/Logging_2313/tillsyn/A 29291-2019 tillsynsbegäran.docx", "A 29291-2019")</f>
        <v/>
      </c>
      <c r="Y1071">
        <f>HYPERLINK("https://klasma.github.io/Logging_2313/tillsynsmail/A 29291-2019 tillsynsbegäran mail.docx", "A 29291-2019")</f>
        <v/>
      </c>
    </row>
    <row r="1072" ht="15" customHeight="1">
      <c r="A1072" t="inlineStr">
        <is>
          <t>A 30941-2019</t>
        </is>
      </c>
      <c r="B1072" s="1" t="n">
        <v>43636</v>
      </c>
      <c r="C1072" s="1" t="n">
        <v>45363</v>
      </c>
      <c r="D1072" t="inlineStr">
        <is>
          <t>JÄMTLANDS LÄN</t>
        </is>
      </c>
      <c r="E1072" t="inlineStr">
        <is>
          <t>ÖSTERSUND</t>
        </is>
      </c>
      <c r="F1072" t="inlineStr">
        <is>
          <t>SCA</t>
        </is>
      </c>
      <c r="G1072" t="n">
        <v>1.9</v>
      </c>
      <c r="H1072" t="n">
        <v>1</v>
      </c>
      <c r="I1072" t="n">
        <v>1</v>
      </c>
      <c r="J1072" t="n">
        <v>0</v>
      </c>
      <c r="K1072" t="n">
        <v>0</v>
      </c>
      <c r="L1072" t="n">
        <v>0</v>
      </c>
      <c r="M1072" t="n">
        <v>0</v>
      </c>
      <c r="N1072" t="n">
        <v>0</v>
      </c>
      <c r="O1072" t="n">
        <v>0</v>
      </c>
      <c r="P1072" t="n">
        <v>0</v>
      </c>
      <c r="Q1072" t="n">
        <v>1</v>
      </c>
      <c r="R1072" s="2" t="inlineStr">
        <is>
          <t>Tvåblad</t>
        </is>
      </c>
      <c r="S1072">
        <f>HYPERLINK("https://klasma.github.io/Logging_2380/artfynd/A 30941-2019 artfynd.xlsx", "A 30941-2019")</f>
        <v/>
      </c>
      <c r="T1072">
        <f>HYPERLINK("https://klasma.github.io/Logging_2380/kartor/A 30941-2019 karta.png", "A 30941-2019")</f>
        <v/>
      </c>
      <c r="V1072">
        <f>HYPERLINK("https://klasma.github.io/Logging_2380/klagomål/A 30941-2019 FSC-klagomål.docx", "A 30941-2019")</f>
        <v/>
      </c>
      <c r="W1072">
        <f>HYPERLINK("https://klasma.github.io/Logging_2380/klagomålsmail/A 30941-2019 FSC-klagomål mail.docx", "A 30941-2019")</f>
        <v/>
      </c>
      <c r="X1072">
        <f>HYPERLINK("https://klasma.github.io/Logging_2380/tillsyn/A 30941-2019 tillsynsbegäran.docx", "A 30941-2019")</f>
        <v/>
      </c>
      <c r="Y1072">
        <f>HYPERLINK("https://klasma.github.io/Logging_2380/tillsynsmail/A 30941-2019 tillsynsbegäran mail.docx", "A 30941-2019")</f>
        <v/>
      </c>
    </row>
    <row r="1073" ht="15" customHeight="1">
      <c r="A1073" t="inlineStr">
        <is>
          <t>A 30819-2019</t>
        </is>
      </c>
      <c r="B1073" s="1" t="n">
        <v>43636</v>
      </c>
      <c r="C1073" s="1" t="n">
        <v>45363</v>
      </c>
      <c r="D1073" t="inlineStr">
        <is>
          <t>JÄMTLANDS LÄN</t>
        </is>
      </c>
      <c r="E1073" t="inlineStr">
        <is>
          <t>KROKOM</t>
        </is>
      </c>
      <c r="G1073" t="n">
        <v>18.8</v>
      </c>
      <c r="H1073" t="n">
        <v>0</v>
      </c>
      <c r="I1073" t="n">
        <v>1</v>
      </c>
      <c r="J1073" t="n">
        <v>0</v>
      </c>
      <c r="K1073" t="n">
        <v>0</v>
      </c>
      <c r="L1073" t="n">
        <v>0</v>
      </c>
      <c r="M1073" t="n">
        <v>0</v>
      </c>
      <c r="N1073" t="n">
        <v>0</v>
      </c>
      <c r="O1073" t="n">
        <v>0</v>
      </c>
      <c r="P1073" t="n">
        <v>0</v>
      </c>
      <c r="Q1073" t="n">
        <v>1</v>
      </c>
      <c r="R1073" s="2" t="inlineStr">
        <is>
          <t>Ögonpyrola</t>
        </is>
      </c>
      <c r="S1073">
        <f>HYPERLINK("https://klasma.github.io/Logging_2309/artfynd/A 30819-2019 artfynd.xlsx", "A 30819-2019")</f>
        <v/>
      </c>
      <c r="T1073">
        <f>HYPERLINK("https://klasma.github.io/Logging_2309/kartor/A 30819-2019 karta.png", "A 30819-2019")</f>
        <v/>
      </c>
      <c r="V1073">
        <f>HYPERLINK("https://klasma.github.io/Logging_2309/klagomål/A 30819-2019 FSC-klagomål.docx", "A 30819-2019")</f>
        <v/>
      </c>
      <c r="W1073">
        <f>HYPERLINK("https://klasma.github.io/Logging_2309/klagomålsmail/A 30819-2019 FSC-klagomål mail.docx", "A 30819-2019")</f>
        <v/>
      </c>
      <c r="X1073">
        <f>HYPERLINK("https://klasma.github.io/Logging_2309/tillsyn/A 30819-2019 tillsynsbegäran.docx", "A 30819-2019")</f>
        <v/>
      </c>
      <c r="Y1073">
        <f>HYPERLINK("https://klasma.github.io/Logging_2309/tillsynsmail/A 30819-2019 tillsynsbegäran mail.docx", "A 30819-2019")</f>
        <v/>
      </c>
    </row>
    <row r="1074" ht="15" customHeight="1">
      <c r="A1074" t="inlineStr">
        <is>
          <t>A 31910-2019</t>
        </is>
      </c>
      <c r="B1074" s="1" t="n">
        <v>43642</v>
      </c>
      <c r="C1074" s="1" t="n">
        <v>45363</v>
      </c>
      <c r="D1074" t="inlineStr">
        <is>
          <t>JÄMTLANDS LÄN</t>
        </is>
      </c>
      <c r="E1074" t="inlineStr">
        <is>
          <t>KROKOM</t>
        </is>
      </c>
      <c r="G1074" t="n">
        <v>5</v>
      </c>
      <c r="H1074" t="n">
        <v>0</v>
      </c>
      <c r="I1074" t="n">
        <v>0</v>
      </c>
      <c r="J1074" t="n">
        <v>1</v>
      </c>
      <c r="K1074" t="n">
        <v>0</v>
      </c>
      <c r="L1074" t="n">
        <v>0</v>
      </c>
      <c r="M1074" t="n">
        <v>0</v>
      </c>
      <c r="N1074" t="n">
        <v>0</v>
      </c>
      <c r="O1074" t="n">
        <v>1</v>
      </c>
      <c r="P1074" t="n">
        <v>0</v>
      </c>
      <c r="Q1074" t="n">
        <v>1</v>
      </c>
      <c r="R1074" s="2" t="inlineStr">
        <is>
          <t>Lunglav</t>
        </is>
      </c>
      <c r="S1074">
        <f>HYPERLINK("https://klasma.github.io/Logging_2309/artfynd/A 31910-2019 artfynd.xlsx", "A 31910-2019")</f>
        <v/>
      </c>
      <c r="T1074">
        <f>HYPERLINK("https://klasma.github.io/Logging_2309/kartor/A 31910-2019 karta.png", "A 31910-2019")</f>
        <v/>
      </c>
      <c r="V1074">
        <f>HYPERLINK("https://klasma.github.io/Logging_2309/klagomål/A 31910-2019 FSC-klagomål.docx", "A 31910-2019")</f>
        <v/>
      </c>
      <c r="W1074">
        <f>HYPERLINK("https://klasma.github.io/Logging_2309/klagomålsmail/A 31910-2019 FSC-klagomål mail.docx", "A 31910-2019")</f>
        <v/>
      </c>
      <c r="X1074">
        <f>HYPERLINK("https://klasma.github.io/Logging_2309/tillsyn/A 31910-2019 tillsynsbegäran.docx", "A 31910-2019")</f>
        <v/>
      </c>
      <c r="Y1074">
        <f>HYPERLINK("https://klasma.github.io/Logging_2309/tillsynsmail/A 31910-2019 tillsynsbegäran mail.docx", "A 31910-2019")</f>
        <v/>
      </c>
    </row>
    <row r="1075" ht="15" customHeight="1">
      <c r="A1075" t="inlineStr">
        <is>
          <t>A 32596-2019</t>
        </is>
      </c>
      <c r="B1075" s="1" t="n">
        <v>43647</v>
      </c>
      <c r="C1075" s="1" t="n">
        <v>45363</v>
      </c>
      <c r="D1075" t="inlineStr">
        <is>
          <t>JÄMTLANDS LÄN</t>
        </is>
      </c>
      <c r="E1075" t="inlineStr">
        <is>
          <t>STRÖMSUND</t>
        </is>
      </c>
      <c r="G1075" t="n">
        <v>2.6</v>
      </c>
      <c r="H1075" t="n">
        <v>1</v>
      </c>
      <c r="I1075" t="n">
        <v>0</v>
      </c>
      <c r="J1075" t="n">
        <v>0</v>
      </c>
      <c r="K1075" t="n">
        <v>1</v>
      </c>
      <c r="L1075" t="n">
        <v>0</v>
      </c>
      <c r="M1075" t="n">
        <v>0</v>
      </c>
      <c r="N1075" t="n">
        <v>0</v>
      </c>
      <c r="O1075" t="n">
        <v>1</v>
      </c>
      <c r="P1075" t="n">
        <v>1</v>
      </c>
      <c r="Q1075" t="n">
        <v>1</v>
      </c>
      <c r="R1075" s="2" t="inlineStr">
        <is>
          <t>Knärot</t>
        </is>
      </c>
      <c r="S1075">
        <f>HYPERLINK("https://klasma.github.io/Logging_2313/artfynd/A 32596-2019 artfynd.xlsx", "A 32596-2019")</f>
        <v/>
      </c>
      <c r="T1075">
        <f>HYPERLINK("https://klasma.github.io/Logging_2313/kartor/A 32596-2019 karta.png", "A 32596-2019")</f>
        <v/>
      </c>
      <c r="U1075">
        <f>HYPERLINK("https://klasma.github.io/Logging_2313/knärot/A 32596-2019 karta knärot.png", "A 32596-2019")</f>
        <v/>
      </c>
      <c r="V1075">
        <f>HYPERLINK("https://klasma.github.io/Logging_2313/klagomål/A 32596-2019 FSC-klagomål.docx", "A 32596-2019")</f>
        <v/>
      </c>
      <c r="W1075">
        <f>HYPERLINK("https://klasma.github.io/Logging_2313/klagomålsmail/A 32596-2019 FSC-klagomål mail.docx", "A 32596-2019")</f>
        <v/>
      </c>
      <c r="X1075">
        <f>HYPERLINK("https://klasma.github.io/Logging_2313/tillsyn/A 32596-2019 tillsynsbegäran.docx", "A 32596-2019")</f>
        <v/>
      </c>
      <c r="Y1075">
        <f>HYPERLINK("https://klasma.github.io/Logging_2313/tillsynsmail/A 32596-2019 tillsynsbegäran mail.docx", "A 32596-2019")</f>
        <v/>
      </c>
    </row>
    <row r="1076" ht="15" customHeight="1">
      <c r="A1076" t="inlineStr">
        <is>
          <t>A 33241-2019</t>
        </is>
      </c>
      <c r="B1076" s="1" t="n">
        <v>43650</v>
      </c>
      <c r="C1076" s="1" t="n">
        <v>45363</v>
      </c>
      <c r="D1076" t="inlineStr">
        <is>
          <t>JÄMTLANDS LÄN</t>
        </is>
      </c>
      <c r="E1076" t="inlineStr">
        <is>
          <t>RAGUNDA</t>
        </is>
      </c>
      <c r="G1076" t="n">
        <v>6.3</v>
      </c>
      <c r="H1076" t="n">
        <v>0</v>
      </c>
      <c r="I1076" t="n">
        <v>0</v>
      </c>
      <c r="J1076" t="n">
        <v>1</v>
      </c>
      <c r="K1076" t="n">
        <v>0</v>
      </c>
      <c r="L1076" t="n">
        <v>0</v>
      </c>
      <c r="M1076" t="n">
        <v>0</v>
      </c>
      <c r="N1076" t="n">
        <v>0</v>
      </c>
      <c r="O1076" t="n">
        <v>1</v>
      </c>
      <c r="P1076" t="n">
        <v>0</v>
      </c>
      <c r="Q1076" t="n">
        <v>1</v>
      </c>
      <c r="R1076" s="2" t="inlineStr">
        <is>
          <t>Garnlav</t>
        </is>
      </c>
      <c r="S1076">
        <f>HYPERLINK("https://klasma.github.io/Logging_2303/artfynd/A 33241-2019 artfynd.xlsx", "A 33241-2019")</f>
        <v/>
      </c>
      <c r="T1076">
        <f>HYPERLINK("https://klasma.github.io/Logging_2303/kartor/A 33241-2019 karta.png", "A 33241-2019")</f>
        <v/>
      </c>
      <c r="V1076">
        <f>HYPERLINK("https://klasma.github.io/Logging_2303/klagomål/A 33241-2019 FSC-klagomål.docx", "A 33241-2019")</f>
        <v/>
      </c>
      <c r="W1076">
        <f>HYPERLINK("https://klasma.github.io/Logging_2303/klagomålsmail/A 33241-2019 FSC-klagomål mail.docx", "A 33241-2019")</f>
        <v/>
      </c>
      <c r="X1076">
        <f>HYPERLINK("https://klasma.github.io/Logging_2303/tillsyn/A 33241-2019 tillsynsbegäran.docx", "A 33241-2019")</f>
        <v/>
      </c>
      <c r="Y1076">
        <f>HYPERLINK("https://klasma.github.io/Logging_2303/tillsynsmail/A 33241-2019 tillsynsbegäran mail.docx", "A 33241-2019")</f>
        <v/>
      </c>
    </row>
    <row r="1077" ht="15" customHeight="1">
      <c r="A1077" t="inlineStr">
        <is>
          <t>A 34268-2019</t>
        </is>
      </c>
      <c r="B1077" s="1" t="n">
        <v>43655</v>
      </c>
      <c r="C1077" s="1" t="n">
        <v>45363</v>
      </c>
      <c r="D1077" t="inlineStr">
        <is>
          <t>JÄMTLANDS LÄN</t>
        </is>
      </c>
      <c r="E1077" t="inlineStr">
        <is>
          <t>HÄRJEDALEN</t>
        </is>
      </c>
      <c r="F1077" t="inlineStr">
        <is>
          <t>Bergvik skog väst AB</t>
        </is>
      </c>
      <c r="G1077" t="n">
        <v>43.7</v>
      </c>
      <c r="H1077" t="n">
        <v>0</v>
      </c>
      <c r="I1077" t="n">
        <v>0</v>
      </c>
      <c r="J1077" t="n">
        <v>1</v>
      </c>
      <c r="K1077" t="n">
        <v>0</v>
      </c>
      <c r="L1077" t="n">
        <v>0</v>
      </c>
      <c r="M1077" t="n">
        <v>0</v>
      </c>
      <c r="N1077" t="n">
        <v>0</v>
      </c>
      <c r="O1077" t="n">
        <v>1</v>
      </c>
      <c r="P1077" t="n">
        <v>0</v>
      </c>
      <c r="Q1077" t="n">
        <v>1</v>
      </c>
      <c r="R1077" s="2" t="inlineStr">
        <is>
          <t>Lunglav</t>
        </is>
      </c>
      <c r="S1077">
        <f>HYPERLINK("https://klasma.github.io/Logging_2361/artfynd/A 34268-2019 artfynd.xlsx", "A 34268-2019")</f>
        <v/>
      </c>
      <c r="T1077">
        <f>HYPERLINK("https://klasma.github.io/Logging_2361/kartor/A 34268-2019 karta.png", "A 34268-2019")</f>
        <v/>
      </c>
      <c r="V1077">
        <f>HYPERLINK("https://klasma.github.io/Logging_2361/klagomål/A 34268-2019 FSC-klagomål.docx", "A 34268-2019")</f>
        <v/>
      </c>
      <c r="W1077">
        <f>HYPERLINK("https://klasma.github.io/Logging_2361/klagomålsmail/A 34268-2019 FSC-klagomål mail.docx", "A 34268-2019")</f>
        <v/>
      </c>
      <c r="X1077">
        <f>HYPERLINK("https://klasma.github.io/Logging_2361/tillsyn/A 34268-2019 tillsynsbegäran.docx", "A 34268-2019")</f>
        <v/>
      </c>
      <c r="Y1077">
        <f>HYPERLINK("https://klasma.github.io/Logging_2361/tillsynsmail/A 34268-2019 tillsynsbegäran mail.docx", "A 34268-2019")</f>
        <v/>
      </c>
    </row>
    <row r="1078" ht="15" customHeight="1">
      <c r="A1078" t="inlineStr">
        <is>
          <t>A 40660-2019</t>
        </is>
      </c>
      <c r="B1078" s="1" t="n">
        <v>43696</v>
      </c>
      <c r="C1078" s="1" t="n">
        <v>45363</v>
      </c>
      <c r="D1078" t="inlineStr">
        <is>
          <t>JÄMTLANDS LÄN</t>
        </is>
      </c>
      <c r="E1078" t="inlineStr">
        <is>
          <t>STRÖMSUND</t>
        </is>
      </c>
      <c r="G1078" t="n">
        <v>6.5</v>
      </c>
      <c r="H1078" t="n">
        <v>1</v>
      </c>
      <c r="I1078" t="n">
        <v>0</v>
      </c>
      <c r="J1078" t="n">
        <v>0</v>
      </c>
      <c r="K1078" t="n">
        <v>0</v>
      </c>
      <c r="L1078" t="n">
        <v>0</v>
      </c>
      <c r="M1078" t="n">
        <v>0</v>
      </c>
      <c r="N1078" t="n">
        <v>0</v>
      </c>
      <c r="O1078" t="n">
        <v>0</v>
      </c>
      <c r="P1078" t="n">
        <v>0</v>
      </c>
      <c r="Q1078" t="n">
        <v>1</v>
      </c>
      <c r="R1078" s="2" t="inlineStr">
        <is>
          <t>Fläcknycklar</t>
        </is>
      </c>
      <c r="S1078">
        <f>HYPERLINK("https://klasma.github.io/Logging_2313/artfynd/A 40660-2019 artfynd.xlsx", "A 40660-2019")</f>
        <v/>
      </c>
      <c r="T1078">
        <f>HYPERLINK("https://klasma.github.io/Logging_2313/kartor/A 40660-2019 karta.png", "A 40660-2019")</f>
        <v/>
      </c>
      <c r="V1078">
        <f>HYPERLINK("https://klasma.github.io/Logging_2313/klagomål/A 40660-2019 FSC-klagomål.docx", "A 40660-2019")</f>
        <v/>
      </c>
      <c r="W1078">
        <f>HYPERLINK("https://klasma.github.io/Logging_2313/klagomålsmail/A 40660-2019 FSC-klagomål mail.docx", "A 40660-2019")</f>
        <v/>
      </c>
      <c r="X1078">
        <f>HYPERLINK("https://klasma.github.io/Logging_2313/tillsyn/A 40660-2019 tillsynsbegäran.docx", "A 40660-2019")</f>
        <v/>
      </c>
      <c r="Y1078">
        <f>HYPERLINK("https://klasma.github.io/Logging_2313/tillsynsmail/A 40660-2019 tillsynsbegäran mail.docx", "A 40660-2019")</f>
        <v/>
      </c>
    </row>
    <row r="1079" ht="15" customHeight="1">
      <c r="A1079" t="inlineStr">
        <is>
          <t>A 40524-2019</t>
        </is>
      </c>
      <c r="B1079" s="1" t="n">
        <v>43696</v>
      </c>
      <c r="C1079" s="1" t="n">
        <v>45363</v>
      </c>
      <c r="D1079" t="inlineStr">
        <is>
          <t>JÄMTLANDS LÄN</t>
        </is>
      </c>
      <c r="E1079" t="inlineStr">
        <is>
          <t>STRÖMSUND</t>
        </is>
      </c>
      <c r="G1079" t="n">
        <v>5.9</v>
      </c>
      <c r="H1079" t="n">
        <v>1</v>
      </c>
      <c r="I1079" t="n">
        <v>1</v>
      </c>
      <c r="J1079" t="n">
        <v>0</v>
      </c>
      <c r="K1079" t="n">
        <v>0</v>
      </c>
      <c r="L1079" t="n">
        <v>0</v>
      </c>
      <c r="M1079" t="n">
        <v>0</v>
      </c>
      <c r="N1079" t="n">
        <v>0</v>
      </c>
      <c r="O1079" t="n">
        <v>0</v>
      </c>
      <c r="P1079" t="n">
        <v>0</v>
      </c>
      <c r="Q1079" t="n">
        <v>1</v>
      </c>
      <c r="R1079" s="2" t="inlineStr">
        <is>
          <t>Grönkulla</t>
        </is>
      </c>
      <c r="S1079">
        <f>HYPERLINK("https://klasma.github.io/Logging_2313/artfynd/A 40524-2019 artfynd.xlsx", "A 40524-2019")</f>
        <v/>
      </c>
      <c r="T1079">
        <f>HYPERLINK("https://klasma.github.io/Logging_2313/kartor/A 40524-2019 karta.png", "A 40524-2019")</f>
        <v/>
      </c>
      <c r="V1079">
        <f>HYPERLINK("https://klasma.github.io/Logging_2313/klagomål/A 40524-2019 FSC-klagomål.docx", "A 40524-2019")</f>
        <v/>
      </c>
      <c r="W1079">
        <f>HYPERLINK("https://klasma.github.io/Logging_2313/klagomålsmail/A 40524-2019 FSC-klagomål mail.docx", "A 40524-2019")</f>
        <v/>
      </c>
      <c r="X1079">
        <f>HYPERLINK("https://klasma.github.io/Logging_2313/tillsyn/A 40524-2019 tillsynsbegäran.docx", "A 40524-2019")</f>
        <v/>
      </c>
      <c r="Y1079">
        <f>HYPERLINK("https://klasma.github.io/Logging_2313/tillsynsmail/A 40524-2019 tillsynsbegäran mail.docx", "A 40524-2019")</f>
        <v/>
      </c>
    </row>
    <row r="1080" ht="15" customHeight="1">
      <c r="A1080" t="inlineStr">
        <is>
          <t>A 43295-2019</t>
        </is>
      </c>
      <c r="B1080" s="1" t="n">
        <v>43703</v>
      </c>
      <c r="C1080" s="1" t="n">
        <v>45363</v>
      </c>
      <c r="D1080" t="inlineStr">
        <is>
          <t>JÄMTLANDS LÄN</t>
        </is>
      </c>
      <c r="E1080" t="inlineStr">
        <is>
          <t>BERG</t>
        </is>
      </c>
      <c r="G1080" t="n">
        <v>0.7</v>
      </c>
      <c r="H1080" t="n">
        <v>1</v>
      </c>
      <c r="I1080" t="n">
        <v>0</v>
      </c>
      <c r="J1080" t="n">
        <v>1</v>
      </c>
      <c r="K1080" t="n">
        <v>0</v>
      </c>
      <c r="L1080" t="n">
        <v>0</v>
      </c>
      <c r="M1080" t="n">
        <v>0</v>
      </c>
      <c r="N1080" t="n">
        <v>0</v>
      </c>
      <c r="O1080" t="n">
        <v>1</v>
      </c>
      <c r="P1080" t="n">
        <v>0</v>
      </c>
      <c r="Q1080" t="n">
        <v>1</v>
      </c>
      <c r="R1080" s="2" t="inlineStr">
        <is>
          <t>Mindre hackspett</t>
        </is>
      </c>
      <c r="S1080">
        <f>HYPERLINK("https://klasma.github.io/Logging_2326/artfynd/A 43295-2019 artfynd.xlsx", "A 43295-2019")</f>
        <v/>
      </c>
      <c r="T1080">
        <f>HYPERLINK("https://klasma.github.io/Logging_2326/kartor/A 43295-2019 karta.png", "A 43295-2019")</f>
        <v/>
      </c>
      <c r="V1080">
        <f>HYPERLINK("https://klasma.github.io/Logging_2326/klagomål/A 43295-2019 FSC-klagomål.docx", "A 43295-2019")</f>
        <v/>
      </c>
      <c r="W1080">
        <f>HYPERLINK("https://klasma.github.io/Logging_2326/klagomålsmail/A 43295-2019 FSC-klagomål mail.docx", "A 43295-2019")</f>
        <v/>
      </c>
      <c r="X1080">
        <f>HYPERLINK("https://klasma.github.io/Logging_2326/tillsyn/A 43295-2019 tillsynsbegäran.docx", "A 43295-2019")</f>
        <v/>
      </c>
      <c r="Y1080">
        <f>HYPERLINK("https://klasma.github.io/Logging_2326/tillsynsmail/A 43295-2019 tillsynsbegäran mail.docx", "A 43295-2019")</f>
        <v/>
      </c>
      <c r="Z1080">
        <f>HYPERLINK("https://klasma.github.io/Logging_2326/fåglar/A 43295-2019 prioriterade fågelarter.docx", "A 43295-2019")</f>
        <v/>
      </c>
    </row>
    <row r="1081" ht="15" customHeight="1">
      <c r="A1081" t="inlineStr">
        <is>
          <t>A 42629-2019</t>
        </is>
      </c>
      <c r="B1081" s="1" t="n">
        <v>43704</v>
      </c>
      <c r="C1081" s="1" t="n">
        <v>45363</v>
      </c>
      <c r="D1081" t="inlineStr">
        <is>
          <t>JÄMTLANDS LÄN</t>
        </is>
      </c>
      <c r="E1081" t="inlineStr">
        <is>
          <t>KROKOM</t>
        </is>
      </c>
      <c r="G1081" t="n">
        <v>7.5</v>
      </c>
      <c r="H1081" t="n">
        <v>0</v>
      </c>
      <c r="I1081" t="n">
        <v>0</v>
      </c>
      <c r="J1081" t="n">
        <v>1</v>
      </c>
      <c r="K1081" t="n">
        <v>0</v>
      </c>
      <c r="L1081" t="n">
        <v>0</v>
      </c>
      <c r="M1081" t="n">
        <v>0</v>
      </c>
      <c r="N1081" t="n">
        <v>0</v>
      </c>
      <c r="O1081" t="n">
        <v>1</v>
      </c>
      <c r="P1081" t="n">
        <v>0</v>
      </c>
      <c r="Q1081" t="n">
        <v>1</v>
      </c>
      <c r="R1081" s="2" t="inlineStr">
        <is>
          <t>Brunklöver</t>
        </is>
      </c>
      <c r="S1081">
        <f>HYPERLINK("https://klasma.github.io/Logging_2309/artfynd/A 42629-2019 artfynd.xlsx", "A 42629-2019")</f>
        <v/>
      </c>
      <c r="T1081">
        <f>HYPERLINK("https://klasma.github.io/Logging_2309/kartor/A 42629-2019 karta.png", "A 42629-2019")</f>
        <v/>
      </c>
      <c r="V1081">
        <f>HYPERLINK("https://klasma.github.io/Logging_2309/klagomål/A 42629-2019 FSC-klagomål.docx", "A 42629-2019")</f>
        <v/>
      </c>
      <c r="W1081">
        <f>HYPERLINK("https://klasma.github.io/Logging_2309/klagomålsmail/A 42629-2019 FSC-klagomål mail.docx", "A 42629-2019")</f>
        <v/>
      </c>
      <c r="X1081">
        <f>HYPERLINK("https://klasma.github.io/Logging_2309/tillsyn/A 42629-2019 tillsynsbegäran.docx", "A 42629-2019")</f>
        <v/>
      </c>
      <c r="Y1081">
        <f>HYPERLINK("https://klasma.github.io/Logging_2309/tillsynsmail/A 42629-2019 tillsynsbegäran mail.docx", "A 42629-2019")</f>
        <v/>
      </c>
    </row>
    <row r="1082" ht="15" customHeight="1">
      <c r="A1082" t="inlineStr">
        <is>
          <t>A 43203-2019</t>
        </is>
      </c>
      <c r="B1082" s="1" t="n">
        <v>43705</v>
      </c>
      <c r="C1082" s="1" t="n">
        <v>45363</v>
      </c>
      <c r="D1082" t="inlineStr">
        <is>
          <t>JÄMTLANDS LÄN</t>
        </is>
      </c>
      <c r="E1082" t="inlineStr">
        <is>
          <t>BERG</t>
        </is>
      </c>
      <c r="F1082" t="inlineStr">
        <is>
          <t>SCA</t>
        </is>
      </c>
      <c r="G1082" t="n">
        <v>2.6</v>
      </c>
      <c r="H1082" t="n">
        <v>1</v>
      </c>
      <c r="I1082" t="n">
        <v>0</v>
      </c>
      <c r="J1082" t="n">
        <v>0</v>
      </c>
      <c r="K1082" t="n">
        <v>0</v>
      </c>
      <c r="L1082" t="n">
        <v>0</v>
      </c>
      <c r="M1082" t="n">
        <v>0</v>
      </c>
      <c r="N1082" t="n">
        <v>0</v>
      </c>
      <c r="O1082" t="n">
        <v>0</v>
      </c>
      <c r="P1082" t="n">
        <v>0</v>
      </c>
      <c r="Q1082" t="n">
        <v>1</v>
      </c>
      <c r="R1082" s="2" t="inlineStr">
        <is>
          <t>Fläcknycklar</t>
        </is>
      </c>
      <c r="S1082">
        <f>HYPERLINK("https://klasma.github.io/Logging_2326/artfynd/A 43203-2019 artfynd.xlsx", "A 43203-2019")</f>
        <v/>
      </c>
      <c r="T1082">
        <f>HYPERLINK("https://klasma.github.io/Logging_2326/kartor/A 43203-2019 karta.png", "A 43203-2019")</f>
        <v/>
      </c>
      <c r="V1082">
        <f>HYPERLINK("https://klasma.github.io/Logging_2326/klagomål/A 43203-2019 FSC-klagomål.docx", "A 43203-2019")</f>
        <v/>
      </c>
      <c r="W1082">
        <f>HYPERLINK("https://klasma.github.io/Logging_2326/klagomålsmail/A 43203-2019 FSC-klagomål mail.docx", "A 43203-2019")</f>
        <v/>
      </c>
      <c r="X1082">
        <f>HYPERLINK("https://klasma.github.io/Logging_2326/tillsyn/A 43203-2019 tillsynsbegäran.docx", "A 43203-2019")</f>
        <v/>
      </c>
      <c r="Y1082">
        <f>HYPERLINK("https://klasma.github.io/Logging_2326/tillsynsmail/A 43203-2019 tillsynsbegäran mail.docx", "A 43203-2019")</f>
        <v/>
      </c>
    </row>
    <row r="1083" ht="15" customHeight="1">
      <c r="A1083" t="inlineStr">
        <is>
          <t>A 44011-2019</t>
        </is>
      </c>
      <c r="B1083" s="1" t="n">
        <v>43709</v>
      </c>
      <c r="C1083" s="1" t="n">
        <v>45363</v>
      </c>
      <c r="D1083" t="inlineStr">
        <is>
          <t>JÄMTLANDS LÄN</t>
        </is>
      </c>
      <c r="E1083" t="inlineStr">
        <is>
          <t>STRÖMSUND</t>
        </is>
      </c>
      <c r="F1083" t="inlineStr">
        <is>
          <t>SCA</t>
        </is>
      </c>
      <c r="G1083" t="n">
        <v>2.8</v>
      </c>
      <c r="H1083" t="n">
        <v>0</v>
      </c>
      <c r="I1083" t="n">
        <v>0</v>
      </c>
      <c r="J1083" t="n">
        <v>1</v>
      </c>
      <c r="K1083" t="n">
        <v>0</v>
      </c>
      <c r="L1083" t="n">
        <v>0</v>
      </c>
      <c r="M1083" t="n">
        <v>0</v>
      </c>
      <c r="N1083" t="n">
        <v>0</v>
      </c>
      <c r="O1083" t="n">
        <v>1</v>
      </c>
      <c r="P1083" t="n">
        <v>0</v>
      </c>
      <c r="Q1083" t="n">
        <v>1</v>
      </c>
      <c r="R1083" s="2" t="inlineStr">
        <is>
          <t>Vitgrynig nållav</t>
        </is>
      </c>
      <c r="S1083">
        <f>HYPERLINK("https://klasma.github.io/Logging_2313/artfynd/A 44011-2019 artfynd.xlsx", "A 44011-2019")</f>
        <v/>
      </c>
      <c r="T1083">
        <f>HYPERLINK("https://klasma.github.io/Logging_2313/kartor/A 44011-2019 karta.png", "A 44011-2019")</f>
        <v/>
      </c>
      <c r="V1083">
        <f>HYPERLINK("https://klasma.github.io/Logging_2313/klagomål/A 44011-2019 FSC-klagomål.docx", "A 44011-2019")</f>
        <v/>
      </c>
      <c r="W1083">
        <f>HYPERLINK("https://klasma.github.io/Logging_2313/klagomålsmail/A 44011-2019 FSC-klagomål mail.docx", "A 44011-2019")</f>
        <v/>
      </c>
      <c r="X1083">
        <f>HYPERLINK("https://klasma.github.io/Logging_2313/tillsyn/A 44011-2019 tillsynsbegäran.docx", "A 44011-2019")</f>
        <v/>
      </c>
      <c r="Y1083">
        <f>HYPERLINK("https://klasma.github.io/Logging_2313/tillsynsmail/A 44011-2019 tillsynsbegäran mail.docx", "A 44011-2019")</f>
        <v/>
      </c>
    </row>
    <row r="1084" ht="15" customHeight="1">
      <c r="A1084" t="inlineStr">
        <is>
          <t>A 44527-2019</t>
        </is>
      </c>
      <c r="B1084" s="1" t="n">
        <v>43711</v>
      </c>
      <c r="C1084" s="1" t="n">
        <v>45363</v>
      </c>
      <c r="D1084" t="inlineStr">
        <is>
          <t>JÄMTLANDS LÄN</t>
        </is>
      </c>
      <c r="E1084" t="inlineStr">
        <is>
          <t>STRÖMSUND</t>
        </is>
      </c>
      <c r="G1084" t="n">
        <v>19.8</v>
      </c>
      <c r="H1084" t="n">
        <v>0</v>
      </c>
      <c r="I1084" t="n">
        <v>1</v>
      </c>
      <c r="J1084" t="n">
        <v>0</v>
      </c>
      <c r="K1084" t="n">
        <v>0</v>
      </c>
      <c r="L1084" t="n">
        <v>0</v>
      </c>
      <c r="M1084" t="n">
        <v>0</v>
      </c>
      <c r="N1084" t="n">
        <v>0</v>
      </c>
      <c r="O1084" t="n">
        <v>0</v>
      </c>
      <c r="P1084" t="n">
        <v>0</v>
      </c>
      <c r="Q1084" t="n">
        <v>1</v>
      </c>
      <c r="R1084" s="2" t="inlineStr">
        <is>
          <t>Finbräken</t>
        </is>
      </c>
      <c r="S1084">
        <f>HYPERLINK("https://klasma.github.io/Logging_2313/artfynd/A 44527-2019 artfynd.xlsx", "A 44527-2019")</f>
        <v/>
      </c>
      <c r="T1084">
        <f>HYPERLINK("https://klasma.github.io/Logging_2313/kartor/A 44527-2019 karta.png", "A 44527-2019")</f>
        <v/>
      </c>
      <c r="V1084">
        <f>HYPERLINK("https://klasma.github.io/Logging_2313/klagomål/A 44527-2019 FSC-klagomål.docx", "A 44527-2019")</f>
        <v/>
      </c>
      <c r="W1084">
        <f>HYPERLINK("https://klasma.github.io/Logging_2313/klagomålsmail/A 44527-2019 FSC-klagomål mail.docx", "A 44527-2019")</f>
        <v/>
      </c>
      <c r="X1084">
        <f>HYPERLINK("https://klasma.github.io/Logging_2313/tillsyn/A 44527-2019 tillsynsbegäran.docx", "A 44527-2019")</f>
        <v/>
      </c>
      <c r="Y1084">
        <f>HYPERLINK("https://klasma.github.io/Logging_2313/tillsynsmail/A 44527-2019 tillsynsbegäran mail.docx", "A 44527-2019")</f>
        <v/>
      </c>
    </row>
    <row r="1085" ht="15" customHeight="1">
      <c r="A1085" t="inlineStr">
        <is>
          <t>A 47080-2019</t>
        </is>
      </c>
      <c r="B1085" s="1" t="n">
        <v>43720</v>
      </c>
      <c r="C1085" s="1" t="n">
        <v>45363</v>
      </c>
      <c r="D1085" t="inlineStr">
        <is>
          <t>JÄMTLANDS LÄN</t>
        </is>
      </c>
      <c r="E1085" t="inlineStr">
        <is>
          <t>STRÖMSUND</t>
        </is>
      </c>
      <c r="F1085" t="inlineStr">
        <is>
          <t>SCA</t>
        </is>
      </c>
      <c r="G1085" t="n">
        <v>13.5</v>
      </c>
      <c r="H1085" t="n">
        <v>0</v>
      </c>
      <c r="I1085" t="n">
        <v>1</v>
      </c>
      <c r="J1085" t="n">
        <v>0</v>
      </c>
      <c r="K1085" t="n">
        <v>0</v>
      </c>
      <c r="L1085" t="n">
        <v>0</v>
      </c>
      <c r="M1085" t="n">
        <v>0</v>
      </c>
      <c r="N1085" t="n">
        <v>0</v>
      </c>
      <c r="O1085" t="n">
        <v>0</v>
      </c>
      <c r="P1085" t="n">
        <v>0</v>
      </c>
      <c r="Q1085" t="n">
        <v>1</v>
      </c>
      <c r="R1085" s="2" t="inlineStr">
        <is>
          <t>Skinnlav</t>
        </is>
      </c>
      <c r="S1085">
        <f>HYPERLINK("https://klasma.github.io/Logging_2313/artfynd/A 47080-2019 artfynd.xlsx", "A 47080-2019")</f>
        <v/>
      </c>
      <c r="T1085">
        <f>HYPERLINK("https://klasma.github.io/Logging_2313/kartor/A 47080-2019 karta.png", "A 47080-2019")</f>
        <v/>
      </c>
      <c r="V1085">
        <f>HYPERLINK("https://klasma.github.io/Logging_2313/klagomål/A 47080-2019 FSC-klagomål.docx", "A 47080-2019")</f>
        <v/>
      </c>
      <c r="W1085">
        <f>HYPERLINK("https://klasma.github.io/Logging_2313/klagomålsmail/A 47080-2019 FSC-klagomål mail.docx", "A 47080-2019")</f>
        <v/>
      </c>
      <c r="X1085">
        <f>HYPERLINK("https://klasma.github.io/Logging_2313/tillsyn/A 47080-2019 tillsynsbegäran.docx", "A 47080-2019")</f>
        <v/>
      </c>
      <c r="Y1085">
        <f>HYPERLINK("https://klasma.github.io/Logging_2313/tillsynsmail/A 47080-2019 tillsynsbegäran mail.docx", "A 47080-2019")</f>
        <v/>
      </c>
    </row>
    <row r="1086" ht="15" customHeight="1">
      <c r="A1086" t="inlineStr">
        <is>
          <t>A 48800-2019</t>
        </is>
      </c>
      <c r="B1086" s="1" t="n">
        <v>43727</v>
      </c>
      <c r="C1086" s="1" t="n">
        <v>45363</v>
      </c>
      <c r="D1086" t="inlineStr">
        <is>
          <t>JÄMTLANDS LÄN</t>
        </is>
      </c>
      <c r="E1086" t="inlineStr">
        <is>
          <t>STRÖMSUND</t>
        </is>
      </c>
      <c r="F1086" t="inlineStr">
        <is>
          <t>SCA</t>
        </is>
      </c>
      <c r="G1086" t="n">
        <v>2.3</v>
      </c>
      <c r="H1086" t="n">
        <v>0</v>
      </c>
      <c r="I1086" t="n">
        <v>0</v>
      </c>
      <c r="J1086" t="n">
        <v>1</v>
      </c>
      <c r="K1086" t="n">
        <v>0</v>
      </c>
      <c r="L1086" t="n">
        <v>0</v>
      </c>
      <c r="M1086" t="n">
        <v>0</v>
      </c>
      <c r="N1086" t="n">
        <v>0</v>
      </c>
      <c r="O1086" t="n">
        <v>1</v>
      </c>
      <c r="P1086" t="n">
        <v>0</v>
      </c>
      <c r="Q1086" t="n">
        <v>1</v>
      </c>
      <c r="R1086" s="2" t="inlineStr">
        <is>
          <t>Kolflarnlav</t>
        </is>
      </c>
      <c r="S1086">
        <f>HYPERLINK("https://klasma.github.io/Logging_2313/artfynd/A 48800-2019 artfynd.xlsx", "A 48800-2019")</f>
        <v/>
      </c>
      <c r="T1086">
        <f>HYPERLINK("https://klasma.github.io/Logging_2313/kartor/A 48800-2019 karta.png", "A 48800-2019")</f>
        <v/>
      </c>
      <c r="V1086">
        <f>HYPERLINK("https://klasma.github.io/Logging_2313/klagomål/A 48800-2019 FSC-klagomål.docx", "A 48800-2019")</f>
        <v/>
      </c>
      <c r="W1086">
        <f>HYPERLINK("https://klasma.github.io/Logging_2313/klagomålsmail/A 48800-2019 FSC-klagomål mail.docx", "A 48800-2019")</f>
        <v/>
      </c>
      <c r="X1086">
        <f>HYPERLINK("https://klasma.github.io/Logging_2313/tillsyn/A 48800-2019 tillsynsbegäran.docx", "A 48800-2019")</f>
        <v/>
      </c>
      <c r="Y1086">
        <f>HYPERLINK("https://klasma.github.io/Logging_2313/tillsynsmail/A 48800-2019 tillsynsbegäran mail.docx", "A 48800-2019")</f>
        <v/>
      </c>
    </row>
    <row r="1087" ht="15" customHeight="1">
      <c r="A1087" t="inlineStr">
        <is>
          <t>A 48962-2019</t>
        </is>
      </c>
      <c r="B1087" s="1" t="n">
        <v>43728</v>
      </c>
      <c r="C1087" s="1" t="n">
        <v>45363</v>
      </c>
      <c r="D1087" t="inlineStr">
        <is>
          <t>JÄMTLANDS LÄN</t>
        </is>
      </c>
      <c r="E1087" t="inlineStr">
        <is>
          <t>BRÄCKE</t>
        </is>
      </c>
      <c r="F1087" t="inlineStr">
        <is>
          <t>SCA</t>
        </is>
      </c>
      <c r="G1087" t="n">
        <v>21.9</v>
      </c>
      <c r="H1087" t="n">
        <v>1</v>
      </c>
      <c r="I1087" t="n">
        <v>0</v>
      </c>
      <c r="J1087" t="n">
        <v>0</v>
      </c>
      <c r="K1087" t="n">
        <v>1</v>
      </c>
      <c r="L1087" t="n">
        <v>0</v>
      </c>
      <c r="M1087" t="n">
        <v>0</v>
      </c>
      <c r="N1087" t="n">
        <v>0</v>
      </c>
      <c r="O1087" t="n">
        <v>1</v>
      </c>
      <c r="P1087" t="n">
        <v>1</v>
      </c>
      <c r="Q1087" t="n">
        <v>1</v>
      </c>
      <c r="R1087" s="2" t="inlineStr">
        <is>
          <t>Doftticka</t>
        </is>
      </c>
      <c r="S1087">
        <f>HYPERLINK("https://klasma.github.io/Logging_2305/artfynd/A 48962-2019 artfynd.xlsx", "A 48962-2019")</f>
        <v/>
      </c>
      <c r="T1087">
        <f>HYPERLINK("https://klasma.github.io/Logging_2305/kartor/A 48962-2019 karta.png", "A 48962-2019")</f>
        <v/>
      </c>
      <c r="U1087">
        <f>HYPERLINK("https://klasma.github.io/Logging_2305/knärot/A 48962-2019 karta knärot.png", "A 48962-2019")</f>
        <v/>
      </c>
      <c r="V1087">
        <f>HYPERLINK("https://klasma.github.io/Logging_2305/klagomål/A 48962-2019 FSC-klagomål.docx", "A 48962-2019")</f>
        <v/>
      </c>
      <c r="W1087">
        <f>HYPERLINK("https://klasma.github.io/Logging_2305/klagomålsmail/A 48962-2019 FSC-klagomål mail.docx", "A 48962-2019")</f>
        <v/>
      </c>
      <c r="X1087">
        <f>HYPERLINK("https://klasma.github.io/Logging_2305/tillsyn/A 48962-2019 tillsynsbegäran.docx", "A 48962-2019")</f>
        <v/>
      </c>
      <c r="Y1087">
        <f>HYPERLINK("https://klasma.github.io/Logging_2305/tillsynsmail/A 48962-2019 tillsynsbegäran mail.docx", "A 48962-2019")</f>
        <v/>
      </c>
    </row>
    <row r="1088" ht="15" customHeight="1">
      <c r="A1088" t="inlineStr">
        <is>
          <t>A 49010-2019</t>
        </is>
      </c>
      <c r="B1088" s="1" t="n">
        <v>43730</v>
      </c>
      <c r="C1088" s="1" t="n">
        <v>45363</v>
      </c>
      <c r="D1088" t="inlineStr">
        <is>
          <t>JÄMTLANDS LÄN</t>
        </is>
      </c>
      <c r="E1088" t="inlineStr">
        <is>
          <t>BRÄCKE</t>
        </is>
      </c>
      <c r="F1088" t="inlineStr">
        <is>
          <t>SCA</t>
        </is>
      </c>
      <c r="G1088" t="n">
        <v>1.3</v>
      </c>
      <c r="H1088" t="n">
        <v>1</v>
      </c>
      <c r="I1088" t="n">
        <v>0</v>
      </c>
      <c r="J1088" t="n">
        <v>0</v>
      </c>
      <c r="K1088" t="n">
        <v>0</v>
      </c>
      <c r="L1088" t="n">
        <v>0</v>
      </c>
      <c r="M1088" t="n">
        <v>0</v>
      </c>
      <c r="N1088" t="n">
        <v>0</v>
      </c>
      <c r="O1088" t="n">
        <v>0</v>
      </c>
      <c r="P1088" t="n">
        <v>0</v>
      </c>
      <c r="Q1088" t="n">
        <v>1</v>
      </c>
      <c r="R1088" s="2" t="inlineStr">
        <is>
          <t>Fläcknycklar</t>
        </is>
      </c>
      <c r="S1088">
        <f>HYPERLINK("https://klasma.github.io/Logging_2305/artfynd/A 49010-2019 artfynd.xlsx", "A 49010-2019")</f>
        <v/>
      </c>
      <c r="T1088">
        <f>HYPERLINK("https://klasma.github.io/Logging_2305/kartor/A 49010-2019 karta.png", "A 49010-2019")</f>
        <v/>
      </c>
      <c r="V1088">
        <f>HYPERLINK("https://klasma.github.io/Logging_2305/klagomål/A 49010-2019 FSC-klagomål.docx", "A 49010-2019")</f>
        <v/>
      </c>
      <c r="W1088">
        <f>HYPERLINK("https://klasma.github.io/Logging_2305/klagomålsmail/A 49010-2019 FSC-klagomål mail.docx", "A 49010-2019")</f>
        <v/>
      </c>
      <c r="X1088">
        <f>HYPERLINK("https://klasma.github.io/Logging_2305/tillsyn/A 49010-2019 tillsynsbegäran.docx", "A 49010-2019")</f>
        <v/>
      </c>
      <c r="Y1088">
        <f>HYPERLINK("https://klasma.github.io/Logging_2305/tillsynsmail/A 49010-2019 tillsynsbegäran mail.docx", "A 49010-2019")</f>
        <v/>
      </c>
    </row>
    <row r="1089" ht="15" customHeight="1">
      <c r="A1089" t="inlineStr">
        <is>
          <t>A 50000-2019</t>
        </is>
      </c>
      <c r="B1089" s="1" t="n">
        <v>43733</v>
      </c>
      <c r="C1089" s="1" t="n">
        <v>45363</v>
      </c>
      <c r="D1089" t="inlineStr">
        <is>
          <t>JÄMTLANDS LÄN</t>
        </is>
      </c>
      <c r="E1089" t="inlineStr">
        <is>
          <t>STRÖMSUND</t>
        </is>
      </c>
      <c r="F1089" t="inlineStr">
        <is>
          <t>SCA</t>
        </is>
      </c>
      <c r="G1089" t="n">
        <v>1.5</v>
      </c>
      <c r="H1089" t="n">
        <v>0</v>
      </c>
      <c r="I1089" t="n">
        <v>0</v>
      </c>
      <c r="J1089" t="n">
        <v>1</v>
      </c>
      <c r="K1089" t="n">
        <v>0</v>
      </c>
      <c r="L1089" t="n">
        <v>0</v>
      </c>
      <c r="M1089" t="n">
        <v>0</v>
      </c>
      <c r="N1089" t="n">
        <v>0</v>
      </c>
      <c r="O1089" t="n">
        <v>1</v>
      </c>
      <c r="P1089" t="n">
        <v>0</v>
      </c>
      <c r="Q1089" t="n">
        <v>1</v>
      </c>
      <c r="R1089" s="2" t="inlineStr">
        <is>
          <t>Granticka</t>
        </is>
      </c>
      <c r="S1089">
        <f>HYPERLINK("https://klasma.github.io/Logging_2313/artfynd/A 50000-2019 artfynd.xlsx", "A 50000-2019")</f>
        <v/>
      </c>
      <c r="T1089">
        <f>HYPERLINK("https://klasma.github.io/Logging_2313/kartor/A 50000-2019 karta.png", "A 50000-2019")</f>
        <v/>
      </c>
      <c r="V1089">
        <f>HYPERLINK("https://klasma.github.io/Logging_2313/klagomål/A 50000-2019 FSC-klagomål.docx", "A 50000-2019")</f>
        <v/>
      </c>
      <c r="W1089">
        <f>HYPERLINK("https://klasma.github.io/Logging_2313/klagomålsmail/A 50000-2019 FSC-klagomål mail.docx", "A 50000-2019")</f>
        <v/>
      </c>
      <c r="X1089">
        <f>HYPERLINK("https://klasma.github.io/Logging_2313/tillsyn/A 50000-2019 tillsynsbegäran.docx", "A 50000-2019")</f>
        <v/>
      </c>
      <c r="Y1089">
        <f>HYPERLINK("https://klasma.github.io/Logging_2313/tillsynsmail/A 50000-2019 tillsynsbegäran mail.docx", "A 50000-2019")</f>
        <v/>
      </c>
    </row>
    <row r="1090" ht="15" customHeight="1">
      <c r="A1090" t="inlineStr">
        <is>
          <t>A 50132-2019</t>
        </is>
      </c>
      <c r="B1090" s="1" t="n">
        <v>43734</v>
      </c>
      <c r="C1090" s="1" t="n">
        <v>45363</v>
      </c>
      <c r="D1090" t="inlineStr">
        <is>
          <t>JÄMTLANDS LÄN</t>
        </is>
      </c>
      <c r="E1090" t="inlineStr">
        <is>
          <t>KROKOM</t>
        </is>
      </c>
      <c r="G1090" t="n">
        <v>1.8</v>
      </c>
      <c r="H1090" t="n">
        <v>0</v>
      </c>
      <c r="I1090" t="n">
        <v>0</v>
      </c>
      <c r="J1090" t="n">
        <v>1</v>
      </c>
      <c r="K1090" t="n">
        <v>0</v>
      </c>
      <c r="L1090" t="n">
        <v>0</v>
      </c>
      <c r="M1090" t="n">
        <v>0</v>
      </c>
      <c r="N1090" t="n">
        <v>0</v>
      </c>
      <c r="O1090" t="n">
        <v>1</v>
      </c>
      <c r="P1090" t="n">
        <v>0</v>
      </c>
      <c r="Q1090" t="n">
        <v>1</v>
      </c>
      <c r="R1090" s="2" t="inlineStr">
        <is>
          <t>Vitgrynig nållav</t>
        </is>
      </c>
      <c r="S1090">
        <f>HYPERLINK("https://klasma.github.io/Logging_2309/artfynd/A 50132-2019 artfynd.xlsx", "A 50132-2019")</f>
        <v/>
      </c>
      <c r="T1090">
        <f>HYPERLINK("https://klasma.github.io/Logging_2309/kartor/A 50132-2019 karta.png", "A 50132-2019")</f>
        <v/>
      </c>
      <c r="V1090">
        <f>HYPERLINK("https://klasma.github.io/Logging_2309/klagomål/A 50132-2019 FSC-klagomål.docx", "A 50132-2019")</f>
        <v/>
      </c>
      <c r="W1090">
        <f>HYPERLINK("https://klasma.github.io/Logging_2309/klagomålsmail/A 50132-2019 FSC-klagomål mail.docx", "A 50132-2019")</f>
        <v/>
      </c>
      <c r="X1090">
        <f>HYPERLINK("https://klasma.github.io/Logging_2309/tillsyn/A 50132-2019 tillsynsbegäran.docx", "A 50132-2019")</f>
        <v/>
      </c>
      <c r="Y1090">
        <f>HYPERLINK("https://klasma.github.io/Logging_2309/tillsynsmail/A 50132-2019 tillsynsbegäran mail.docx", "A 50132-2019")</f>
        <v/>
      </c>
    </row>
    <row r="1091" ht="15" customHeight="1">
      <c r="A1091" t="inlineStr">
        <is>
          <t>A 50599-2019</t>
        </is>
      </c>
      <c r="B1091" s="1" t="n">
        <v>43735</v>
      </c>
      <c r="C1091" s="1" t="n">
        <v>45363</v>
      </c>
      <c r="D1091" t="inlineStr">
        <is>
          <t>JÄMTLANDS LÄN</t>
        </is>
      </c>
      <c r="E1091" t="inlineStr">
        <is>
          <t>BRÄCKE</t>
        </is>
      </c>
      <c r="F1091" t="inlineStr">
        <is>
          <t>SCA</t>
        </is>
      </c>
      <c r="G1091" t="n">
        <v>4.5</v>
      </c>
      <c r="H1091" t="n">
        <v>0</v>
      </c>
      <c r="I1091" t="n">
        <v>0</v>
      </c>
      <c r="J1091" t="n">
        <v>1</v>
      </c>
      <c r="K1091" t="n">
        <v>0</v>
      </c>
      <c r="L1091" t="n">
        <v>0</v>
      </c>
      <c r="M1091" t="n">
        <v>0</v>
      </c>
      <c r="N1091" t="n">
        <v>0</v>
      </c>
      <c r="O1091" t="n">
        <v>1</v>
      </c>
      <c r="P1091" t="n">
        <v>0</v>
      </c>
      <c r="Q1091" t="n">
        <v>1</v>
      </c>
      <c r="R1091" s="2" t="inlineStr">
        <is>
          <t>Garnlav</t>
        </is>
      </c>
      <c r="S1091">
        <f>HYPERLINK("https://klasma.github.io/Logging_2305/artfynd/A 50599-2019 artfynd.xlsx", "A 50599-2019")</f>
        <v/>
      </c>
      <c r="T1091">
        <f>HYPERLINK("https://klasma.github.io/Logging_2305/kartor/A 50599-2019 karta.png", "A 50599-2019")</f>
        <v/>
      </c>
      <c r="V1091">
        <f>HYPERLINK("https://klasma.github.io/Logging_2305/klagomål/A 50599-2019 FSC-klagomål.docx", "A 50599-2019")</f>
        <v/>
      </c>
      <c r="W1091">
        <f>HYPERLINK("https://klasma.github.io/Logging_2305/klagomålsmail/A 50599-2019 FSC-klagomål mail.docx", "A 50599-2019")</f>
        <v/>
      </c>
      <c r="X1091">
        <f>HYPERLINK("https://klasma.github.io/Logging_2305/tillsyn/A 50599-2019 tillsynsbegäran.docx", "A 50599-2019")</f>
        <v/>
      </c>
      <c r="Y1091">
        <f>HYPERLINK("https://klasma.github.io/Logging_2305/tillsynsmail/A 50599-2019 tillsynsbegäran mail.docx", "A 50599-2019")</f>
        <v/>
      </c>
    </row>
    <row r="1092" ht="15" customHeight="1">
      <c r="A1092" t="inlineStr">
        <is>
          <t>A 51678-2019</t>
        </is>
      </c>
      <c r="B1092" s="1" t="n">
        <v>43740</v>
      </c>
      <c r="C1092" s="1" t="n">
        <v>45363</v>
      </c>
      <c r="D1092" t="inlineStr">
        <is>
          <t>JÄMTLANDS LÄN</t>
        </is>
      </c>
      <c r="E1092" t="inlineStr">
        <is>
          <t>STRÖMSUND</t>
        </is>
      </c>
      <c r="F1092" t="inlineStr">
        <is>
          <t>SCA</t>
        </is>
      </c>
      <c r="G1092" t="n">
        <v>2.7</v>
      </c>
      <c r="H1092" t="n">
        <v>1</v>
      </c>
      <c r="I1092" t="n">
        <v>0</v>
      </c>
      <c r="J1092" t="n">
        <v>0</v>
      </c>
      <c r="K1092" t="n">
        <v>0</v>
      </c>
      <c r="L1092" t="n">
        <v>0</v>
      </c>
      <c r="M1092" t="n">
        <v>0</v>
      </c>
      <c r="N1092" t="n">
        <v>0</v>
      </c>
      <c r="O1092" t="n">
        <v>0</v>
      </c>
      <c r="P1092" t="n">
        <v>0</v>
      </c>
      <c r="Q1092" t="n">
        <v>1</v>
      </c>
      <c r="R1092" s="2" t="inlineStr">
        <is>
          <t>Tjäder</t>
        </is>
      </c>
      <c r="S1092">
        <f>HYPERLINK("https://klasma.github.io/Logging_2313/artfynd/A 51678-2019 artfynd.xlsx", "A 51678-2019")</f>
        <v/>
      </c>
      <c r="T1092">
        <f>HYPERLINK("https://klasma.github.io/Logging_2313/kartor/A 51678-2019 karta.png", "A 51678-2019")</f>
        <v/>
      </c>
      <c r="V1092">
        <f>HYPERLINK("https://klasma.github.io/Logging_2313/klagomål/A 51678-2019 FSC-klagomål.docx", "A 51678-2019")</f>
        <v/>
      </c>
      <c r="W1092">
        <f>HYPERLINK("https://klasma.github.io/Logging_2313/klagomålsmail/A 51678-2019 FSC-klagomål mail.docx", "A 51678-2019")</f>
        <v/>
      </c>
      <c r="X1092">
        <f>HYPERLINK("https://klasma.github.io/Logging_2313/tillsyn/A 51678-2019 tillsynsbegäran.docx", "A 51678-2019")</f>
        <v/>
      </c>
      <c r="Y1092">
        <f>HYPERLINK("https://klasma.github.io/Logging_2313/tillsynsmail/A 51678-2019 tillsynsbegäran mail.docx", "A 51678-2019")</f>
        <v/>
      </c>
      <c r="Z1092">
        <f>HYPERLINK("https://klasma.github.io/Logging_2313/fåglar/A 51678-2019 prioriterade fågelarter.docx", "A 51678-2019")</f>
        <v/>
      </c>
    </row>
    <row r="1093" ht="15" customHeight="1">
      <c r="A1093" t="inlineStr">
        <is>
          <t>A 56810-2019</t>
        </is>
      </c>
      <c r="B1093" s="1" t="n">
        <v>43763</v>
      </c>
      <c r="C1093" s="1" t="n">
        <v>45363</v>
      </c>
      <c r="D1093" t="inlineStr">
        <is>
          <t>JÄMTLANDS LÄN</t>
        </is>
      </c>
      <c r="E1093" t="inlineStr">
        <is>
          <t>STRÖMSUND</t>
        </is>
      </c>
      <c r="F1093" t="inlineStr">
        <is>
          <t>SCA</t>
        </is>
      </c>
      <c r="G1093" t="n">
        <v>9.6</v>
      </c>
      <c r="H1093" t="n">
        <v>1</v>
      </c>
      <c r="I1093" t="n">
        <v>1</v>
      </c>
      <c r="J1093" t="n">
        <v>0</v>
      </c>
      <c r="K1093" t="n">
        <v>0</v>
      </c>
      <c r="L1093" t="n">
        <v>0</v>
      </c>
      <c r="M1093" t="n">
        <v>0</v>
      </c>
      <c r="N1093" t="n">
        <v>0</v>
      </c>
      <c r="O1093" t="n">
        <v>0</v>
      </c>
      <c r="P1093" t="n">
        <v>0</v>
      </c>
      <c r="Q1093" t="n">
        <v>1</v>
      </c>
      <c r="R1093" s="2" t="inlineStr">
        <is>
          <t>Guckusko</t>
        </is>
      </c>
      <c r="S1093">
        <f>HYPERLINK("https://klasma.github.io/Logging_2313/artfynd/A 56810-2019 artfynd.xlsx", "A 56810-2019")</f>
        <v/>
      </c>
      <c r="T1093">
        <f>HYPERLINK("https://klasma.github.io/Logging_2313/kartor/A 56810-2019 karta.png", "A 56810-2019")</f>
        <v/>
      </c>
      <c r="V1093">
        <f>HYPERLINK("https://klasma.github.io/Logging_2313/klagomål/A 56810-2019 FSC-klagomål.docx", "A 56810-2019")</f>
        <v/>
      </c>
      <c r="W1093">
        <f>HYPERLINK("https://klasma.github.io/Logging_2313/klagomålsmail/A 56810-2019 FSC-klagomål mail.docx", "A 56810-2019")</f>
        <v/>
      </c>
      <c r="X1093">
        <f>HYPERLINK("https://klasma.github.io/Logging_2313/tillsyn/A 56810-2019 tillsynsbegäran.docx", "A 56810-2019")</f>
        <v/>
      </c>
      <c r="Y1093">
        <f>HYPERLINK("https://klasma.github.io/Logging_2313/tillsynsmail/A 56810-2019 tillsynsbegäran mail.docx", "A 56810-2019")</f>
        <v/>
      </c>
    </row>
    <row r="1094" ht="15" customHeight="1">
      <c r="A1094" t="inlineStr">
        <is>
          <t>A 57757-2019</t>
        </is>
      </c>
      <c r="B1094" s="1" t="n">
        <v>43768</v>
      </c>
      <c r="C1094" s="1" t="n">
        <v>45363</v>
      </c>
      <c r="D1094" t="inlineStr">
        <is>
          <t>JÄMTLANDS LÄN</t>
        </is>
      </c>
      <c r="E1094" t="inlineStr">
        <is>
          <t>ÖSTERSUND</t>
        </is>
      </c>
      <c r="G1094" t="n">
        <v>1.3</v>
      </c>
      <c r="H1094" t="n">
        <v>1</v>
      </c>
      <c r="I1094" t="n">
        <v>0</v>
      </c>
      <c r="J1094" t="n">
        <v>0</v>
      </c>
      <c r="K1094" t="n">
        <v>0</v>
      </c>
      <c r="L1094" t="n">
        <v>0</v>
      </c>
      <c r="M1094" t="n">
        <v>0</v>
      </c>
      <c r="N1094" t="n">
        <v>0</v>
      </c>
      <c r="O1094" t="n">
        <v>0</v>
      </c>
      <c r="P1094" t="n">
        <v>0</v>
      </c>
      <c r="Q1094" t="n">
        <v>1</v>
      </c>
      <c r="R1094" s="2" t="inlineStr">
        <is>
          <t>Revlummer</t>
        </is>
      </c>
      <c r="S1094">
        <f>HYPERLINK("https://klasma.github.io/Logging_2380/artfynd/A 57757-2019 artfynd.xlsx", "A 57757-2019")</f>
        <v/>
      </c>
      <c r="T1094">
        <f>HYPERLINK("https://klasma.github.io/Logging_2380/kartor/A 57757-2019 karta.png", "A 57757-2019")</f>
        <v/>
      </c>
      <c r="V1094">
        <f>HYPERLINK("https://klasma.github.io/Logging_2380/klagomål/A 57757-2019 FSC-klagomål.docx", "A 57757-2019")</f>
        <v/>
      </c>
      <c r="W1094">
        <f>HYPERLINK("https://klasma.github.io/Logging_2380/klagomålsmail/A 57757-2019 FSC-klagomål mail.docx", "A 57757-2019")</f>
        <v/>
      </c>
      <c r="X1094">
        <f>HYPERLINK("https://klasma.github.io/Logging_2380/tillsyn/A 57757-2019 tillsynsbegäran.docx", "A 57757-2019")</f>
        <v/>
      </c>
      <c r="Y1094">
        <f>HYPERLINK("https://klasma.github.io/Logging_2380/tillsynsmail/A 57757-2019 tillsynsbegäran mail.docx", "A 57757-2019")</f>
        <v/>
      </c>
    </row>
    <row r="1095" ht="15" customHeight="1">
      <c r="A1095" t="inlineStr">
        <is>
          <t>A 59825-2019</t>
        </is>
      </c>
      <c r="B1095" s="1" t="n">
        <v>43774</v>
      </c>
      <c r="C1095" s="1" t="n">
        <v>45363</v>
      </c>
      <c r="D1095" t="inlineStr">
        <is>
          <t>JÄMTLANDS LÄN</t>
        </is>
      </c>
      <c r="E1095" t="inlineStr">
        <is>
          <t>ÅRE</t>
        </is>
      </c>
      <c r="G1095" t="n">
        <v>6.8</v>
      </c>
      <c r="H1095" t="n">
        <v>0</v>
      </c>
      <c r="I1095" t="n">
        <v>0</v>
      </c>
      <c r="J1095" t="n">
        <v>1</v>
      </c>
      <c r="K1095" t="n">
        <v>0</v>
      </c>
      <c r="L1095" t="n">
        <v>0</v>
      </c>
      <c r="M1095" t="n">
        <v>0</v>
      </c>
      <c r="N1095" t="n">
        <v>0</v>
      </c>
      <c r="O1095" t="n">
        <v>1</v>
      </c>
      <c r="P1095" t="n">
        <v>0</v>
      </c>
      <c r="Q1095" t="n">
        <v>1</v>
      </c>
      <c r="R1095" s="2" t="inlineStr">
        <is>
          <t>Lunglav</t>
        </is>
      </c>
      <c r="S1095">
        <f>HYPERLINK("https://klasma.github.io/Logging_2321/artfynd/A 59825-2019 artfynd.xlsx", "A 59825-2019")</f>
        <v/>
      </c>
      <c r="T1095">
        <f>HYPERLINK("https://klasma.github.io/Logging_2321/kartor/A 59825-2019 karta.png", "A 59825-2019")</f>
        <v/>
      </c>
      <c r="V1095">
        <f>HYPERLINK("https://klasma.github.io/Logging_2321/klagomål/A 59825-2019 FSC-klagomål.docx", "A 59825-2019")</f>
        <v/>
      </c>
      <c r="W1095">
        <f>HYPERLINK("https://klasma.github.io/Logging_2321/klagomålsmail/A 59825-2019 FSC-klagomål mail.docx", "A 59825-2019")</f>
        <v/>
      </c>
      <c r="X1095">
        <f>HYPERLINK("https://klasma.github.io/Logging_2321/tillsyn/A 59825-2019 tillsynsbegäran.docx", "A 59825-2019")</f>
        <v/>
      </c>
      <c r="Y1095">
        <f>HYPERLINK("https://klasma.github.io/Logging_2321/tillsynsmail/A 59825-2019 tillsynsbegäran mail.docx", "A 59825-2019")</f>
        <v/>
      </c>
    </row>
    <row r="1096" ht="15" customHeight="1">
      <c r="A1096" t="inlineStr">
        <is>
          <t>A 61347-2019</t>
        </is>
      </c>
      <c r="B1096" s="1" t="n">
        <v>43783</v>
      </c>
      <c r="C1096" s="1" t="n">
        <v>45363</v>
      </c>
      <c r="D1096" t="inlineStr">
        <is>
          <t>JÄMTLANDS LÄN</t>
        </is>
      </c>
      <c r="E1096" t="inlineStr">
        <is>
          <t>KROKOM</t>
        </is>
      </c>
      <c r="F1096" t="inlineStr">
        <is>
          <t>Allmännings- och besparingsskogar</t>
        </is>
      </c>
      <c r="G1096" t="n">
        <v>20.7</v>
      </c>
      <c r="H1096" t="n">
        <v>1</v>
      </c>
      <c r="I1096" t="n">
        <v>0</v>
      </c>
      <c r="J1096" t="n">
        <v>0</v>
      </c>
      <c r="K1096" t="n">
        <v>1</v>
      </c>
      <c r="L1096" t="n">
        <v>0</v>
      </c>
      <c r="M1096" t="n">
        <v>0</v>
      </c>
      <c r="N1096" t="n">
        <v>0</v>
      </c>
      <c r="O1096" t="n">
        <v>1</v>
      </c>
      <c r="P1096" t="n">
        <v>1</v>
      </c>
      <c r="Q1096" t="n">
        <v>1</v>
      </c>
      <c r="R1096" s="2" t="inlineStr">
        <is>
          <t>Knärot</t>
        </is>
      </c>
      <c r="S1096">
        <f>HYPERLINK("https://klasma.github.io/Logging_2309/artfynd/A 61347-2019 artfynd.xlsx", "A 61347-2019")</f>
        <v/>
      </c>
      <c r="T1096">
        <f>HYPERLINK("https://klasma.github.io/Logging_2309/kartor/A 61347-2019 karta.png", "A 61347-2019")</f>
        <v/>
      </c>
      <c r="U1096">
        <f>HYPERLINK("https://klasma.github.io/Logging_2309/knärot/A 61347-2019 karta knärot.png", "A 61347-2019")</f>
        <v/>
      </c>
      <c r="V1096">
        <f>HYPERLINK("https://klasma.github.io/Logging_2309/klagomål/A 61347-2019 FSC-klagomål.docx", "A 61347-2019")</f>
        <v/>
      </c>
      <c r="W1096">
        <f>HYPERLINK("https://klasma.github.io/Logging_2309/klagomålsmail/A 61347-2019 FSC-klagomål mail.docx", "A 61347-2019")</f>
        <v/>
      </c>
      <c r="X1096">
        <f>HYPERLINK("https://klasma.github.io/Logging_2309/tillsyn/A 61347-2019 tillsynsbegäran.docx", "A 61347-2019")</f>
        <v/>
      </c>
      <c r="Y1096">
        <f>HYPERLINK("https://klasma.github.io/Logging_2309/tillsynsmail/A 61347-2019 tillsynsbegäran mail.docx", "A 61347-2019")</f>
        <v/>
      </c>
    </row>
    <row r="1097" ht="15" customHeight="1">
      <c r="A1097" t="inlineStr">
        <is>
          <t>A 61628-2019</t>
        </is>
      </c>
      <c r="B1097" s="1" t="n">
        <v>43784</v>
      </c>
      <c r="C1097" s="1" t="n">
        <v>45363</v>
      </c>
      <c r="D1097" t="inlineStr">
        <is>
          <t>JÄMTLANDS LÄN</t>
        </is>
      </c>
      <c r="E1097" t="inlineStr">
        <is>
          <t>ÖSTERSUND</t>
        </is>
      </c>
      <c r="G1097" t="n">
        <v>5.6</v>
      </c>
      <c r="H1097" t="n">
        <v>0</v>
      </c>
      <c r="I1097" t="n">
        <v>1</v>
      </c>
      <c r="J1097" t="n">
        <v>0</v>
      </c>
      <c r="K1097" t="n">
        <v>0</v>
      </c>
      <c r="L1097" t="n">
        <v>0</v>
      </c>
      <c r="M1097" t="n">
        <v>0</v>
      </c>
      <c r="N1097" t="n">
        <v>0</v>
      </c>
      <c r="O1097" t="n">
        <v>0</v>
      </c>
      <c r="P1097" t="n">
        <v>0</v>
      </c>
      <c r="Q1097" t="n">
        <v>1</v>
      </c>
      <c r="R1097" s="2" t="inlineStr">
        <is>
          <t>Tibast</t>
        </is>
      </c>
      <c r="S1097">
        <f>HYPERLINK("https://klasma.github.io/Logging_2380/artfynd/A 61628-2019 artfynd.xlsx", "A 61628-2019")</f>
        <v/>
      </c>
      <c r="T1097">
        <f>HYPERLINK("https://klasma.github.io/Logging_2380/kartor/A 61628-2019 karta.png", "A 61628-2019")</f>
        <v/>
      </c>
      <c r="V1097">
        <f>HYPERLINK("https://klasma.github.io/Logging_2380/klagomål/A 61628-2019 FSC-klagomål.docx", "A 61628-2019")</f>
        <v/>
      </c>
      <c r="W1097">
        <f>HYPERLINK("https://klasma.github.io/Logging_2380/klagomålsmail/A 61628-2019 FSC-klagomål mail.docx", "A 61628-2019")</f>
        <v/>
      </c>
      <c r="X1097">
        <f>HYPERLINK("https://klasma.github.io/Logging_2380/tillsyn/A 61628-2019 tillsynsbegäran.docx", "A 61628-2019")</f>
        <v/>
      </c>
      <c r="Y1097">
        <f>HYPERLINK("https://klasma.github.io/Logging_2380/tillsynsmail/A 61628-2019 tillsynsbegäran mail.docx", "A 61628-2019")</f>
        <v/>
      </c>
    </row>
    <row r="1098" ht="15" customHeight="1">
      <c r="A1098" t="inlineStr">
        <is>
          <t>A 61775-2019</t>
        </is>
      </c>
      <c r="B1098" s="1" t="n">
        <v>43784</v>
      </c>
      <c r="C1098" s="1" t="n">
        <v>45363</v>
      </c>
      <c r="D1098" t="inlineStr">
        <is>
          <t>JÄMTLANDS LÄN</t>
        </is>
      </c>
      <c r="E1098" t="inlineStr">
        <is>
          <t>BERG</t>
        </is>
      </c>
      <c r="F1098" t="inlineStr">
        <is>
          <t>SCA</t>
        </is>
      </c>
      <c r="G1098" t="n">
        <v>5.4</v>
      </c>
      <c r="H1098" t="n">
        <v>0</v>
      </c>
      <c r="I1098" t="n">
        <v>0</v>
      </c>
      <c r="J1098" t="n">
        <v>1</v>
      </c>
      <c r="K1098" t="n">
        <v>0</v>
      </c>
      <c r="L1098" t="n">
        <v>0</v>
      </c>
      <c r="M1098" t="n">
        <v>0</v>
      </c>
      <c r="N1098" t="n">
        <v>0</v>
      </c>
      <c r="O1098" t="n">
        <v>1</v>
      </c>
      <c r="P1098" t="n">
        <v>0</v>
      </c>
      <c r="Q1098" t="n">
        <v>1</v>
      </c>
      <c r="R1098" s="2" t="inlineStr">
        <is>
          <t>Dvärgbägarlav</t>
        </is>
      </c>
      <c r="S1098">
        <f>HYPERLINK("https://klasma.github.io/Logging_2326/artfynd/A 61775-2019 artfynd.xlsx", "A 61775-2019")</f>
        <v/>
      </c>
      <c r="T1098">
        <f>HYPERLINK("https://klasma.github.io/Logging_2326/kartor/A 61775-2019 karta.png", "A 61775-2019")</f>
        <v/>
      </c>
      <c r="V1098">
        <f>HYPERLINK("https://klasma.github.io/Logging_2326/klagomål/A 61775-2019 FSC-klagomål.docx", "A 61775-2019")</f>
        <v/>
      </c>
      <c r="W1098">
        <f>HYPERLINK("https://klasma.github.io/Logging_2326/klagomålsmail/A 61775-2019 FSC-klagomål mail.docx", "A 61775-2019")</f>
        <v/>
      </c>
      <c r="X1098">
        <f>HYPERLINK("https://klasma.github.io/Logging_2326/tillsyn/A 61775-2019 tillsynsbegäran.docx", "A 61775-2019")</f>
        <v/>
      </c>
      <c r="Y1098">
        <f>HYPERLINK("https://klasma.github.io/Logging_2326/tillsynsmail/A 61775-2019 tillsynsbegäran mail.docx", "A 61775-2019")</f>
        <v/>
      </c>
    </row>
    <row r="1099" ht="15" customHeight="1">
      <c r="A1099" t="inlineStr">
        <is>
          <t>A 61777-2019</t>
        </is>
      </c>
      <c r="B1099" s="1" t="n">
        <v>43784</v>
      </c>
      <c r="C1099" s="1" t="n">
        <v>45363</v>
      </c>
      <c r="D1099" t="inlineStr">
        <is>
          <t>JÄMTLANDS LÄN</t>
        </is>
      </c>
      <c r="E1099" t="inlineStr">
        <is>
          <t>RAGUNDA</t>
        </is>
      </c>
      <c r="F1099" t="inlineStr">
        <is>
          <t>SCA</t>
        </is>
      </c>
      <c r="G1099" t="n">
        <v>6.1</v>
      </c>
      <c r="H1099" t="n">
        <v>1</v>
      </c>
      <c r="I1099" t="n">
        <v>1</v>
      </c>
      <c r="J1099" t="n">
        <v>0</v>
      </c>
      <c r="K1099" t="n">
        <v>0</v>
      </c>
      <c r="L1099" t="n">
        <v>0</v>
      </c>
      <c r="M1099" t="n">
        <v>0</v>
      </c>
      <c r="N1099" t="n">
        <v>0</v>
      </c>
      <c r="O1099" t="n">
        <v>0</v>
      </c>
      <c r="P1099" t="n">
        <v>0</v>
      </c>
      <c r="Q1099" t="n">
        <v>1</v>
      </c>
      <c r="R1099" s="2" t="inlineStr">
        <is>
          <t>Guckusko</t>
        </is>
      </c>
      <c r="S1099">
        <f>HYPERLINK("https://klasma.github.io/Logging_2303/artfynd/A 61777-2019 artfynd.xlsx", "A 61777-2019")</f>
        <v/>
      </c>
      <c r="T1099">
        <f>HYPERLINK("https://klasma.github.io/Logging_2303/kartor/A 61777-2019 karta.png", "A 61777-2019")</f>
        <v/>
      </c>
      <c r="V1099">
        <f>HYPERLINK("https://klasma.github.io/Logging_2303/klagomål/A 61777-2019 FSC-klagomål.docx", "A 61777-2019")</f>
        <v/>
      </c>
      <c r="W1099">
        <f>HYPERLINK("https://klasma.github.io/Logging_2303/klagomålsmail/A 61777-2019 FSC-klagomål mail.docx", "A 61777-2019")</f>
        <v/>
      </c>
      <c r="X1099">
        <f>HYPERLINK("https://klasma.github.io/Logging_2303/tillsyn/A 61777-2019 tillsynsbegäran.docx", "A 61777-2019")</f>
        <v/>
      </c>
      <c r="Y1099">
        <f>HYPERLINK("https://klasma.github.io/Logging_2303/tillsynsmail/A 61777-2019 tillsynsbegäran mail.docx", "A 61777-2019")</f>
        <v/>
      </c>
    </row>
    <row r="1100" ht="15" customHeight="1">
      <c r="A1100" t="inlineStr">
        <is>
          <t>A 63221-2019</t>
        </is>
      </c>
      <c r="B1100" s="1" t="n">
        <v>43791</v>
      </c>
      <c r="C1100" s="1" t="n">
        <v>45363</v>
      </c>
      <c r="D1100" t="inlineStr">
        <is>
          <t>JÄMTLANDS LÄN</t>
        </is>
      </c>
      <c r="E1100" t="inlineStr">
        <is>
          <t>RAGUNDA</t>
        </is>
      </c>
      <c r="G1100" t="n">
        <v>2.2</v>
      </c>
      <c r="H1100" t="n">
        <v>0</v>
      </c>
      <c r="I1100" t="n">
        <v>1</v>
      </c>
      <c r="J1100" t="n">
        <v>0</v>
      </c>
      <c r="K1100" t="n">
        <v>0</v>
      </c>
      <c r="L1100" t="n">
        <v>0</v>
      </c>
      <c r="M1100" t="n">
        <v>0</v>
      </c>
      <c r="N1100" t="n">
        <v>0</v>
      </c>
      <c r="O1100" t="n">
        <v>0</v>
      </c>
      <c r="P1100" t="n">
        <v>0</v>
      </c>
      <c r="Q1100" t="n">
        <v>1</v>
      </c>
      <c r="R1100" s="2" t="inlineStr">
        <is>
          <t>Dvärghäxört</t>
        </is>
      </c>
      <c r="S1100">
        <f>HYPERLINK("https://klasma.github.io/Logging_2303/artfynd/A 63221-2019 artfynd.xlsx", "A 63221-2019")</f>
        <v/>
      </c>
      <c r="T1100">
        <f>HYPERLINK("https://klasma.github.io/Logging_2303/kartor/A 63221-2019 karta.png", "A 63221-2019")</f>
        <v/>
      </c>
      <c r="V1100">
        <f>HYPERLINK("https://klasma.github.io/Logging_2303/klagomål/A 63221-2019 FSC-klagomål.docx", "A 63221-2019")</f>
        <v/>
      </c>
      <c r="W1100">
        <f>HYPERLINK("https://klasma.github.io/Logging_2303/klagomålsmail/A 63221-2019 FSC-klagomål mail.docx", "A 63221-2019")</f>
        <v/>
      </c>
      <c r="X1100">
        <f>HYPERLINK("https://klasma.github.io/Logging_2303/tillsyn/A 63221-2019 tillsynsbegäran.docx", "A 63221-2019")</f>
        <v/>
      </c>
      <c r="Y1100">
        <f>HYPERLINK("https://klasma.github.io/Logging_2303/tillsynsmail/A 63221-2019 tillsynsbegäran mail.docx", "A 63221-2019")</f>
        <v/>
      </c>
    </row>
    <row r="1101" ht="15" customHeight="1">
      <c r="A1101" t="inlineStr">
        <is>
          <t>A 67342-2019</t>
        </is>
      </c>
      <c r="B1101" s="1" t="n">
        <v>43812</v>
      </c>
      <c r="C1101" s="1" t="n">
        <v>45363</v>
      </c>
      <c r="D1101" t="inlineStr">
        <is>
          <t>JÄMTLANDS LÄN</t>
        </is>
      </c>
      <c r="E1101" t="inlineStr">
        <is>
          <t>BERG</t>
        </is>
      </c>
      <c r="G1101" t="n">
        <v>5</v>
      </c>
      <c r="H1101" t="n">
        <v>1</v>
      </c>
      <c r="I1101" t="n">
        <v>0</v>
      </c>
      <c r="J1101" t="n">
        <v>0</v>
      </c>
      <c r="K1101" t="n">
        <v>0</v>
      </c>
      <c r="L1101" t="n">
        <v>0</v>
      </c>
      <c r="M1101" t="n">
        <v>0</v>
      </c>
      <c r="N1101" t="n">
        <v>0</v>
      </c>
      <c r="O1101" t="n">
        <v>0</v>
      </c>
      <c r="P1101" t="n">
        <v>0</v>
      </c>
      <c r="Q1101" t="n">
        <v>1</v>
      </c>
      <c r="R1101" s="2" t="inlineStr">
        <is>
          <t>Revlummer</t>
        </is>
      </c>
      <c r="S1101">
        <f>HYPERLINK("https://klasma.github.io/Logging_2326/artfynd/A 67342-2019 artfynd.xlsx", "A 67342-2019")</f>
        <v/>
      </c>
      <c r="T1101">
        <f>HYPERLINK("https://klasma.github.io/Logging_2326/kartor/A 67342-2019 karta.png", "A 67342-2019")</f>
        <v/>
      </c>
      <c r="V1101">
        <f>HYPERLINK("https://klasma.github.io/Logging_2326/klagomål/A 67342-2019 FSC-klagomål.docx", "A 67342-2019")</f>
        <v/>
      </c>
      <c r="W1101">
        <f>HYPERLINK("https://klasma.github.io/Logging_2326/klagomålsmail/A 67342-2019 FSC-klagomål mail.docx", "A 67342-2019")</f>
        <v/>
      </c>
      <c r="X1101">
        <f>HYPERLINK("https://klasma.github.io/Logging_2326/tillsyn/A 67342-2019 tillsynsbegäran.docx", "A 67342-2019")</f>
        <v/>
      </c>
      <c r="Y1101">
        <f>HYPERLINK("https://klasma.github.io/Logging_2326/tillsynsmail/A 67342-2019 tillsynsbegäran mail.docx", "A 67342-2019")</f>
        <v/>
      </c>
    </row>
    <row r="1102" ht="15" customHeight="1">
      <c r="A1102" t="inlineStr">
        <is>
          <t>A 67827-2019</t>
        </is>
      </c>
      <c r="B1102" s="1" t="n">
        <v>43815</v>
      </c>
      <c r="C1102" s="1" t="n">
        <v>45363</v>
      </c>
      <c r="D1102" t="inlineStr">
        <is>
          <t>JÄMTLANDS LÄN</t>
        </is>
      </c>
      <c r="E1102" t="inlineStr">
        <is>
          <t>KROKOM</t>
        </is>
      </c>
      <c r="F1102" t="inlineStr">
        <is>
          <t>SCA</t>
        </is>
      </c>
      <c r="G1102" t="n">
        <v>2.9</v>
      </c>
      <c r="H1102" t="n">
        <v>0</v>
      </c>
      <c r="I1102" t="n">
        <v>0</v>
      </c>
      <c r="J1102" t="n">
        <v>1</v>
      </c>
      <c r="K1102" t="n">
        <v>0</v>
      </c>
      <c r="L1102" t="n">
        <v>0</v>
      </c>
      <c r="M1102" t="n">
        <v>0</v>
      </c>
      <c r="N1102" t="n">
        <v>0</v>
      </c>
      <c r="O1102" t="n">
        <v>1</v>
      </c>
      <c r="P1102" t="n">
        <v>0</v>
      </c>
      <c r="Q1102" t="n">
        <v>1</v>
      </c>
      <c r="R1102" s="2" t="inlineStr">
        <is>
          <t>Garnlav</t>
        </is>
      </c>
      <c r="S1102">
        <f>HYPERLINK("https://klasma.github.io/Logging_2309/artfynd/A 67827-2019 artfynd.xlsx", "A 67827-2019")</f>
        <v/>
      </c>
      <c r="T1102">
        <f>HYPERLINK("https://klasma.github.io/Logging_2309/kartor/A 67827-2019 karta.png", "A 67827-2019")</f>
        <v/>
      </c>
      <c r="V1102">
        <f>HYPERLINK("https://klasma.github.io/Logging_2309/klagomål/A 67827-2019 FSC-klagomål.docx", "A 67827-2019")</f>
        <v/>
      </c>
      <c r="W1102">
        <f>HYPERLINK("https://klasma.github.io/Logging_2309/klagomålsmail/A 67827-2019 FSC-klagomål mail.docx", "A 67827-2019")</f>
        <v/>
      </c>
      <c r="X1102">
        <f>HYPERLINK("https://klasma.github.io/Logging_2309/tillsyn/A 67827-2019 tillsynsbegäran.docx", "A 67827-2019")</f>
        <v/>
      </c>
      <c r="Y1102">
        <f>HYPERLINK("https://klasma.github.io/Logging_2309/tillsynsmail/A 67827-2019 tillsynsbegäran mail.docx", "A 67827-2019")</f>
        <v/>
      </c>
    </row>
    <row r="1103" ht="15" customHeight="1">
      <c r="A1103" t="inlineStr">
        <is>
          <t>A 3781-2020</t>
        </is>
      </c>
      <c r="B1103" s="1" t="n">
        <v>43846</v>
      </c>
      <c r="C1103" s="1" t="n">
        <v>45363</v>
      </c>
      <c r="D1103" t="inlineStr">
        <is>
          <t>JÄMTLANDS LÄN</t>
        </is>
      </c>
      <c r="E1103" t="inlineStr">
        <is>
          <t>STRÖMSUND</t>
        </is>
      </c>
      <c r="G1103" t="n">
        <v>1</v>
      </c>
      <c r="H1103" t="n">
        <v>0</v>
      </c>
      <c r="I1103" t="n">
        <v>1</v>
      </c>
      <c r="J1103" t="n">
        <v>0</v>
      </c>
      <c r="K1103" t="n">
        <v>0</v>
      </c>
      <c r="L1103" t="n">
        <v>0</v>
      </c>
      <c r="M1103" t="n">
        <v>0</v>
      </c>
      <c r="N1103" t="n">
        <v>0</v>
      </c>
      <c r="O1103" t="n">
        <v>0</v>
      </c>
      <c r="P1103" t="n">
        <v>0</v>
      </c>
      <c r="Q1103" t="n">
        <v>1</v>
      </c>
      <c r="R1103" s="2" t="inlineStr">
        <is>
          <t>Tibast</t>
        </is>
      </c>
      <c r="S1103">
        <f>HYPERLINK("https://klasma.github.io/Logging_2313/artfynd/A 3781-2020 artfynd.xlsx", "A 3781-2020")</f>
        <v/>
      </c>
      <c r="T1103">
        <f>HYPERLINK("https://klasma.github.io/Logging_2313/kartor/A 3781-2020 karta.png", "A 3781-2020")</f>
        <v/>
      </c>
      <c r="V1103">
        <f>HYPERLINK("https://klasma.github.io/Logging_2313/klagomål/A 3781-2020 FSC-klagomål.docx", "A 3781-2020")</f>
        <v/>
      </c>
      <c r="W1103">
        <f>HYPERLINK("https://klasma.github.io/Logging_2313/klagomålsmail/A 3781-2020 FSC-klagomål mail.docx", "A 3781-2020")</f>
        <v/>
      </c>
      <c r="X1103">
        <f>HYPERLINK("https://klasma.github.io/Logging_2313/tillsyn/A 3781-2020 tillsynsbegäran.docx", "A 3781-2020")</f>
        <v/>
      </c>
      <c r="Y1103">
        <f>HYPERLINK("https://klasma.github.io/Logging_2313/tillsynsmail/A 3781-2020 tillsynsbegäran mail.docx", "A 3781-2020")</f>
        <v/>
      </c>
    </row>
    <row r="1104" ht="15" customHeight="1">
      <c r="A1104" t="inlineStr">
        <is>
          <t>A 2491-2020</t>
        </is>
      </c>
      <c r="B1104" s="1" t="n">
        <v>43847</v>
      </c>
      <c r="C1104" s="1" t="n">
        <v>45363</v>
      </c>
      <c r="D1104" t="inlineStr">
        <is>
          <t>JÄMTLANDS LÄN</t>
        </is>
      </c>
      <c r="E1104" t="inlineStr">
        <is>
          <t>STRÖMSUND</t>
        </is>
      </c>
      <c r="G1104" t="n">
        <v>19</v>
      </c>
      <c r="H1104" t="n">
        <v>0</v>
      </c>
      <c r="I1104" t="n">
        <v>1</v>
      </c>
      <c r="J1104" t="n">
        <v>0</v>
      </c>
      <c r="K1104" t="n">
        <v>0</v>
      </c>
      <c r="L1104" t="n">
        <v>0</v>
      </c>
      <c r="M1104" t="n">
        <v>0</v>
      </c>
      <c r="N1104" t="n">
        <v>0</v>
      </c>
      <c r="O1104" t="n">
        <v>0</v>
      </c>
      <c r="P1104" t="n">
        <v>0</v>
      </c>
      <c r="Q1104" t="n">
        <v>1</v>
      </c>
      <c r="R1104" s="2" t="inlineStr">
        <is>
          <t>Finbräken</t>
        </is>
      </c>
      <c r="S1104">
        <f>HYPERLINK("https://klasma.github.io/Logging_2313/artfynd/A 2491-2020 artfynd.xlsx", "A 2491-2020")</f>
        <v/>
      </c>
      <c r="T1104">
        <f>HYPERLINK("https://klasma.github.io/Logging_2313/kartor/A 2491-2020 karta.png", "A 2491-2020")</f>
        <v/>
      </c>
      <c r="V1104">
        <f>HYPERLINK("https://klasma.github.io/Logging_2313/klagomål/A 2491-2020 FSC-klagomål.docx", "A 2491-2020")</f>
        <v/>
      </c>
      <c r="W1104">
        <f>HYPERLINK("https://klasma.github.io/Logging_2313/klagomålsmail/A 2491-2020 FSC-klagomål mail.docx", "A 2491-2020")</f>
        <v/>
      </c>
      <c r="X1104">
        <f>HYPERLINK("https://klasma.github.io/Logging_2313/tillsyn/A 2491-2020 tillsynsbegäran.docx", "A 2491-2020")</f>
        <v/>
      </c>
      <c r="Y1104">
        <f>HYPERLINK("https://klasma.github.io/Logging_2313/tillsynsmail/A 2491-2020 tillsynsbegäran mail.docx", "A 2491-2020")</f>
        <v/>
      </c>
    </row>
    <row r="1105" ht="15" customHeight="1">
      <c r="A1105" t="inlineStr">
        <is>
          <t>A 2503-2020</t>
        </is>
      </c>
      <c r="B1105" s="1" t="n">
        <v>43847</v>
      </c>
      <c r="C1105" s="1" t="n">
        <v>45363</v>
      </c>
      <c r="D1105" t="inlineStr">
        <is>
          <t>JÄMTLANDS LÄN</t>
        </is>
      </c>
      <c r="E1105" t="inlineStr">
        <is>
          <t>STRÖMSUND</t>
        </is>
      </c>
      <c r="G1105" t="n">
        <v>61.1</v>
      </c>
      <c r="H1105" t="n">
        <v>0</v>
      </c>
      <c r="I1105" t="n">
        <v>0</v>
      </c>
      <c r="J1105" t="n">
        <v>1</v>
      </c>
      <c r="K1105" t="n">
        <v>0</v>
      </c>
      <c r="L1105" t="n">
        <v>0</v>
      </c>
      <c r="M1105" t="n">
        <v>0</v>
      </c>
      <c r="N1105" t="n">
        <v>0</v>
      </c>
      <c r="O1105" t="n">
        <v>1</v>
      </c>
      <c r="P1105" t="n">
        <v>0</v>
      </c>
      <c r="Q1105" t="n">
        <v>1</v>
      </c>
      <c r="R1105" s="2" t="inlineStr">
        <is>
          <t>Gammelgransskål</t>
        </is>
      </c>
      <c r="S1105">
        <f>HYPERLINK("https://klasma.github.io/Logging_2313/artfynd/A 2503-2020 artfynd.xlsx", "A 2503-2020")</f>
        <v/>
      </c>
      <c r="T1105">
        <f>HYPERLINK("https://klasma.github.io/Logging_2313/kartor/A 2503-2020 karta.png", "A 2503-2020")</f>
        <v/>
      </c>
      <c r="V1105">
        <f>HYPERLINK("https://klasma.github.io/Logging_2313/klagomål/A 2503-2020 FSC-klagomål.docx", "A 2503-2020")</f>
        <v/>
      </c>
      <c r="W1105">
        <f>HYPERLINK("https://klasma.github.io/Logging_2313/klagomålsmail/A 2503-2020 FSC-klagomål mail.docx", "A 2503-2020")</f>
        <v/>
      </c>
      <c r="X1105">
        <f>HYPERLINK("https://klasma.github.io/Logging_2313/tillsyn/A 2503-2020 tillsynsbegäran.docx", "A 2503-2020")</f>
        <v/>
      </c>
      <c r="Y1105">
        <f>HYPERLINK("https://klasma.github.io/Logging_2313/tillsynsmail/A 2503-2020 tillsynsbegäran mail.docx", "A 2503-2020")</f>
        <v/>
      </c>
    </row>
    <row r="1106" ht="15" customHeight="1">
      <c r="A1106" t="inlineStr">
        <is>
          <t>A 4626-2020</t>
        </is>
      </c>
      <c r="B1106" s="1" t="n">
        <v>43858</v>
      </c>
      <c r="C1106" s="1" t="n">
        <v>45363</v>
      </c>
      <c r="D1106" t="inlineStr">
        <is>
          <t>JÄMTLANDS LÄN</t>
        </is>
      </c>
      <c r="E1106" t="inlineStr">
        <is>
          <t>KROKOM</t>
        </is>
      </c>
      <c r="G1106" t="n">
        <v>12.2</v>
      </c>
      <c r="H1106" t="n">
        <v>0</v>
      </c>
      <c r="I1106" t="n">
        <v>0</v>
      </c>
      <c r="J1106" t="n">
        <v>1</v>
      </c>
      <c r="K1106" t="n">
        <v>0</v>
      </c>
      <c r="L1106" t="n">
        <v>0</v>
      </c>
      <c r="M1106" t="n">
        <v>0</v>
      </c>
      <c r="N1106" t="n">
        <v>0</v>
      </c>
      <c r="O1106" t="n">
        <v>1</v>
      </c>
      <c r="P1106" t="n">
        <v>0</v>
      </c>
      <c r="Q1106" t="n">
        <v>1</v>
      </c>
      <c r="R1106" s="2" t="inlineStr">
        <is>
          <t>Gränsticka</t>
        </is>
      </c>
      <c r="S1106">
        <f>HYPERLINK("https://klasma.github.io/Logging_2309/artfynd/A 4626-2020 artfynd.xlsx", "A 4626-2020")</f>
        <v/>
      </c>
      <c r="T1106">
        <f>HYPERLINK("https://klasma.github.io/Logging_2309/kartor/A 4626-2020 karta.png", "A 4626-2020")</f>
        <v/>
      </c>
      <c r="V1106">
        <f>HYPERLINK("https://klasma.github.io/Logging_2309/klagomål/A 4626-2020 FSC-klagomål.docx", "A 4626-2020")</f>
        <v/>
      </c>
      <c r="W1106">
        <f>HYPERLINK("https://klasma.github.io/Logging_2309/klagomålsmail/A 4626-2020 FSC-klagomål mail.docx", "A 4626-2020")</f>
        <v/>
      </c>
      <c r="X1106">
        <f>HYPERLINK("https://klasma.github.io/Logging_2309/tillsyn/A 4626-2020 tillsynsbegäran.docx", "A 4626-2020")</f>
        <v/>
      </c>
      <c r="Y1106">
        <f>HYPERLINK("https://klasma.github.io/Logging_2309/tillsynsmail/A 4626-2020 tillsynsbegäran mail.docx", "A 4626-2020")</f>
        <v/>
      </c>
    </row>
    <row r="1107" ht="15" customHeight="1">
      <c r="A1107" t="inlineStr">
        <is>
          <t>A 7950-2020</t>
        </is>
      </c>
      <c r="B1107" s="1" t="n">
        <v>43873</v>
      </c>
      <c r="C1107" s="1" t="n">
        <v>45363</v>
      </c>
      <c r="D1107" t="inlineStr">
        <is>
          <t>JÄMTLANDS LÄN</t>
        </is>
      </c>
      <c r="E1107" t="inlineStr">
        <is>
          <t>KROKOM</t>
        </is>
      </c>
      <c r="G1107" t="n">
        <v>0.2</v>
      </c>
      <c r="H1107" t="n">
        <v>0</v>
      </c>
      <c r="I1107" t="n">
        <v>0</v>
      </c>
      <c r="J1107" t="n">
        <v>1</v>
      </c>
      <c r="K1107" t="n">
        <v>0</v>
      </c>
      <c r="L1107" t="n">
        <v>0</v>
      </c>
      <c r="M1107" t="n">
        <v>0</v>
      </c>
      <c r="N1107" t="n">
        <v>0</v>
      </c>
      <c r="O1107" t="n">
        <v>1</v>
      </c>
      <c r="P1107" t="n">
        <v>0</v>
      </c>
      <c r="Q1107" t="n">
        <v>1</v>
      </c>
      <c r="R1107" s="2" t="inlineStr">
        <is>
          <t>Månlåsbräken</t>
        </is>
      </c>
      <c r="S1107">
        <f>HYPERLINK("https://klasma.github.io/Logging_2309/artfynd/A 7950-2020 artfynd.xlsx", "A 7950-2020")</f>
        <v/>
      </c>
      <c r="T1107">
        <f>HYPERLINK("https://klasma.github.io/Logging_2309/kartor/A 7950-2020 karta.png", "A 7950-2020")</f>
        <v/>
      </c>
      <c r="V1107">
        <f>HYPERLINK("https://klasma.github.io/Logging_2309/klagomål/A 7950-2020 FSC-klagomål.docx", "A 7950-2020")</f>
        <v/>
      </c>
      <c r="W1107">
        <f>HYPERLINK("https://klasma.github.io/Logging_2309/klagomålsmail/A 7950-2020 FSC-klagomål mail.docx", "A 7950-2020")</f>
        <v/>
      </c>
      <c r="X1107">
        <f>HYPERLINK("https://klasma.github.io/Logging_2309/tillsyn/A 7950-2020 tillsynsbegäran.docx", "A 7950-2020")</f>
        <v/>
      </c>
      <c r="Y1107">
        <f>HYPERLINK("https://klasma.github.io/Logging_2309/tillsynsmail/A 7950-2020 tillsynsbegäran mail.docx", "A 7950-2020")</f>
        <v/>
      </c>
    </row>
    <row r="1108" ht="15" customHeight="1">
      <c r="A1108" t="inlineStr">
        <is>
          <t>A 8934-2020</t>
        </is>
      </c>
      <c r="B1108" s="1" t="n">
        <v>43878</v>
      </c>
      <c r="C1108" s="1" t="n">
        <v>45363</v>
      </c>
      <c r="D1108" t="inlineStr">
        <is>
          <t>JÄMTLANDS LÄN</t>
        </is>
      </c>
      <c r="E1108" t="inlineStr">
        <is>
          <t>KROKOM</t>
        </is>
      </c>
      <c r="F1108" t="inlineStr">
        <is>
          <t>SCA</t>
        </is>
      </c>
      <c r="G1108" t="n">
        <v>2.5</v>
      </c>
      <c r="H1108" t="n">
        <v>0</v>
      </c>
      <c r="I1108" t="n">
        <v>0</v>
      </c>
      <c r="J1108" t="n">
        <v>1</v>
      </c>
      <c r="K1108" t="n">
        <v>0</v>
      </c>
      <c r="L1108" t="n">
        <v>0</v>
      </c>
      <c r="M1108" t="n">
        <v>0</v>
      </c>
      <c r="N1108" t="n">
        <v>0</v>
      </c>
      <c r="O1108" t="n">
        <v>1</v>
      </c>
      <c r="P1108" t="n">
        <v>0</v>
      </c>
      <c r="Q1108" t="n">
        <v>1</v>
      </c>
      <c r="R1108" s="2" t="inlineStr">
        <is>
          <t>Doftskinn</t>
        </is>
      </c>
      <c r="S1108">
        <f>HYPERLINK("https://klasma.github.io/Logging_2309/artfynd/A 8934-2020 artfynd.xlsx", "A 8934-2020")</f>
        <v/>
      </c>
      <c r="T1108">
        <f>HYPERLINK("https://klasma.github.io/Logging_2309/kartor/A 8934-2020 karta.png", "A 8934-2020")</f>
        <v/>
      </c>
      <c r="V1108">
        <f>HYPERLINK("https://klasma.github.io/Logging_2309/klagomål/A 8934-2020 FSC-klagomål.docx", "A 8934-2020")</f>
        <v/>
      </c>
      <c r="W1108">
        <f>HYPERLINK("https://klasma.github.io/Logging_2309/klagomålsmail/A 8934-2020 FSC-klagomål mail.docx", "A 8934-2020")</f>
        <v/>
      </c>
      <c r="X1108">
        <f>HYPERLINK("https://klasma.github.io/Logging_2309/tillsyn/A 8934-2020 tillsynsbegäran.docx", "A 8934-2020")</f>
        <v/>
      </c>
      <c r="Y1108">
        <f>HYPERLINK("https://klasma.github.io/Logging_2309/tillsynsmail/A 8934-2020 tillsynsbegäran mail.docx", "A 8934-2020")</f>
        <v/>
      </c>
    </row>
    <row r="1109" ht="15" customHeight="1">
      <c r="A1109" t="inlineStr">
        <is>
          <t>A 11561-2020</t>
        </is>
      </c>
      <c r="B1109" s="1" t="n">
        <v>43893</v>
      </c>
      <c r="C1109" s="1" t="n">
        <v>45363</v>
      </c>
      <c r="D1109" t="inlineStr">
        <is>
          <t>JÄMTLANDS LÄN</t>
        </is>
      </c>
      <c r="E1109" t="inlineStr">
        <is>
          <t>ÖSTERSUND</t>
        </is>
      </c>
      <c r="G1109" t="n">
        <v>6.2</v>
      </c>
      <c r="H1109" t="n">
        <v>1</v>
      </c>
      <c r="I1109" t="n">
        <v>0</v>
      </c>
      <c r="J1109" t="n">
        <v>0</v>
      </c>
      <c r="K1109" t="n">
        <v>0</v>
      </c>
      <c r="L1109" t="n">
        <v>0</v>
      </c>
      <c r="M1109" t="n">
        <v>0</v>
      </c>
      <c r="N1109" t="n">
        <v>0</v>
      </c>
      <c r="O1109" t="n">
        <v>0</v>
      </c>
      <c r="P1109" t="n">
        <v>0</v>
      </c>
      <c r="Q1109" t="n">
        <v>1</v>
      </c>
      <c r="R1109" s="2" t="inlineStr">
        <is>
          <t>Revlummer</t>
        </is>
      </c>
      <c r="S1109">
        <f>HYPERLINK("https://klasma.github.io/Logging_2380/artfynd/A 11561-2020 artfynd.xlsx", "A 11561-2020")</f>
        <v/>
      </c>
      <c r="T1109">
        <f>HYPERLINK("https://klasma.github.io/Logging_2380/kartor/A 11561-2020 karta.png", "A 11561-2020")</f>
        <v/>
      </c>
      <c r="V1109">
        <f>HYPERLINK("https://klasma.github.io/Logging_2380/klagomål/A 11561-2020 FSC-klagomål.docx", "A 11561-2020")</f>
        <v/>
      </c>
      <c r="W1109">
        <f>HYPERLINK("https://klasma.github.io/Logging_2380/klagomålsmail/A 11561-2020 FSC-klagomål mail.docx", "A 11561-2020")</f>
        <v/>
      </c>
      <c r="X1109">
        <f>HYPERLINK("https://klasma.github.io/Logging_2380/tillsyn/A 11561-2020 tillsynsbegäran.docx", "A 11561-2020")</f>
        <v/>
      </c>
      <c r="Y1109">
        <f>HYPERLINK("https://klasma.github.io/Logging_2380/tillsynsmail/A 11561-2020 tillsynsbegäran mail.docx", "A 11561-2020")</f>
        <v/>
      </c>
    </row>
    <row r="1110" ht="15" customHeight="1">
      <c r="A1110" t="inlineStr">
        <is>
          <t>A 18776-2020</t>
        </is>
      </c>
      <c r="B1110" s="1" t="n">
        <v>43930</v>
      </c>
      <c r="C1110" s="1" t="n">
        <v>45363</v>
      </c>
      <c r="D1110" t="inlineStr">
        <is>
          <t>JÄMTLANDS LÄN</t>
        </is>
      </c>
      <c r="E1110" t="inlineStr">
        <is>
          <t>KROKOM</t>
        </is>
      </c>
      <c r="G1110" t="n">
        <v>5.3</v>
      </c>
      <c r="H1110" t="n">
        <v>1</v>
      </c>
      <c r="I1110" t="n">
        <v>0</v>
      </c>
      <c r="J1110" t="n">
        <v>0</v>
      </c>
      <c r="K1110" t="n">
        <v>0</v>
      </c>
      <c r="L1110" t="n">
        <v>1</v>
      </c>
      <c r="M1110" t="n">
        <v>0</v>
      </c>
      <c r="N1110" t="n">
        <v>0</v>
      </c>
      <c r="O1110" t="n">
        <v>1</v>
      </c>
      <c r="P1110" t="n">
        <v>1</v>
      </c>
      <c r="Q1110" t="n">
        <v>1</v>
      </c>
      <c r="R1110" s="2" t="inlineStr">
        <is>
          <t>Bredgentiana</t>
        </is>
      </c>
      <c r="S1110">
        <f>HYPERLINK("https://klasma.github.io/Logging_2309/artfynd/A 18776-2020 artfynd.xlsx", "A 18776-2020")</f>
        <v/>
      </c>
      <c r="T1110">
        <f>HYPERLINK("https://klasma.github.io/Logging_2309/kartor/A 18776-2020 karta.png", "A 18776-2020")</f>
        <v/>
      </c>
      <c r="V1110">
        <f>HYPERLINK("https://klasma.github.io/Logging_2309/klagomål/A 18776-2020 FSC-klagomål.docx", "A 18776-2020")</f>
        <v/>
      </c>
      <c r="W1110">
        <f>HYPERLINK("https://klasma.github.io/Logging_2309/klagomålsmail/A 18776-2020 FSC-klagomål mail.docx", "A 18776-2020")</f>
        <v/>
      </c>
      <c r="X1110">
        <f>HYPERLINK("https://klasma.github.io/Logging_2309/tillsyn/A 18776-2020 tillsynsbegäran.docx", "A 18776-2020")</f>
        <v/>
      </c>
      <c r="Y1110">
        <f>HYPERLINK("https://klasma.github.io/Logging_2309/tillsynsmail/A 18776-2020 tillsynsbegäran mail.docx", "A 18776-2020")</f>
        <v/>
      </c>
    </row>
    <row r="1111" ht="15" customHeight="1">
      <c r="A1111" t="inlineStr">
        <is>
          <t>A 20979-2020</t>
        </is>
      </c>
      <c r="B1111" s="1" t="n">
        <v>43950</v>
      </c>
      <c r="C1111" s="1" t="n">
        <v>45363</v>
      </c>
      <c r="D1111" t="inlineStr">
        <is>
          <t>JÄMTLANDS LÄN</t>
        </is>
      </c>
      <c r="E1111" t="inlineStr">
        <is>
          <t>ÅRE</t>
        </is>
      </c>
      <c r="G1111" t="n">
        <v>16.5</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HYPERLINK("https://klasma.github.io/Logging_2321/artfynd/A 20979-2020 artfynd.xlsx", "A 20979-2020")</f>
        <v/>
      </c>
      <c r="T1111">
        <f>HYPERLINK("https://klasma.github.io/Logging_2321/kartor/A 20979-2020 karta.png", "A 20979-2020")</f>
        <v/>
      </c>
      <c r="V1111">
        <f>HYPERLINK("https://klasma.github.io/Logging_2321/klagomål/A 20979-2020 FSC-klagomål.docx", "A 20979-2020")</f>
        <v/>
      </c>
      <c r="W1111">
        <f>HYPERLINK("https://klasma.github.io/Logging_2321/klagomålsmail/A 20979-2020 FSC-klagomål mail.docx", "A 20979-2020")</f>
        <v/>
      </c>
      <c r="X1111">
        <f>HYPERLINK("https://klasma.github.io/Logging_2321/tillsyn/A 20979-2020 tillsynsbegäran.docx", "A 20979-2020")</f>
        <v/>
      </c>
      <c r="Y1111">
        <f>HYPERLINK("https://klasma.github.io/Logging_2321/tillsynsmail/A 20979-2020 tillsynsbegäran mail.docx", "A 20979-2020")</f>
        <v/>
      </c>
      <c r="Z1111">
        <f>HYPERLINK("https://klasma.github.io/Logging_2321/fåglar/A 20979-2020 prioriterade fågelarter.docx", "A 20979-2020")</f>
        <v/>
      </c>
    </row>
    <row r="1112" ht="15" customHeight="1">
      <c r="A1112" t="inlineStr">
        <is>
          <t>A 21547-2020</t>
        </is>
      </c>
      <c r="B1112" s="1" t="n">
        <v>43956</v>
      </c>
      <c r="C1112" s="1" t="n">
        <v>45363</v>
      </c>
      <c r="D1112" t="inlineStr">
        <is>
          <t>JÄMTLANDS LÄN</t>
        </is>
      </c>
      <c r="E1112" t="inlineStr">
        <is>
          <t>KROKOM</t>
        </is>
      </c>
      <c r="G1112" t="n">
        <v>18.4</v>
      </c>
      <c r="H1112" t="n">
        <v>0</v>
      </c>
      <c r="I1112" t="n">
        <v>0</v>
      </c>
      <c r="J1112" t="n">
        <v>1</v>
      </c>
      <c r="K1112" t="n">
        <v>0</v>
      </c>
      <c r="L1112" t="n">
        <v>0</v>
      </c>
      <c r="M1112" t="n">
        <v>0</v>
      </c>
      <c r="N1112" t="n">
        <v>0</v>
      </c>
      <c r="O1112" t="n">
        <v>1</v>
      </c>
      <c r="P1112" t="n">
        <v>0</v>
      </c>
      <c r="Q1112" t="n">
        <v>1</v>
      </c>
      <c r="R1112" s="2" t="inlineStr">
        <is>
          <t>Gränsticka</t>
        </is>
      </c>
      <c r="S1112">
        <f>HYPERLINK("https://klasma.github.io/Logging_2309/artfynd/A 21547-2020 artfynd.xlsx", "A 21547-2020")</f>
        <v/>
      </c>
      <c r="T1112">
        <f>HYPERLINK("https://klasma.github.io/Logging_2309/kartor/A 21547-2020 karta.png", "A 21547-2020")</f>
        <v/>
      </c>
      <c r="V1112">
        <f>HYPERLINK("https://klasma.github.io/Logging_2309/klagomål/A 21547-2020 FSC-klagomål.docx", "A 21547-2020")</f>
        <v/>
      </c>
      <c r="W1112">
        <f>HYPERLINK("https://klasma.github.io/Logging_2309/klagomålsmail/A 21547-2020 FSC-klagomål mail.docx", "A 21547-2020")</f>
        <v/>
      </c>
      <c r="X1112">
        <f>HYPERLINK("https://klasma.github.io/Logging_2309/tillsyn/A 21547-2020 tillsynsbegäran.docx", "A 21547-2020")</f>
        <v/>
      </c>
      <c r="Y1112">
        <f>HYPERLINK("https://klasma.github.io/Logging_2309/tillsynsmail/A 21547-2020 tillsynsbegäran mail.docx", "A 21547-2020")</f>
        <v/>
      </c>
    </row>
    <row r="1113" ht="15" customHeight="1">
      <c r="A1113" t="inlineStr">
        <is>
          <t>A 24657-2020</t>
        </is>
      </c>
      <c r="B1113" s="1" t="n">
        <v>43977</v>
      </c>
      <c r="C1113" s="1" t="n">
        <v>45363</v>
      </c>
      <c r="D1113" t="inlineStr">
        <is>
          <t>JÄMTLANDS LÄN</t>
        </is>
      </c>
      <c r="E1113" t="inlineStr">
        <is>
          <t>RAGUNDA</t>
        </is>
      </c>
      <c r="F1113" t="inlineStr">
        <is>
          <t>SCA</t>
        </is>
      </c>
      <c r="G1113" t="n">
        <v>20.5</v>
      </c>
      <c r="H1113" t="n">
        <v>0</v>
      </c>
      <c r="I1113" t="n">
        <v>0</v>
      </c>
      <c r="J1113" t="n">
        <v>0</v>
      </c>
      <c r="K1113" t="n">
        <v>1</v>
      </c>
      <c r="L1113" t="n">
        <v>0</v>
      </c>
      <c r="M1113" t="n">
        <v>0</v>
      </c>
      <c r="N1113" t="n">
        <v>0</v>
      </c>
      <c r="O1113" t="n">
        <v>1</v>
      </c>
      <c r="P1113" t="n">
        <v>1</v>
      </c>
      <c r="Q1113" t="n">
        <v>1</v>
      </c>
      <c r="R1113" s="2" t="inlineStr">
        <is>
          <t>Gräddporing</t>
        </is>
      </c>
      <c r="S1113">
        <f>HYPERLINK("https://klasma.github.io/Logging_2303/artfynd/A 24657-2020 artfynd.xlsx", "A 24657-2020")</f>
        <v/>
      </c>
      <c r="T1113">
        <f>HYPERLINK("https://klasma.github.io/Logging_2303/kartor/A 24657-2020 karta.png", "A 24657-2020")</f>
        <v/>
      </c>
      <c r="V1113">
        <f>HYPERLINK("https://klasma.github.io/Logging_2303/klagomål/A 24657-2020 FSC-klagomål.docx", "A 24657-2020")</f>
        <v/>
      </c>
      <c r="W1113">
        <f>HYPERLINK("https://klasma.github.io/Logging_2303/klagomålsmail/A 24657-2020 FSC-klagomål mail.docx", "A 24657-2020")</f>
        <v/>
      </c>
      <c r="X1113">
        <f>HYPERLINK("https://klasma.github.io/Logging_2303/tillsyn/A 24657-2020 tillsynsbegäran.docx", "A 24657-2020")</f>
        <v/>
      </c>
      <c r="Y1113">
        <f>HYPERLINK("https://klasma.github.io/Logging_2303/tillsynsmail/A 24657-2020 tillsynsbegäran mail.docx", "A 24657-2020")</f>
        <v/>
      </c>
    </row>
    <row r="1114" ht="15" customHeight="1">
      <c r="A1114" t="inlineStr">
        <is>
          <t>A 24898-2020</t>
        </is>
      </c>
      <c r="B1114" s="1" t="n">
        <v>43979</v>
      </c>
      <c r="C1114" s="1" t="n">
        <v>45363</v>
      </c>
      <c r="D1114" t="inlineStr">
        <is>
          <t>JÄMTLANDS LÄN</t>
        </is>
      </c>
      <c r="E1114" t="inlineStr">
        <is>
          <t>HÄRJEDALEN</t>
        </is>
      </c>
      <c r="F1114" t="inlineStr">
        <is>
          <t>Sveaskog</t>
        </is>
      </c>
      <c r="G1114" t="n">
        <v>2.9</v>
      </c>
      <c r="H1114" t="n">
        <v>0</v>
      </c>
      <c r="I1114" t="n">
        <v>0</v>
      </c>
      <c r="J1114" t="n">
        <v>1</v>
      </c>
      <c r="K1114" t="n">
        <v>0</v>
      </c>
      <c r="L1114" t="n">
        <v>0</v>
      </c>
      <c r="M1114" t="n">
        <v>0</v>
      </c>
      <c r="N1114" t="n">
        <v>0</v>
      </c>
      <c r="O1114" t="n">
        <v>1</v>
      </c>
      <c r="P1114" t="n">
        <v>0</v>
      </c>
      <c r="Q1114" t="n">
        <v>1</v>
      </c>
      <c r="R1114" s="2" t="inlineStr">
        <is>
          <t>Brunklöver</t>
        </is>
      </c>
      <c r="S1114">
        <f>HYPERLINK("https://klasma.github.io/Logging_2361/artfynd/A 24898-2020 artfynd.xlsx", "A 24898-2020")</f>
        <v/>
      </c>
      <c r="T1114">
        <f>HYPERLINK("https://klasma.github.io/Logging_2361/kartor/A 24898-2020 karta.png", "A 24898-2020")</f>
        <v/>
      </c>
      <c r="V1114">
        <f>HYPERLINK("https://klasma.github.io/Logging_2361/klagomål/A 24898-2020 FSC-klagomål.docx", "A 24898-2020")</f>
        <v/>
      </c>
      <c r="W1114">
        <f>HYPERLINK("https://klasma.github.io/Logging_2361/klagomålsmail/A 24898-2020 FSC-klagomål mail.docx", "A 24898-2020")</f>
        <v/>
      </c>
      <c r="X1114">
        <f>HYPERLINK("https://klasma.github.io/Logging_2361/tillsyn/A 24898-2020 tillsynsbegäran.docx", "A 24898-2020")</f>
        <v/>
      </c>
      <c r="Y1114">
        <f>HYPERLINK("https://klasma.github.io/Logging_2361/tillsynsmail/A 24898-2020 tillsynsbegäran mail.docx", "A 24898-2020")</f>
        <v/>
      </c>
    </row>
    <row r="1115" ht="15" customHeight="1">
      <c r="A1115" t="inlineStr">
        <is>
          <t>A 28772-2020</t>
        </is>
      </c>
      <c r="B1115" s="1" t="n">
        <v>43999</v>
      </c>
      <c r="C1115" s="1" t="n">
        <v>45363</v>
      </c>
      <c r="D1115" t="inlineStr">
        <is>
          <t>JÄMTLANDS LÄN</t>
        </is>
      </c>
      <c r="E1115" t="inlineStr">
        <is>
          <t>STRÖMSUND</t>
        </is>
      </c>
      <c r="F1115" t="inlineStr">
        <is>
          <t>SCA</t>
        </is>
      </c>
      <c r="G1115" t="n">
        <v>6.5</v>
      </c>
      <c r="H1115" t="n">
        <v>1</v>
      </c>
      <c r="I1115" t="n">
        <v>1</v>
      </c>
      <c r="J1115" t="n">
        <v>0</v>
      </c>
      <c r="K1115" t="n">
        <v>0</v>
      </c>
      <c r="L1115" t="n">
        <v>0</v>
      </c>
      <c r="M1115" t="n">
        <v>0</v>
      </c>
      <c r="N1115" t="n">
        <v>0</v>
      </c>
      <c r="O1115" t="n">
        <v>0</v>
      </c>
      <c r="P1115" t="n">
        <v>0</v>
      </c>
      <c r="Q1115" t="n">
        <v>1</v>
      </c>
      <c r="R1115" s="2" t="inlineStr">
        <is>
          <t>Lappranunkel</t>
        </is>
      </c>
      <c r="S1115">
        <f>HYPERLINK("https://klasma.github.io/Logging_2313/artfynd/A 28772-2020 artfynd.xlsx", "A 28772-2020")</f>
        <v/>
      </c>
      <c r="T1115">
        <f>HYPERLINK("https://klasma.github.io/Logging_2313/kartor/A 28772-2020 karta.png", "A 28772-2020")</f>
        <v/>
      </c>
      <c r="V1115">
        <f>HYPERLINK("https://klasma.github.io/Logging_2313/klagomål/A 28772-2020 FSC-klagomål.docx", "A 28772-2020")</f>
        <v/>
      </c>
      <c r="W1115">
        <f>HYPERLINK("https://klasma.github.io/Logging_2313/klagomålsmail/A 28772-2020 FSC-klagomål mail.docx", "A 28772-2020")</f>
        <v/>
      </c>
      <c r="X1115">
        <f>HYPERLINK("https://klasma.github.io/Logging_2313/tillsyn/A 28772-2020 tillsynsbegäran.docx", "A 28772-2020")</f>
        <v/>
      </c>
      <c r="Y1115">
        <f>HYPERLINK("https://klasma.github.io/Logging_2313/tillsynsmail/A 28772-2020 tillsynsbegäran mail.docx", "A 28772-2020")</f>
        <v/>
      </c>
    </row>
    <row r="1116" ht="15" customHeight="1">
      <c r="A1116" t="inlineStr">
        <is>
          <t>A 29060-2020</t>
        </is>
      </c>
      <c r="B1116" s="1" t="n">
        <v>44000</v>
      </c>
      <c r="C1116" s="1" t="n">
        <v>45363</v>
      </c>
      <c r="D1116" t="inlineStr">
        <is>
          <t>JÄMTLANDS LÄN</t>
        </is>
      </c>
      <c r="E1116" t="inlineStr">
        <is>
          <t>STRÖMSUND</t>
        </is>
      </c>
      <c r="F1116" t="inlineStr">
        <is>
          <t>SCA</t>
        </is>
      </c>
      <c r="G1116" t="n">
        <v>12</v>
      </c>
      <c r="H1116" t="n">
        <v>0</v>
      </c>
      <c r="I1116" t="n">
        <v>0</v>
      </c>
      <c r="J1116" t="n">
        <v>1</v>
      </c>
      <c r="K1116" t="n">
        <v>0</v>
      </c>
      <c r="L1116" t="n">
        <v>0</v>
      </c>
      <c r="M1116" t="n">
        <v>0</v>
      </c>
      <c r="N1116" t="n">
        <v>0</v>
      </c>
      <c r="O1116" t="n">
        <v>1</v>
      </c>
      <c r="P1116" t="n">
        <v>0</v>
      </c>
      <c r="Q1116" t="n">
        <v>1</v>
      </c>
      <c r="R1116" s="2" t="inlineStr">
        <is>
          <t>Skrovellav</t>
        </is>
      </c>
      <c r="S1116">
        <f>HYPERLINK("https://klasma.github.io/Logging_2313/artfynd/A 29060-2020 artfynd.xlsx", "A 29060-2020")</f>
        <v/>
      </c>
      <c r="T1116">
        <f>HYPERLINK("https://klasma.github.io/Logging_2313/kartor/A 29060-2020 karta.png", "A 29060-2020")</f>
        <v/>
      </c>
      <c r="V1116">
        <f>HYPERLINK("https://klasma.github.io/Logging_2313/klagomål/A 29060-2020 FSC-klagomål.docx", "A 29060-2020")</f>
        <v/>
      </c>
      <c r="W1116">
        <f>HYPERLINK("https://klasma.github.io/Logging_2313/klagomålsmail/A 29060-2020 FSC-klagomål mail.docx", "A 29060-2020")</f>
        <v/>
      </c>
      <c r="X1116">
        <f>HYPERLINK("https://klasma.github.io/Logging_2313/tillsyn/A 29060-2020 tillsynsbegäran.docx", "A 29060-2020")</f>
        <v/>
      </c>
      <c r="Y1116">
        <f>HYPERLINK("https://klasma.github.io/Logging_2313/tillsynsmail/A 29060-2020 tillsynsbegäran mail.docx", "A 29060-2020")</f>
        <v/>
      </c>
    </row>
    <row r="1117" ht="15" customHeight="1">
      <c r="A1117" t="inlineStr">
        <is>
          <t>A 29084-2020</t>
        </is>
      </c>
      <c r="B1117" s="1" t="n">
        <v>44002</v>
      </c>
      <c r="C1117" s="1" t="n">
        <v>45363</v>
      </c>
      <c r="D1117" t="inlineStr">
        <is>
          <t>JÄMTLANDS LÄN</t>
        </is>
      </c>
      <c r="E1117" t="inlineStr">
        <is>
          <t>ÅRE</t>
        </is>
      </c>
      <c r="G1117" t="n">
        <v>15.5</v>
      </c>
      <c r="H1117" t="n">
        <v>0</v>
      </c>
      <c r="I1117" t="n">
        <v>0</v>
      </c>
      <c r="J1117" t="n">
        <v>1</v>
      </c>
      <c r="K1117" t="n">
        <v>0</v>
      </c>
      <c r="L1117" t="n">
        <v>0</v>
      </c>
      <c r="M1117" t="n">
        <v>0</v>
      </c>
      <c r="N1117" t="n">
        <v>0</v>
      </c>
      <c r="O1117" t="n">
        <v>1</v>
      </c>
      <c r="P1117" t="n">
        <v>0</v>
      </c>
      <c r="Q1117" t="n">
        <v>1</v>
      </c>
      <c r="R1117" s="2" t="inlineStr">
        <is>
          <t>Gränsticka</t>
        </is>
      </c>
      <c r="S1117">
        <f>HYPERLINK("https://klasma.github.io/Logging_2321/artfynd/A 29084-2020 artfynd.xlsx", "A 29084-2020")</f>
        <v/>
      </c>
      <c r="T1117">
        <f>HYPERLINK("https://klasma.github.io/Logging_2321/kartor/A 29084-2020 karta.png", "A 29084-2020")</f>
        <v/>
      </c>
      <c r="V1117">
        <f>HYPERLINK("https://klasma.github.io/Logging_2321/klagomål/A 29084-2020 FSC-klagomål.docx", "A 29084-2020")</f>
        <v/>
      </c>
      <c r="W1117">
        <f>HYPERLINK("https://klasma.github.io/Logging_2321/klagomålsmail/A 29084-2020 FSC-klagomål mail.docx", "A 29084-2020")</f>
        <v/>
      </c>
      <c r="X1117">
        <f>HYPERLINK("https://klasma.github.io/Logging_2321/tillsyn/A 29084-2020 tillsynsbegäran.docx", "A 29084-2020")</f>
        <v/>
      </c>
      <c r="Y1117">
        <f>HYPERLINK("https://klasma.github.io/Logging_2321/tillsynsmail/A 29084-2020 tillsynsbegäran mail.docx", "A 29084-2020")</f>
        <v/>
      </c>
    </row>
    <row r="1118" ht="15" customHeight="1">
      <c r="A1118" t="inlineStr">
        <is>
          <t>A 31357-2020</t>
        </is>
      </c>
      <c r="B1118" s="1" t="n">
        <v>44012</v>
      </c>
      <c r="C1118" s="1" t="n">
        <v>45363</v>
      </c>
      <c r="D1118" t="inlineStr">
        <is>
          <t>JÄMTLANDS LÄN</t>
        </is>
      </c>
      <c r="E1118" t="inlineStr">
        <is>
          <t>RAGUNDA</t>
        </is>
      </c>
      <c r="F1118" t="inlineStr">
        <is>
          <t>SCA</t>
        </is>
      </c>
      <c r="G1118" t="n">
        <v>21.4</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HYPERLINK("https://klasma.github.io/Logging_2303/artfynd/A 31357-2020 artfynd.xlsx", "A 31357-2020")</f>
        <v/>
      </c>
      <c r="T1118">
        <f>HYPERLINK("https://klasma.github.io/Logging_2303/kartor/A 31357-2020 karta.png", "A 31357-2020")</f>
        <v/>
      </c>
      <c r="V1118">
        <f>HYPERLINK("https://klasma.github.io/Logging_2303/klagomål/A 31357-2020 FSC-klagomål.docx", "A 31357-2020")</f>
        <v/>
      </c>
      <c r="W1118">
        <f>HYPERLINK("https://klasma.github.io/Logging_2303/klagomålsmail/A 31357-2020 FSC-klagomål mail.docx", "A 31357-2020")</f>
        <v/>
      </c>
      <c r="X1118">
        <f>HYPERLINK("https://klasma.github.io/Logging_2303/tillsyn/A 31357-2020 tillsynsbegäran.docx", "A 31357-2020")</f>
        <v/>
      </c>
      <c r="Y1118">
        <f>HYPERLINK("https://klasma.github.io/Logging_2303/tillsynsmail/A 31357-2020 tillsynsbegäran mail.docx", "A 31357-2020")</f>
        <v/>
      </c>
      <c r="Z1118">
        <f>HYPERLINK("https://klasma.github.io/Logging_2303/fåglar/A 31357-2020 prioriterade fågelarter.docx", "A 31357-2020")</f>
        <v/>
      </c>
    </row>
    <row r="1119" ht="15" customHeight="1">
      <c r="A1119" t="inlineStr">
        <is>
          <t>A 32205-2020</t>
        </is>
      </c>
      <c r="B1119" s="1" t="n">
        <v>44015</v>
      </c>
      <c r="C1119" s="1" t="n">
        <v>45363</v>
      </c>
      <c r="D1119" t="inlineStr">
        <is>
          <t>JÄMTLANDS LÄN</t>
        </is>
      </c>
      <c r="E1119" t="inlineStr">
        <is>
          <t>STRÖMSUND</t>
        </is>
      </c>
      <c r="F1119" t="inlineStr">
        <is>
          <t>SCA</t>
        </is>
      </c>
      <c r="G1119" t="n">
        <v>25.3</v>
      </c>
      <c r="H1119" t="n">
        <v>0</v>
      </c>
      <c r="I1119" t="n">
        <v>0</v>
      </c>
      <c r="J1119" t="n">
        <v>1</v>
      </c>
      <c r="K1119" t="n">
        <v>0</v>
      </c>
      <c r="L1119" t="n">
        <v>0</v>
      </c>
      <c r="M1119" t="n">
        <v>0</v>
      </c>
      <c r="N1119" t="n">
        <v>0</v>
      </c>
      <c r="O1119" t="n">
        <v>1</v>
      </c>
      <c r="P1119" t="n">
        <v>0</v>
      </c>
      <c r="Q1119" t="n">
        <v>1</v>
      </c>
      <c r="R1119" s="2" t="inlineStr">
        <is>
          <t>Harticka</t>
        </is>
      </c>
      <c r="S1119">
        <f>HYPERLINK("https://klasma.github.io/Logging_2313/artfynd/A 32205-2020 artfynd.xlsx", "A 32205-2020")</f>
        <v/>
      </c>
      <c r="T1119">
        <f>HYPERLINK("https://klasma.github.io/Logging_2313/kartor/A 32205-2020 karta.png", "A 32205-2020")</f>
        <v/>
      </c>
      <c r="V1119">
        <f>HYPERLINK("https://klasma.github.io/Logging_2313/klagomål/A 32205-2020 FSC-klagomål.docx", "A 32205-2020")</f>
        <v/>
      </c>
      <c r="W1119">
        <f>HYPERLINK("https://klasma.github.io/Logging_2313/klagomålsmail/A 32205-2020 FSC-klagomål mail.docx", "A 32205-2020")</f>
        <v/>
      </c>
      <c r="X1119">
        <f>HYPERLINK("https://klasma.github.io/Logging_2313/tillsyn/A 32205-2020 tillsynsbegäran.docx", "A 32205-2020")</f>
        <v/>
      </c>
      <c r="Y1119">
        <f>HYPERLINK("https://klasma.github.io/Logging_2313/tillsynsmail/A 32205-2020 tillsynsbegäran mail.docx", "A 32205-2020")</f>
        <v/>
      </c>
    </row>
    <row r="1120" ht="15" customHeight="1">
      <c r="A1120" t="inlineStr">
        <is>
          <t>A 34582-2020</t>
        </is>
      </c>
      <c r="B1120" s="1" t="n">
        <v>44033</v>
      </c>
      <c r="C1120" s="1" t="n">
        <v>45363</v>
      </c>
      <c r="D1120" t="inlineStr">
        <is>
          <t>JÄMTLANDS LÄN</t>
        </is>
      </c>
      <c r="E1120" t="inlineStr">
        <is>
          <t>BERG</t>
        </is>
      </c>
      <c r="F1120" t="inlineStr">
        <is>
          <t>SCA</t>
        </is>
      </c>
      <c r="G1120" t="n">
        <v>10.6</v>
      </c>
      <c r="H1120" t="n">
        <v>0</v>
      </c>
      <c r="I1120" t="n">
        <v>0</v>
      </c>
      <c r="J1120" t="n">
        <v>1</v>
      </c>
      <c r="K1120" t="n">
        <v>0</v>
      </c>
      <c r="L1120" t="n">
        <v>0</v>
      </c>
      <c r="M1120" t="n">
        <v>0</v>
      </c>
      <c r="N1120" t="n">
        <v>0</v>
      </c>
      <c r="O1120" t="n">
        <v>1</v>
      </c>
      <c r="P1120" t="n">
        <v>0</v>
      </c>
      <c r="Q1120" t="n">
        <v>1</v>
      </c>
      <c r="R1120" s="2" t="inlineStr">
        <is>
          <t>Kolflarnlav</t>
        </is>
      </c>
      <c r="S1120">
        <f>HYPERLINK("https://klasma.github.io/Logging_2326/artfynd/A 34582-2020 artfynd.xlsx", "A 34582-2020")</f>
        <v/>
      </c>
      <c r="T1120">
        <f>HYPERLINK("https://klasma.github.io/Logging_2326/kartor/A 34582-2020 karta.png", "A 34582-2020")</f>
        <v/>
      </c>
      <c r="V1120">
        <f>HYPERLINK("https://klasma.github.io/Logging_2326/klagomål/A 34582-2020 FSC-klagomål.docx", "A 34582-2020")</f>
        <v/>
      </c>
      <c r="W1120">
        <f>HYPERLINK("https://klasma.github.io/Logging_2326/klagomålsmail/A 34582-2020 FSC-klagomål mail.docx", "A 34582-2020")</f>
        <v/>
      </c>
      <c r="X1120">
        <f>HYPERLINK("https://klasma.github.io/Logging_2326/tillsyn/A 34582-2020 tillsynsbegäran.docx", "A 34582-2020")</f>
        <v/>
      </c>
      <c r="Y1120">
        <f>HYPERLINK("https://klasma.github.io/Logging_2326/tillsynsmail/A 34582-2020 tillsynsbegäran mail.docx", "A 34582-2020")</f>
        <v/>
      </c>
    </row>
    <row r="1121" ht="15" customHeight="1">
      <c r="A1121" t="inlineStr">
        <is>
          <t>A 35488-2020</t>
        </is>
      </c>
      <c r="B1121" s="1" t="n">
        <v>44042</v>
      </c>
      <c r="C1121" s="1" t="n">
        <v>45363</v>
      </c>
      <c r="D1121" t="inlineStr">
        <is>
          <t>JÄMTLANDS LÄN</t>
        </is>
      </c>
      <c r="E1121" t="inlineStr">
        <is>
          <t>BRÄCKE</t>
        </is>
      </c>
      <c r="F1121" t="inlineStr">
        <is>
          <t>SCA</t>
        </is>
      </c>
      <c r="G1121" t="n">
        <v>1.9</v>
      </c>
      <c r="H1121" t="n">
        <v>0</v>
      </c>
      <c r="I1121" t="n">
        <v>0</v>
      </c>
      <c r="J1121" t="n">
        <v>1</v>
      </c>
      <c r="K1121" t="n">
        <v>0</v>
      </c>
      <c r="L1121" t="n">
        <v>0</v>
      </c>
      <c r="M1121" t="n">
        <v>0</v>
      </c>
      <c r="N1121" t="n">
        <v>0</v>
      </c>
      <c r="O1121" t="n">
        <v>1</v>
      </c>
      <c r="P1121" t="n">
        <v>0</v>
      </c>
      <c r="Q1121" t="n">
        <v>1</v>
      </c>
      <c r="R1121" s="2" t="inlineStr">
        <is>
          <t>Lunglav</t>
        </is>
      </c>
      <c r="S1121">
        <f>HYPERLINK("https://klasma.github.io/Logging_2305/artfynd/A 35488-2020 artfynd.xlsx", "A 35488-2020")</f>
        <v/>
      </c>
      <c r="T1121">
        <f>HYPERLINK("https://klasma.github.io/Logging_2305/kartor/A 35488-2020 karta.png", "A 35488-2020")</f>
        <v/>
      </c>
      <c r="V1121">
        <f>HYPERLINK("https://klasma.github.io/Logging_2305/klagomål/A 35488-2020 FSC-klagomål.docx", "A 35488-2020")</f>
        <v/>
      </c>
      <c r="W1121">
        <f>HYPERLINK("https://klasma.github.io/Logging_2305/klagomålsmail/A 35488-2020 FSC-klagomål mail.docx", "A 35488-2020")</f>
        <v/>
      </c>
      <c r="X1121">
        <f>HYPERLINK("https://klasma.github.io/Logging_2305/tillsyn/A 35488-2020 tillsynsbegäran.docx", "A 35488-2020")</f>
        <v/>
      </c>
      <c r="Y1121">
        <f>HYPERLINK("https://klasma.github.io/Logging_2305/tillsynsmail/A 35488-2020 tillsynsbegäran mail.docx", "A 35488-2020")</f>
        <v/>
      </c>
    </row>
    <row r="1122" ht="15" customHeight="1">
      <c r="A1122" t="inlineStr">
        <is>
          <t>A 35600-2020</t>
        </is>
      </c>
      <c r="B1122" s="1" t="n">
        <v>44043</v>
      </c>
      <c r="C1122" s="1" t="n">
        <v>45363</v>
      </c>
      <c r="D1122" t="inlineStr">
        <is>
          <t>JÄMTLANDS LÄN</t>
        </is>
      </c>
      <c r="E1122" t="inlineStr">
        <is>
          <t>STRÖMSUND</t>
        </is>
      </c>
      <c r="F1122" t="inlineStr">
        <is>
          <t>SCA</t>
        </is>
      </c>
      <c r="G1122" t="n">
        <v>5</v>
      </c>
      <c r="H1122" t="n">
        <v>0</v>
      </c>
      <c r="I1122" t="n">
        <v>0</v>
      </c>
      <c r="J1122" t="n">
        <v>1</v>
      </c>
      <c r="K1122" t="n">
        <v>0</v>
      </c>
      <c r="L1122" t="n">
        <v>0</v>
      </c>
      <c r="M1122" t="n">
        <v>0</v>
      </c>
      <c r="N1122" t="n">
        <v>0</v>
      </c>
      <c r="O1122" t="n">
        <v>1</v>
      </c>
      <c r="P1122" t="n">
        <v>0</v>
      </c>
      <c r="Q1122" t="n">
        <v>1</v>
      </c>
      <c r="R1122" s="2" t="inlineStr">
        <is>
          <t>Skrovellav</t>
        </is>
      </c>
      <c r="S1122">
        <f>HYPERLINK("https://klasma.github.io/Logging_2313/artfynd/A 35600-2020 artfynd.xlsx", "A 35600-2020")</f>
        <v/>
      </c>
      <c r="T1122">
        <f>HYPERLINK("https://klasma.github.io/Logging_2313/kartor/A 35600-2020 karta.png", "A 35600-2020")</f>
        <v/>
      </c>
      <c r="V1122">
        <f>HYPERLINK("https://klasma.github.io/Logging_2313/klagomål/A 35600-2020 FSC-klagomål.docx", "A 35600-2020")</f>
        <v/>
      </c>
      <c r="W1122">
        <f>HYPERLINK("https://klasma.github.io/Logging_2313/klagomålsmail/A 35600-2020 FSC-klagomål mail.docx", "A 35600-2020")</f>
        <v/>
      </c>
      <c r="X1122">
        <f>HYPERLINK("https://klasma.github.io/Logging_2313/tillsyn/A 35600-2020 tillsynsbegäran.docx", "A 35600-2020")</f>
        <v/>
      </c>
      <c r="Y1122">
        <f>HYPERLINK("https://klasma.github.io/Logging_2313/tillsynsmail/A 35600-2020 tillsynsbegäran mail.docx", "A 35600-2020")</f>
        <v/>
      </c>
    </row>
    <row r="1123" ht="15" customHeight="1">
      <c r="A1123" t="inlineStr">
        <is>
          <t>A 35980-2020</t>
        </is>
      </c>
      <c r="B1123" s="1" t="n">
        <v>44047</v>
      </c>
      <c r="C1123" s="1" t="n">
        <v>45363</v>
      </c>
      <c r="D1123" t="inlineStr">
        <is>
          <t>JÄMTLANDS LÄN</t>
        </is>
      </c>
      <c r="E1123" t="inlineStr">
        <is>
          <t>ÖSTERSUND</t>
        </is>
      </c>
      <c r="G1123" t="n">
        <v>0.7</v>
      </c>
      <c r="H1123" t="n">
        <v>0</v>
      </c>
      <c r="I1123" t="n">
        <v>0</v>
      </c>
      <c r="J1123" t="n">
        <v>1</v>
      </c>
      <c r="K1123" t="n">
        <v>0</v>
      </c>
      <c r="L1123" t="n">
        <v>0</v>
      </c>
      <c r="M1123" t="n">
        <v>0</v>
      </c>
      <c r="N1123" t="n">
        <v>0</v>
      </c>
      <c r="O1123" t="n">
        <v>1</v>
      </c>
      <c r="P1123" t="n">
        <v>0</v>
      </c>
      <c r="Q1123" t="n">
        <v>1</v>
      </c>
      <c r="R1123" s="2" t="inlineStr">
        <is>
          <t>Slåtterfibbla</t>
        </is>
      </c>
      <c r="S1123">
        <f>HYPERLINK("https://klasma.github.io/Logging_2380/artfynd/A 35980-2020 artfynd.xlsx", "A 35980-2020")</f>
        <v/>
      </c>
      <c r="T1123">
        <f>HYPERLINK("https://klasma.github.io/Logging_2380/kartor/A 35980-2020 karta.png", "A 35980-2020")</f>
        <v/>
      </c>
      <c r="U1123">
        <f>HYPERLINK("https://klasma.github.io/Logging_2380/knärot/A 35980-2020 karta knärot.png", "A 35980-2020")</f>
        <v/>
      </c>
      <c r="V1123">
        <f>HYPERLINK("https://klasma.github.io/Logging_2380/klagomål/A 35980-2020 FSC-klagomål.docx", "A 35980-2020")</f>
        <v/>
      </c>
      <c r="W1123">
        <f>HYPERLINK("https://klasma.github.io/Logging_2380/klagomålsmail/A 35980-2020 FSC-klagomål mail.docx", "A 35980-2020")</f>
        <v/>
      </c>
      <c r="X1123">
        <f>HYPERLINK("https://klasma.github.io/Logging_2380/tillsyn/A 35980-2020 tillsynsbegäran.docx", "A 35980-2020")</f>
        <v/>
      </c>
      <c r="Y1123">
        <f>HYPERLINK("https://klasma.github.io/Logging_2380/tillsynsmail/A 35980-2020 tillsynsbegäran mail.docx", "A 35980-2020")</f>
        <v/>
      </c>
    </row>
    <row r="1124" ht="15" customHeight="1">
      <c r="A1124" t="inlineStr">
        <is>
          <t>A 36457-2020</t>
        </is>
      </c>
      <c r="B1124" s="1" t="n">
        <v>44049</v>
      </c>
      <c r="C1124" s="1" t="n">
        <v>45363</v>
      </c>
      <c r="D1124" t="inlineStr">
        <is>
          <t>JÄMTLANDS LÄN</t>
        </is>
      </c>
      <c r="E1124" t="inlineStr">
        <is>
          <t>RAGUNDA</t>
        </is>
      </c>
      <c r="F1124" t="inlineStr">
        <is>
          <t>SCA</t>
        </is>
      </c>
      <c r="G1124" t="n">
        <v>2.5</v>
      </c>
      <c r="H1124" t="n">
        <v>1</v>
      </c>
      <c r="I1124" t="n">
        <v>1</v>
      </c>
      <c r="J1124" t="n">
        <v>0</v>
      </c>
      <c r="K1124" t="n">
        <v>0</v>
      </c>
      <c r="L1124" t="n">
        <v>0</v>
      </c>
      <c r="M1124" t="n">
        <v>0</v>
      </c>
      <c r="N1124" t="n">
        <v>0</v>
      </c>
      <c r="O1124" t="n">
        <v>0</v>
      </c>
      <c r="P1124" t="n">
        <v>0</v>
      </c>
      <c r="Q1124" t="n">
        <v>1</v>
      </c>
      <c r="R1124" s="2" t="inlineStr">
        <is>
          <t>Guckusko</t>
        </is>
      </c>
      <c r="S1124">
        <f>HYPERLINK("https://klasma.github.io/Logging_2303/artfynd/A 36457-2020 artfynd.xlsx", "A 36457-2020")</f>
        <v/>
      </c>
      <c r="T1124">
        <f>HYPERLINK("https://klasma.github.io/Logging_2303/kartor/A 36457-2020 karta.png", "A 36457-2020")</f>
        <v/>
      </c>
      <c r="V1124">
        <f>HYPERLINK("https://klasma.github.io/Logging_2303/klagomål/A 36457-2020 FSC-klagomål.docx", "A 36457-2020")</f>
        <v/>
      </c>
      <c r="W1124">
        <f>HYPERLINK("https://klasma.github.io/Logging_2303/klagomålsmail/A 36457-2020 FSC-klagomål mail.docx", "A 36457-2020")</f>
        <v/>
      </c>
      <c r="X1124">
        <f>HYPERLINK("https://klasma.github.io/Logging_2303/tillsyn/A 36457-2020 tillsynsbegäran.docx", "A 36457-2020")</f>
        <v/>
      </c>
      <c r="Y1124">
        <f>HYPERLINK("https://klasma.github.io/Logging_2303/tillsynsmail/A 36457-2020 tillsynsbegäran mail.docx", "A 36457-2020")</f>
        <v/>
      </c>
    </row>
    <row r="1125" ht="15" customHeight="1">
      <c r="A1125" t="inlineStr">
        <is>
          <t>A 36954-2020</t>
        </is>
      </c>
      <c r="B1125" s="1" t="n">
        <v>44053</v>
      </c>
      <c r="C1125" s="1" t="n">
        <v>45363</v>
      </c>
      <c r="D1125" t="inlineStr">
        <is>
          <t>JÄMTLANDS LÄN</t>
        </is>
      </c>
      <c r="E1125" t="inlineStr">
        <is>
          <t>HÄRJEDALEN</t>
        </is>
      </c>
      <c r="F1125" t="inlineStr">
        <is>
          <t>SCA</t>
        </is>
      </c>
      <c r="G1125" t="n">
        <v>38.7</v>
      </c>
      <c r="H1125" t="n">
        <v>0</v>
      </c>
      <c r="I1125" t="n">
        <v>0</v>
      </c>
      <c r="J1125" t="n">
        <v>1</v>
      </c>
      <c r="K1125" t="n">
        <v>0</v>
      </c>
      <c r="L1125" t="n">
        <v>0</v>
      </c>
      <c r="M1125" t="n">
        <v>0</v>
      </c>
      <c r="N1125" t="n">
        <v>0</v>
      </c>
      <c r="O1125" t="n">
        <v>1</v>
      </c>
      <c r="P1125" t="n">
        <v>0</v>
      </c>
      <c r="Q1125" t="n">
        <v>1</v>
      </c>
      <c r="R1125" s="2" t="inlineStr">
        <is>
          <t>Reliktbock</t>
        </is>
      </c>
      <c r="S1125">
        <f>HYPERLINK("https://klasma.github.io/Logging_2361/artfynd/A 36954-2020 artfynd.xlsx", "A 36954-2020")</f>
        <v/>
      </c>
      <c r="T1125">
        <f>HYPERLINK("https://klasma.github.io/Logging_2361/kartor/A 36954-2020 karta.png", "A 36954-2020")</f>
        <v/>
      </c>
      <c r="V1125">
        <f>HYPERLINK("https://klasma.github.io/Logging_2361/klagomål/A 36954-2020 FSC-klagomål.docx", "A 36954-2020")</f>
        <v/>
      </c>
      <c r="W1125">
        <f>HYPERLINK("https://klasma.github.io/Logging_2361/klagomålsmail/A 36954-2020 FSC-klagomål mail.docx", "A 36954-2020")</f>
        <v/>
      </c>
      <c r="X1125">
        <f>HYPERLINK("https://klasma.github.io/Logging_2361/tillsyn/A 36954-2020 tillsynsbegäran.docx", "A 36954-2020")</f>
        <v/>
      </c>
      <c r="Y1125">
        <f>HYPERLINK("https://klasma.github.io/Logging_2361/tillsynsmail/A 36954-2020 tillsynsbegäran mail.docx", "A 36954-2020")</f>
        <v/>
      </c>
    </row>
    <row r="1126" ht="15" customHeight="1">
      <c r="A1126" t="inlineStr">
        <is>
          <t>A 36966-2020</t>
        </is>
      </c>
      <c r="B1126" s="1" t="n">
        <v>44053</v>
      </c>
      <c r="C1126" s="1" t="n">
        <v>45363</v>
      </c>
      <c r="D1126" t="inlineStr">
        <is>
          <t>JÄMTLANDS LÄN</t>
        </is>
      </c>
      <c r="E1126" t="inlineStr">
        <is>
          <t>BERG</t>
        </is>
      </c>
      <c r="F1126" t="inlineStr">
        <is>
          <t>SCA</t>
        </is>
      </c>
      <c r="G1126" t="n">
        <v>2.7</v>
      </c>
      <c r="H1126" t="n">
        <v>0</v>
      </c>
      <c r="I1126" t="n">
        <v>0</v>
      </c>
      <c r="J1126" t="n">
        <v>1</v>
      </c>
      <c r="K1126" t="n">
        <v>0</v>
      </c>
      <c r="L1126" t="n">
        <v>0</v>
      </c>
      <c r="M1126" t="n">
        <v>0</v>
      </c>
      <c r="N1126" t="n">
        <v>0</v>
      </c>
      <c r="O1126" t="n">
        <v>1</v>
      </c>
      <c r="P1126" t="n">
        <v>0</v>
      </c>
      <c r="Q1126" t="n">
        <v>1</v>
      </c>
      <c r="R1126" s="2" t="inlineStr">
        <is>
          <t>Reliktbock</t>
        </is>
      </c>
      <c r="S1126">
        <f>HYPERLINK("https://klasma.github.io/Logging_2326/artfynd/A 36966-2020 artfynd.xlsx", "A 36966-2020")</f>
        <v/>
      </c>
      <c r="T1126">
        <f>HYPERLINK("https://klasma.github.io/Logging_2326/kartor/A 36966-2020 karta.png", "A 36966-2020")</f>
        <v/>
      </c>
      <c r="V1126">
        <f>HYPERLINK("https://klasma.github.io/Logging_2326/klagomål/A 36966-2020 FSC-klagomål.docx", "A 36966-2020")</f>
        <v/>
      </c>
      <c r="W1126">
        <f>HYPERLINK("https://klasma.github.io/Logging_2326/klagomålsmail/A 36966-2020 FSC-klagomål mail.docx", "A 36966-2020")</f>
        <v/>
      </c>
      <c r="X1126">
        <f>HYPERLINK("https://klasma.github.io/Logging_2326/tillsyn/A 36966-2020 tillsynsbegäran.docx", "A 36966-2020")</f>
        <v/>
      </c>
      <c r="Y1126">
        <f>HYPERLINK("https://klasma.github.io/Logging_2326/tillsynsmail/A 36966-2020 tillsynsbegäran mail.docx", "A 36966-2020")</f>
        <v/>
      </c>
    </row>
    <row r="1127" ht="15" customHeight="1">
      <c r="A1127" t="inlineStr">
        <is>
          <t>A 39060-2020</t>
        </is>
      </c>
      <c r="B1127" s="1" t="n">
        <v>44062</v>
      </c>
      <c r="C1127" s="1" t="n">
        <v>45363</v>
      </c>
      <c r="D1127" t="inlineStr">
        <is>
          <t>JÄMTLANDS LÄN</t>
        </is>
      </c>
      <c r="E1127" t="inlineStr">
        <is>
          <t>RAGUNDA</t>
        </is>
      </c>
      <c r="F1127" t="inlineStr">
        <is>
          <t>SCA</t>
        </is>
      </c>
      <c r="G1127" t="n">
        <v>6.5</v>
      </c>
      <c r="H1127" t="n">
        <v>0</v>
      </c>
      <c r="I1127" t="n">
        <v>1</v>
      </c>
      <c r="J1127" t="n">
        <v>0</v>
      </c>
      <c r="K1127" t="n">
        <v>0</v>
      </c>
      <c r="L1127" t="n">
        <v>0</v>
      </c>
      <c r="M1127" t="n">
        <v>0</v>
      </c>
      <c r="N1127" t="n">
        <v>0</v>
      </c>
      <c r="O1127" t="n">
        <v>0</v>
      </c>
      <c r="P1127" t="n">
        <v>0</v>
      </c>
      <c r="Q1127" t="n">
        <v>1</v>
      </c>
      <c r="R1127" s="2" t="inlineStr">
        <is>
          <t>Stuplav</t>
        </is>
      </c>
      <c r="S1127">
        <f>HYPERLINK("https://klasma.github.io/Logging_2303/artfynd/A 39060-2020 artfynd.xlsx", "A 39060-2020")</f>
        <v/>
      </c>
      <c r="T1127">
        <f>HYPERLINK("https://klasma.github.io/Logging_2303/kartor/A 39060-2020 karta.png", "A 39060-2020")</f>
        <v/>
      </c>
      <c r="V1127">
        <f>HYPERLINK("https://klasma.github.io/Logging_2303/klagomål/A 39060-2020 FSC-klagomål.docx", "A 39060-2020")</f>
        <v/>
      </c>
      <c r="W1127">
        <f>HYPERLINK("https://klasma.github.io/Logging_2303/klagomålsmail/A 39060-2020 FSC-klagomål mail.docx", "A 39060-2020")</f>
        <v/>
      </c>
      <c r="X1127">
        <f>HYPERLINK("https://klasma.github.io/Logging_2303/tillsyn/A 39060-2020 tillsynsbegäran.docx", "A 39060-2020")</f>
        <v/>
      </c>
      <c r="Y1127">
        <f>HYPERLINK("https://klasma.github.io/Logging_2303/tillsynsmail/A 39060-2020 tillsynsbegäran mail.docx", "A 39060-2020")</f>
        <v/>
      </c>
    </row>
    <row r="1128" ht="15" customHeight="1">
      <c r="A1128" t="inlineStr">
        <is>
          <t>A 39569-2020</t>
        </is>
      </c>
      <c r="B1128" s="1" t="n">
        <v>44064</v>
      </c>
      <c r="C1128" s="1" t="n">
        <v>45363</v>
      </c>
      <c r="D1128" t="inlineStr">
        <is>
          <t>JÄMTLANDS LÄN</t>
        </is>
      </c>
      <c r="E1128" t="inlineStr">
        <is>
          <t>KROKOM</t>
        </is>
      </c>
      <c r="G1128" t="n">
        <v>1.4</v>
      </c>
      <c r="H1128" t="n">
        <v>0</v>
      </c>
      <c r="I1128" t="n">
        <v>0</v>
      </c>
      <c r="J1128" t="n">
        <v>1</v>
      </c>
      <c r="K1128" t="n">
        <v>0</v>
      </c>
      <c r="L1128" t="n">
        <v>0</v>
      </c>
      <c r="M1128" t="n">
        <v>0</v>
      </c>
      <c r="N1128" t="n">
        <v>0</v>
      </c>
      <c r="O1128" t="n">
        <v>1</v>
      </c>
      <c r="P1128" t="n">
        <v>0</v>
      </c>
      <c r="Q1128" t="n">
        <v>1</v>
      </c>
      <c r="R1128" s="2" t="inlineStr">
        <is>
          <t>Gränsticka</t>
        </is>
      </c>
      <c r="S1128">
        <f>HYPERLINK("https://klasma.github.io/Logging_2309/artfynd/A 39569-2020 artfynd.xlsx", "A 39569-2020")</f>
        <v/>
      </c>
      <c r="T1128">
        <f>HYPERLINK("https://klasma.github.io/Logging_2309/kartor/A 39569-2020 karta.png", "A 39569-2020")</f>
        <v/>
      </c>
      <c r="V1128">
        <f>HYPERLINK("https://klasma.github.io/Logging_2309/klagomål/A 39569-2020 FSC-klagomål.docx", "A 39569-2020")</f>
        <v/>
      </c>
      <c r="W1128">
        <f>HYPERLINK("https://klasma.github.io/Logging_2309/klagomålsmail/A 39569-2020 FSC-klagomål mail.docx", "A 39569-2020")</f>
        <v/>
      </c>
      <c r="X1128">
        <f>HYPERLINK("https://klasma.github.io/Logging_2309/tillsyn/A 39569-2020 tillsynsbegäran.docx", "A 39569-2020")</f>
        <v/>
      </c>
      <c r="Y1128">
        <f>HYPERLINK("https://klasma.github.io/Logging_2309/tillsynsmail/A 39569-2020 tillsynsbegäran mail.docx", "A 39569-2020")</f>
        <v/>
      </c>
    </row>
    <row r="1129" ht="15" customHeight="1">
      <c r="A1129" t="inlineStr">
        <is>
          <t>A 41897-2020</t>
        </is>
      </c>
      <c r="B1129" s="1" t="n">
        <v>44074</v>
      </c>
      <c r="C1129" s="1" t="n">
        <v>45363</v>
      </c>
      <c r="D1129" t="inlineStr">
        <is>
          <t>JÄMTLANDS LÄN</t>
        </is>
      </c>
      <c r="E1129" t="inlineStr">
        <is>
          <t>BRÄCKE</t>
        </is>
      </c>
      <c r="F1129" t="inlineStr">
        <is>
          <t>SCA</t>
        </is>
      </c>
      <c r="G1129" t="n">
        <v>3.9</v>
      </c>
      <c r="H1129" t="n">
        <v>0</v>
      </c>
      <c r="I1129" t="n">
        <v>0</v>
      </c>
      <c r="J1129" t="n">
        <v>1</v>
      </c>
      <c r="K1129" t="n">
        <v>0</v>
      </c>
      <c r="L1129" t="n">
        <v>0</v>
      </c>
      <c r="M1129" t="n">
        <v>0</v>
      </c>
      <c r="N1129" t="n">
        <v>0</v>
      </c>
      <c r="O1129" t="n">
        <v>1</v>
      </c>
      <c r="P1129" t="n">
        <v>0</v>
      </c>
      <c r="Q1129" t="n">
        <v>1</v>
      </c>
      <c r="R1129" s="2" t="inlineStr">
        <is>
          <t>Stiftgelélav</t>
        </is>
      </c>
      <c r="S1129">
        <f>HYPERLINK("https://klasma.github.io/Logging_2305/artfynd/A 41897-2020 artfynd.xlsx", "A 41897-2020")</f>
        <v/>
      </c>
      <c r="T1129">
        <f>HYPERLINK("https://klasma.github.io/Logging_2305/kartor/A 41897-2020 karta.png", "A 41897-2020")</f>
        <v/>
      </c>
      <c r="V1129">
        <f>HYPERLINK("https://klasma.github.io/Logging_2305/klagomål/A 41897-2020 FSC-klagomål.docx", "A 41897-2020")</f>
        <v/>
      </c>
      <c r="W1129">
        <f>HYPERLINK("https://klasma.github.io/Logging_2305/klagomålsmail/A 41897-2020 FSC-klagomål mail.docx", "A 41897-2020")</f>
        <v/>
      </c>
      <c r="X1129">
        <f>HYPERLINK("https://klasma.github.io/Logging_2305/tillsyn/A 41897-2020 tillsynsbegäran.docx", "A 41897-2020")</f>
        <v/>
      </c>
      <c r="Y1129">
        <f>HYPERLINK("https://klasma.github.io/Logging_2305/tillsynsmail/A 41897-2020 tillsynsbegäran mail.docx", "A 41897-2020")</f>
        <v/>
      </c>
    </row>
    <row r="1130" ht="15" customHeight="1">
      <c r="A1130" t="inlineStr">
        <is>
          <t>A 42493-2020</t>
        </is>
      </c>
      <c r="B1130" s="1" t="n">
        <v>44075</v>
      </c>
      <c r="C1130" s="1" t="n">
        <v>45363</v>
      </c>
      <c r="D1130" t="inlineStr">
        <is>
          <t>JÄMTLANDS LÄN</t>
        </is>
      </c>
      <c r="E1130" t="inlineStr">
        <is>
          <t>KROKOM</t>
        </is>
      </c>
      <c r="G1130" t="n">
        <v>20.6</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HYPERLINK("https://klasma.github.io/Logging_2309/artfynd/A 42493-2020 artfynd.xlsx", "A 42493-2020")</f>
        <v/>
      </c>
      <c r="T1130">
        <f>HYPERLINK("https://klasma.github.io/Logging_2309/kartor/A 42493-2020 karta.png", "A 42493-2020")</f>
        <v/>
      </c>
      <c r="V1130">
        <f>HYPERLINK("https://klasma.github.io/Logging_2309/klagomål/A 42493-2020 FSC-klagomål.docx", "A 42493-2020")</f>
        <v/>
      </c>
      <c r="W1130">
        <f>HYPERLINK("https://klasma.github.io/Logging_2309/klagomålsmail/A 42493-2020 FSC-klagomål mail.docx", "A 42493-2020")</f>
        <v/>
      </c>
      <c r="X1130">
        <f>HYPERLINK("https://klasma.github.io/Logging_2309/tillsyn/A 42493-2020 tillsynsbegäran.docx", "A 42493-2020")</f>
        <v/>
      </c>
      <c r="Y1130">
        <f>HYPERLINK("https://klasma.github.io/Logging_2309/tillsynsmail/A 42493-2020 tillsynsbegäran mail.docx", "A 42493-2020")</f>
        <v/>
      </c>
      <c r="Z1130">
        <f>HYPERLINK("https://klasma.github.io/Logging_2309/fåglar/A 42493-2020 prioriterade fågelarter.docx", "A 42493-2020")</f>
        <v/>
      </c>
    </row>
    <row r="1131" ht="15" customHeight="1">
      <c r="A1131" t="inlineStr">
        <is>
          <t>A 43809-2020</t>
        </is>
      </c>
      <c r="B1131" s="1" t="n">
        <v>44082</v>
      </c>
      <c r="C1131" s="1" t="n">
        <v>45363</v>
      </c>
      <c r="D1131" t="inlineStr">
        <is>
          <t>JÄMTLANDS LÄN</t>
        </is>
      </c>
      <c r="E1131" t="inlineStr">
        <is>
          <t>STRÖMSUND</t>
        </is>
      </c>
      <c r="F1131" t="inlineStr">
        <is>
          <t>Sveaskog</t>
        </is>
      </c>
      <c r="G1131" t="n">
        <v>10.4</v>
      </c>
      <c r="H1131" t="n">
        <v>0</v>
      </c>
      <c r="I1131" t="n">
        <v>0</v>
      </c>
      <c r="J1131" t="n">
        <v>1</v>
      </c>
      <c r="K1131" t="n">
        <v>0</v>
      </c>
      <c r="L1131" t="n">
        <v>0</v>
      </c>
      <c r="M1131" t="n">
        <v>0</v>
      </c>
      <c r="N1131" t="n">
        <v>0</v>
      </c>
      <c r="O1131" t="n">
        <v>1</v>
      </c>
      <c r="P1131" t="n">
        <v>0</v>
      </c>
      <c r="Q1131" t="n">
        <v>1</v>
      </c>
      <c r="R1131" s="2" t="inlineStr">
        <is>
          <t>Lunglav</t>
        </is>
      </c>
      <c r="S1131">
        <f>HYPERLINK("https://klasma.github.io/Logging_2313/artfynd/A 43809-2020 artfynd.xlsx", "A 43809-2020")</f>
        <v/>
      </c>
      <c r="T1131">
        <f>HYPERLINK("https://klasma.github.io/Logging_2313/kartor/A 43809-2020 karta.png", "A 43809-2020")</f>
        <v/>
      </c>
      <c r="V1131">
        <f>HYPERLINK("https://klasma.github.io/Logging_2313/klagomål/A 43809-2020 FSC-klagomål.docx", "A 43809-2020")</f>
        <v/>
      </c>
      <c r="W1131">
        <f>HYPERLINK("https://klasma.github.io/Logging_2313/klagomålsmail/A 43809-2020 FSC-klagomål mail.docx", "A 43809-2020")</f>
        <v/>
      </c>
      <c r="X1131">
        <f>HYPERLINK("https://klasma.github.io/Logging_2313/tillsyn/A 43809-2020 tillsynsbegäran.docx", "A 43809-2020")</f>
        <v/>
      </c>
      <c r="Y1131">
        <f>HYPERLINK("https://klasma.github.io/Logging_2313/tillsynsmail/A 43809-2020 tillsynsbegäran mail.docx", "A 43809-2020")</f>
        <v/>
      </c>
    </row>
    <row r="1132" ht="15" customHeight="1">
      <c r="A1132" t="inlineStr">
        <is>
          <t>A 45626-2020</t>
        </is>
      </c>
      <c r="B1132" s="1" t="n">
        <v>44090</v>
      </c>
      <c r="C1132" s="1" t="n">
        <v>45363</v>
      </c>
      <c r="D1132" t="inlineStr">
        <is>
          <t>JÄMTLANDS LÄN</t>
        </is>
      </c>
      <c r="E1132" t="inlineStr">
        <is>
          <t>KROKOM</t>
        </is>
      </c>
      <c r="G1132" t="n">
        <v>1</v>
      </c>
      <c r="H1132" t="n">
        <v>0</v>
      </c>
      <c r="I1132" t="n">
        <v>0</v>
      </c>
      <c r="J1132" t="n">
        <v>1</v>
      </c>
      <c r="K1132" t="n">
        <v>0</v>
      </c>
      <c r="L1132" t="n">
        <v>0</v>
      </c>
      <c r="M1132" t="n">
        <v>0</v>
      </c>
      <c r="N1132" t="n">
        <v>0</v>
      </c>
      <c r="O1132" t="n">
        <v>1</v>
      </c>
      <c r="P1132" t="n">
        <v>0</v>
      </c>
      <c r="Q1132" t="n">
        <v>1</v>
      </c>
      <c r="R1132" s="2" t="inlineStr">
        <is>
          <t>Dofttaggsvamp</t>
        </is>
      </c>
      <c r="S1132">
        <f>HYPERLINK("https://klasma.github.io/Logging_2309/artfynd/A 45626-2020 artfynd.xlsx", "A 45626-2020")</f>
        <v/>
      </c>
      <c r="T1132">
        <f>HYPERLINK("https://klasma.github.io/Logging_2309/kartor/A 45626-2020 karta.png", "A 45626-2020")</f>
        <v/>
      </c>
      <c r="V1132">
        <f>HYPERLINK("https://klasma.github.io/Logging_2309/klagomål/A 45626-2020 FSC-klagomål.docx", "A 45626-2020")</f>
        <v/>
      </c>
      <c r="W1132">
        <f>HYPERLINK("https://klasma.github.io/Logging_2309/klagomålsmail/A 45626-2020 FSC-klagomål mail.docx", "A 45626-2020")</f>
        <v/>
      </c>
      <c r="X1132">
        <f>HYPERLINK("https://klasma.github.io/Logging_2309/tillsyn/A 45626-2020 tillsynsbegäran.docx", "A 45626-2020")</f>
        <v/>
      </c>
      <c r="Y1132">
        <f>HYPERLINK("https://klasma.github.io/Logging_2309/tillsynsmail/A 45626-2020 tillsynsbegäran mail.docx", "A 45626-2020")</f>
        <v/>
      </c>
    </row>
    <row r="1133" ht="15" customHeight="1">
      <c r="A1133" t="inlineStr">
        <is>
          <t>A 46966-2020</t>
        </is>
      </c>
      <c r="B1133" s="1" t="n">
        <v>44090</v>
      </c>
      <c r="C1133" s="1" t="n">
        <v>45363</v>
      </c>
      <c r="D1133" t="inlineStr">
        <is>
          <t>JÄMTLANDS LÄN</t>
        </is>
      </c>
      <c r="E1133" t="inlineStr">
        <is>
          <t>ÅRE</t>
        </is>
      </c>
      <c r="G1133" t="n">
        <v>13.7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HYPERLINK("https://klasma.github.io/Logging_2321/artfynd/A 46966-2020 artfynd.xlsx", "A 46966-2020")</f>
        <v/>
      </c>
      <c r="T1133">
        <f>HYPERLINK("https://klasma.github.io/Logging_2321/kartor/A 46966-2020 karta.png", "A 46966-2020")</f>
        <v/>
      </c>
      <c r="V1133">
        <f>HYPERLINK("https://klasma.github.io/Logging_2321/klagomål/A 46966-2020 FSC-klagomål.docx", "A 46966-2020")</f>
        <v/>
      </c>
      <c r="W1133">
        <f>HYPERLINK("https://klasma.github.io/Logging_2321/klagomålsmail/A 46966-2020 FSC-klagomål mail.docx", "A 46966-2020")</f>
        <v/>
      </c>
      <c r="X1133">
        <f>HYPERLINK("https://klasma.github.io/Logging_2321/tillsyn/A 46966-2020 tillsynsbegäran.docx", "A 46966-2020")</f>
        <v/>
      </c>
      <c r="Y1133">
        <f>HYPERLINK("https://klasma.github.io/Logging_2321/tillsynsmail/A 46966-2020 tillsynsbegäran mail.docx", "A 46966-2020")</f>
        <v/>
      </c>
      <c r="Z1133">
        <f>HYPERLINK("https://klasma.github.io/Logging_2321/fåglar/A 46966-2020 prioriterade fågelarter.docx", "A 46966-2020")</f>
        <v/>
      </c>
    </row>
    <row r="1134" ht="15" customHeight="1">
      <c r="A1134" t="inlineStr">
        <is>
          <t>A 46959-2020</t>
        </is>
      </c>
      <c r="B1134" s="1" t="n">
        <v>44090</v>
      </c>
      <c r="C1134" s="1" t="n">
        <v>45363</v>
      </c>
      <c r="D1134" t="inlineStr">
        <is>
          <t>JÄMTLANDS LÄN</t>
        </is>
      </c>
      <c r="E1134" t="inlineStr">
        <is>
          <t>ÅRE</t>
        </is>
      </c>
      <c r="G1134" t="n">
        <v>4.7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HYPERLINK("https://klasma.github.io/Logging_2321/artfynd/A 46959-2020 artfynd.xlsx", "A 46959-2020")</f>
        <v/>
      </c>
      <c r="T1134">
        <f>HYPERLINK("https://klasma.github.io/Logging_2321/kartor/A 46959-2020 karta.png", "A 46959-2020")</f>
        <v/>
      </c>
      <c r="V1134">
        <f>HYPERLINK("https://klasma.github.io/Logging_2321/klagomål/A 46959-2020 FSC-klagomål.docx", "A 46959-2020")</f>
        <v/>
      </c>
      <c r="W1134">
        <f>HYPERLINK("https://klasma.github.io/Logging_2321/klagomålsmail/A 46959-2020 FSC-klagomål mail.docx", "A 46959-2020")</f>
        <v/>
      </c>
      <c r="X1134">
        <f>HYPERLINK("https://klasma.github.io/Logging_2321/tillsyn/A 46959-2020 tillsynsbegäran.docx", "A 46959-2020")</f>
        <v/>
      </c>
      <c r="Y1134">
        <f>HYPERLINK("https://klasma.github.io/Logging_2321/tillsynsmail/A 46959-2020 tillsynsbegäran mail.docx", "A 46959-2020")</f>
        <v/>
      </c>
      <c r="Z1134">
        <f>HYPERLINK("https://klasma.github.io/Logging_2321/fåglar/A 46959-2020 prioriterade fågelarter.docx", "A 46959-2020")</f>
        <v/>
      </c>
    </row>
    <row r="1135" ht="15" customHeight="1">
      <c r="A1135" t="inlineStr">
        <is>
          <t>A 47459-2020</t>
        </is>
      </c>
      <c r="B1135" s="1" t="n">
        <v>44097</v>
      </c>
      <c r="C1135" s="1" t="n">
        <v>45363</v>
      </c>
      <c r="D1135" t="inlineStr">
        <is>
          <t>JÄMTLANDS LÄN</t>
        </is>
      </c>
      <c r="E1135" t="inlineStr">
        <is>
          <t>KROKOM</t>
        </is>
      </c>
      <c r="F1135" t="inlineStr">
        <is>
          <t>SCA</t>
        </is>
      </c>
      <c r="G1135" t="n">
        <v>1.7</v>
      </c>
      <c r="H1135" t="n">
        <v>0</v>
      </c>
      <c r="I1135" t="n">
        <v>0</v>
      </c>
      <c r="J1135" t="n">
        <v>1</v>
      </c>
      <c r="K1135" t="n">
        <v>0</v>
      </c>
      <c r="L1135" t="n">
        <v>0</v>
      </c>
      <c r="M1135" t="n">
        <v>0</v>
      </c>
      <c r="N1135" t="n">
        <v>0</v>
      </c>
      <c r="O1135" t="n">
        <v>1</v>
      </c>
      <c r="P1135" t="n">
        <v>0</v>
      </c>
      <c r="Q1135" t="n">
        <v>1</v>
      </c>
      <c r="R1135" s="2" t="inlineStr">
        <is>
          <t>Skrovellav</t>
        </is>
      </c>
      <c r="S1135">
        <f>HYPERLINK("https://klasma.github.io/Logging_2309/artfynd/A 47459-2020 artfynd.xlsx", "A 47459-2020")</f>
        <v/>
      </c>
      <c r="T1135">
        <f>HYPERLINK("https://klasma.github.io/Logging_2309/kartor/A 47459-2020 karta.png", "A 47459-2020")</f>
        <v/>
      </c>
      <c r="V1135">
        <f>HYPERLINK("https://klasma.github.io/Logging_2309/klagomål/A 47459-2020 FSC-klagomål.docx", "A 47459-2020")</f>
        <v/>
      </c>
      <c r="W1135">
        <f>HYPERLINK("https://klasma.github.io/Logging_2309/klagomålsmail/A 47459-2020 FSC-klagomål mail.docx", "A 47459-2020")</f>
        <v/>
      </c>
      <c r="X1135">
        <f>HYPERLINK("https://klasma.github.io/Logging_2309/tillsyn/A 47459-2020 tillsynsbegäran.docx", "A 47459-2020")</f>
        <v/>
      </c>
      <c r="Y1135">
        <f>HYPERLINK("https://klasma.github.io/Logging_2309/tillsynsmail/A 47459-2020 tillsynsbegäran mail.docx", "A 47459-2020")</f>
        <v/>
      </c>
    </row>
    <row r="1136" ht="15" customHeight="1">
      <c r="A1136" t="inlineStr">
        <is>
          <t>A 47853-2020</t>
        </is>
      </c>
      <c r="B1136" s="1" t="n">
        <v>44098</v>
      </c>
      <c r="C1136" s="1" t="n">
        <v>45363</v>
      </c>
      <c r="D1136" t="inlineStr">
        <is>
          <t>JÄMTLANDS LÄN</t>
        </is>
      </c>
      <c r="E1136" t="inlineStr">
        <is>
          <t>RAGUNDA</t>
        </is>
      </c>
      <c r="F1136" t="inlineStr">
        <is>
          <t>SCA</t>
        </is>
      </c>
      <c r="G1136" t="n">
        <v>5.3</v>
      </c>
      <c r="H1136" t="n">
        <v>0</v>
      </c>
      <c r="I1136" t="n">
        <v>0</v>
      </c>
      <c r="J1136" t="n">
        <v>1</v>
      </c>
      <c r="K1136" t="n">
        <v>0</v>
      </c>
      <c r="L1136" t="n">
        <v>0</v>
      </c>
      <c r="M1136" t="n">
        <v>0</v>
      </c>
      <c r="N1136" t="n">
        <v>0</v>
      </c>
      <c r="O1136" t="n">
        <v>1</v>
      </c>
      <c r="P1136" t="n">
        <v>0</v>
      </c>
      <c r="Q1136" t="n">
        <v>1</v>
      </c>
      <c r="R1136" s="2" t="inlineStr">
        <is>
          <t>Lunglav</t>
        </is>
      </c>
      <c r="S1136">
        <f>HYPERLINK("https://klasma.github.io/Logging_2303/artfynd/A 47853-2020 artfynd.xlsx", "A 47853-2020")</f>
        <v/>
      </c>
      <c r="T1136">
        <f>HYPERLINK("https://klasma.github.io/Logging_2303/kartor/A 47853-2020 karta.png", "A 47853-2020")</f>
        <v/>
      </c>
      <c r="V1136">
        <f>HYPERLINK("https://klasma.github.io/Logging_2303/klagomål/A 47853-2020 FSC-klagomål.docx", "A 47853-2020")</f>
        <v/>
      </c>
      <c r="W1136">
        <f>HYPERLINK("https://klasma.github.io/Logging_2303/klagomålsmail/A 47853-2020 FSC-klagomål mail.docx", "A 47853-2020")</f>
        <v/>
      </c>
      <c r="X1136">
        <f>HYPERLINK("https://klasma.github.io/Logging_2303/tillsyn/A 47853-2020 tillsynsbegäran.docx", "A 47853-2020")</f>
        <v/>
      </c>
      <c r="Y1136">
        <f>HYPERLINK("https://klasma.github.io/Logging_2303/tillsynsmail/A 47853-2020 tillsynsbegäran mail.docx", "A 47853-2020")</f>
        <v/>
      </c>
    </row>
    <row r="1137" ht="15" customHeight="1">
      <c r="A1137" t="inlineStr">
        <is>
          <t>A 48863-2020</t>
        </is>
      </c>
      <c r="B1137" s="1" t="n">
        <v>44099</v>
      </c>
      <c r="C1137" s="1" t="n">
        <v>45363</v>
      </c>
      <c r="D1137" t="inlineStr">
        <is>
          <t>JÄMTLANDS LÄN</t>
        </is>
      </c>
      <c r="E1137" t="inlineStr">
        <is>
          <t>KROKOM</t>
        </is>
      </c>
      <c r="F1137" t="inlineStr">
        <is>
          <t>SCA</t>
        </is>
      </c>
      <c r="G1137" t="n">
        <v>7.2</v>
      </c>
      <c r="H1137" t="n">
        <v>0</v>
      </c>
      <c r="I1137" t="n">
        <v>0</v>
      </c>
      <c r="J1137" t="n">
        <v>0</v>
      </c>
      <c r="K1137" t="n">
        <v>1</v>
      </c>
      <c r="L1137" t="n">
        <v>0</v>
      </c>
      <c r="M1137" t="n">
        <v>0</v>
      </c>
      <c r="N1137" t="n">
        <v>0</v>
      </c>
      <c r="O1137" t="n">
        <v>1</v>
      </c>
      <c r="P1137" t="n">
        <v>1</v>
      </c>
      <c r="Q1137" t="n">
        <v>1</v>
      </c>
      <c r="R1137" s="2" t="inlineStr">
        <is>
          <t>Fläckporing</t>
        </is>
      </c>
      <c r="S1137">
        <f>HYPERLINK("https://klasma.github.io/Logging_2309/artfynd/A 48863-2020 artfynd.xlsx", "A 48863-2020")</f>
        <v/>
      </c>
      <c r="T1137">
        <f>HYPERLINK("https://klasma.github.io/Logging_2309/kartor/A 48863-2020 karta.png", "A 48863-2020")</f>
        <v/>
      </c>
      <c r="V1137">
        <f>HYPERLINK("https://klasma.github.io/Logging_2309/klagomål/A 48863-2020 FSC-klagomål.docx", "A 48863-2020")</f>
        <v/>
      </c>
      <c r="W1137">
        <f>HYPERLINK("https://klasma.github.io/Logging_2309/klagomålsmail/A 48863-2020 FSC-klagomål mail.docx", "A 48863-2020")</f>
        <v/>
      </c>
      <c r="X1137">
        <f>HYPERLINK("https://klasma.github.io/Logging_2309/tillsyn/A 48863-2020 tillsynsbegäran.docx", "A 48863-2020")</f>
        <v/>
      </c>
      <c r="Y1137">
        <f>HYPERLINK("https://klasma.github.io/Logging_2309/tillsynsmail/A 48863-2020 tillsynsbegäran mail.docx", "A 48863-2020")</f>
        <v/>
      </c>
    </row>
    <row r="1138" ht="15" customHeight="1">
      <c r="A1138" t="inlineStr">
        <is>
          <t>A 51387-2020</t>
        </is>
      </c>
      <c r="B1138" s="1" t="n">
        <v>44113</v>
      </c>
      <c r="C1138" s="1" t="n">
        <v>45363</v>
      </c>
      <c r="D1138" t="inlineStr">
        <is>
          <t>JÄMTLANDS LÄN</t>
        </is>
      </c>
      <c r="E1138" t="inlineStr">
        <is>
          <t>HÄRJEDALEN</t>
        </is>
      </c>
      <c r="G1138" t="n">
        <v>1</v>
      </c>
      <c r="H1138" t="n">
        <v>0</v>
      </c>
      <c r="I1138" t="n">
        <v>0</v>
      </c>
      <c r="J1138" t="n">
        <v>0</v>
      </c>
      <c r="K1138" t="n">
        <v>1</v>
      </c>
      <c r="L1138" t="n">
        <v>0</v>
      </c>
      <c r="M1138" t="n">
        <v>0</v>
      </c>
      <c r="N1138" t="n">
        <v>0</v>
      </c>
      <c r="O1138" t="n">
        <v>1</v>
      </c>
      <c r="P1138" t="n">
        <v>1</v>
      </c>
      <c r="Q1138" t="n">
        <v>1</v>
      </c>
      <c r="R1138" s="2" t="inlineStr">
        <is>
          <t>Goliatmusseron</t>
        </is>
      </c>
      <c r="S1138">
        <f>HYPERLINK("https://klasma.github.io/Logging_2361/artfynd/A 51387-2020 artfynd.xlsx", "A 51387-2020")</f>
        <v/>
      </c>
      <c r="T1138">
        <f>HYPERLINK("https://klasma.github.io/Logging_2361/kartor/A 51387-2020 karta.png", "A 51387-2020")</f>
        <v/>
      </c>
      <c r="V1138">
        <f>HYPERLINK("https://klasma.github.io/Logging_2361/klagomål/A 51387-2020 FSC-klagomål.docx", "A 51387-2020")</f>
        <v/>
      </c>
      <c r="W1138">
        <f>HYPERLINK("https://klasma.github.io/Logging_2361/klagomålsmail/A 51387-2020 FSC-klagomål mail.docx", "A 51387-2020")</f>
        <v/>
      </c>
      <c r="X1138">
        <f>HYPERLINK("https://klasma.github.io/Logging_2361/tillsyn/A 51387-2020 tillsynsbegäran.docx", "A 51387-2020")</f>
        <v/>
      </c>
      <c r="Y1138">
        <f>HYPERLINK("https://klasma.github.io/Logging_2361/tillsynsmail/A 51387-2020 tillsynsbegäran mail.docx", "A 51387-2020")</f>
        <v/>
      </c>
    </row>
    <row r="1139" ht="15" customHeight="1">
      <c r="A1139" t="inlineStr">
        <is>
          <t>A 52542-2020</t>
        </is>
      </c>
      <c r="B1139" s="1" t="n">
        <v>44116</v>
      </c>
      <c r="C1139" s="1" t="n">
        <v>45363</v>
      </c>
      <c r="D1139" t="inlineStr">
        <is>
          <t>JÄMTLANDS LÄN</t>
        </is>
      </c>
      <c r="E1139" t="inlineStr">
        <is>
          <t>ÅRE</t>
        </is>
      </c>
      <c r="G1139" t="n">
        <v>5.5</v>
      </c>
      <c r="H1139" t="n">
        <v>0</v>
      </c>
      <c r="I1139" t="n">
        <v>0</v>
      </c>
      <c r="J1139" t="n">
        <v>1</v>
      </c>
      <c r="K1139" t="n">
        <v>0</v>
      </c>
      <c r="L1139" t="n">
        <v>0</v>
      </c>
      <c r="M1139" t="n">
        <v>0</v>
      </c>
      <c r="N1139" t="n">
        <v>0</v>
      </c>
      <c r="O1139" t="n">
        <v>1</v>
      </c>
      <c r="P1139" t="n">
        <v>0</v>
      </c>
      <c r="Q1139" t="n">
        <v>1</v>
      </c>
      <c r="R1139" s="2" t="inlineStr">
        <is>
          <t>Skrovellav</t>
        </is>
      </c>
      <c r="S1139">
        <f>HYPERLINK("https://klasma.github.io/Logging_2321/artfynd/A 52542-2020 artfynd.xlsx", "A 52542-2020")</f>
        <v/>
      </c>
      <c r="T1139">
        <f>HYPERLINK("https://klasma.github.io/Logging_2321/kartor/A 52542-2020 karta.png", "A 52542-2020")</f>
        <v/>
      </c>
      <c r="V1139">
        <f>HYPERLINK("https://klasma.github.io/Logging_2321/klagomål/A 52542-2020 FSC-klagomål.docx", "A 52542-2020")</f>
        <v/>
      </c>
      <c r="W1139">
        <f>HYPERLINK("https://klasma.github.io/Logging_2321/klagomålsmail/A 52542-2020 FSC-klagomål mail.docx", "A 52542-2020")</f>
        <v/>
      </c>
      <c r="X1139">
        <f>HYPERLINK("https://klasma.github.io/Logging_2321/tillsyn/A 52542-2020 tillsynsbegäran.docx", "A 52542-2020")</f>
        <v/>
      </c>
      <c r="Y1139">
        <f>HYPERLINK("https://klasma.github.io/Logging_2321/tillsynsmail/A 52542-2020 tillsynsbegäran mail.docx", "A 52542-2020")</f>
        <v/>
      </c>
    </row>
    <row r="1140" ht="15" customHeight="1">
      <c r="A1140" t="inlineStr">
        <is>
          <t>A 52898-2020</t>
        </is>
      </c>
      <c r="B1140" s="1" t="n">
        <v>44119</v>
      </c>
      <c r="C1140" s="1" t="n">
        <v>45363</v>
      </c>
      <c r="D1140" t="inlineStr">
        <is>
          <t>JÄMTLANDS LÄN</t>
        </is>
      </c>
      <c r="E1140" t="inlineStr">
        <is>
          <t>RAGUNDA</t>
        </is>
      </c>
      <c r="G1140" t="n">
        <v>1.4</v>
      </c>
      <c r="H1140" t="n">
        <v>1</v>
      </c>
      <c r="I1140" t="n">
        <v>0</v>
      </c>
      <c r="J1140" t="n">
        <v>0</v>
      </c>
      <c r="K1140" t="n">
        <v>0</v>
      </c>
      <c r="L1140" t="n">
        <v>0</v>
      </c>
      <c r="M1140" t="n">
        <v>0</v>
      </c>
      <c r="N1140" t="n">
        <v>0</v>
      </c>
      <c r="O1140" t="n">
        <v>0</v>
      </c>
      <c r="P1140" t="n">
        <v>0</v>
      </c>
      <c r="Q1140" t="n">
        <v>1</v>
      </c>
      <c r="R1140" s="2" t="inlineStr">
        <is>
          <t>Revlummer</t>
        </is>
      </c>
      <c r="S1140">
        <f>HYPERLINK("https://klasma.github.io/Logging_2303/artfynd/A 52898-2020 artfynd.xlsx", "A 52898-2020")</f>
        <v/>
      </c>
      <c r="T1140">
        <f>HYPERLINK("https://klasma.github.io/Logging_2303/kartor/A 52898-2020 karta.png", "A 52898-2020")</f>
        <v/>
      </c>
      <c r="V1140">
        <f>HYPERLINK("https://klasma.github.io/Logging_2303/klagomål/A 52898-2020 FSC-klagomål.docx", "A 52898-2020")</f>
        <v/>
      </c>
      <c r="W1140">
        <f>HYPERLINK("https://klasma.github.io/Logging_2303/klagomålsmail/A 52898-2020 FSC-klagomål mail.docx", "A 52898-2020")</f>
        <v/>
      </c>
      <c r="X1140">
        <f>HYPERLINK("https://klasma.github.io/Logging_2303/tillsyn/A 52898-2020 tillsynsbegäran.docx", "A 52898-2020")</f>
        <v/>
      </c>
      <c r="Y1140">
        <f>HYPERLINK("https://klasma.github.io/Logging_2303/tillsynsmail/A 52898-2020 tillsynsbegäran mail.docx", "A 52898-2020")</f>
        <v/>
      </c>
    </row>
    <row r="1141" ht="15" customHeight="1">
      <c r="A1141" t="inlineStr">
        <is>
          <t>A 53035-2020</t>
        </is>
      </c>
      <c r="B1141" s="1" t="n">
        <v>44120</v>
      </c>
      <c r="C1141" s="1" t="n">
        <v>45363</v>
      </c>
      <c r="D1141" t="inlineStr">
        <is>
          <t>JÄMTLANDS LÄN</t>
        </is>
      </c>
      <c r="E1141" t="inlineStr">
        <is>
          <t>STRÖMSUND</t>
        </is>
      </c>
      <c r="F1141" t="inlineStr">
        <is>
          <t>Holmen skog AB</t>
        </is>
      </c>
      <c r="G1141" t="n">
        <v>4.1</v>
      </c>
      <c r="H1141" t="n">
        <v>0</v>
      </c>
      <c r="I1141" t="n">
        <v>0</v>
      </c>
      <c r="J1141" t="n">
        <v>1</v>
      </c>
      <c r="K1141" t="n">
        <v>0</v>
      </c>
      <c r="L1141" t="n">
        <v>0</v>
      </c>
      <c r="M1141" t="n">
        <v>0</v>
      </c>
      <c r="N1141" t="n">
        <v>0</v>
      </c>
      <c r="O1141" t="n">
        <v>1</v>
      </c>
      <c r="P1141" t="n">
        <v>0</v>
      </c>
      <c r="Q1141" t="n">
        <v>1</v>
      </c>
      <c r="R1141" s="2" t="inlineStr">
        <is>
          <t>Skrovellav</t>
        </is>
      </c>
      <c r="S1141">
        <f>HYPERLINK("https://klasma.github.io/Logging_2313/artfynd/A 53035-2020 artfynd.xlsx", "A 53035-2020")</f>
        <v/>
      </c>
      <c r="T1141">
        <f>HYPERLINK("https://klasma.github.io/Logging_2313/kartor/A 53035-2020 karta.png", "A 53035-2020")</f>
        <v/>
      </c>
      <c r="V1141">
        <f>HYPERLINK("https://klasma.github.io/Logging_2313/klagomål/A 53035-2020 FSC-klagomål.docx", "A 53035-2020")</f>
        <v/>
      </c>
      <c r="W1141">
        <f>HYPERLINK("https://klasma.github.io/Logging_2313/klagomålsmail/A 53035-2020 FSC-klagomål mail.docx", "A 53035-2020")</f>
        <v/>
      </c>
      <c r="X1141">
        <f>HYPERLINK("https://klasma.github.io/Logging_2313/tillsyn/A 53035-2020 tillsynsbegäran.docx", "A 53035-2020")</f>
        <v/>
      </c>
      <c r="Y1141">
        <f>HYPERLINK("https://klasma.github.io/Logging_2313/tillsynsmail/A 53035-2020 tillsynsbegäran mail.docx", "A 53035-2020")</f>
        <v/>
      </c>
    </row>
    <row r="1142" ht="15" customHeight="1">
      <c r="A1142" t="inlineStr">
        <is>
          <t>A 53598-2020</t>
        </is>
      </c>
      <c r="B1142" s="1" t="n">
        <v>44124</v>
      </c>
      <c r="C1142" s="1" t="n">
        <v>45363</v>
      </c>
      <c r="D1142" t="inlineStr">
        <is>
          <t>JÄMTLANDS LÄN</t>
        </is>
      </c>
      <c r="E1142" t="inlineStr">
        <is>
          <t>ÅRE</t>
        </is>
      </c>
      <c r="G1142" t="n">
        <v>11.7</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HYPERLINK("https://klasma.github.io/Logging_2321/artfynd/A 53598-2020 artfynd.xlsx", "A 53598-2020")</f>
        <v/>
      </c>
      <c r="T1142">
        <f>HYPERLINK("https://klasma.github.io/Logging_2321/kartor/A 53598-2020 karta.png", "A 53598-2020")</f>
        <v/>
      </c>
      <c r="V1142">
        <f>HYPERLINK("https://klasma.github.io/Logging_2321/klagomål/A 53598-2020 FSC-klagomål.docx", "A 53598-2020")</f>
        <v/>
      </c>
      <c r="W1142">
        <f>HYPERLINK("https://klasma.github.io/Logging_2321/klagomålsmail/A 53598-2020 FSC-klagomål mail.docx", "A 53598-2020")</f>
        <v/>
      </c>
      <c r="X1142">
        <f>HYPERLINK("https://klasma.github.io/Logging_2321/tillsyn/A 53598-2020 tillsynsbegäran.docx", "A 53598-2020")</f>
        <v/>
      </c>
      <c r="Y1142">
        <f>HYPERLINK("https://klasma.github.io/Logging_2321/tillsynsmail/A 53598-2020 tillsynsbegäran mail.docx", "A 53598-2020")</f>
        <v/>
      </c>
      <c r="Z1142">
        <f>HYPERLINK("https://klasma.github.io/Logging_2321/fåglar/A 53598-2020 prioriterade fågelarter.docx", "A 53598-2020")</f>
        <v/>
      </c>
    </row>
    <row r="1143" ht="15" customHeight="1">
      <c r="A1143" t="inlineStr">
        <is>
          <t>A 54372-2020</t>
        </is>
      </c>
      <c r="B1143" s="1" t="n">
        <v>44126</v>
      </c>
      <c r="C1143" s="1" t="n">
        <v>45363</v>
      </c>
      <c r="D1143" t="inlineStr">
        <is>
          <t>JÄMTLANDS LÄN</t>
        </is>
      </c>
      <c r="E1143" t="inlineStr">
        <is>
          <t>STRÖMSUND</t>
        </is>
      </c>
      <c r="F1143" t="inlineStr">
        <is>
          <t>Holmen skog AB</t>
        </is>
      </c>
      <c r="G1143" t="n">
        <v>5.1</v>
      </c>
      <c r="H1143" t="n">
        <v>0</v>
      </c>
      <c r="I1143" t="n">
        <v>0</v>
      </c>
      <c r="J1143" t="n">
        <v>1</v>
      </c>
      <c r="K1143" t="n">
        <v>0</v>
      </c>
      <c r="L1143" t="n">
        <v>0</v>
      </c>
      <c r="M1143" t="n">
        <v>0</v>
      </c>
      <c r="N1143" t="n">
        <v>0</v>
      </c>
      <c r="O1143" t="n">
        <v>1</v>
      </c>
      <c r="P1143" t="n">
        <v>0</v>
      </c>
      <c r="Q1143" t="n">
        <v>1</v>
      </c>
      <c r="R1143" s="2" t="inlineStr">
        <is>
          <t>Reliktbock</t>
        </is>
      </c>
      <c r="S1143">
        <f>HYPERLINK("https://klasma.github.io/Logging_2313/artfynd/A 54372-2020 artfynd.xlsx", "A 54372-2020")</f>
        <v/>
      </c>
      <c r="T1143">
        <f>HYPERLINK("https://klasma.github.io/Logging_2313/kartor/A 54372-2020 karta.png", "A 54372-2020")</f>
        <v/>
      </c>
      <c r="V1143">
        <f>HYPERLINK("https://klasma.github.io/Logging_2313/klagomål/A 54372-2020 FSC-klagomål.docx", "A 54372-2020")</f>
        <v/>
      </c>
      <c r="W1143">
        <f>HYPERLINK("https://klasma.github.io/Logging_2313/klagomålsmail/A 54372-2020 FSC-klagomål mail.docx", "A 54372-2020")</f>
        <v/>
      </c>
      <c r="X1143">
        <f>HYPERLINK("https://klasma.github.io/Logging_2313/tillsyn/A 54372-2020 tillsynsbegäran.docx", "A 54372-2020")</f>
        <v/>
      </c>
      <c r="Y1143">
        <f>HYPERLINK("https://klasma.github.io/Logging_2313/tillsynsmail/A 54372-2020 tillsynsbegäran mail.docx", "A 54372-2020")</f>
        <v/>
      </c>
    </row>
    <row r="1144" ht="15" customHeight="1">
      <c r="A1144" t="inlineStr">
        <is>
          <t>A 54982-2020</t>
        </is>
      </c>
      <c r="B1144" s="1" t="n">
        <v>44130</v>
      </c>
      <c r="C1144" s="1" t="n">
        <v>45363</v>
      </c>
      <c r="D1144" t="inlineStr">
        <is>
          <t>JÄMTLANDS LÄN</t>
        </is>
      </c>
      <c r="E1144" t="inlineStr">
        <is>
          <t>STRÖMSUND</t>
        </is>
      </c>
      <c r="F1144" t="inlineStr">
        <is>
          <t>Holmen skog AB</t>
        </is>
      </c>
      <c r="G1144" t="n">
        <v>5.7</v>
      </c>
      <c r="H1144" t="n">
        <v>0</v>
      </c>
      <c r="I1144" t="n">
        <v>0</v>
      </c>
      <c r="J1144" t="n">
        <v>0</v>
      </c>
      <c r="K1144" t="n">
        <v>1</v>
      </c>
      <c r="L1144" t="n">
        <v>0</v>
      </c>
      <c r="M1144" t="n">
        <v>0</v>
      </c>
      <c r="N1144" t="n">
        <v>0</v>
      </c>
      <c r="O1144" t="n">
        <v>1</v>
      </c>
      <c r="P1144" t="n">
        <v>1</v>
      </c>
      <c r="Q1144" t="n">
        <v>1</v>
      </c>
      <c r="R1144" s="2" t="inlineStr">
        <is>
          <t>Norsk näverlav</t>
        </is>
      </c>
      <c r="S1144">
        <f>HYPERLINK("https://klasma.github.io/Logging_2313/artfynd/A 54982-2020 artfynd.xlsx", "A 54982-2020")</f>
        <v/>
      </c>
      <c r="T1144">
        <f>HYPERLINK("https://klasma.github.io/Logging_2313/kartor/A 54982-2020 karta.png", "A 54982-2020")</f>
        <v/>
      </c>
      <c r="V1144">
        <f>HYPERLINK("https://klasma.github.io/Logging_2313/klagomål/A 54982-2020 FSC-klagomål.docx", "A 54982-2020")</f>
        <v/>
      </c>
      <c r="W1144">
        <f>HYPERLINK("https://klasma.github.io/Logging_2313/klagomålsmail/A 54982-2020 FSC-klagomål mail.docx", "A 54982-2020")</f>
        <v/>
      </c>
      <c r="X1144">
        <f>HYPERLINK("https://klasma.github.io/Logging_2313/tillsyn/A 54982-2020 tillsynsbegäran.docx", "A 54982-2020")</f>
        <v/>
      </c>
      <c r="Y1144">
        <f>HYPERLINK("https://klasma.github.io/Logging_2313/tillsynsmail/A 54982-2020 tillsynsbegäran mail.docx", "A 54982-2020")</f>
        <v/>
      </c>
    </row>
    <row r="1145" ht="15" customHeight="1">
      <c r="A1145" t="inlineStr">
        <is>
          <t>A 56202-2020</t>
        </is>
      </c>
      <c r="B1145" s="1" t="n">
        <v>44133</v>
      </c>
      <c r="C1145" s="1" t="n">
        <v>45363</v>
      </c>
      <c r="D1145" t="inlineStr">
        <is>
          <t>JÄMTLANDS LÄN</t>
        </is>
      </c>
      <c r="E1145" t="inlineStr">
        <is>
          <t>KROKOM</t>
        </is>
      </c>
      <c r="G1145" t="n">
        <v>0.2</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HYPERLINK("https://klasma.github.io/Logging_2309/artfynd/A 56202-2020 artfynd.xlsx", "A 56202-2020")</f>
        <v/>
      </c>
      <c r="T1145">
        <f>HYPERLINK("https://klasma.github.io/Logging_2309/kartor/A 56202-2020 karta.png", "A 56202-2020")</f>
        <v/>
      </c>
      <c r="V1145">
        <f>HYPERLINK("https://klasma.github.io/Logging_2309/klagomål/A 56202-2020 FSC-klagomål.docx", "A 56202-2020")</f>
        <v/>
      </c>
      <c r="W1145">
        <f>HYPERLINK("https://klasma.github.io/Logging_2309/klagomålsmail/A 56202-2020 FSC-klagomål mail.docx", "A 56202-2020")</f>
        <v/>
      </c>
      <c r="X1145">
        <f>HYPERLINK("https://klasma.github.io/Logging_2309/tillsyn/A 56202-2020 tillsynsbegäran.docx", "A 56202-2020")</f>
        <v/>
      </c>
      <c r="Y1145">
        <f>HYPERLINK("https://klasma.github.io/Logging_2309/tillsynsmail/A 56202-2020 tillsynsbegäran mail.docx", "A 56202-2020")</f>
        <v/>
      </c>
      <c r="Z1145">
        <f>HYPERLINK("https://klasma.github.io/Logging_2309/fåglar/A 56202-2020 prioriterade fågelarter.docx", "A 56202-2020")</f>
        <v/>
      </c>
    </row>
    <row r="1146" ht="15" customHeight="1">
      <c r="A1146" t="inlineStr">
        <is>
          <t>A 58560-2020</t>
        </is>
      </c>
      <c r="B1146" s="1" t="n">
        <v>44145</v>
      </c>
      <c r="C1146" s="1" t="n">
        <v>45363</v>
      </c>
      <c r="D1146" t="inlineStr">
        <is>
          <t>JÄMTLANDS LÄN</t>
        </is>
      </c>
      <c r="E1146" t="inlineStr">
        <is>
          <t>STRÖMSUND</t>
        </is>
      </c>
      <c r="F1146" t="inlineStr">
        <is>
          <t>Holmen skog AB</t>
        </is>
      </c>
      <c r="G1146" t="n">
        <v>17.7</v>
      </c>
      <c r="H1146" t="n">
        <v>0</v>
      </c>
      <c r="I1146" t="n">
        <v>0</v>
      </c>
      <c r="J1146" t="n">
        <v>0</v>
      </c>
      <c r="K1146" t="n">
        <v>1</v>
      </c>
      <c r="L1146" t="n">
        <v>0</v>
      </c>
      <c r="M1146" t="n">
        <v>0</v>
      </c>
      <c r="N1146" t="n">
        <v>0</v>
      </c>
      <c r="O1146" t="n">
        <v>1</v>
      </c>
      <c r="P1146" t="n">
        <v>1</v>
      </c>
      <c r="Q1146" t="n">
        <v>1</v>
      </c>
      <c r="R1146" s="2" t="inlineStr">
        <is>
          <t>Smalskaftslav</t>
        </is>
      </c>
      <c r="S1146">
        <f>HYPERLINK("https://klasma.github.io/Logging_2313/artfynd/A 58560-2020 artfynd.xlsx", "A 58560-2020")</f>
        <v/>
      </c>
      <c r="T1146">
        <f>HYPERLINK("https://klasma.github.io/Logging_2313/kartor/A 58560-2020 karta.png", "A 58560-2020")</f>
        <v/>
      </c>
      <c r="V1146">
        <f>HYPERLINK("https://klasma.github.io/Logging_2313/klagomål/A 58560-2020 FSC-klagomål.docx", "A 58560-2020")</f>
        <v/>
      </c>
      <c r="W1146">
        <f>HYPERLINK("https://klasma.github.io/Logging_2313/klagomålsmail/A 58560-2020 FSC-klagomål mail.docx", "A 58560-2020")</f>
        <v/>
      </c>
      <c r="X1146">
        <f>HYPERLINK("https://klasma.github.io/Logging_2313/tillsyn/A 58560-2020 tillsynsbegäran.docx", "A 58560-2020")</f>
        <v/>
      </c>
      <c r="Y1146">
        <f>HYPERLINK("https://klasma.github.io/Logging_2313/tillsynsmail/A 58560-2020 tillsynsbegäran mail.docx", "A 58560-2020")</f>
        <v/>
      </c>
    </row>
    <row r="1147" ht="15" customHeight="1">
      <c r="A1147" t="inlineStr">
        <is>
          <t>A 60051-2020</t>
        </is>
      </c>
      <c r="B1147" s="1" t="n">
        <v>44151</v>
      </c>
      <c r="C1147" s="1" t="n">
        <v>45363</v>
      </c>
      <c r="D1147" t="inlineStr">
        <is>
          <t>JÄMTLANDS LÄN</t>
        </is>
      </c>
      <c r="E1147" t="inlineStr">
        <is>
          <t>BRÄCKE</t>
        </is>
      </c>
      <c r="F1147" t="inlineStr">
        <is>
          <t>SCA</t>
        </is>
      </c>
      <c r="G1147" t="n">
        <v>9.300000000000001</v>
      </c>
      <c r="H1147" t="n">
        <v>0</v>
      </c>
      <c r="I1147" t="n">
        <v>0</v>
      </c>
      <c r="J1147" t="n">
        <v>1</v>
      </c>
      <c r="K1147" t="n">
        <v>0</v>
      </c>
      <c r="L1147" t="n">
        <v>0</v>
      </c>
      <c r="M1147" t="n">
        <v>0</v>
      </c>
      <c r="N1147" t="n">
        <v>0</v>
      </c>
      <c r="O1147" t="n">
        <v>1</v>
      </c>
      <c r="P1147" t="n">
        <v>0</v>
      </c>
      <c r="Q1147" t="n">
        <v>1</v>
      </c>
      <c r="R1147" s="2" t="inlineStr">
        <is>
          <t>Lunglav</t>
        </is>
      </c>
      <c r="S1147">
        <f>HYPERLINK("https://klasma.github.io/Logging_2305/artfynd/A 60051-2020 artfynd.xlsx", "A 60051-2020")</f>
        <v/>
      </c>
      <c r="T1147">
        <f>HYPERLINK("https://klasma.github.io/Logging_2305/kartor/A 60051-2020 karta.png", "A 60051-2020")</f>
        <v/>
      </c>
      <c r="V1147">
        <f>HYPERLINK("https://klasma.github.io/Logging_2305/klagomål/A 60051-2020 FSC-klagomål.docx", "A 60051-2020")</f>
        <v/>
      </c>
      <c r="W1147">
        <f>HYPERLINK("https://klasma.github.io/Logging_2305/klagomålsmail/A 60051-2020 FSC-klagomål mail.docx", "A 60051-2020")</f>
        <v/>
      </c>
      <c r="X1147">
        <f>HYPERLINK("https://klasma.github.io/Logging_2305/tillsyn/A 60051-2020 tillsynsbegäran.docx", "A 60051-2020")</f>
        <v/>
      </c>
      <c r="Y1147">
        <f>HYPERLINK("https://klasma.github.io/Logging_2305/tillsynsmail/A 60051-2020 tillsynsbegäran mail.docx", "A 60051-2020")</f>
        <v/>
      </c>
    </row>
    <row r="1148" ht="15" customHeight="1">
      <c r="A1148" t="inlineStr">
        <is>
          <t>A 61054-2020</t>
        </is>
      </c>
      <c r="B1148" s="1" t="n">
        <v>44154</v>
      </c>
      <c r="C1148" s="1" t="n">
        <v>45363</v>
      </c>
      <c r="D1148" t="inlineStr">
        <is>
          <t>JÄMTLANDS LÄN</t>
        </is>
      </c>
      <c r="E1148" t="inlineStr">
        <is>
          <t>KROKOM</t>
        </is>
      </c>
      <c r="F1148" t="inlineStr">
        <is>
          <t>Övriga Aktiebolag</t>
        </is>
      </c>
      <c r="G1148" t="n">
        <v>1.2</v>
      </c>
      <c r="H1148" t="n">
        <v>1</v>
      </c>
      <c r="I1148" t="n">
        <v>1</v>
      </c>
      <c r="J1148" t="n">
        <v>0</v>
      </c>
      <c r="K1148" t="n">
        <v>0</v>
      </c>
      <c r="L1148" t="n">
        <v>0</v>
      </c>
      <c r="M1148" t="n">
        <v>0</v>
      </c>
      <c r="N1148" t="n">
        <v>0</v>
      </c>
      <c r="O1148" t="n">
        <v>0</v>
      </c>
      <c r="P1148" t="n">
        <v>0</v>
      </c>
      <c r="Q1148" t="n">
        <v>1</v>
      </c>
      <c r="R1148" s="2" t="inlineStr">
        <is>
          <t>Korallrot</t>
        </is>
      </c>
      <c r="S1148">
        <f>HYPERLINK("https://klasma.github.io/Logging_2309/artfynd/A 61054-2020 artfynd.xlsx", "A 61054-2020")</f>
        <v/>
      </c>
      <c r="T1148">
        <f>HYPERLINK("https://klasma.github.io/Logging_2309/kartor/A 61054-2020 karta.png", "A 61054-2020")</f>
        <v/>
      </c>
      <c r="V1148">
        <f>HYPERLINK("https://klasma.github.io/Logging_2309/klagomål/A 61054-2020 FSC-klagomål.docx", "A 61054-2020")</f>
        <v/>
      </c>
      <c r="W1148">
        <f>HYPERLINK("https://klasma.github.io/Logging_2309/klagomålsmail/A 61054-2020 FSC-klagomål mail.docx", "A 61054-2020")</f>
        <v/>
      </c>
      <c r="X1148">
        <f>HYPERLINK("https://klasma.github.io/Logging_2309/tillsyn/A 61054-2020 tillsynsbegäran.docx", "A 61054-2020")</f>
        <v/>
      </c>
      <c r="Y1148">
        <f>HYPERLINK("https://klasma.github.io/Logging_2309/tillsynsmail/A 61054-2020 tillsynsbegäran mail.docx", "A 61054-2020")</f>
        <v/>
      </c>
    </row>
    <row r="1149" ht="15" customHeight="1">
      <c r="A1149" t="inlineStr">
        <is>
          <t>A 63775-2020</t>
        </is>
      </c>
      <c r="B1149" s="1" t="n">
        <v>44165</v>
      </c>
      <c r="C1149" s="1" t="n">
        <v>45363</v>
      </c>
      <c r="D1149" t="inlineStr">
        <is>
          <t>JÄMTLANDS LÄN</t>
        </is>
      </c>
      <c r="E1149" t="inlineStr">
        <is>
          <t>ÖSTERSUND</t>
        </is>
      </c>
      <c r="G1149" t="n">
        <v>6.2</v>
      </c>
      <c r="H1149" t="n">
        <v>1</v>
      </c>
      <c r="I1149" t="n">
        <v>0</v>
      </c>
      <c r="J1149" t="n">
        <v>0</v>
      </c>
      <c r="K1149" t="n">
        <v>0</v>
      </c>
      <c r="L1149" t="n">
        <v>0</v>
      </c>
      <c r="M1149" t="n">
        <v>0</v>
      </c>
      <c r="N1149" t="n">
        <v>0</v>
      </c>
      <c r="O1149" t="n">
        <v>0</v>
      </c>
      <c r="P1149" t="n">
        <v>0</v>
      </c>
      <c r="Q1149" t="n">
        <v>1</v>
      </c>
      <c r="R1149" s="2" t="inlineStr">
        <is>
          <t>Fläcknycklar</t>
        </is>
      </c>
      <c r="S1149">
        <f>HYPERLINK("https://klasma.github.io/Logging_2380/artfynd/A 63775-2020 artfynd.xlsx", "A 63775-2020")</f>
        <v/>
      </c>
      <c r="T1149">
        <f>HYPERLINK("https://klasma.github.io/Logging_2380/kartor/A 63775-2020 karta.png", "A 63775-2020")</f>
        <v/>
      </c>
      <c r="V1149">
        <f>HYPERLINK("https://klasma.github.io/Logging_2380/klagomål/A 63775-2020 FSC-klagomål.docx", "A 63775-2020")</f>
        <v/>
      </c>
      <c r="W1149">
        <f>HYPERLINK("https://klasma.github.io/Logging_2380/klagomålsmail/A 63775-2020 FSC-klagomål mail.docx", "A 63775-2020")</f>
        <v/>
      </c>
      <c r="X1149">
        <f>HYPERLINK("https://klasma.github.io/Logging_2380/tillsyn/A 63775-2020 tillsynsbegäran.docx", "A 63775-2020")</f>
        <v/>
      </c>
      <c r="Y1149">
        <f>HYPERLINK("https://klasma.github.io/Logging_2380/tillsynsmail/A 63775-2020 tillsynsbegäran mail.docx", "A 63775-2020")</f>
        <v/>
      </c>
    </row>
    <row r="1150" ht="15" customHeight="1">
      <c r="A1150" t="inlineStr">
        <is>
          <t>A 64363-2020</t>
        </is>
      </c>
      <c r="B1150" s="1" t="n">
        <v>44166</v>
      </c>
      <c r="C1150" s="1" t="n">
        <v>45363</v>
      </c>
      <c r="D1150" t="inlineStr">
        <is>
          <t>JÄMTLANDS LÄN</t>
        </is>
      </c>
      <c r="E1150" t="inlineStr">
        <is>
          <t>RAGUNDA</t>
        </is>
      </c>
      <c r="G1150" t="n">
        <v>4.5</v>
      </c>
      <c r="H1150" t="n">
        <v>1</v>
      </c>
      <c r="I1150" t="n">
        <v>0</v>
      </c>
      <c r="J1150" t="n">
        <v>0</v>
      </c>
      <c r="K1150" t="n">
        <v>1</v>
      </c>
      <c r="L1150" t="n">
        <v>0</v>
      </c>
      <c r="M1150" t="n">
        <v>0</v>
      </c>
      <c r="N1150" t="n">
        <v>0</v>
      </c>
      <c r="O1150" t="n">
        <v>1</v>
      </c>
      <c r="P1150" t="n">
        <v>1</v>
      </c>
      <c r="Q1150" t="n">
        <v>1</v>
      </c>
      <c r="R1150" s="2" t="inlineStr">
        <is>
          <t>Bombmurkla</t>
        </is>
      </c>
      <c r="S1150">
        <f>HYPERLINK("https://klasma.github.io/Logging_2303/artfynd/A 64363-2020 artfynd.xlsx", "A 64363-2020")</f>
        <v/>
      </c>
      <c r="T1150">
        <f>HYPERLINK("https://klasma.github.io/Logging_2303/kartor/A 64363-2020 karta.png", "A 64363-2020")</f>
        <v/>
      </c>
      <c r="V1150">
        <f>HYPERLINK("https://klasma.github.io/Logging_2303/klagomål/A 64363-2020 FSC-klagomål.docx", "A 64363-2020")</f>
        <v/>
      </c>
      <c r="W1150">
        <f>HYPERLINK("https://klasma.github.io/Logging_2303/klagomålsmail/A 64363-2020 FSC-klagomål mail.docx", "A 64363-2020")</f>
        <v/>
      </c>
      <c r="X1150">
        <f>HYPERLINK("https://klasma.github.io/Logging_2303/tillsyn/A 64363-2020 tillsynsbegäran.docx", "A 64363-2020")</f>
        <v/>
      </c>
      <c r="Y1150">
        <f>HYPERLINK("https://klasma.github.io/Logging_2303/tillsynsmail/A 64363-2020 tillsynsbegäran mail.docx", "A 64363-2020")</f>
        <v/>
      </c>
    </row>
    <row r="1151" ht="15" customHeight="1">
      <c r="A1151" t="inlineStr">
        <is>
          <t>A 64823-2020</t>
        </is>
      </c>
      <c r="B1151" s="1" t="n">
        <v>44169</v>
      </c>
      <c r="C1151" s="1" t="n">
        <v>45363</v>
      </c>
      <c r="D1151" t="inlineStr">
        <is>
          <t>JÄMTLANDS LÄN</t>
        </is>
      </c>
      <c r="E1151" t="inlineStr">
        <is>
          <t>STRÖMSUND</t>
        </is>
      </c>
      <c r="F1151" t="inlineStr">
        <is>
          <t>SCA</t>
        </is>
      </c>
      <c r="G1151" t="n">
        <v>11.3</v>
      </c>
      <c r="H1151" t="n">
        <v>1</v>
      </c>
      <c r="I1151" t="n">
        <v>0</v>
      </c>
      <c r="J1151" t="n">
        <v>0</v>
      </c>
      <c r="K1151" t="n">
        <v>1</v>
      </c>
      <c r="L1151" t="n">
        <v>0</v>
      </c>
      <c r="M1151" t="n">
        <v>0</v>
      </c>
      <c r="N1151" t="n">
        <v>0</v>
      </c>
      <c r="O1151" t="n">
        <v>1</v>
      </c>
      <c r="P1151" t="n">
        <v>1</v>
      </c>
      <c r="Q1151" t="n">
        <v>1</v>
      </c>
      <c r="R1151" s="2" t="inlineStr">
        <is>
          <t>Knärot</t>
        </is>
      </c>
      <c r="S1151">
        <f>HYPERLINK("https://klasma.github.io/Logging_2313/artfynd/A 64823-2020 artfynd.xlsx", "A 64823-2020")</f>
        <v/>
      </c>
      <c r="T1151">
        <f>HYPERLINK("https://klasma.github.io/Logging_2313/kartor/A 64823-2020 karta.png", "A 64823-2020")</f>
        <v/>
      </c>
      <c r="U1151">
        <f>HYPERLINK("https://klasma.github.io/Logging_2313/knärot/A 64823-2020 karta knärot.png", "A 64823-2020")</f>
        <v/>
      </c>
      <c r="V1151">
        <f>HYPERLINK("https://klasma.github.io/Logging_2313/klagomål/A 64823-2020 FSC-klagomål.docx", "A 64823-2020")</f>
        <v/>
      </c>
      <c r="W1151">
        <f>HYPERLINK("https://klasma.github.io/Logging_2313/klagomålsmail/A 64823-2020 FSC-klagomål mail.docx", "A 64823-2020")</f>
        <v/>
      </c>
      <c r="X1151">
        <f>HYPERLINK("https://klasma.github.io/Logging_2313/tillsyn/A 64823-2020 tillsynsbegäran.docx", "A 64823-2020")</f>
        <v/>
      </c>
      <c r="Y1151">
        <f>HYPERLINK("https://klasma.github.io/Logging_2313/tillsynsmail/A 64823-2020 tillsynsbegäran mail.docx", "A 64823-2020")</f>
        <v/>
      </c>
    </row>
    <row r="1152" ht="15" customHeight="1">
      <c r="A1152" t="inlineStr">
        <is>
          <t>A 64791-2020</t>
        </is>
      </c>
      <c r="B1152" s="1" t="n">
        <v>44169</v>
      </c>
      <c r="C1152" s="1" t="n">
        <v>45363</v>
      </c>
      <c r="D1152" t="inlineStr">
        <is>
          <t>JÄMTLANDS LÄN</t>
        </is>
      </c>
      <c r="E1152" t="inlineStr">
        <is>
          <t>STRÖMSUND</t>
        </is>
      </c>
      <c r="G1152" t="n">
        <v>3.1</v>
      </c>
      <c r="H1152" t="n">
        <v>1</v>
      </c>
      <c r="I1152" t="n">
        <v>0</v>
      </c>
      <c r="J1152" t="n">
        <v>0</v>
      </c>
      <c r="K1152" t="n">
        <v>0</v>
      </c>
      <c r="L1152" t="n">
        <v>0</v>
      </c>
      <c r="M1152" t="n">
        <v>0</v>
      </c>
      <c r="N1152" t="n">
        <v>0</v>
      </c>
      <c r="O1152" t="n">
        <v>0</v>
      </c>
      <c r="P1152" t="n">
        <v>0</v>
      </c>
      <c r="Q1152" t="n">
        <v>1</v>
      </c>
      <c r="R1152" s="2" t="inlineStr">
        <is>
          <t>Fläcknycklar</t>
        </is>
      </c>
      <c r="S1152">
        <f>HYPERLINK("https://klasma.github.io/Logging_2313/artfynd/A 64791-2020 artfynd.xlsx", "A 64791-2020")</f>
        <v/>
      </c>
      <c r="T1152">
        <f>HYPERLINK("https://klasma.github.io/Logging_2313/kartor/A 64791-2020 karta.png", "A 64791-2020")</f>
        <v/>
      </c>
      <c r="V1152">
        <f>HYPERLINK("https://klasma.github.io/Logging_2313/klagomål/A 64791-2020 FSC-klagomål.docx", "A 64791-2020")</f>
        <v/>
      </c>
      <c r="W1152">
        <f>HYPERLINK("https://klasma.github.io/Logging_2313/klagomålsmail/A 64791-2020 FSC-klagomål mail.docx", "A 64791-2020")</f>
        <v/>
      </c>
      <c r="X1152">
        <f>HYPERLINK("https://klasma.github.io/Logging_2313/tillsyn/A 64791-2020 tillsynsbegäran.docx", "A 64791-2020")</f>
        <v/>
      </c>
      <c r="Y1152">
        <f>HYPERLINK("https://klasma.github.io/Logging_2313/tillsynsmail/A 64791-2020 tillsynsbegäran mail.docx", "A 64791-2020")</f>
        <v/>
      </c>
    </row>
    <row r="1153" ht="15" customHeight="1">
      <c r="A1153" t="inlineStr">
        <is>
          <t>A 65517-2020</t>
        </is>
      </c>
      <c r="B1153" s="1" t="n">
        <v>44173</v>
      </c>
      <c r="C1153" s="1" t="n">
        <v>45363</v>
      </c>
      <c r="D1153" t="inlineStr">
        <is>
          <t>JÄMTLANDS LÄN</t>
        </is>
      </c>
      <c r="E1153" t="inlineStr">
        <is>
          <t>ÅRE</t>
        </is>
      </c>
      <c r="G1153" t="n">
        <v>4.6</v>
      </c>
      <c r="H1153" t="n">
        <v>0</v>
      </c>
      <c r="I1153" t="n">
        <v>0</v>
      </c>
      <c r="J1153" t="n">
        <v>1</v>
      </c>
      <c r="K1153" t="n">
        <v>0</v>
      </c>
      <c r="L1153" t="n">
        <v>0</v>
      </c>
      <c r="M1153" t="n">
        <v>0</v>
      </c>
      <c r="N1153" t="n">
        <v>0</v>
      </c>
      <c r="O1153" t="n">
        <v>1</v>
      </c>
      <c r="P1153" t="n">
        <v>0</v>
      </c>
      <c r="Q1153" t="n">
        <v>1</v>
      </c>
      <c r="R1153" s="2" t="inlineStr">
        <is>
          <t>Doftskinn</t>
        </is>
      </c>
      <c r="S1153">
        <f>HYPERLINK("https://klasma.github.io/Logging_2321/artfynd/A 65517-2020 artfynd.xlsx", "A 65517-2020")</f>
        <v/>
      </c>
      <c r="T1153">
        <f>HYPERLINK("https://klasma.github.io/Logging_2321/kartor/A 65517-2020 karta.png", "A 65517-2020")</f>
        <v/>
      </c>
      <c r="V1153">
        <f>HYPERLINK("https://klasma.github.io/Logging_2321/klagomål/A 65517-2020 FSC-klagomål.docx", "A 65517-2020")</f>
        <v/>
      </c>
      <c r="W1153">
        <f>HYPERLINK("https://klasma.github.io/Logging_2321/klagomålsmail/A 65517-2020 FSC-klagomål mail.docx", "A 65517-2020")</f>
        <v/>
      </c>
      <c r="X1153">
        <f>HYPERLINK("https://klasma.github.io/Logging_2321/tillsyn/A 65517-2020 tillsynsbegäran.docx", "A 65517-2020")</f>
        <v/>
      </c>
      <c r="Y1153">
        <f>HYPERLINK("https://klasma.github.io/Logging_2321/tillsynsmail/A 65517-2020 tillsynsbegäran mail.docx", "A 65517-2020")</f>
        <v/>
      </c>
    </row>
    <row r="1154" ht="15" customHeight="1">
      <c r="A1154" t="inlineStr">
        <is>
          <t>A 65446-2020</t>
        </is>
      </c>
      <c r="B1154" s="1" t="n">
        <v>44173</v>
      </c>
      <c r="C1154" s="1" t="n">
        <v>45363</v>
      </c>
      <c r="D1154" t="inlineStr">
        <is>
          <t>JÄMTLANDS LÄN</t>
        </is>
      </c>
      <c r="E1154" t="inlineStr">
        <is>
          <t>ÅRE</t>
        </is>
      </c>
      <c r="G1154" t="n">
        <v>7.2</v>
      </c>
      <c r="H1154" t="n">
        <v>0</v>
      </c>
      <c r="I1154" t="n">
        <v>0</v>
      </c>
      <c r="J1154" t="n">
        <v>1</v>
      </c>
      <c r="K1154" t="n">
        <v>0</v>
      </c>
      <c r="L1154" t="n">
        <v>0</v>
      </c>
      <c r="M1154" t="n">
        <v>0</v>
      </c>
      <c r="N1154" t="n">
        <v>0</v>
      </c>
      <c r="O1154" t="n">
        <v>1</v>
      </c>
      <c r="P1154" t="n">
        <v>0</v>
      </c>
      <c r="Q1154" t="n">
        <v>1</v>
      </c>
      <c r="R1154" s="2" t="inlineStr">
        <is>
          <t>Ullticka</t>
        </is>
      </c>
      <c r="S1154">
        <f>HYPERLINK("https://klasma.github.io/Logging_2321/artfynd/A 65446-2020 artfynd.xlsx", "A 65446-2020")</f>
        <v/>
      </c>
      <c r="T1154">
        <f>HYPERLINK("https://klasma.github.io/Logging_2321/kartor/A 65446-2020 karta.png", "A 65446-2020")</f>
        <v/>
      </c>
      <c r="V1154">
        <f>HYPERLINK("https://klasma.github.io/Logging_2321/klagomål/A 65446-2020 FSC-klagomål.docx", "A 65446-2020")</f>
        <v/>
      </c>
      <c r="W1154">
        <f>HYPERLINK("https://klasma.github.io/Logging_2321/klagomålsmail/A 65446-2020 FSC-klagomål mail.docx", "A 65446-2020")</f>
        <v/>
      </c>
      <c r="X1154">
        <f>HYPERLINK("https://klasma.github.io/Logging_2321/tillsyn/A 65446-2020 tillsynsbegäran.docx", "A 65446-2020")</f>
        <v/>
      </c>
      <c r="Y1154">
        <f>HYPERLINK("https://klasma.github.io/Logging_2321/tillsynsmail/A 65446-2020 tillsynsbegäran mail.docx", "A 65446-2020")</f>
        <v/>
      </c>
    </row>
    <row r="1155" ht="15" customHeight="1">
      <c r="A1155" t="inlineStr">
        <is>
          <t>A 66717-2020</t>
        </is>
      </c>
      <c r="B1155" s="1" t="n">
        <v>44179</v>
      </c>
      <c r="C1155" s="1" t="n">
        <v>45363</v>
      </c>
      <c r="D1155" t="inlineStr">
        <is>
          <t>JÄMTLANDS LÄN</t>
        </is>
      </c>
      <c r="E1155" t="inlineStr">
        <is>
          <t>STRÖMSUND</t>
        </is>
      </c>
      <c r="F1155" t="inlineStr">
        <is>
          <t>SCA</t>
        </is>
      </c>
      <c r="G1155" t="n">
        <v>22.4</v>
      </c>
      <c r="H1155" t="n">
        <v>0</v>
      </c>
      <c r="I1155" t="n">
        <v>0</v>
      </c>
      <c r="J1155" t="n">
        <v>1</v>
      </c>
      <c r="K1155" t="n">
        <v>0</v>
      </c>
      <c r="L1155" t="n">
        <v>0</v>
      </c>
      <c r="M1155" t="n">
        <v>0</v>
      </c>
      <c r="N1155" t="n">
        <v>0</v>
      </c>
      <c r="O1155" t="n">
        <v>1</v>
      </c>
      <c r="P1155" t="n">
        <v>0</v>
      </c>
      <c r="Q1155" t="n">
        <v>1</v>
      </c>
      <c r="R1155" s="2" t="inlineStr">
        <is>
          <t>Gränsticka</t>
        </is>
      </c>
      <c r="S1155">
        <f>HYPERLINK("https://klasma.github.io/Logging_2313/artfynd/A 66717-2020 artfynd.xlsx", "A 66717-2020")</f>
        <v/>
      </c>
      <c r="T1155">
        <f>HYPERLINK("https://klasma.github.io/Logging_2313/kartor/A 66717-2020 karta.png", "A 66717-2020")</f>
        <v/>
      </c>
      <c r="V1155">
        <f>HYPERLINK("https://klasma.github.io/Logging_2313/klagomål/A 66717-2020 FSC-klagomål.docx", "A 66717-2020")</f>
        <v/>
      </c>
      <c r="W1155">
        <f>HYPERLINK("https://klasma.github.io/Logging_2313/klagomålsmail/A 66717-2020 FSC-klagomål mail.docx", "A 66717-2020")</f>
        <v/>
      </c>
      <c r="X1155">
        <f>HYPERLINK("https://klasma.github.io/Logging_2313/tillsyn/A 66717-2020 tillsynsbegäran.docx", "A 66717-2020")</f>
        <v/>
      </c>
      <c r="Y1155">
        <f>HYPERLINK("https://klasma.github.io/Logging_2313/tillsynsmail/A 66717-2020 tillsynsbegäran mail.docx", "A 66717-2020")</f>
        <v/>
      </c>
    </row>
    <row r="1156" ht="15" customHeight="1">
      <c r="A1156" t="inlineStr">
        <is>
          <t>A 1112-2021</t>
        </is>
      </c>
      <c r="B1156" s="1" t="n">
        <v>44207</v>
      </c>
      <c r="C1156" s="1" t="n">
        <v>45363</v>
      </c>
      <c r="D1156" t="inlineStr">
        <is>
          <t>JÄMTLANDS LÄN</t>
        </is>
      </c>
      <c r="E1156" t="inlineStr">
        <is>
          <t>KROKOM</t>
        </is>
      </c>
      <c r="F1156" t="inlineStr">
        <is>
          <t>Övriga Aktiebolag</t>
        </is>
      </c>
      <c r="G1156" t="n">
        <v>90.7</v>
      </c>
      <c r="H1156" t="n">
        <v>0</v>
      </c>
      <c r="I1156" t="n">
        <v>1</v>
      </c>
      <c r="J1156" t="n">
        <v>0</v>
      </c>
      <c r="K1156" t="n">
        <v>0</v>
      </c>
      <c r="L1156" t="n">
        <v>0</v>
      </c>
      <c r="M1156" t="n">
        <v>0</v>
      </c>
      <c r="N1156" t="n">
        <v>0</v>
      </c>
      <c r="O1156" t="n">
        <v>0</v>
      </c>
      <c r="P1156" t="n">
        <v>0</v>
      </c>
      <c r="Q1156" t="n">
        <v>1</v>
      </c>
      <c r="R1156" s="2" t="inlineStr">
        <is>
          <t>Kambräken</t>
        </is>
      </c>
      <c r="S1156">
        <f>HYPERLINK("https://klasma.github.io/Logging_2309/artfynd/A 1112-2021 artfynd.xlsx", "A 1112-2021")</f>
        <v/>
      </c>
      <c r="T1156">
        <f>HYPERLINK("https://klasma.github.io/Logging_2309/kartor/A 1112-2021 karta.png", "A 1112-2021")</f>
        <v/>
      </c>
      <c r="V1156">
        <f>HYPERLINK("https://klasma.github.io/Logging_2309/klagomål/A 1112-2021 FSC-klagomål.docx", "A 1112-2021")</f>
        <v/>
      </c>
      <c r="W1156">
        <f>HYPERLINK("https://klasma.github.io/Logging_2309/klagomålsmail/A 1112-2021 FSC-klagomål mail.docx", "A 1112-2021")</f>
        <v/>
      </c>
      <c r="X1156">
        <f>HYPERLINK("https://klasma.github.io/Logging_2309/tillsyn/A 1112-2021 tillsynsbegäran.docx", "A 1112-2021")</f>
        <v/>
      </c>
      <c r="Y1156">
        <f>HYPERLINK("https://klasma.github.io/Logging_2309/tillsynsmail/A 1112-2021 tillsynsbegäran mail.docx", "A 1112-2021")</f>
        <v/>
      </c>
    </row>
    <row r="1157" ht="15" customHeight="1">
      <c r="A1157" t="inlineStr">
        <is>
          <t>A 2422-2021</t>
        </is>
      </c>
      <c r="B1157" s="1" t="n">
        <v>44214</v>
      </c>
      <c r="C1157" s="1" t="n">
        <v>45363</v>
      </c>
      <c r="D1157" t="inlineStr">
        <is>
          <t>JÄMTLANDS LÄN</t>
        </is>
      </c>
      <c r="E1157" t="inlineStr">
        <is>
          <t>ÅRE</t>
        </is>
      </c>
      <c r="G1157" t="n">
        <v>3.3</v>
      </c>
      <c r="H1157" t="n">
        <v>1</v>
      </c>
      <c r="I1157" t="n">
        <v>0</v>
      </c>
      <c r="J1157" t="n">
        <v>0</v>
      </c>
      <c r="K1157" t="n">
        <v>0</v>
      </c>
      <c r="L1157" t="n">
        <v>0</v>
      </c>
      <c r="M1157" t="n">
        <v>0</v>
      </c>
      <c r="N1157" t="n">
        <v>0</v>
      </c>
      <c r="O1157" t="n">
        <v>0</v>
      </c>
      <c r="P1157" t="n">
        <v>0</v>
      </c>
      <c r="Q1157" t="n">
        <v>1</v>
      </c>
      <c r="R1157" s="2" t="inlineStr">
        <is>
          <t>Fläcknycklar</t>
        </is>
      </c>
      <c r="S1157">
        <f>HYPERLINK("https://klasma.github.io/Logging_2321/artfynd/A 2422-2021 artfynd.xlsx", "A 2422-2021")</f>
        <v/>
      </c>
      <c r="T1157">
        <f>HYPERLINK("https://klasma.github.io/Logging_2321/kartor/A 2422-2021 karta.png", "A 2422-2021")</f>
        <v/>
      </c>
      <c r="V1157">
        <f>HYPERLINK("https://klasma.github.io/Logging_2321/klagomål/A 2422-2021 FSC-klagomål.docx", "A 2422-2021")</f>
        <v/>
      </c>
      <c r="W1157">
        <f>HYPERLINK("https://klasma.github.io/Logging_2321/klagomålsmail/A 2422-2021 FSC-klagomål mail.docx", "A 2422-2021")</f>
        <v/>
      </c>
      <c r="X1157">
        <f>HYPERLINK("https://klasma.github.io/Logging_2321/tillsyn/A 2422-2021 tillsynsbegäran.docx", "A 2422-2021")</f>
        <v/>
      </c>
      <c r="Y1157">
        <f>HYPERLINK("https://klasma.github.io/Logging_2321/tillsynsmail/A 2422-2021 tillsynsbegäran mail.docx", "A 2422-2021")</f>
        <v/>
      </c>
    </row>
    <row r="1158" ht="15" customHeight="1">
      <c r="A1158" t="inlineStr">
        <is>
          <t>A 5527-2021</t>
        </is>
      </c>
      <c r="B1158" s="1" t="n">
        <v>44230</v>
      </c>
      <c r="C1158" s="1" t="n">
        <v>45363</v>
      </c>
      <c r="D1158" t="inlineStr">
        <is>
          <t>JÄMTLANDS LÄN</t>
        </is>
      </c>
      <c r="E1158" t="inlineStr">
        <is>
          <t>KROKOM</t>
        </is>
      </c>
      <c r="G1158" t="n">
        <v>17.8</v>
      </c>
      <c r="H1158" t="n">
        <v>1</v>
      </c>
      <c r="I1158" t="n">
        <v>1</v>
      </c>
      <c r="J1158" t="n">
        <v>0</v>
      </c>
      <c r="K1158" t="n">
        <v>0</v>
      </c>
      <c r="L1158" t="n">
        <v>0</v>
      </c>
      <c r="M1158" t="n">
        <v>0</v>
      </c>
      <c r="N1158" t="n">
        <v>0</v>
      </c>
      <c r="O1158" t="n">
        <v>0</v>
      </c>
      <c r="P1158" t="n">
        <v>0</v>
      </c>
      <c r="Q1158" t="n">
        <v>1</v>
      </c>
      <c r="R1158" s="2" t="inlineStr">
        <is>
          <t>Guckusko</t>
        </is>
      </c>
      <c r="S1158">
        <f>HYPERLINK("https://klasma.github.io/Logging_2309/artfynd/A 5527-2021 artfynd.xlsx", "A 5527-2021")</f>
        <v/>
      </c>
      <c r="T1158">
        <f>HYPERLINK("https://klasma.github.io/Logging_2309/kartor/A 5527-2021 karta.png", "A 5527-2021")</f>
        <v/>
      </c>
      <c r="V1158">
        <f>HYPERLINK("https://klasma.github.io/Logging_2309/klagomål/A 5527-2021 FSC-klagomål.docx", "A 5527-2021")</f>
        <v/>
      </c>
      <c r="W1158">
        <f>HYPERLINK("https://klasma.github.io/Logging_2309/klagomålsmail/A 5527-2021 FSC-klagomål mail.docx", "A 5527-2021")</f>
        <v/>
      </c>
      <c r="X1158">
        <f>HYPERLINK("https://klasma.github.io/Logging_2309/tillsyn/A 5527-2021 tillsynsbegäran.docx", "A 5527-2021")</f>
        <v/>
      </c>
      <c r="Y1158">
        <f>HYPERLINK("https://klasma.github.io/Logging_2309/tillsynsmail/A 5527-2021 tillsynsbegäran mail.docx", "A 5527-2021")</f>
        <v/>
      </c>
    </row>
    <row r="1159" ht="15" customHeight="1">
      <c r="A1159" t="inlineStr">
        <is>
          <t>A 11781-2021</t>
        </is>
      </c>
      <c r="B1159" s="1" t="n">
        <v>44265</v>
      </c>
      <c r="C1159" s="1" t="n">
        <v>45363</v>
      </c>
      <c r="D1159" t="inlineStr">
        <is>
          <t>JÄMTLANDS LÄN</t>
        </is>
      </c>
      <c r="E1159" t="inlineStr">
        <is>
          <t>ÅRE</t>
        </is>
      </c>
      <c r="G1159" t="n">
        <v>4.1</v>
      </c>
      <c r="H1159" t="n">
        <v>0</v>
      </c>
      <c r="I1159" t="n">
        <v>1</v>
      </c>
      <c r="J1159" t="n">
        <v>0</v>
      </c>
      <c r="K1159" t="n">
        <v>0</v>
      </c>
      <c r="L1159" t="n">
        <v>0</v>
      </c>
      <c r="M1159" t="n">
        <v>0</v>
      </c>
      <c r="N1159" t="n">
        <v>0</v>
      </c>
      <c r="O1159" t="n">
        <v>0</v>
      </c>
      <c r="P1159" t="n">
        <v>0</v>
      </c>
      <c r="Q1159" t="n">
        <v>1</v>
      </c>
      <c r="R1159" s="2" t="inlineStr">
        <is>
          <t>Finbräken</t>
        </is>
      </c>
      <c r="S1159">
        <f>HYPERLINK("https://klasma.github.io/Logging_2321/artfynd/A 11781-2021 artfynd.xlsx", "A 11781-2021")</f>
        <v/>
      </c>
      <c r="T1159">
        <f>HYPERLINK("https://klasma.github.io/Logging_2321/kartor/A 11781-2021 karta.png", "A 11781-2021")</f>
        <v/>
      </c>
      <c r="V1159">
        <f>HYPERLINK("https://klasma.github.io/Logging_2321/klagomål/A 11781-2021 FSC-klagomål.docx", "A 11781-2021")</f>
        <v/>
      </c>
      <c r="W1159">
        <f>HYPERLINK("https://klasma.github.io/Logging_2321/klagomålsmail/A 11781-2021 FSC-klagomål mail.docx", "A 11781-2021")</f>
        <v/>
      </c>
      <c r="X1159">
        <f>HYPERLINK("https://klasma.github.io/Logging_2321/tillsyn/A 11781-2021 tillsynsbegäran.docx", "A 11781-2021")</f>
        <v/>
      </c>
      <c r="Y1159">
        <f>HYPERLINK("https://klasma.github.io/Logging_2321/tillsynsmail/A 11781-2021 tillsynsbegäran mail.docx", "A 11781-2021")</f>
        <v/>
      </c>
    </row>
    <row r="1160" ht="15" customHeight="1">
      <c r="A1160" t="inlineStr">
        <is>
          <t>A 11767-2021</t>
        </is>
      </c>
      <c r="B1160" s="1" t="n">
        <v>44265</v>
      </c>
      <c r="C1160" s="1" t="n">
        <v>45363</v>
      </c>
      <c r="D1160" t="inlineStr">
        <is>
          <t>JÄMTLANDS LÄN</t>
        </is>
      </c>
      <c r="E1160" t="inlineStr">
        <is>
          <t>ÅRE</t>
        </is>
      </c>
      <c r="G1160" t="n">
        <v>15.4</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HYPERLINK("https://klasma.github.io/Logging_2321/artfynd/A 11767-2021 artfynd.xlsx", "A 11767-2021")</f>
        <v/>
      </c>
      <c r="T1160">
        <f>HYPERLINK("https://klasma.github.io/Logging_2321/kartor/A 11767-2021 karta.png", "A 11767-2021")</f>
        <v/>
      </c>
      <c r="V1160">
        <f>HYPERLINK("https://klasma.github.io/Logging_2321/klagomål/A 11767-2021 FSC-klagomål.docx", "A 11767-2021")</f>
        <v/>
      </c>
      <c r="W1160">
        <f>HYPERLINK("https://klasma.github.io/Logging_2321/klagomålsmail/A 11767-2021 FSC-klagomål mail.docx", "A 11767-2021")</f>
        <v/>
      </c>
      <c r="X1160">
        <f>HYPERLINK("https://klasma.github.io/Logging_2321/tillsyn/A 11767-2021 tillsynsbegäran.docx", "A 11767-2021")</f>
        <v/>
      </c>
      <c r="Y1160">
        <f>HYPERLINK("https://klasma.github.io/Logging_2321/tillsynsmail/A 11767-2021 tillsynsbegäran mail.docx", "A 11767-2021")</f>
        <v/>
      </c>
      <c r="Z1160">
        <f>HYPERLINK("https://klasma.github.io/Logging_2321/fåglar/A 11767-2021 prioriterade fågelarter.docx", "A 11767-2021")</f>
        <v/>
      </c>
    </row>
    <row r="1161" ht="15" customHeight="1">
      <c r="A1161" t="inlineStr">
        <is>
          <t>A 11780-2021</t>
        </is>
      </c>
      <c r="B1161" s="1" t="n">
        <v>44265</v>
      </c>
      <c r="C1161" s="1" t="n">
        <v>45363</v>
      </c>
      <c r="D1161" t="inlineStr">
        <is>
          <t>JÄMTLANDS LÄN</t>
        </is>
      </c>
      <c r="E1161" t="inlineStr">
        <is>
          <t>KROKOM</t>
        </is>
      </c>
      <c r="G1161" t="n">
        <v>1.3</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HYPERLINK("https://klasma.github.io/Logging_2309/artfynd/A 11780-2021 artfynd.xlsx", "A 11780-2021")</f>
        <v/>
      </c>
      <c r="T1161">
        <f>HYPERLINK("https://klasma.github.io/Logging_2309/kartor/A 11780-2021 karta.png", "A 11780-2021")</f>
        <v/>
      </c>
      <c r="V1161">
        <f>HYPERLINK("https://klasma.github.io/Logging_2309/klagomål/A 11780-2021 FSC-klagomål.docx", "A 11780-2021")</f>
        <v/>
      </c>
      <c r="W1161">
        <f>HYPERLINK("https://klasma.github.io/Logging_2309/klagomålsmail/A 11780-2021 FSC-klagomål mail.docx", "A 11780-2021")</f>
        <v/>
      </c>
      <c r="X1161">
        <f>HYPERLINK("https://klasma.github.io/Logging_2309/tillsyn/A 11780-2021 tillsynsbegäran.docx", "A 11780-2021")</f>
        <v/>
      </c>
      <c r="Y1161">
        <f>HYPERLINK("https://klasma.github.io/Logging_2309/tillsynsmail/A 11780-2021 tillsynsbegäran mail.docx", "A 11780-2021")</f>
        <v/>
      </c>
      <c r="Z1161">
        <f>HYPERLINK("https://klasma.github.io/Logging_2309/fåglar/A 11780-2021 prioriterade fågelarter.docx", "A 11780-2021")</f>
        <v/>
      </c>
    </row>
    <row r="1162" ht="15" customHeight="1">
      <c r="A1162" t="inlineStr">
        <is>
          <t>A 12970-2021</t>
        </is>
      </c>
      <c r="B1162" s="1" t="n">
        <v>44271</v>
      </c>
      <c r="C1162" s="1" t="n">
        <v>45363</v>
      </c>
      <c r="D1162" t="inlineStr">
        <is>
          <t>JÄMTLANDS LÄN</t>
        </is>
      </c>
      <c r="E1162" t="inlineStr">
        <is>
          <t>ÅRE</t>
        </is>
      </c>
      <c r="G1162" t="n">
        <v>20.5</v>
      </c>
      <c r="H1162" t="n">
        <v>1</v>
      </c>
      <c r="I1162" t="n">
        <v>1</v>
      </c>
      <c r="J1162" t="n">
        <v>0</v>
      </c>
      <c r="K1162" t="n">
        <v>0</v>
      </c>
      <c r="L1162" t="n">
        <v>0</v>
      </c>
      <c r="M1162" t="n">
        <v>0</v>
      </c>
      <c r="N1162" t="n">
        <v>0</v>
      </c>
      <c r="O1162" t="n">
        <v>0</v>
      </c>
      <c r="P1162" t="n">
        <v>0</v>
      </c>
      <c r="Q1162" t="n">
        <v>1</v>
      </c>
      <c r="R1162" s="2" t="inlineStr">
        <is>
          <t>Spindelblomster</t>
        </is>
      </c>
      <c r="S1162">
        <f>HYPERLINK("https://klasma.github.io/Logging_2321/artfynd/A 12970-2021 artfynd.xlsx", "A 12970-2021")</f>
        <v/>
      </c>
      <c r="T1162">
        <f>HYPERLINK("https://klasma.github.io/Logging_2321/kartor/A 12970-2021 karta.png", "A 12970-2021")</f>
        <v/>
      </c>
      <c r="V1162">
        <f>HYPERLINK("https://klasma.github.io/Logging_2321/klagomål/A 12970-2021 FSC-klagomål.docx", "A 12970-2021")</f>
        <v/>
      </c>
      <c r="W1162">
        <f>HYPERLINK("https://klasma.github.io/Logging_2321/klagomålsmail/A 12970-2021 FSC-klagomål mail.docx", "A 12970-2021")</f>
        <v/>
      </c>
      <c r="X1162">
        <f>HYPERLINK("https://klasma.github.io/Logging_2321/tillsyn/A 12970-2021 tillsynsbegäran.docx", "A 12970-2021")</f>
        <v/>
      </c>
      <c r="Y1162">
        <f>HYPERLINK("https://klasma.github.io/Logging_2321/tillsynsmail/A 12970-2021 tillsynsbegäran mail.docx", "A 12970-2021")</f>
        <v/>
      </c>
    </row>
    <row r="1163" ht="15" customHeight="1">
      <c r="A1163" t="inlineStr">
        <is>
          <t>A 13362-2021</t>
        </is>
      </c>
      <c r="B1163" s="1" t="n">
        <v>44272</v>
      </c>
      <c r="C1163" s="1" t="n">
        <v>45363</v>
      </c>
      <c r="D1163" t="inlineStr">
        <is>
          <t>JÄMTLANDS LÄN</t>
        </is>
      </c>
      <c r="E1163" t="inlineStr">
        <is>
          <t>ÖSTERSUND</t>
        </is>
      </c>
      <c r="G1163" t="n">
        <v>0.8</v>
      </c>
      <c r="H1163" t="n">
        <v>1</v>
      </c>
      <c r="I1163" t="n">
        <v>0</v>
      </c>
      <c r="J1163" t="n">
        <v>0</v>
      </c>
      <c r="K1163" t="n">
        <v>0</v>
      </c>
      <c r="L1163" t="n">
        <v>0</v>
      </c>
      <c r="M1163" t="n">
        <v>0</v>
      </c>
      <c r="N1163" t="n">
        <v>0</v>
      </c>
      <c r="O1163" t="n">
        <v>0</v>
      </c>
      <c r="P1163" t="n">
        <v>0</v>
      </c>
      <c r="Q1163" t="n">
        <v>1</v>
      </c>
      <c r="R1163" s="2" t="inlineStr">
        <is>
          <t>Blåsippa</t>
        </is>
      </c>
      <c r="S1163">
        <f>HYPERLINK("https://klasma.github.io/Logging_2380/artfynd/A 13362-2021 artfynd.xlsx", "A 13362-2021")</f>
        <v/>
      </c>
      <c r="T1163">
        <f>HYPERLINK("https://klasma.github.io/Logging_2380/kartor/A 13362-2021 karta.png", "A 13362-2021")</f>
        <v/>
      </c>
      <c r="V1163">
        <f>HYPERLINK("https://klasma.github.io/Logging_2380/klagomål/A 13362-2021 FSC-klagomål.docx", "A 13362-2021")</f>
        <v/>
      </c>
      <c r="W1163">
        <f>HYPERLINK("https://klasma.github.io/Logging_2380/klagomålsmail/A 13362-2021 FSC-klagomål mail.docx", "A 13362-2021")</f>
        <v/>
      </c>
      <c r="X1163">
        <f>HYPERLINK("https://klasma.github.io/Logging_2380/tillsyn/A 13362-2021 tillsynsbegäran.docx", "A 13362-2021")</f>
        <v/>
      </c>
      <c r="Y1163">
        <f>HYPERLINK("https://klasma.github.io/Logging_2380/tillsynsmail/A 13362-2021 tillsynsbegäran mail.docx", "A 13362-2021")</f>
        <v/>
      </c>
    </row>
    <row r="1164" ht="15" customHeight="1">
      <c r="A1164" t="inlineStr">
        <is>
          <t>A 16834-2021</t>
        </is>
      </c>
      <c r="B1164" s="1" t="n">
        <v>44293</v>
      </c>
      <c r="C1164" s="1" t="n">
        <v>45363</v>
      </c>
      <c r="D1164" t="inlineStr">
        <is>
          <t>JÄMTLANDS LÄN</t>
        </is>
      </c>
      <c r="E1164" t="inlineStr">
        <is>
          <t>BERG</t>
        </is>
      </c>
      <c r="G1164" t="n">
        <v>18.7</v>
      </c>
      <c r="H1164" t="n">
        <v>0</v>
      </c>
      <c r="I1164" t="n">
        <v>0</v>
      </c>
      <c r="J1164" t="n">
        <v>1</v>
      </c>
      <c r="K1164" t="n">
        <v>0</v>
      </c>
      <c r="L1164" t="n">
        <v>0</v>
      </c>
      <c r="M1164" t="n">
        <v>0</v>
      </c>
      <c r="N1164" t="n">
        <v>0</v>
      </c>
      <c r="O1164" t="n">
        <v>1</v>
      </c>
      <c r="P1164" t="n">
        <v>0</v>
      </c>
      <c r="Q1164" t="n">
        <v>1</v>
      </c>
      <c r="R1164" s="2" t="inlineStr">
        <is>
          <t>Gränsticka</t>
        </is>
      </c>
      <c r="S1164">
        <f>HYPERLINK("https://klasma.github.io/Logging_2326/artfynd/A 16834-2021 artfynd.xlsx", "A 16834-2021")</f>
        <v/>
      </c>
      <c r="T1164">
        <f>HYPERLINK("https://klasma.github.io/Logging_2326/kartor/A 16834-2021 karta.png", "A 16834-2021")</f>
        <v/>
      </c>
      <c r="V1164">
        <f>HYPERLINK("https://klasma.github.io/Logging_2326/klagomål/A 16834-2021 FSC-klagomål.docx", "A 16834-2021")</f>
        <v/>
      </c>
      <c r="W1164">
        <f>HYPERLINK("https://klasma.github.io/Logging_2326/klagomålsmail/A 16834-2021 FSC-klagomål mail.docx", "A 16834-2021")</f>
        <v/>
      </c>
      <c r="X1164">
        <f>HYPERLINK("https://klasma.github.io/Logging_2326/tillsyn/A 16834-2021 tillsynsbegäran.docx", "A 16834-2021")</f>
        <v/>
      </c>
      <c r="Y1164">
        <f>HYPERLINK("https://klasma.github.io/Logging_2326/tillsynsmail/A 16834-2021 tillsynsbegäran mail.docx", "A 16834-2021")</f>
        <v/>
      </c>
    </row>
    <row r="1165" ht="15" customHeight="1">
      <c r="A1165" t="inlineStr">
        <is>
          <t>A 17217-2021</t>
        </is>
      </c>
      <c r="B1165" s="1" t="n">
        <v>44298</v>
      </c>
      <c r="C1165" s="1" t="n">
        <v>45363</v>
      </c>
      <c r="D1165" t="inlineStr">
        <is>
          <t>JÄMTLANDS LÄN</t>
        </is>
      </c>
      <c r="E1165" t="inlineStr">
        <is>
          <t>ÖSTERSUND</t>
        </is>
      </c>
      <c r="G1165" t="n">
        <v>10.4</v>
      </c>
      <c r="H1165" t="n">
        <v>0</v>
      </c>
      <c r="I1165" t="n">
        <v>0</v>
      </c>
      <c r="J1165" t="n">
        <v>1</v>
      </c>
      <c r="K1165" t="n">
        <v>0</v>
      </c>
      <c r="L1165" t="n">
        <v>0</v>
      </c>
      <c r="M1165" t="n">
        <v>0</v>
      </c>
      <c r="N1165" t="n">
        <v>0</v>
      </c>
      <c r="O1165" t="n">
        <v>1</v>
      </c>
      <c r="P1165" t="n">
        <v>0</v>
      </c>
      <c r="Q1165" t="n">
        <v>1</v>
      </c>
      <c r="R1165" s="2" t="inlineStr">
        <is>
          <t>Rödbrun klubbdyna</t>
        </is>
      </c>
      <c r="S1165">
        <f>HYPERLINK("https://klasma.github.io/Logging_2380/artfynd/A 17217-2021 artfynd.xlsx", "A 17217-2021")</f>
        <v/>
      </c>
      <c r="T1165">
        <f>HYPERLINK("https://klasma.github.io/Logging_2380/kartor/A 17217-2021 karta.png", "A 17217-2021")</f>
        <v/>
      </c>
      <c r="V1165">
        <f>HYPERLINK("https://klasma.github.io/Logging_2380/klagomål/A 17217-2021 FSC-klagomål.docx", "A 17217-2021")</f>
        <v/>
      </c>
      <c r="W1165">
        <f>HYPERLINK("https://klasma.github.io/Logging_2380/klagomålsmail/A 17217-2021 FSC-klagomål mail.docx", "A 17217-2021")</f>
        <v/>
      </c>
      <c r="X1165">
        <f>HYPERLINK("https://klasma.github.io/Logging_2380/tillsyn/A 17217-2021 tillsynsbegäran.docx", "A 17217-2021")</f>
        <v/>
      </c>
      <c r="Y1165">
        <f>HYPERLINK("https://klasma.github.io/Logging_2380/tillsynsmail/A 17217-2021 tillsynsbegäran mail.docx", "A 17217-2021")</f>
        <v/>
      </c>
    </row>
    <row r="1166" ht="15" customHeight="1">
      <c r="A1166" t="inlineStr">
        <is>
          <t>A 17855-2021</t>
        </is>
      </c>
      <c r="B1166" s="1" t="n">
        <v>44300</v>
      </c>
      <c r="C1166" s="1" t="n">
        <v>45363</v>
      </c>
      <c r="D1166" t="inlineStr">
        <is>
          <t>JÄMTLANDS LÄN</t>
        </is>
      </c>
      <c r="E1166" t="inlineStr">
        <is>
          <t>STRÖMSUND</t>
        </is>
      </c>
      <c r="F1166" t="inlineStr">
        <is>
          <t>SCA</t>
        </is>
      </c>
      <c r="G1166" t="n">
        <v>10.1</v>
      </c>
      <c r="H1166" t="n">
        <v>1</v>
      </c>
      <c r="I1166" t="n">
        <v>0</v>
      </c>
      <c r="J1166" t="n">
        <v>0</v>
      </c>
      <c r="K1166" t="n">
        <v>1</v>
      </c>
      <c r="L1166" t="n">
        <v>0</v>
      </c>
      <c r="M1166" t="n">
        <v>0</v>
      </c>
      <c r="N1166" t="n">
        <v>0</v>
      </c>
      <c r="O1166" t="n">
        <v>1</v>
      </c>
      <c r="P1166" t="n">
        <v>1</v>
      </c>
      <c r="Q1166" t="n">
        <v>1</v>
      </c>
      <c r="R1166" s="2" t="inlineStr">
        <is>
          <t>Knärot</t>
        </is>
      </c>
      <c r="S1166">
        <f>HYPERLINK("https://klasma.github.io/Logging_2313/artfynd/A 17855-2021 artfynd.xlsx", "A 17855-2021")</f>
        <v/>
      </c>
      <c r="T1166">
        <f>HYPERLINK("https://klasma.github.io/Logging_2313/kartor/A 17855-2021 karta.png", "A 17855-2021")</f>
        <v/>
      </c>
      <c r="U1166">
        <f>HYPERLINK("https://klasma.github.io/Logging_2313/knärot/A 17855-2021 karta knärot.png", "A 17855-2021")</f>
        <v/>
      </c>
      <c r="V1166">
        <f>HYPERLINK("https://klasma.github.io/Logging_2313/klagomål/A 17855-2021 FSC-klagomål.docx", "A 17855-2021")</f>
        <v/>
      </c>
      <c r="W1166">
        <f>HYPERLINK("https://klasma.github.io/Logging_2313/klagomålsmail/A 17855-2021 FSC-klagomål mail.docx", "A 17855-2021")</f>
        <v/>
      </c>
      <c r="X1166">
        <f>HYPERLINK("https://klasma.github.io/Logging_2313/tillsyn/A 17855-2021 tillsynsbegäran.docx", "A 17855-2021")</f>
        <v/>
      </c>
      <c r="Y1166">
        <f>HYPERLINK("https://klasma.github.io/Logging_2313/tillsynsmail/A 17855-2021 tillsynsbegäran mail.docx", "A 17855-2021")</f>
        <v/>
      </c>
    </row>
    <row r="1167" ht="15" customHeight="1">
      <c r="A1167" t="inlineStr">
        <is>
          <t>A 18543-2021</t>
        </is>
      </c>
      <c r="B1167" s="1" t="n">
        <v>44306</v>
      </c>
      <c r="C1167" s="1" t="n">
        <v>45363</v>
      </c>
      <c r="D1167" t="inlineStr">
        <is>
          <t>JÄMTLANDS LÄN</t>
        </is>
      </c>
      <c r="E1167" t="inlineStr">
        <is>
          <t>ÅRE</t>
        </is>
      </c>
      <c r="G1167" t="n">
        <v>1.7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HYPERLINK("https://klasma.github.io/Logging_2321/artfynd/A 18543-2021 artfynd.xlsx", "A 18543-2021")</f>
        <v/>
      </c>
      <c r="T1167">
        <f>HYPERLINK("https://klasma.github.io/Logging_2321/kartor/A 18543-2021 karta.png", "A 18543-2021")</f>
        <v/>
      </c>
      <c r="V1167">
        <f>HYPERLINK("https://klasma.github.io/Logging_2321/klagomål/A 18543-2021 FSC-klagomål.docx", "A 18543-2021")</f>
        <v/>
      </c>
      <c r="W1167">
        <f>HYPERLINK("https://klasma.github.io/Logging_2321/klagomålsmail/A 18543-2021 FSC-klagomål mail.docx", "A 18543-2021")</f>
        <v/>
      </c>
      <c r="X1167">
        <f>HYPERLINK("https://klasma.github.io/Logging_2321/tillsyn/A 18543-2021 tillsynsbegäran.docx", "A 18543-2021")</f>
        <v/>
      </c>
      <c r="Y1167">
        <f>HYPERLINK("https://klasma.github.io/Logging_2321/tillsynsmail/A 18543-2021 tillsynsbegäran mail.docx", "A 18543-2021")</f>
        <v/>
      </c>
      <c r="Z1167">
        <f>HYPERLINK("https://klasma.github.io/Logging_2321/fåglar/A 18543-2021 prioriterade fågelarter.docx", "A 18543-2021")</f>
        <v/>
      </c>
    </row>
    <row r="1168" ht="15" customHeight="1">
      <c r="A1168" t="inlineStr">
        <is>
          <t>A 19282-2021</t>
        </is>
      </c>
      <c r="B1168" s="1" t="n">
        <v>44308</v>
      </c>
      <c r="C1168" s="1" t="n">
        <v>45363</v>
      </c>
      <c r="D1168" t="inlineStr">
        <is>
          <t>JÄMTLANDS LÄN</t>
        </is>
      </c>
      <c r="E1168" t="inlineStr">
        <is>
          <t>KROKOM</t>
        </is>
      </c>
      <c r="G1168" t="n">
        <v>2</v>
      </c>
      <c r="H1168" t="n">
        <v>0</v>
      </c>
      <c r="I1168" t="n">
        <v>0</v>
      </c>
      <c r="J1168" t="n">
        <v>1</v>
      </c>
      <c r="K1168" t="n">
        <v>0</v>
      </c>
      <c r="L1168" t="n">
        <v>0</v>
      </c>
      <c r="M1168" t="n">
        <v>0</v>
      </c>
      <c r="N1168" t="n">
        <v>0</v>
      </c>
      <c r="O1168" t="n">
        <v>1</v>
      </c>
      <c r="P1168" t="n">
        <v>0</v>
      </c>
      <c r="Q1168" t="n">
        <v>1</v>
      </c>
      <c r="R1168" s="2" t="inlineStr">
        <is>
          <t>Garnlav</t>
        </is>
      </c>
      <c r="S1168">
        <f>HYPERLINK("https://klasma.github.io/Logging_2309/artfynd/A 19282-2021 artfynd.xlsx", "A 19282-2021")</f>
        <v/>
      </c>
      <c r="T1168">
        <f>HYPERLINK("https://klasma.github.io/Logging_2309/kartor/A 19282-2021 karta.png", "A 19282-2021")</f>
        <v/>
      </c>
      <c r="V1168">
        <f>HYPERLINK("https://klasma.github.io/Logging_2309/klagomål/A 19282-2021 FSC-klagomål.docx", "A 19282-2021")</f>
        <v/>
      </c>
      <c r="W1168">
        <f>HYPERLINK("https://klasma.github.io/Logging_2309/klagomålsmail/A 19282-2021 FSC-klagomål mail.docx", "A 19282-2021")</f>
        <v/>
      </c>
      <c r="X1168">
        <f>HYPERLINK("https://klasma.github.io/Logging_2309/tillsyn/A 19282-2021 tillsynsbegäran.docx", "A 19282-2021")</f>
        <v/>
      </c>
      <c r="Y1168">
        <f>HYPERLINK("https://klasma.github.io/Logging_2309/tillsynsmail/A 19282-2021 tillsynsbegäran mail.docx", "A 19282-2021")</f>
        <v/>
      </c>
    </row>
    <row r="1169" ht="15" customHeight="1">
      <c r="A1169" t="inlineStr">
        <is>
          <t>A 19431-2021</t>
        </is>
      </c>
      <c r="B1169" s="1" t="n">
        <v>44309</v>
      </c>
      <c r="C1169" s="1" t="n">
        <v>45363</v>
      </c>
      <c r="D1169" t="inlineStr">
        <is>
          <t>JÄMTLANDS LÄN</t>
        </is>
      </c>
      <c r="E1169" t="inlineStr">
        <is>
          <t>BRÄCKE</t>
        </is>
      </c>
      <c r="G1169" t="n">
        <v>4.8</v>
      </c>
      <c r="H1169" t="n">
        <v>1</v>
      </c>
      <c r="I1169" t="n">
        <v>0</v>
      </c>
      <c r="J1169" t="n">
        <v>1</v>
      </c>
      <c r="K1169" t="n">
        <v>0</v>
      </c>
      <c r="L1169" t="n">
        <v>0</v>
      </c>
      <c r="M1169" t="n">
        <v>0</v>
      </c>
      <c r="N1169" t="n">
        <v>0</v>
      </c>
      <c r="O1169" t="n">
        <v>1</v>
      </c>
      <c r="P1169" t="n">
        <v>0</v>
      </c>
      <c r="Q1169" t="n">
        <v>1</v>
      </c>
      <c r="R1169" s="2" t="inlineStr">
        <is>
          <t>Utter</t>
        </is>
      </c>
      <c r="S1169">
        <f>HYPERLINK("https://klasma.github.io/Logging_2305/artfynd/A 19431-2021 artfynd.xlsx", "A 19431-2021")</f>
        <v/>
      </c>
      <c r="T1169">
        <f>HYPERLINK("https://klasma.github.io/Logging_2305/kartor/A 19431-2021 karta.png", "A 19431-2021")</f>
        <v/>
      </c>
      <c r="V1169">
        <f>HYPERLINK("https://klasma.github.io/Logging_2305/klagomål/A 19431-2021 FSC-klagomål.docx", "A 19431-2021")</f>
        <v/>
      </c>
      <c r="W1169">
        <f>HYPERLINK("https://klasma.github.io/Logging_2305/klagomålsmail/A 19431-2021 FSC-klagomål mail.docx", "A 19431-2021")</f>
        <v/>
      </c>
      <c r="X1169">
        <f>HYPERLINK("https://klasma.github.io/Logging_2305/tillsyn/A 19431-2021 tillsynsbegäran.docx", "A 19431-2021")</f>
        <v/>
      </c>
      <c r="Y1169">
        <f>HYPERLINK("https://klasma.github.io/Logging_2305/tillsynsmail/A 19431-2021 tillsynsbegäran mail.docx", "A 19431-2021")</f>
        <v/>
      </c>
    </row>
    <row r="1170" ht="15" customHeight="1">
      <c r="A1170" t="inlineStr">
        <is>
          <t>A 20500-2021</t>
        </is>
      </c>
      <c r="B1170" s="1" t="n">
        <v>44315</v>
      </c>
      <c r="C1170" s="1" t="n">
        <v>45363</v>
      </c>
      <c r="D1170" t="inlineStr">
        <is>
          <t>JÄMTLANDS LÄN</t>
        </is>
      </c>
      <c r="E1170" t="inlineStr">
        <is>
          <t>ÅRE</t>
        </is>
      </c>
      <c r="G1170" t="n">
        <v>3</v>
      </c>
      <c r="H1170" t="n">
        <v>0</v>
      </c>
      <c r="I1170" t="n">
        <v>1</v>
      </c>
      <c r="J1170" t="n">
        <v>0</v>
      </c>
      <c r="K1170" t="n">
        <v>0</v>
      </c>
      <c r="L1170" t="n">
        <v>0</v>
      </c>
      <c r="M1170" t="n">
        <v>0</v>
      </c>
      <c r="N1170" t="n">
        <v>0</v>
      </c>
      <c r="O1170" t="n">
        <v>0</v>
      </c>
      <c r="P1170" t="n">
        <v>0</v>
      </c>
      <c r="Q1170" t="n">
        <v>1</v>
      </c>
      <c r="R1170" s="2" t="inlineStr">
        <is>
          <t>Svart trolldruva</t>
        </is>
      </c>
      <c r="S1170">
        <f>HYPERLINK("https://klasma.github.io/Logging_2321/artfynd/A 20500-2021 artfynd.xlsx", "A 20500-2021")</f>
        <v/>
      </c>
      <c r="T1170">
        <f>HYPERLINK("https://klasma.github.io/Logging_2321/kartor/A 20500-2021 karta.png", "A 20500-2021")</f>
        <v/>
      </c>
      <c r="V1170">
        <f>HYPERLINK("https://klasma.github.io/Logging_2321/klagomål/A 20500-2021 FSC-klagomål.docx", "A 20500-2021")</f>
        <v/>
      </c>
      <c r="W1170">
        <f>HYPERLINK("https://klasma.github.io/Logging_2321/klagomålsmail/A 20500-2021 FSC-klagomål mail.docx", "A 20500-2021")</f>
        <v/>
      </c>
      <c r="X1170">
        <f>HYPERLINK("https://klasma.github.io/Logging_2321/tillsyn/A 20500-2021 tillsynsbegäran.docx", "A 20500-2021")</f>
        <v/>
      </c>
      <c r="Y1170">
        <f>HYPERLINK("https://klasma.github.io/Logging_2321/tillsynsmail/A 20500-2021 tillsynsbegäran mail.docx", "A 20500-2021")</f>
        <v/>
      </c>
    </row>
    <row r="1171" ht="15" customHeight="1">
      <c r="A1171" t="inlineStr">
        <is>
          <t>A 21037-2021</t>
        </is>
      </c>
      <c r="B1171" s="1" t="n">
        <v>44319</v>
      </c>
      <c r="C1171" s="1" t="n">
        <v>45363</v>
      </c>
      <c r="D1171" t="inlineStr">
        <is>
          <t>JÄMTLANDS LÄN</t>
        </is>
      </c>
      <c r="E1171" t="inlineStr">
        <is>
          <t>RAGUNDA</t>
        </is>
      </c>
      <c r="F1171" t="inlineStr">
        <is>
          <t>Kyrkan</t>
        </is>
      </c>
      <c r="G1171" t="n">
        <v>0.8</v>
      </c>
      <c r="H1171" t="n">
        <v>0</v>
      </c>
      <c r="I1171" t="n">
        <v>0</v>
      </c>
      <c r="J1171" t="n">
        <v>1</v>
      </c>
      <c r="K1171" t="n">
        <v>0</v>
      </c>
      <c r="L1171" t="n">
        <v>0</v>
      </c>
      <c r="M1171" t="n">
        <v>0</v>
      </c>
      <c r="N1171" t="n">
        <v>0</v>
      </c>
      <c r="O1171" t="n">
        <v>1</v>
      </c>
      <c r="P1171" t="n">
        <v>0</v>
      </c>
      <c r="Q1171" t="n">
        <v>1</v>
      </c>
      <c r="R1171" s="2" t="inlineStr">
        <is>
          <t>Olivbrun gytterlav</t>
        </is>
      </c>
      <c r="S1171">
        <f>HYPERLINK("https://klasma.github.io/Logging_2303/artfynd/A 21037-2021 artfynd.xlsx", "A 21037-2021")</f>
        <v/>
      </c>
      <c r="T1171">
        <f>HYPERLINK("https://klasma.github.io/Logging_2303/kartor/A 21037-2021 karta.png", "A 21037-2021")</f>
        <v/>
      </c>
      <c r="V1171">
        <f>HYPERLINK("https://klasma.github.io/Logging_2303/klagomål/A 21037-2021 FSC-klagomål.docx", "A 21037-2021")</f>
        <v/>
      </c>
      <c r="W1171">
        <f>HYPERLINK("https://klasma.github.io/Logging_2303/klagomålsmail/A 21037-2021 FSC-klagomål mail.docx", "A 21037-2021")</f>
        <v/>
      </c>
      <c r="X1171">
        <f>HYPERLINK("https://klasma.github.io/Logging_2303/tillsyn/A 21037-2021 tillsynsbegäran.docx", "A 21037-2021")</f>
        <v/>
      </c>
      <c r="Y1171">
        <f>HYPERLINK("https://klasma.github.io/Logging_2303/tillsynsmail/A 21037-2021 tillsynsbegäran mail.docx", "A 21037-2021")</f>
        <v/>
      </c>
    </row>
    <row r="1172" ht="15" customHeight="1">
      <c r="A1172" t="inlineStr">
        <is>
          <t>A 21572-2021</t>
        </is>
      </c>
      <c r="B1172" s="1" t="n">
        <v>44321</v>
      </c>
      <c r="C1172" s="1" t="n">
        <v>45363</v>
      </c>
      <c r="D1172" t="inlineStr">
        <is>
          <t>JÄMTLANDS LÄN</t>
        </is>
      </c>
      <c r="E1172" t="inlineStr">
        <is>
          <t>HÄRJEDALEN</t>
        </is>
      </c>
      <c r="F1172" t="inlineStr">
        <is>
          <t>Holmen skog AB</t>
        </is>
      </c>
      <c r="G1172" t="n">
        <v>29</v>
      </c>
      <c r="H1172" t="n">
        <v>0</v>
      </c>
      <c r="I1172" t="n">
        <v>0</v>
      </c>
      <c r="J1172" t="n">
        <v>1</v>
      </c>
      <c r="K1172" t="n">
        <v>0</v>
      </c>
      <c r="L1172" t="n">
        <v>0</v>
      </c>
      <c r="M1172" t="n">
        <v>0</v>
      </c>
      <c r="N1172" t="n">
        <v>0</v>
      </c>
      <c r="O1172" t="n">
        <v>1</v>
      </c>
      <c r="P1172" t="n">
        <v>0</v>
      </c>
      <c r="Q1172" t="n">
        <v>1</v>
      </c>
      <c r="R1172" s="2" t="inlineStr">
        <is>
          <t>Skrovlig taggsvamp</t>
        </is>
      </c>
      <c r="S1172">
        <f>HYPERLINK("https://klasma.github.io/Logging_2361/artfynd/A 21572-2021 artfynd.xlsx", "A 21572-2021")</f>
        <v/>
      </c>
      <c r="T1172">
        <f>HYPERLINK("https://klasma.github.io/Logging_2361/kartor/A 21572-2021 karta.png", "A 21572-2021")</f>
        <v/>
      </c>
      <c r="V1172">
        <f>HYPERLINK("https://klasma.github.io/Logging_2361/klagomål/A 21572-2021 FSC-klagomål.docx", "A 21572-2021")</f>
        <v/>
      </c>
      <c r="W1172">
        <f>HYPERLINK("https://klasma.github.io/Logging_2361/klagomålsmail/A 21572-2021 FSC-klagomål mail.docx", "A 21572-2021")</f>
        <v/>
      </c>
      <c r="X1172">
        <f>HYPERLINK("https://klasma.github.io/Logging_2361/tillsyn/A 21572-2021 tillsynsbegäran.docx", "A 21572-2021")</f>
        <v/>
      </c>
      <c r="Y1172">
        <f>HYPERLINK("https://klasma.github.io/Logging_2361/tillsynsmail/A 21572-2021 tillsynsbegäran mail.docx", "A 21572-2021")</f>
        <v/>
      </c>
    </row>
    <row r="1173" ht="15" customHeight="1">
      <c r="A1173" t="inlineStr">
        <is>
          <t>A 22528-2021</t>
        </is>
      </c>
      <c r="B1173" s="1" t="n">
        <v>44326</v>
      </c>
      <c r="C1173" s="1" t="n">
        <v>45363</v>
      </c>
      <c r="D1173" t="inlineStr">
        <is>
          <t>JÄMTLANDS LÄN</t>
        </is>
      </c>
      <c r="E1173" t="inlineStr">
        <is>
          <t>STRÖMSUND</t>
        </is>
      </c>
      <c r="F1173" t="inlineStr">
        <is>
          <t>SCA</t>
        </is>
      </c>
      <c r="G1173" t="n">
        <v>5.9</v>
      </c>
      <c r="H1173" t="n">
        <v>0</v>
      </c>
      <c r="I1173" t="n">
        <v>0</v>
      </c>
      <c r="J1173" t="n">
        <v>0</v>
      </c>
      <c r="K1173" t="n">
        <v>1</v>
      </c>
      <c r="L1173" t="n">
        <v>0</v>
      </c>
      <c r="M1173" t="n">
        <v>0</v>
      </c>
      <c r="N1173" t="n">
        <v>0</v>
      </c>
      <c r="O1173" t="n">
        <v>1</v>
      </c>
      <c r="P1173" t="n">
        <v>1</v>
      </c>
      <c r="Q1173" t="n">
        <v>1</v>
      </c>
      <c r="R1173" s="2" t="inlineStr">
        <is>
          <t>Smultronkantarell</t>
        </is>
      </c>
      <c r="S1173">
        <f>HYPERLINK("https://klasma.github.io/Logging_2313/artfynd/A 22528-2021 artfynd.xlsx", "A 22528-2021")</f>
        <v/>
      </c>
      <c r="T1173">
        <f>HYPERLINK("https://klasma.github.io/Logging_2313/kartor/A 22528-2021 karta.png", "A 22528-2021")</f>
        <v/>
      </c>
      <c r="V1173">
        <f>HYPERLINK("https://klasma.github.io/Logging_2313/klagomål/A 22528-2021 FSC-klagomål.docx", "A 22528-2021")</f>
        <v/>
      </c>
      <c r="W1173">
        <f>HYPERLINK("https://klasma.github.io/Logging_2313/klagomålsmail/A 22528-2021 FSC-klagomål mail.docx", "A 22528-2021")</f>
        <v/>
      </c>
      <c r="X1173">
        <f>HYPERLINK("https://klasma.github.io/Logging_2313/tillsyn/A 22528-2021 tillsynsbegäran.docx", "A 22528-2021")</f>
        <v/>
      </c>
      <c r="Y1173">
        <f>HYPERLINK("https://klasma.github.io/Logging_2313/tillsynsmail/A 22528-2021 tillsynsbegäran mail.docx", "A 22528-2021")</f>
        <v/>
      </c>
    </row>
    <row r="1174" ht="15" customHeight="1">
      <c r="A1174" t="inlineStr">
        <is>
          <t>A 23556-2021</t>
        </is>
      </c>
      <c r="B1174" s="1" t="n">
        <v>44334</v>
      </c>
      <c r="C1174" s="1" t="n">
        <v>45363</v>
      </c>
      <c r="D1174" t="inlineStr">
        <is>
          <t>JÄMTLANDS LÄN</t>
        </is>
      </c>
      <c r="E1174" t="inlineStr">
        <is>
          <t>ÅRE</t>
        </is>
      </c>
      <c r="G1174" t="n">
        <v>11.1</v>
      </c>
      <c r="H1174" t="n">
        <v>1</v>
      </c>
      <c r="I1174" t="n">
        <v>1</v>
      </c>
      <c r="J1174" t="n">
        <v>0</v>
      </c>
      <c r="K1174" t="n">
        <v>0</v>
      </c>
      <c r="L1174" t="n">
        <v>0</v>
      </c>
      <c r="M1174" t="n">
        <v>0</v>
      </c>
      <c r="N1174" t="n">
        <v>0</v>
      </c>
      <c r="O1174" t="n">
        <v>0</v>
      </c>
      <c r="P1174" t="n">
        <v>0</v>
      </c>
      <c r="Q1174" t="n">
        <v>1</v>
      </c>
      <c r="R1174" s="2" t="inlineStr">
        <is>
          <t>Tvåblad</t>
        </is>
      </c>
      <c r="S1174">
        <f>HYPERLINK("https://klasma.github.io/Logging_2321/artfynd/A 23556-2021 artfynd.xlsx", "A 23556-2021")</f>
        <v/>
      </c>
      <c r="T1174">
        <f>HYPERLINK("https://klasma.github.io/Logging_2321/kartor/A 23556-2021 karta.png", "A 23556-2021")</f>
        <v/>
      </c>
      <c r="V1174">
        <f>HYPERLINK("https://klasma.github.io/Logging_2321/klagomål/A 23556-2021 FSC-klagomål.docx", "A 23556-2021")</f>
        <v/>
      </c>
      <c r="W1174">
        <f>HYPERLINK("https://klasma.github.io/Logging_2321/klagomålsmail/A 23556-2021 FSC-klagomål mail.docx", "A 23556-2021")</f>
        <v/>
      </c>
      <c r="X1174">
        <f>HYPERLINK("https://klasma.github.io/Logging_2321/tillsyn/A 23556-2021 tillsynsbegäran.docx", "A 23556-2021")</f>
        <v/>
      </c>
      <c r="Y1174">
        <f>HYPERLINK("https://klasma.github.io/Logging_2321/tillsynsmail/A 23556-2021 tillsynsbegäran mail.docx", "A 23556-2021")</f>
        <v/>
      </c>
    </row>
    <row r="1175" ht="15" customHeight="1">
      <c r="A1175" t="inlineStr">
        <is>
          <t>A 25818-2021</t>
        </is>
      </c>
      <c r="B1175" s="1" t="n">
        <v>44344</v>
      </c>
      <c r="C1175" s="1" t="n">
        <v>45363</v>
      </c>
      <c r="D1175" t="inlineStr">
        <is>
          <t>JÄMTLANDS LÄN</t>
        </is>
      </c>
      <c r="E1175" t="inlineStr">
        <is>
          <t>STRÖMSUND</t>
        </is>
      </c>
      <c r="F1175" t="inlineStr">
        <is>
          <t>SCA</t>
        </is>
      </c>
      <c r="G1175" t="n">
        <v>2.8</v>
      </c>
      <c r="H1175" t="n">
        <v>1</v>
      </c>
      <c r="I1175" t="n">
        <v>0</v>
      </c>
      <c r="J1175" t="n">
        <v>0</v>
      </c>
      <c r="K1175" t="n">
        <v>1</v>
      </c>
      <c r="L1175" t="n">
        <v>0</v>
      </c>
      <c r="M1175" t="n">
        <v>0</v>
      </c>
      <c r="N1175" t="n">
        <v>0</v>
      </c>
      <c r="O1175" t="n">
        <v>1</v>
      </c>
      <c r="P1175" t="n">
        <v>1</v>
      </c>
      <c r="Q1175" t="n">
        <v>1</v>
      </c>
      <c r="R1175" s="2" t="inlineStr">
        <is>
          <t>Knärot</t>
        </is>
      </c>
      <c r="S1175">
        <f>HYPERLINK("https://klasma.github.io/Logging_2313/artfynd/A 25818-2021 artfynd.xlsx", "A 25818-2021")</f>
        <v/>
      </c>
      <c r="T1175">
        <f>HYPERLINK("https://klasma.github.io/Logging_2313/kartor/A 25818-2021 karta.png", "A 25818-2021")</f>
        <v/>
      </c>
      <c r="U1175">
        <f>HYPERLINK("https://klasma.github.io/Logging_2313/knärot/A 25818-2021 karta knärot.png", "A 25818-2021")</f>
        <v/>
      </c>
      <c r="V1175">
        <f>HYPERLINK("https://klasma.github.io/Logging_2313/klagomål/A 25818-2021 FSC-klagomål.docx", "A 25818-2021")</f>
        <v/>
      </c>
      <c r="W1175">
        <f>HYPERLINK("https://klasma.github.io/Logging_2313/klagomålsmail/A 25818-2021 FSC-klagomål mail.docx", "A 25818-2021")</f>
        <v/>
      </c>
      <c r="X1175">
        <f>HYPERLINK("https://klasma.github.io/Logging_2313/tillsyn/A 25818-2021 tillsynsbegäran.docx", "A 25818-2021")</f>
        <v/>
      </c>
      <c r="Y1175">
        <f>HYPERLINK("https://klasma.github.io/Logging_2313/tillsynsmail/A 25818-2021 tillsynsbegäran mail.docx", "A 25818-2021")</f>
        <v/>
      </c>
    </row>
    <row r="1176" ht="15" customHeight="1">
      <c r="A1176" t="inlineStr">
        <is>
          <t>A 25839-2021</t>
        </is>
      </c>
      <c r="B1176" s="1" t="n">
        <v>44343</v>
      </c>
      <c r="C1176" s="1" t="n">
        <v>45363</v>
      </c>
      <c r="D1176" t="inlineStr">
        <is>
          <t>JÄMTLANDS LÄN</t>
        </is>
      </c>
      <c r="E1176" t="inlineStr">
        <is>
          <t>ÖSTERSUND</t>
        </is>
      </c>
      <c r="G1176" t="n">
        <v>13</v>
      </c>
      <c r="H1176" t="n">
        <v>1</v>
      </c>
      <c r="I1176" t="n">
        <v>0</v>
      </c>
      <c r="J1176" t="n">
        <v>0</v>
      </c>
      <c r="K1176" t="n">
        <v>0</v>
      </c>
      <c r="L1176" t="n">
        <v>1</v>
      </c>
      <c r="M1176" t="n">
        <v>0</v>
      </c>
      <c r="N1176" t="n">
        <v>0</v>
      </c>
      <c r="O1176" t="n">
        <v>1</v>
      </c>
      <c r="P1176" t="n">
        <v>1</v>
      </c>
      <c r="Q1176" t="n">
        <v>1</v>
      </c>
      <c r="R1176" s="2" t="inlineStr">
        <is>
          <t>Violett guldvinge</t>
        </is>
      </c>
      <c r="S1176">
        <f>HYPERLINK("https://klasma.github.io/Logging_2380/artfynd/A 25839-2021 artfynd.xlsx", "A 25839-2021")</f>
        <v/>
      </c>
      <c r="T1176">
        <f>HYPERLINK("https://klasma.github.io/Logging_2380/kartor/A 25839-2021 karta.png", "A 25839-2021")</f>
        <v/>
      </c>
      <c r="V1176">
        <f>HYPERLINK("https://klasma.github.io/Logging_2380/klagomål/A 25839-2021 FSC-klagomål.docx", "A 25839-2021")</f>
        <v/>
      </c>
      <c r="W1176">
        <f>HYPERLINK("https://klasma.github.io/Logging_2380/klagomålsmail/A 25839-2021 FSC-klagomål mail.docx", "A 25839-2021")</f>
        <v/>
      </c>
      <c r="X1176">
        <f>HYPERLINK("https://klasma.github.io/Logging_2380/tillsyn/A 25839-2021 tillsynsbegäran.docx", "A 25839-2021")</f>
        <v/>
      </c>
      <c r="Y1176">
        <f>HYPERLINK("https://klasma.github.io/Logging_2380/tillsynsmail/A 25839-2021 tillsynsbegäran mail.docx", "A 25839-2021")</f>
        <v/>
      </c>
    </row>
    <row r="1177" ht="15" customHeight="1">
      <c r="A1177" t="inlineStr">
        <is>
          <t>A 26135-2021</t>
        </is>
      </c>
      <c r="B1177" s="1" t="n">
        <v>44346</v>
      </c>
      <c r="C1177" s="1" t="n">
        <v>45363</v>
      </c>
      <c r="D1177" t="inlineStr">
        <is>
          <t>JÄMTLANDS LÄN</t>
        </is>
      </c>
      <c r="E1177" t="inlineStr">
        <is>
          <t>BRÄCKE</t>
        </is>
      </c>
      <c r="G1177" t="n">
        <v>15.1</v>
      </c>
      <c r="H1177" t="n">
        <v>0</v>
      </c>
      <c r="I1177" t="n">
        <v>1</v>
      </c>
      <c r="J1177" t="n">
        <v>0</v>
      </c>
      <c r="K1177" t="n">
        <v>0</v>
      </c>
      <c r="L1177" t="n">
        <v>0</v>
      </c>
      <c r="M1177" t="n">
        <v>0</v>
      </c>
      <c r="N1177" t="n">
        <v>0</v>
      </c>
      <c r="O1177" t="n">
        <v>0</v>
      </c>
      <c r="P1177" t="n">
        <v>0</v>
      </c>
      <c r="Q1177" t="n">
        <v>1</v>
      </c>
      <c r="R1177" s="2" t="inlineStr">
        <is>
          <t>Grönpyrola</t>
        </is>
      </c>
      <c r="S1177">
        <f>HYPERLINK("https://klasma.github.io/Logging_2305/artfynd/A 26135-2021 artfynd.xlsx", "A 26135-2021")</f>
        <v/>
      </c>
      <c r="T1177">
        <f>HYPERLINK("https://klasma.github.io/Logging_2305/kartor/A 26135-2021 karta.png", "A 26135-2021")</f>
        <v/>
      </c>
      <c r="V1177">
        <f>HYPERLINK("https://klasma.github.io/Logging_2305/klagomål/A 26135-2021 FSC-klagomål.docx", "A 26135-2021")</f>
        <v/>
      </c>
      <c r="W1177">
        <f>HYPERLINK("https://klasma.github.io/Logging_2305/klagomålsmail/A 26135-2021 FSC-klagomål mail.docx", "A 26135-2021")</f>
        <v/>
      </c>
      <c r="X1177">
        <f>HYPERLINK("https://klasma.github.io/Logging_2305/tillsyn/A 26135-2021 tillsynsbegäran.docx", "A 26135-2021")</f>
        <v/>
      </c>
      <c r="Y1177">
        <f>HYPERLINK("https://klasma.github.io/Logging_2305/tillsynsmail/A 26135-2021 tillsynsbegäran mail.docx", "A 26135-2021")</f>
        <v/>
      </c>
    </row>
    <row r="1178" ht="15" customHeight="1">
      <c r="A1178" t="inlineStr">
        <is>
          <t>A 26148-2021</t>
        </is>
      </c>
      <c r="B1178" s="1" t="n">
        <v>44346</v>
      </c>
      <c r="C1178" s="1" t="n">
        <v>45363</v>
      </c>
      <c r="D1178" t="inlineStr">
        <is>
          <t>JÄMTLANDS LÄN</t>
        </is>
      </c>
      <c r="E1178" t="inlineStr">
        <is>
          <t>STRÖMSUND</t>
        </is>
      </c>
      <c r="F1178" t="inlineStr">
        <is>
          <t>SCA</t>
        </is>
      </c>
      <c r="G1178" t="n">
        <v>5.4</v>
      </c>
      <c r="H1178" t="n">
        <v>0</v>
      </c>
      <c r="I1178" t="n">
        <v>1</v>
      </c>
      <c r="J1178" t="n">
        <v>0</v>
      </c>
      <c r="K1178" t="n">
        <v>0</v>
      </c>
      <c r="L1178" t="n">
        <v>0</v>
      </c>
      <c r="M1178" t="n">
        <v>0</v>
      </c>
      <c r="N1178" t="n">
        <v>0</v>
      </c>
      <c r="O1178" t="n">
        <v>0</v>
      </c>
      <c r="P1178" t="n">
        <v>0</v>
      </c>
      <c r="Q1178" t="n">
        <v>1</v>
      </c>
      <c r="R1178" s="2" t="inlineStr">
        <is>
          <t>Skinnlav</t>
        </is>
      </c>
      <c r="S1178">
        <f>HYPERLINK("https://klasma.github.io/Logging_2313/artfynd/A 26148-2021 artfynd.xlsx", "A 26148-2021")</f>
        <v/>
      </c>
      <c r="T1178">
        <f>HYPERLINK("https://klasma.github.io/Logging_2313/kartor/A 26148-2021 karta.png", "A 26148-2021")</f>
        <v/>
      </c>
      <c r="V1178">
        <f>HYPERLINK("https://klasma.github.io/Logging_2313/klagomål/A 26148-2021 FSC-klagomål.docx", "A 26148-2021")</f>
        <v/>
      </c>
      <c r="W1178">
        <f>HYPERLINK("https://klasma.github.io/Logging_2313/klagomålsmail/A 26148-2021 FSC-klagomål mail.docx", "A 26148-2021")</f>
        <v/>
      </c>
      <c r="X1178">
        <f>HYPERLINK("https://klasma.github.io/Logging_2313/tillsyn/A 26148-2021 tillsynsbegäran.docx", "A 26148-2021")</f>
        <v/>
      </c>
      <c r="Y1178">
        <f>HYPERLINK("https://klasma.github.io/Logging_2313/tillsynsmail/A 26148-2021 tillsynsbegäran mail.docx", "A 26148-2021")</f>
        <v/>
      </c>
    </row>
    <row r="1179" ht="15" customHeight="1">
      <c r="A1179" t="inlineStr">
        <is>
          <t>A 26151-2021</t>
        </is>
      </c>
      <c r="B1179" s="1" t="n">
        <v>44346</v>
      </c>
      <c r="C1179" s="1" t="n">
        <v>45363</v>
      </c>
      <c r="D1179" t="inlineStr">
        <is>
          <t>JÄMTLANDS LÄN</t>
        </is>
      </c>
      <c r="E1179" t="inlineStr">
        <is>
          <t>STRÖMSUND</t>
        </is>
      </c>
      <c r="F1179" t="inlineStr">
        <is>
          <t>SCA</t>
        </is>
      </c>
      <c r="G1179" t="n">
        <v>2.6</v>
      </c>
      <c r="H1179" t="n">
        <v>0</v>
      </c>
      <c r="I1179" t="n">
        <v>1</v>
      </c>
      <c r="J1179" t="n">
        <v>0</v>
      </c>
      <c r="K1179" t="n">
        <v>0</v>
      </c>
      <c r="L1179" t="n">
        <v>0</v>
      </c>
      <c r="M1179" t="n">
        <v>0</v>
      </c>
      <c r="N1179" t="n">
        <v>0</v>
      </c>
      <c r="O1179" t="n">
        <v>0</v>
      </c>
      <c r="P1179" t="n">
        <v>0</v>
      </c>
      <c r="Q1179" t="n">
        <v>1</v>
      </c>
      <c r="R1179" s="2" t="inlineStr">
        <is>
          <t>Skinnlav</t>
        </is>
      </c>
      <c r="S1179">
        <f>HYPERLINK("https://klasma.github.io/Logging_2313/artfynd/A 26151-2021 artfynd.xlsx", "A 26151-2021")</f>
        <v/>
      </c>
      <c r="T1179">
        <f>HYPERLINK("https://klasma.github.io/Logging_2313/kartor/A 26151-2021 karta.png", "A 26151-2021")</f>
        <v/>
      </c>
      <c r="V1179">
        <f>HYPERLINK("https://klasma.github.io/Logging_2313/klagomål/A 26151-2021 FSC-klagomål.docx", "A 26151-2021")</f>
        <v/>
      </c>
      <c r="W1179">
        <f>HYPERLINK("https://klasma.github.io/Logging_2313/klagomålsmail/A 26151-2021 FSC-klagomål mail.docx", "A 26151-2021")</f>
        <v/>
      </c>
      <c r="X1179">
        <f>HYPERLINK("https://klasma.github.io/Logging_2313/tillsyn/A 26151-2021 tillsynsbegäran.docx", "A 26151-2021")</f>
        <v/>
      </c>
      <c r="Y1179">
        <f>HYPERLINK("https://klasma.github.io/Logging_2313/tillsynsmail/A 26151-2021 tillsynsbegäran mail.docx", "A 26151-2021")</f>
        <v/>
      </c>
    </row>
    <row r="1180" ht="15" customHeight="1">
      <c r="A1180" t="inlineStr">
        <is>
          <t>A 26147-2021</t>
        </is>
      </c>
      <c r="B1180" s="1" t="n">
        <v>44346</v>
      </c>
      <c r="C1180" s="1" t="n">
        <v>45363</v>
      </c>
      <c r="D1180" t="inlineStr">
        <is>
          <t>JÄMTLANDS LÄN</t>
        </is>
      </c>
      <c r="E1180" t="inlineStr">
        <is>
          <t>STRÖMSUND</t>
        </is>
      </c>
      <c r="F1180" t="inlineStr">
        <is>
          <t>SCA</t>
        </is>
      </c>
      <c r="G1180" t="n">
        <v>5.3</v>
      </c>
      <c r="H1180" t="n">
        <v>0</v>
      </c>
      <c r="I1180" t="n">
        <v>0</v>
      </c>
      <c r="J1180" t="n">
        <v>1</v>
      </c>
      <c r="K1180" t="n">
        <v>0</v>
      </c>
      <c r="L1180" t="n">
        <v>0</v>
      </c>
      <c r="M1180" t="n">
        <v>0</v>
      </c>
      <c r="N1180" t="n">
        <v>0</v>
      </c>
      <c r="O1180" t="n">
        <v>1</v>
      </c>
      <c r="P1180" t="n">
        <v>0</v>
      </c>
      <c r="Q1180" t="n">
        <v>1</v>
      </c>
      <c r="R1180" s="2" t="inlineStr">
        <is>
          <t>Skrovellav</t>
        </is>
      </c>
      <c r="S1180">
        <f>HYPERLINK("https://klasma.github.io/Logging_2313/artfynd/A 26147-2021 artfynd.xlsx", "A 26147-2021")</f>
        <v/>
      </c>
      <c r="T1180">
        <f>HYPERLINK("https://klasma.github.io/Logging_2313/kartor/A 26147-2021 karta.png", "A 26147-2021")</f>
        <v/>
      </c>
      <c r="V1180">
        <f>HYPERLINK("https://klasma.github.io/Logging_2313/klagomål/A 26147-2021 FSC-klagomål.docx", "A 26147-2021")</f>
        <v/>
      </c>
      <c r="W1180">
        <f>HYPERLINK("https://klasma.github.io/Logging_2313/klagomålsmail/A 26147-2021 FSC-klagomål mail.docx", "A 26147-2021")</f>
        <v/>
      </c>
      <c r="X1180">
        <f>HYPERLINK("https://klasma.github.io/Logging_2313/tillsyn/A 26147-2021 tillsynsbegäran.docx", "A 26147-2021")</f>
        <v/>
      </c>
      <c r="Y1180">
        <f>HYPERLINK("https://klasma.github.io/Logging_2313/tillsynsmail/A 26147-2021 tillsynsbegäran mail.docx", "A 26147-2021")</f>
        <v/>
      </c>
    </row>
    <row r="1181" ht="15" customHeight="1">
      <c r="A1181" t="inlineStr">
        <is>
          <t>A 27560-2021</t>
        </is>
      </c>
      <c r="B1181" s="1" t="n">
        <v>44352</v>
      </c>
      <c r="C1181" s="1" t="n">
        <v>45363</v>
      </c>
      <c r="D1181" t="inlineStr">
        <is>
          <t>JÄMTLANDS LÄN</t>
        </is>
      </c>
      <c r="E1181" t="inlineStr">
        <is>
          <t>STRÖMSUND</t>
        </is>
      </c>
      <c r="G1181" t="n">
        <v>2.5</v>
      </c>
      <c r="H1181" t="n">
        <v>1</v>
      </c>
      <c r="I1181" t="n">
        <v>0</v>
      </c>
      <c r="J1181" t="n">
        <v>0</v>
      </c>
      <c r="K1181" t="n">
        <v>0</v>
      </c>
      <c r="L1181" t="n">
        <v>0</v>
      </c>
      <c r="M1181" t="n">
        <v>0</v>
      </c>
      <c r="N1181" t="n">
        <v>0</v>
      </c>
      <c r="O1181" t="n">
        <v>0</v>
      </c>
      <c r="P1181" t="n">
        <v>0</v>
      </c>
      <c r="Q1181" t="n">
        <v>1</v>
      </c>
      <c r="R1181" s="2" t="inlineStr">
        <is>
          <t>Fläcknycklar</t>
        </is>
      </c>
      <c r="S1181">
        <f>HYPERLINK("https://klasma.github.io/Logging_2313/artfynd/A 27560-2021 artfynd.xlsx", "A 27560-2021")</f>
        <v/>
      </c>
      <c r="T1181">
        <f>HYPERLINK("https://klasma.github.io/Logging_2313/kartor/A 27560-2021 karta.png", "A 27560-2021")</f>
        <v/>
      </c>
      <c r="V1181">
        <f>HYPERLINK("https://klasma.github.io/Logging_2313/klagomål/A 27560-2021 FSC-klagomål.docx", "A 27560-2021")</f>
        <v/>
      </c>
      <c r="W1181">
        <f>HYPERLINK("https://klasma.github.io/Logging_2313/klagomålsmail/A 27560-2021 FSC-klagomål mail.docx", "A 27560-2021")</f>
        <v/>
      </c>
      <c r="X1181">
        <f>HYPERLINK("https://klasma.github.io/Logging_2313/tillsyn/A 27560-2021 tillsynsbegäran.docx", "A 27560-2021")</f>
        <v/>
      </c>
      <c r="Y1181">
        <f>HYPERLINK("https://klasma.github.io/Logging_2313/tillsynsmail/A 27560-2021 tillsynsbegäran mail.docx", "A 27560-2021")</f>
        <v/>
      </c>
    </row>
    <row r="1182" ht="15" customHeight="1">
      <c r="A1182" t="inlineStr">
        <is>
          <t>A 29597-2021</t>
        </is>
      </c>
      <c r="B1182" s="1" t="n">
        <v>44361</v>
      </c>
      <c r="C1182" s="1" t="n">
        <v>45363</v>
      </c>
      <c r="D1182" t="inlineStr">
        <is>
          <t>JÄMTLANDS LÄN</t>
        </is>
      </c>
      <c r="E1182" t="inlineStr">
        <is>
          <t>STRÖMSUND</t>
        </is>
      </c>
      <c r="F1182" t="inlineStr">
        <is>
          <t>SCA</t>
        </is>
      </c>
      <c r="G1182" t="n">
        <v>2.6</v>
      </c>
      <c r="H1182" t="n">
        <v>1</v>
      </c>
      <c r="I1182" t="n">
        <v>0</v>
      </c>
      <c r="J1182" t="n">
        <v>0</v>
      </c>
      <c r="K1182" t="n">
        <v>0</v>
      </c>
      <c r="L1182" t="n">
        <v>0</v>
      </c>
      <c r="M1182" t="n">
        <v>0</v>
      </c>
      <c r="N1182" t="n">
        <v>0</v>
      </c>
      <c r="O1182" t="n">
        <v>0</v>
      </c>
      <c r="P1182" t="n">
        <v>0</v>
      </c>
      <c r="Q1182" t="n">
        <v>1</v>
      </c>
      <c r="R1182" s="2" t="inlineStr">
        <is>
          <t>Mattlummer</t>
        </is>
      </c>
      <c r="S1182">
        <f>HYPERLINK("https://klasma.github.io/Logging_2313/artfynd/A 29597-2021 artfynd.xlsx", "A 29597-2021")</f>
        <v/>
      </c>
      <c r="T1182">
        <f>HYPERLINK("https://klasma.github.io/Logging_2313/kartor/A 29597-2021 karta.png", "A 29597-2021")</f>
        <v/>
      </c>
      <c r="V1182">
        <f>HYPERLINK("https://klasma.github.io/Logging_2313/klagomål/A 29597-2021 FSC-klagomål.docx", "A 29597-2021")</f>
        <v/>
      </c>
      <c r="W1182">
        <f>HYPERLINK("https://klasma.github.io/Logging_2313/klagomålsmail/A 29597-2021 FSC-klagomål mail.docx", "A 29597-2021")</f>
        <v/>
      </c>
      <c r="X1182">
        <f>HYPERLINK("https://klasma.github.io/Logging_2313/tillsyn/A 29597-2021 tillsynsbegäran.docx", "A 29597-2021")</f>
        <v/>
      </c>
      <c r="Y1182">
        <f>HYPERLINK("https://klasma.github.io/Logging_2313/tillsynsmail/A 29597-2021 tillsynsbegäran mail.docx", "A 29597-2021")</f>
        <v/>
      </c>
    </row>
    <row r="1183" ht="15" customHeight="1">
      <c r="A1183" t="inlineStr">
        <is>
          <t>A 31336-2021</t>
        </is>
      </c>
      <c r="B1183" s="1" t="n">
        <v>44368</v>
      </c>
      <c r="C1183" s="1" t="n">
        <v>45363</v>
      </c>
      <c r="D1183" t="inlineStr">
        <is>
          <t>JÄMTLANDS LÄN</t>
        </is>
      </c>
      <c r="E1183" t="inlineStr">
        <is>
          <t>BRÄCKE</t>
        </is>
      </c>
      <c r="F1183" t="inlineStr">
        <is>
          <t>SCA</t>
        </is>
      </c>
      <c r="G1183" t="n">
        <v>2.2</v>
      </c>
      <c r="H1183" t="n">
        <v>0</v>
      </c>
      <c r="I1183" t="n">
        <v>0</v>
      </c>
      <c r="J1183" t="n">
        <v>0</v>
      </c>
      <c r="K1183" t="n">
        <v>1</v>
      </c>
      <c r="L1183" t="n">
        <v>0</v>
      </c>
      <c r="M1183" t="n">
        <v>0</v>
      </c>
      <c r="N1183" t="n">
        <v>0</v>
      </c>
      <c r="O1183" t="n">
        <v>1</v>
      </c>
      <c r="P1183" t="n">
        <v>1</v>
      </c>
      <c r="Q1183" t="n">
        <v>1</v>
      </c>
      <c r="R1183" s="2" t="inlineStr">
        <is>
          <t>Rynkskinn</t>
        </is>
      </c>
      <c r="S1183">
        <f>HYPERLINK("https://klasma.github.io/Logging_2305/artfynd/A 31336-2021 artfynd.xlsx", "A 31336-2021")</f>
        <v/>
      </c>
      <c r="T1183">
        <f>HYPERLINK("https://klasma.github.io/Logging_2305/kartor/A 31336-2021 karta.png", "A 31336-2021")</f>
        <v/>
      </c>
      <c r="V1183">
        <f>HYPERLINK("https://klasma.github.io/Logging_2305/klagomål/A 31336-2021 FSC-klagomål.docx", "A 31336-2021")</f>
        <v/>
      </c>
      <c r="W1183">
        <f>HYPERLINK("https://klasma.github.io/Logging_2305/klagomålsmail/A 31336-2021 FSC-klagomål mail.docx", "A 31336-2021")</f>
        <v/>
      </c>
      <c r="X1183">
        <f>HYPERLINK("https://klasma.github.io/Logging_2305/tillsyn/A 31336-2021 tillsynsbegäran.docx", "A 31336-2021")</f>
        <v/>
      </c>
      <c r="Y1183">
        <f>HYPERLINK("https://klasma.github.io/Logging_2305/tillsynsmail/A 31336-2021 tillsynsbegäran mail.docx", "A 31336-2021")</f>
        <v/>
      </c>
    </row>
    <row r="1184" ht="15" customHeight="1">
      <c r="A1184" t="inlineStr">
        <is>
          <t>A 31328-2021</t>
        </is>
      </c>
      <c r="B1184" s="1" t="n">
        <v>44368</v>
      </c>
      <c r="C1184" s="1" t="n">
        <v>45363</v>
      </c>
      <c r="D1184" t="inlineStr">
        <is>
          <t>JÄMTLANDS LÄN</t>
        </is>
      </c>
      <c r="E1184" t="inlineStr">
        <is>
          <t>ÖSTERSUND</t>
        </is>
      </c>
      <c r="G1184" t="n">
        <v>6.3</v>
      </c>
      <c r="H1184" t="n">
        <v>1</v>
      </c>
      <c r="I1184" t="n">
        <v>0</v>
      </c>
      <c r="J1184" t="n">
        <v>0</v>
      </c>
      <c r="K1184" t="n">
        <v>0</v>
      </c>
      <c r="L1184" t="n">
        <v>0</v>
      </c>
      <c r="M1184" t="n">
        <v>0</v>
      </c>
      <c r="N1184" t="n">
        <v>0</v>
      </c>
      <c r="O1184" t="n">
        <v>0</v>
      </c>
      <c r="P1184" t="n">
        <v>0</v>
      </c>
      <c r="Q1184" t="n">
        <v>1</v>
      </c>
      <c r="R1184" s="2" t="inlineStr">
        <is>
          <t>Fläcknycklar</t>
        </is>
      </c>
      <c r="S1184">
        <f>HYPERLINK("https://klasma.github.io/Logging_2380/artfynd/A 31328-2021 artfynd.xlsx", "A 31328-2021")</f>
        <v/>
      </c>
      <c r="T1184">
        <f>HYPERLINK("https://klasma.github.io/Logging_2380/kartor/A 31328-2021 karta.png", "A 31328-2021")</f>
        <v/>
      </c>
      <c r="V1184">
        <f>HYPERLINK("https://klasma.github.io/Logging_2380/klagomål/A 31328-2021 FSC-klagomål.docx", "A 31328-2021")</f>
        <v/>
      </c>
      <c r="W1184">
        <f>HYPERLINK("https://klasma.github.io/Logging_2380/klagomålsmail/A 31328-2021 FSC-klagomål mail.docx", "A 31328-2021")</f>
        <v/>
      </c>
      <c r="X1184">
        <f>HYPERLINK("https://klasma.github.io/Logging_2380/tillsyn/A 31328-2021 tillsynsbegäran.docx", "A 31328-2021")</f>
        <v/>
      </c>
      <c r="Y1184">
        <f>HYPERLINK("https://klasma.github.io/Logging_2380/tillsynsmail/A 31328-2021 tillsynsbegäran mail.docx", "A 31328-2021")</f>
        <v/>
      </c>
    </row>
    <row r="1185" ht="15" customHeight="1">
      <c r="A1185" t="inlineStr">
        <is>
          <t>A 31773-2021</t>
        </is>
      </c>
      <c r="B1185" s="1" t="n">
        <v>44369</v>
      </c>
      <c r="C1185" s="1" t="n">
        <v>45363</v>
      </c>
      <c r="D1185" t="inlineStr">
        <is>
          <t>JÄMTLANDS LÄN</t>
        </is>
      </c>
      <c r="E1185" t="inlineStr">
        <is>
          <t>RAGUNDA</t>
        </is>
      </c>
      <c r="G1185" t="n">
        <v>0.8</v>
      </c>
      <c r="H1185" t="n">
        <v>0</v>
      </c>
      <c r="I1185" t="n">
        <v>0</v>
      </c>
      <c r="J1185" t="n">
        <v>0</v>
      </c>
      <c r="K1185" t="n">
        <v>1</v>
      </c>
      <c r="L1185" t="n">
        <v>0</v>
      </c>
      <c r="M1185" t="n">
        <v>0</v>
      </c>
      <c r="N1185" t="n">
        <v>0</v>
      </c>
      <c r="O1185" t="n">
        <v>1</v>
      </c>
      <c r="P1185" t="n">
        <v>1</v>
      </c>
      <c r="Q1185" t="n">
        <v>1</v>
      </c>
      <c r="R1185" s="2" t="inlineStr">
        <is>
          <t>Strandsandjägare</t>
        </is>
      </c>
      <c r="S1185">
        <f>HYPERLINK("https://klasma.github.io/Logging_2303/artfynd/A 31773-2021 artfynd.xlsx", "A 31773-2021")</f>
        <v/>
      </c>
      <c r="T1185">
        <f>HYPERLINK("https://klasma.github.io/Logging_2303/kartor/A 31773-2021 karta.png", "A 31773-2021")</f>
        <v/>
      </c>
      <c r="V1185">
        <f>HYPERLINK("https://klasma.github.io/Logging_2303/klagomål/A 31773-2021 FSC-klagomål.docx", "A 31773-2021")</f>
        <v/>
      </c>
      <c r="W1185">
        <f>HYPERLINK("https://klasma.github.io/Logging_2303/klagomålsmail/A 31773-2021 FSC-klagomål mail.docx", "A 31773-2021")</f>
        <v/>
      </c>
      <c r="X1185">
        <f>HYPERLINK("https://klasma.github.io/Logging_2303/tillsyn/A 31773-2021 tillsynsbegäran.docx", "A 31773-2021")</f>
        <v/>
      </c>
      <c r="Y1185">
        <f>HYPERLINK("https://klasma.github.io/Logging_2303/tillsynsmail/A 31773-2021 tillsynsbegäran mail.docx", "A 31773-2021")</f>
        <v/>
      </c>
    </row>
    <row r="1186" ht="15" customHeight="1">
      <c r="A1186" t="inlineStr">
        <is>
          <t>A 32913-2021</t>
        </is>
      </c>
      <c r="B1186" s="1" t="n">
        <v>44375</v>
      </c>
      <c r="C1186" s="1" t="n">
        <v>45363</v>
      </c>
      <c r="D1186" t="inlineStr">
        <is>
          <t>JÄMTLANDS LÄN</t>
        </is>
      </c>
      <c r="E1186" t="inlineStr">
        <is>
          <t>STRÖMSUND</t>
        </is>
      </c>
      <c r="F1186" t="inlineStr">
        <is>
          <t>SCA</t>
        </is>
      </c>
      <c r="G1186" t="n">
        <v>22</v>
      </c>
      <c r="H1186" t="n">
        <v>0</v>
      </c>
      <c r="I1186" t="n">
        <v>1</v>
      </c>
      <c r="J1186" t="n">
        <v>0</v>
      </c>
      <c r="K1186" t="n">
        <v>0</v>
      </c>
      <c r="L1186" t="n">
        <v>0</v>
      </c>
      <c r="M1186" t="n">
        <v>0</v>
      </c>
      <c r="N1186" t="n">
        <v>0</v>
      </c>
      <c r="O1186" t="n">
        <v>0</v>
      </c>
      <c r="P1186" t="n">
        <v>0</v>
      </c>
      <c r="Q1186" t="n">
        <v>1</v>
      </c>
      <c r="R1186" s="2" t="inlineStr">
        <is>
          <t>Korallblylav</t>
        </is>
      </c>
      <c r="S1186">
        <f>HYPERLINK("https://klasma.github.io/Logging_2313/artfynd/A 32913-2021 artfynd.xlsx", "A 32913-2021")</f>
        <v/>
      </c>
      <c r="T1186">
        <f>HYPERLINK("https://klasma.github.io/Logging_2313/kartor/A 32913-2021 karta.png", "A 32913-2021")</f>
        <v/>
      </c>
      <c r="V1186">
        <f>HYPERLINK("https://klasma.github.io/Logging_2313/klagomål/A 32913-2021 FSC-klagomål.docx", "A 32913-2021")</f>
        <v/>
      </c>
      <c r="W1186">
        <f>HYPERLINK("https://klasma.github.io/Logging_2313/klagomålsmail/A 32913-2021 FSC-klagomål mail.docx", "A 32913-2021")</f>
        <v/>
      </c>
      <c r="X1186">
        <f>HYPERLINK("https://klasma.github.io/Logging_2313/tillsyn/A 32913-2021 tillsynsbegäran.docx", "A 32913-2021")</f>
        <v/>
      </c>
      <c r="Y1186">
        <f>HYPERLINK("https://klasma.github.io/Logging_2313/tillsynsmail/A 32913-2021 tillsynsbegäran mail.docx", "A 32913-2021")</f>
        <v/>
      </c>
    </row>
    <row r="1187" ht="15" customHeight="1">
      <c r="A1187" t="inlineStr">
        <is>
          <t>A 33137-2021</t>
        </is>
      </c>
      <c r="B1187" s="1" t="n">
        <v>44376</v>
      </c>
      <c r="C1187" s="1" t="n">
        <v>45363</v>
      </c>
      <c r="D1187" t="inlineStr">
        <is>
          <t>JÄMTLANDS LÄN</t>
        </is>
      </c>
      <c r="E1187" t="inlineStr">
        <is>
          <t>ÖSTERSUND</t>
        </is>
      </c>
      <c r="F1187" t="inlineStr">
        <is>
          <t>Kommuner</t>
        </is>
      </c>
      <c r="G1187" t="n">
        <v>3.7</v>
      </c>
      <c r="H1187" t="n">
        <v>1</v>
      </c>
      <c r="I1187" t="n">
        <v>1</v>
      </c>
      <c r="J1187" t="n">
        <v>0</v>
      </c>
      <c r="K1187" t="n">
        <v>0</v>
      </c>
      <c r="L1187" t="n">
        <v>0</v>
      </c>
      <c r="M1187" t="n">
        <v>0</v>
      </c>
      <c r="N1187" t="n">
        <v>0</v>
      </c>
      <c r="O1187" t="n">
        <v>0</v>
      </c>
      <c r="P1187" t="n">
        <v>0</v>
      </c>
      <c r="Q1187" t="n">
        <v>1</v>
      </c>
      <c r="R1187" s="2" t="inlineStr">
        <is>
          <t>Guckusko</t>
        </is>
      </c>
      <c r="S1187">
        <f>HYPERLINK("https://klasma.github.io/Logging_2380/artfynd/A 33137-2021 artfynd.xlsx", "A 33137-2021")</f>
        <v/>
      </c>
      <c r="T1187">
        <f>HYPERLINK("https://klasma.github.io/Logging_2380/kartor/A 33137-2021 karta.png", "A 33137-2021")</f>
        <v/>
      </c>
      <c r="V1187">
        <f>HYPERLINK("https://klasma.github.io/Logging_2380/klagomål/A 33137-2021 FSC-klagomål.docx", "A 33137-2021")</f>
        <v/>
      </c>
      <c r="W1187">
        <f>HYPERLINK("https://klasma.github.io/Logging_2380/klagomålsmail/A 33137-2021 FSC-klagomål mail.docx", "A 33137-2021")</f>
        <v/>
      </c>
      <c r="X1187">
        <f>HYPERLINK("https://klasma.github.io/Logging_2380/tillsyn/A 33137-2021 tillsynsbegäran.docx", "A 33137-2021")</f>
        <v/>
      </c>
      <c r="Y1187">
        <f>HYPERLINK("https://klasma.github.io/Logging_2380/tillsynsmail/A 33137-2021 tillsynsbegäran mail.docx", "A 33137-2021")</f>
        <v/>
      </c>
    </row>
    <row r="1188" ht="15" customHeight="1">
      <c r="A1188" t="inlineStr">
        <is>
          <t>A 33545-2021</t>
        </is>
      </c>
      <c r="B1188" s="1" t="n">
        <v>44377</v>
      </c>
      <c r="C1188" s="1" t="n">
        <v>45363</v>
      </c>
      <c r="D1188" t="inlineStr">
        <is>
          <t>JÄMTLANDS LÄN</t>
        </is>
      </c>
      <c r="E1188" t="inlineStr">
        <is>
          <t>STRÖMSUND</t>
        </is>
      </c>
      <c r="G1188" t="n">
        <v>7.5</v>
      </c>
      <c r="H1188" t="n">
        <v>0</v>
      </c>
      <c r="I1188" t="n">
        <v>0</v>
      </c>
      <c r="J1188" t="n">
        <v>1</v>
      </c>
      <c r="K1188" t="n">
        <v>0</v>
      </c>
      <c r="L1188" t="n">
        <v>0</v>
      </c>
      <c r="M1188" t="n">
        <v>0</v>
      </c>
      <c r="N1188" t="n">
        <v>0</v>
      </c>
      <c r="O1188" t="n">
        <v>1</v>
      </c>
      <c r="P1188" t="n">
        <v>0</v>
      </c>
      <c r="Q1188" t="n">
        <v>1</v>
      </c>
      <c r="R1188" s="2" t="inlineStr">
        <is>
          <t>Lunglav</t>
        </is>
      </c>
      <c r="S1188">
        <f>HYPERLINK("https://klasma.github.io/Logging_2313/artfynd/A 33545-2021 artfynd.xlsx", "A 33545-2021")</f>
        <v/>
      </c>
      <c r="T1188">
        <f>HYPERLINK("https://klasma.github.io/Logging_2313/kartor/A 33545-2021 karta.png", "A 33545-2021")</f>
        <v/>
      </c>
      <c r="V1188">
        <f>HYPERLINK("https://klasma.github.io/Logging_2313/klagomål/A 33545-2021 FSC-klagomål.docx", "A 33545-2021")</f>
        <v/>
      </c>
      <c r="W1188">
        <f>HYPERLINK("https://klasma.github.io/Logging_2313/klagomålsmail/A 33545-2021 FSC-klagomål mail.docx", "A 33545-2021")</f>
        <v/>
      </c>
      <c r="X1188">
        <f>HYPERLINK("https://klasma.github.io/Logging_2313/tillsyn/A 33545-2021 tillsynsbegäran.docx", "A 33545-2021")</f>
        <v/>
      </c>
      <c r="Y1188">
        <f>HYPERLINK("https://klasma.github.io/Logging_2313/tillsynsmail/A 33545-2021 tillsynsbegäran mail.docx", "A 33545-2021")</f>
        <v/>
      </c>
    </row>
    <row r="1189" ht="15" customHeight="1">
      <c r="A1189" t="inlineStr">
        <is>
          <t>A 33557-2021</t>
        </is>
      </c>
      <c r="B1189" s="1" t="n">
        <v>44377</v>
      </c>
      <c r="C1189" s="1" t="n">
        <v>45363</v>
      </c>
      <c r="D1189" t="inlineStr">
        <is>
          <t>JÄMTLANDS LÄN</t>
        </is>
      </c>
      <c r="E1189" t="inlineStr">
        <is>
          <t>BERG</t>
        </is>
      </c>
      <c r="F1189" t="inlineStr">
        <is>
          <t>SCA</t>
        </is>
      </c>
      <c r="G1189" t="n">
        <v>10</v>
      </c>
      <c r="H1189" t="n">
        <v>0</v>
      </c>
      <c r="I1189" t="n">
        <v>0</v>
      </c>
      <c r="J1189" t="n">
        <v>0</v>
      </c>
      <c r="K1189" t="n">
        <v>1</v>
      </c>
      <c r="L1189" t="n">
        <v>0</v>
      </c>
      <c r="M1189" t="n">
        <v>0</v>
      </c>
      <c r="N1189" t="n">
        <v>0</v>
      </c>
      <c r="O1189" t="n">
        <v>1</v>
      </c>
      <c r="P1189" t="n">
        <v>1</v>
      </c>
      <c r="Q1189" t="n">
        <v>1</v>
      </c>
      <c r="R1189" s="2" t="inlineStr">
        <is>
          <t>Gräddporing</t>
        </is>
      </c>
      <c r="S1189">
        <f>HYPERLINK("https://klasma.github.io/Logging_2326/artfynd/A 33557-2021 artfynd.xlsx", "A 33557-2021")</f>
        <v/>
      </c>
      <c r="T1189">
        <f>HYPERLINK("https://klasma.github.io/Logging_2326/kartor/A 33557-2021 karta.png", "A 33557-2021")</f>
        <v/>
      </c>
      <c r="V1189">
        <f>HYPERLINK("https://klasma.github.io/Logging_2326/klagomål/A 33557-2021 FSC-klagomål.docx", "A 33557-2021")</f>
        <v/>
      </c>
      <c r="W1189">
        <f>HYPERLINK("https://klasma.github.io/Logging_2326/klagomålsmail/A 33557-2021 FSC-klagomål mail.docx", "A 33557-2021")</f>
        <v/>
      </c>
      <c r="X1189">
        <f>HYPERLINK("https://klasma.github.io/Logging_2326/tillsyn/A 33557-2021 tillsynsbegäran.docx", "A 33557-2021")</f>
        <v/>
      </c>
      <c r="Y1189">
        <f>HYPERLINK("https://klasma.github.io/Logging_2326/tillsynsmail/A 33557-2021 tillsynsbegäran mail.docx", "A 33557-2021")</f>
        <v/>
      </c>
    </row>
    <row r="1190" ht="15" customHeight="1">
      <c r="A1190" t="inlineStr">
        <is>
          <t>A 35444-2021</t>
        </is>
      </c>
      <c r="B1190" s="1" t="n">
        <v>44385</v>
      </c>
      <c r="C1190" s="1" t="n">
        <v>45363</v>
      </c>
      <c r="D1190" t="inlineStr">
        <is>
          <t>JÄMTLANDS LÄN</t>
        </is>
      </c>
      <c r="E1190" t="inlineStr">
        <is>
          <t>STRÖMSUND</t>
        </is>
      </c>
      <c r="G1190" t="n">
        <v>20</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HYPERLINK("https://klasma.github.io/Logging_2313/artfynd/A 35444-2021 artfynd.xlsx", "A 35444-2021")</f>
        <v/>
      </c>
      <c r="T1190">
        <f>HYPERLINK("https://klasma.github.io/Logging_2313/kartor/A 35444-2021 karta.png", "A 35444-2021")</f>
        <v/>
      </c>
      <c r="V1190">
        <f>HYPERLINK("https://klasma.github.io/Logging_2313/klagomål/A 35444-2021 FSC-klagomål.docx", "A 35444-2021")</f>
        <v/>
      </c>
      <c r="W1190">
        <f>HYPERLINK("https://klasma.github.io/Logging_2313/klagomålsmail/A 35444-2021 FSC-klagomål mail.docx", "A 35444-2021")</f>
        <v/>
      </c>
      <c r="X1190">
        <f>HYPERLINK("https://klasma.github.io/Logging_2313/tillsyn/A 35444-2021 tillsynsbegäran.docx", "A 35444-2021")</f>
        <v/>
      </c>
      <c r="Y1190">
        <f>HYPERLINK("https://klasma.github.io/Logging_2313/tillsynsmail/A 35444-2021 tillsynsbegäran mail.docx", "A 35444-2021")</f>
        <v/>
      </c>
      <c r="Z1190">
        <f>HYPERLINK("https://klasma.github.io/Logging_2313/fåglar/A 35444-2021 prioriterade fågelarter.docx", "A 35444-2021")</f>
        <v/>
      </c>
    </row>
    <row r="1191" ht="15" customHeight="1">
      <c r="A1191" t="inlineStr">
        <is>
          <t>A 37082-2021</t>
        </is>
      </c>
      <c r="B1191" s="1" t="n">
        <v>44395</v>
      </c>
      <c r="C1191" s="1" t="n">
        <v>45363</v>
      </c>
      <c r="D1191" t="inlineStr">
        <is>
          <t>JÄMTLANDS LÄN</t>
        </is>
      </c>
      <c r="E1191" t="inlineStr">
        <is>
          <t>ÅRE</t>
        </is>
      </c>
      <c r="G1191" t="n">
        <v>14.6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HYPERLINK("https://klasma.github.io/Logging_2321/artfynd/A 37082-2021 artfynd.xlsx", "A 37082-2021")</f>
        <v/>
      </c>
      <c r="T1191">
        <f>HYPERLINK("https://klasma.github.io/Logging_2321/kartor/A 37082-2021 karta.png", "A 37082-2021")</f>
        <v/>
      </c>
      <c r="V1191">
        <f>HYPERLINK("https://klasma.github.io/Logging_2321/klagomål/A 37082-2021 FSC-klagomål.docx", "A 37082-2021")</f>
        <v/>
      </c>
      <c r="W1191">
        <f>HYPERLINK("https://klasma.github.io/Logging_2321/klagomålsmail/A 37082-2021 FSC-klagomål mail.docx", "A 37082-2021")</f>
        <v/>
      </c>
      <c r="X1191">
        <f>HYPERLINK("https://klasma.github.io/Logging_2321/tillsyn/A 37082-2021 tillsynsbegäran.docx", "A 37082-2021")</f>
        <v/>
      </c>
      <c r="Y1191">
        <f>HYPERLINK("https://klasma.github.io/Logging_2321/tillsynsmail/A 37082-2021 tillsynsbegäran mail.docx", "A 37082-2021")</f>
        <v/>
      </c>
      <c r="Z1191">
        <f>HYPERLINK("https://klasma.github.io/Logging_2321/fåglar/A 37082-2021 prioriterade fågelarter.docx", "A 37082-2021")</f>
        <v/>
      </c>
    </row>
    <row r="1192" ht="15" customHeight="1">
      <c r="A1192" t="inlineStr">
        <is>
          <t>A 38359-2021</t>
        </is>
      </c>
      <c r="B1192" s="1" t="n">
        <v>44406</v>
      </c>
      <c r="C1192" s="1" t="n">
        <v>45363</v>
      </c>
      <c r="D1192" t="inlineStr">
        <is>
          <t>JÄMTLANDS LÄN</t>
        </is>
      </c>
      <c r="E1192" t="inlineStr">
        <is>
          <t>HÄRJEDALEN</t>
        </is>
      </c>
      <c r="G1192" t="n">
        <v>17.3</v>
      </c>
      <c r="H1192" t="n">
        <v>1</v>
      </c>
      <c r="I1192" t="n">
        <v>0</v>
      </c>
      <c r="J1192" t="n">
        <v>0</v>
      </c>
      <c r="K1192" t="n">
        <v>1</v>
      </c>
      <c r="L1192" t="n">
        <v>0</v>
      </c>
      <c r="M1192" t="n">
        <v>0</v>
      </c>
      <c r="N1192" t="n">
        <v>0</v>
      </c>
      <c r="O1192" t="n">
        <v>1</v>
      </c>
      <c r="P1192" t="n">
        <v>1</v>
      </c>
      <c r="Q1192" t="n">
        <v>1</v>
      </c>
      <c r="R1192" s="2" t="inlineStr">
        <is>
          <t>Knärot</t>
        </is>
      </c>
      <c r="S1192">
        <f>HYPERLINK("https://klasma.github.io/Logging_2361/artfynd/A 38359-2021 artfynd.xlsx", "A 38359-2021")</f>
        <v/>
      </c>
      <c r="T1192">
        <f>HYPERLINK("https://klasma.github.io/Logging_2361/kartor/A 38359-2021 karta.png", "A 38359-2021")</f>
        <v/>
      </c>
      <c r="U1192">
        <f>HYPERLINK("https://klasma.github.io/Logging_2361/knärot/A 38359-2021 karta knärot.png", "A 38359-2021")</f>
        <v/>
      </c>
      <c r="V1192">
        <f>HYPERLINK("https://klasma.github.io/Logging_2361/klagomål/A 38359-2021 FSC-klagomål.docx", "A 38359-2021")</f>
        <v/>
      </c>
      <c r="W1192">
        <f>HYPERLINK("https://klasma.github.io/Logging_2361/klagomålsmail/A 38359-2021 FSC-klagomål mail.docx", "A 38359-2021")</f>
        <v/>
      </c>
      <c r="X1192">
        <f>HYPERLINK("https://klasma.github.io/Logging_2361/tillsyn/A 38359-2021 tillsynsbegäran.docx", "A 38359-2021")</f>
        <v/>
      </c>
      <c r="Y1192">
        <f>HYPERLINK("https://klasma.github.io/Logging_2361/tillsynsmail/A 38359-2021 tillsynsbegäran mail.docx", "A 38359-2021")</f>
        <v/>
      </c>
    </row>
    <row r="1193" ht="15" customHeight="1">
      <c r="A1193" t="inlineStr">
        <is>
          <t>A 38584-2021</t>
        </is>
      </c>
      <c r="B1193" s="1" t="n">
        <v>44407</v>
      </c>
      <c r="C1193" s="1" t="n">
        <v>45363</v>
      </c>
      <c r="D1193" t="inlineStr">
        <is>
          <t>JÄMTLANDS LÄN</t>
        </is>
      </c>
      <c r="E1193" t="inlineStr">
        <is>
          <t>STRÖMSUND</t>
        </is>
      </c>
      <c r="F1193" t="inlineStr">
        <is>
          <t>SCA</t>
        </is>
      </c>
      <c r="G1193" t="n">
        <v>8.4</v>
      </c>
      <c r="H1193" t="n">
        <v>1</v>
      </c>
      <c r="I1193" t="n">
        <v>0</v>
      </c>
      <c r="J1193" t="n">
        <v>0</v>
      </c>
      <c r="K1193" t="n">
        <v>1</v>
      </c>
      <c r="L1193" t="n">
        <v>0</v>
      </c>
      <c r="M1193" t="n">
        <v>0</v>
      </c>
      <c r="N1193" t="n">
        <v>0</v>
      </c>
      <c r="O1193" t="n">
        <v>1</v>
      </c>
      <c r="P1193" t="n">
        <v>1</v>
      </c>
      <c r="Q1193" t="n">
        <v>1</v>
      </c>
      <c r="R1193" s="2" t="inlineStr">
        <is>
          <t>Knärot</t>
        </is>
      </c>
      <c r="S1193">
        <f>HYPERLINK("https://klasma.github.io/Logging_2313/artfynd/A 38584-2021 artfynd.xlsx", "A 38584-2021")</f>
        <v/>
      </c>
      <c r="T1193">
        <f>HYPERLINK("https://klasma.github.io/Logging_2313/kartor/A 38584-2021 karta.png", "A 38584-2021")</f>
        <v/>
      </c>
      <c r="U1193">
        <f>HYPERLINK("https://klasma.github.io/Logging_2313/knärot/A 38584-2021 karta knärot.png", "A 38584-2021")</f>
        <v/>
      </c>
      <c r="V1193">
        <f>HYPERLINK("https://klasma.github.io/Logging_2313/klagomål/A 38584-2021 FSC-klagomål.docx", "A 38584-2021")</f>
        <v/>
      </c>
      <c r="W1193">
        <f>HYPERLINK("https://klasma.github.io/Logging_2313/klagomålsmail/A 38584-2021 FSC-klagomål mail.docx", "A 38584-2021")</f>
        <v/>
      </c>
      <c r="X1193">
        <f>HYPERLINK("https://klasma.github.io/Logging_2313/tillsyn/A 38584-2021 tillsynsbegäran.docx", "A 38584-2021")</f>
        <v/>
      </c>
      <c r="Y1193">
        <f>HYPERLINK("https://klasma.github.io/Logging_2313/tillsynsmail/A 38584-2021 tillsynsbegäran mail.docx", "A 38584-2021")</f>
        <v/>
      </c>
    </row>
    <row r="1194" ht="15" customHeight="1">
      <c r="A1194" t="inlineStr">
        <is>
          <t>A 39928-2021</t>
        </is>
      </c>
      <c r="B1194" s="1" t="n">
        <v>44417</v>
      </c>
      <c r="C1194" s="1" t="n">
        <v>45363</v>
      </c>
      <c r="D1194" t="inlineStr">
        <is>
          <t>JÄMTLANDS LÄN</t>
        </is>
      </c>
      <c r="E1194" t="inlineStr">
        <is>
          <t>STRÖMSUND</t>
        </is>
      </c>
      <c r="F1194" t="inlineStr">
        <is>
          <t>SCA</t>
        </is>
      </c>
      <c r="G1194" t="n">
        <v>1.5</v>
      </c>
      <c r="H1194" t="n">
        <v>1</v>
      </c>
      <c r="I1194" t="n">
        <v>0</v>
      </c>
      <c r="J1194" t="n">
        <v>1</v>
      </c>
      <c r="K1194" t="n">
        <v>0</v>
      </c>
      <c r="L1194" t="n">
        <v>0</v>
      </c>
      <c r="M1194" t="n">
        <v>0</v>
      </c>
      <c r="N1194" t="n">
        <v>0</v>
      </c>
      <c r="O1194" t="n">
        <v>1</v>
      </c>
      <c r="P1194" t="n">
        <v>0</v>
      </c>
      <c r="Q1194" t="n">
        <v>1</v>
      </c>
      <c r="R1194" s="2" t="inlineStr">
        <is>
          <t>Utter</t>
        </is>
      </c>
      <c r="S1194">
        <f>HYPERLINK("https://klasma.github.io/Logging_2313/artfynd/A 39928-2021 artfynd.xlsx", "A 39928-2021")</f>
        <v/>
      </c>
      <c r="T1194">
        <f>HYPERLINK("https://klasma.github.io/Logging_2313/kartor/A 39928-2021 karta.png", "A 39928-2021")</f>
        <v/>
      </c>
      <c r="V1194">
        <f>HYPERLINK("https://klasma.github.io/Logging_2313/klagomål/A 39928-2021 FSC-klagomål.docx", "A 39928-2021")</f>
        <v/>
      </c>
      <c r="W1194">
        <f>HYPERLINK("https://klasma.github.io/Logging_2313/klagomålsmail/A 39928-2021 FSC-klagomål mail.docx", "A 39928-2021")</f>
        <v/>
      </c>
      <c r="X1194">
        <f>HYPERLINK("https://klasma.github.io/Logging_2313/tillsyn/A 39928-2021 tillsynsbegäran.docx", "A 39928-2021")</f>
        <v/>
      </c>
      <c r="Y1194">
        <f>HYPERLINK("https://klasma.github.io/Logging_2313/tillsynsmail/A 39928-2021 tillsynsbegäran mail.docx", "A 39928-2021")</f>
        <v/>
      </c>
    </row>
    <row r="1195" ht="15" customHeight="1">
      <c r="A1195" t="inlineStr">
        <is>
          <t>A 42246-2021</t>
        </is>
      </c>
      <c r="B1195" s="1" t="n">
        <v>44426</v>
      </c>
      <c r="C1195" s="1" t="n">
        <v>45363</v>
      </c>
      <c r="D1195" t="inlineStr">
        <is>
          <t>JÄMTLANDS LÄN</t>
        </is>
      </c>
      <c r="E1195" t="inlineStr">
        <is>
          <t>STRÖMSUND</t>
        </is>
      </c>
      <c r="F1195" t="inlineStr">
        <is>
          <t>SCA</t>
        </is>
      </c>
      <c r="G1195" t="n">
        <v>6.6</v>
      </c>
      <c r="H1195" t="n">
        <v>0</v>
      </c>
      <c r="I1195" t="n">
        <v>0</v>
      </c>
      <c r="J1195" t="n">
        <v>1</v>
      </c>
      <c r="K1195" t="n">
        <v>0</v>
      </c>
      <c r="L1195" t="n">
        <v>0</v>
      </c>
      <c r="M1195" t="n">
        <v>0</v>
      </c>
      <c r="N1195" t="n">
        <v>0</v>
      </c>
      <c r="O1195" t="n">
        <v>1</v>
      </c>
      <c r="P1195" t="n">
        <v>0</v>
      </c>
      <c r="Q1195" t="n">
        <v>1</v>
      </c>
      <c r="R1195" s="2" t="inlineStr">
        <is>
          <t>Garnlav</t>
        </is>
      </c>
      <c r="S1195">
        <f>HYPERLINK("https://klasma.github.io/Logging_2313/artfynd/A 42246-2021 artfynd.xlsx", "A 42246-2021")</f>
        <v/>
      </c>
      <c r="T1195">
        <f>HYPERLINK("https://klasma.github.io/Logging_2313/kartor/A 42246-2021 karta.png", "A 42246-2021")</f>
        <v/>
      </c>
      <c r="V1195">
        <f>HYPERLINK("https://klasma.github.io/Logging_2313/klagomål/A 42246-2021 FSC-klagomål.docx", "A 42246-2021")</f>
        <v/>
      </c>
      <c r="W1195">
        <f>HYPERLINK("https://klasma.github.io/Logging_2313/klagomålsmail/A 42246-2021 FSC-klagomål mail.docx", "A 42246-2021")</f>
        <v/>
      </c>
      <c r="X1195">
        <f>HYPERLINK("https://klasma.github.io/Logging_2313/tillsyn/A 42246-2021 tillsynsbegäran.docx", "A 42246-2021")</f>
        <v/>
      </c>
      <c r="Y1195">
        <f>HYPERLINK("https://klasma.github.io/Logging_2313/tillsynsmail/A 42246-2021 tillsynsbegäran mail.docx", "A 42246-2021")</f>
        <v/>
      </c>
    </row>
    <row r="1196" ht="15" customHeight="1">
      <c r="A1196" t="inlineStr">
        <is>
          <t>A 42546-2021</t>
        </is>
      </c>
      <c r="B1196" s="1" t="n">
        <v>44428</v>
      </c>
      <c r="C1196" s="1" t="n">
        <v>45363</v>
      </c>
      <c r="D1196" t="inlineStr">
        <is>
          <t>JÄMTLANDS LÄN</t>
        </is>
      </c>
      <c r="E1196" t="inlineStr">
        <is>
          <t>RAGUNDA</t>
        </is>
      </c>
      <c r="F1196" t="inlineStr">
        <is>
          <t>SCA</t>
        </is>
      </c>
      <c r="G1196" t="n">
        <v>5.6</v>
      </c>
      <c r="H1196" t="n">
        <v>0</v>
      </c>
      <c r="I1196" t="n">
        <v>0</v>
      </c>
      <c r="J1196" t="n">
        <v>1</v>
      </c>
      <c r="K1196" t="n">
        <v>0</v>
      </c>
      <c r="L1196" t="n">
        <v>0</v>
      </c>
      <c r="M1196" t="n">
        <v>0</v>
      </c>
      <c r="N1196" t="n">
        <v>0</v>
      </c>
      <c r="O1196" t="n">
        <v>1</v>
      </c>
      <c r="P1196" t="n">
        <v>0</v>
      </c>
      <c r="Q1196" t="n">
        <v>1</v>
      </c>
      <c r="R1196" s="2" t="inlineStr">
        <is>
          <t>Dvärgbägarlav</t>
        </is>
      </c>
      <c r="S1196">
        <f>HYPERLINK("https://klasma.github.io/Logging_2303/artfynd/A 42546-2021 artfynd.xlsx", "A 42546-2021")</f>
        <v/>
      </c>
      <c r="T1196">
        <f>HYPERLINK("https://klasma.github.io/Logging_2303/kartor/A 42546-2021 karta.png", "A 42546-2021")</f>
        <v/>
      </c>
      <c r="V1196">
        <f>HYPERLINK("https://klasma.github.io/Logging_2303/klagomål/A 42546-2021 FSC-klagomål.docx", "A 42546-2021")</f>
        <v/>
      </c>
      <c r="W1196">
        <f>HYPERLINK("https://klasma.github.io/Logging_2303/klagomålsmail/A 42546-2021 FSC-klagomål mail.docx", "A 42546-2021")</f>
        <v/>
      </c>
      <c r="X1196">
        <f>HYPERLINK("https://klasma.github.io/Logging_2303/tillsyn/A 42546-2021 tillsynsbegäran.docx", "A 42546-2021")</f>
        <v/>
      </c>
      <c r="Y1196">
        <f>HYPERLINK("https://klasma.github.io/Logging_2303/tillsynsmail/A 42546-2021 tillsynsbegäran mail.docx", "A 42546-2021")</f>
        <v/>
      </c>
    </row>
    <row r="1197" ht="15" customHeight="1">
      <c r="A1197" t="inlineStr">
        <is>
          <t>A 46163-2021</t>
        </is>
      </c>
      <c r="B1197" s="1" t="n">
        <v>44441</v>
      </c>
      <c r="C1197" s="1" t="n">
        <v>45363</v>
      </c>
      <c r="D1197" t="inlineStr">
        <is>
          <t>JÄMTLANDS LÄN</t>
        </is>
      </c>
      <c r="E1197" t="inlineStr">
        <is>
          <t>ÖSTERSUND</t>
        </is>
      </c>
      <c r="G1197" t="n">
        <v>7.7</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HYPERLINK("https://klasma.github.io/Logging_2380/artfynd/A 46163-2021 artfynd.xlsx", "A 46163-2021")</f>
        <v/>
      </c>
      <c r="T1197">
        <f>HYPERLINK("https://klasma.github.io/Logging_2380/kartor/A 46163-2021 karta.png", "A 46163-2021")</f>
        <v/>
      </c>
      <c r="V1197">
        <f>HYPERLINK("https://klasma.github.io/Logging_2380/klagomål/A 46163-2021 FSC-klagomål.docx", "A 46163-2021")</f>
        <v/>
      </c>
      <c r="W1197">
        <f>HYPERLINK("https://klasma.github.io/Logging_2380/klagomålsmail/A 46163-2021 FSC-klagomål mail.docx", "A 46163-2021")</f>
        <v/>
      </c>
      <c r="X1197">
        <f>HYPERLINK("https://klasma.github.io/Logging_2380/tillsyn/A 46163-2021 tillsynsbegäran.docx", "A 46163-2021")</f>
        <v/>
      </c>
      <c r="Y1197">
        <f>HYPERLINK("https://klasma.github.io/Logging_2380/tillsynsmail/A 46163-2021 tillsynsbegäran mail.docx", "A 46163-2021")</f>
        <v/>
      </c>
      <c r="Z1197">
        <f>HYPERLINK("https://klasma.github.io/Logging_2380/fåglar/A 46163-2021 prioriterade fågelarter.docx", "A 46163-2021")</f>
        <v/>
      </c>
    </row>
    <row r="1198" ht="15" customHeight="1">
      <c r="A1198" t="inlineStr">
        <is>
          <t>A 46787-2021</t>
        </is>
      </c>
      <c r="B1198" s="1" t="n">
        <v>44445</v>
      </c>
      <c r="C1198" s="1" t="n">
        <v>45363</v>
      </c>
      <c r="D1198" t="inlineStr">
        <is>
          <t>JÄMTLANDS LÄN</t>
        </is>
      </c>
      <c r="E1198" t="inlineStr">
        <is>
          <t>KROKOM</t>
        </is>
      </c>
      <c r="F1198" t="inlineStr">
        <is>
          <t>SCA</t>
        </is>
      </c>
      <c r="G1198" t="n">
        <v>4.6</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HYPERLINK("https://klasma.github.io/Logging_2309/artfynd/A 46787-2021 artfynd.xlsx", "A 46787-2021")</f>
        <v/>
      </c>
      <c r="T1198">
        <f>HYPERLINK("https://klasma.github.io/Logging_2309/kartor/A 46787-2021 karta.png", "A 46787-2021")</f>
        <v/>
      </c>
      <c r="V1198">
        <f>HYPERLINK("https://klasma.github.io/Logging_2309/klagomål/A 46787-2021 FSC-klagomål.docx", "A 46787-2021")</f>
        <v/>
      </c>
      <c r="W1198">
        <f>HYPERLINK("https://klasma.github.io/Logging_2309/klagomålsmail/A 46787-2021 FSC-klagomål mail.docx", "A 46787-2021")</f>
        <v/>
      </c>
      <c r="X1198">
        <f>HYPERLINK("https://klasma.github.io/Logging_2309/tillsyn/A 46787-2021 tillsynsbegäran.docx", "A 46787-2021")</f>
        <v/>
      </c>
      <c r="Y1198">
        <f>HYPERLINK("https://klasma.github.io/Logging_2309/tillsynsmail/A 46787-2021 tillsynsbegäran mail.docx", "A 46787-2021")</f>
        <v/>
      </c>
    </row>
    <row r="1199" ht="15" customHeight="1">
      <c r="A1199" t="inlineStr">
        <is>
          <t>A 46785-2021</t>
        </is>
      </c>
      <c r="B1199" s="1" t="n">
        <v>44445</v>
      </c>
      <c r="C1199" s="1" t="n">
        <v>45363</v>
      </c>
      <c r="D1199" t="inlineStr">
        <is>
          <t>JÄMTLANDS LÄN</t>
        </is>
      </c>
      <c r="E1199" t="inlineStr">
        <is>
          <t>KROKOM</t>
        </is>
      </c>
      <c r="F1199" t="inlineStr">
        <is>
          <t>SCA</t>
        </is>
      </c>
      <c r="G1199" t="n">
        <v>1.5</v>
      </c>
      <c r="H1199" t="n">
        <v>0</v>
      </c>
      <c r="I1199" t="n">
        <v>0</v>
      </c>
      <c r="J1199" t="n">
        <v>1</v>
      </c>
      <c r="K1199" t="n">
        <v>0</v>
      </c>
      <c r="L1199" t="n">
        <v>0</v>
      </c>
      <c r="M1199" t="n">
        <v>0</v>
      </c>
      <c r="N1199" t="n">
        <v>0</v>
      </c>
      <c r="O1199" t="n">
        <v>1</v>
      </c>
      <c r="P1199" t="n">
        <v>0</v>
      </c>
      <c r="Q1199" t="n">
        <v>1</v>
      </c>
      <c r="R1199" s="2" t="inlineStr">
        <is>
          <t>Harticka</t>
        </is>
      </c>
      <c r="S1199">
        <f>HYPERLINK("https://klasma.github.io/Logging_2309/artfynd/A 46785-2021 artfynd.xlsx", "A 46785-2021")</f>
        <v/>
      </c>
      <c r="T1199">
        <f>HYPERLINK("https://klasma.github.io/Logging_2309/kartor/A 46785-2021 karta.png", "A 46785-2021")</f>
        <v/>
      </c>
      <c r="V1199">
        <f>HYPERLINK("https://klasma.github.io/Logging_2309/klagomål/A 46785-2021 FSC-klagomål.docx", "A 46785-2021")</f>
        <v/>
      </c>
      <c r="W1199">
        <f>HYPERLINK("https://klasma.github.io/Logging_2309/klagomålsmail/A 46785-2021 FSC-klagomål mail.docx", "A 46785-2021")</f>
        <v/>
      </c>
      <c r="X1199">
        <f>HYPERLINK("https://klasma.github.io/Logging_2309/tillsyn/A 46785-2021 tillsynsbegäran.docx", "A 46785-2021")</f>
        <v/>
      </c>
      <c r="Y1199">
        <f>HYPERLINK("https://klasma.github.io/Logging_2309/tillsynsmail/A 46785-2021 tillsynsbegäran mail.docx", "A 46785-2021")</f>
        <v/>
      </c>
    </row>
    <row r="1200" ht="15" customHeight="1">
      <c r="A1200" t="inlineStr">
        <is>
          <t>A 50654-2021</t>
        </is>
      </c>
      <c r="B1200" s="1" t="n">
        <v>44459</v>
      </c>
      <c r="C1200" s="1" t="n">
        <v>45363</v>
      </c>
      <c r="D1200" t="inlineStr">
        <is>
          <t>JÄMTLANDS LÄN</t>
        </is>
      </c>
      <c r="E1200" t="inlineStr">
        <is>
          <t>STRÖMSUND</t>
        </is>
      </c>
      <c r="F1200" t="inlineStr">
        <is>
          <t>SCA</t>
        </is>
      </c>
      <c r="G1200" t="n">
        <v>3.1</v>
      </c>
      <c r="H1200" t="n">
        <v>0</v>
      </c>
      <c r="I1200" t="n">
        <v>0</v>
      </c>
      <c r="J1200" t="n">
        <v>1</v>
      </c>
      <c r="K1200" t="n">
        <v>0</v>
      </c>
      <c r="L1200" t="n">
        <v>0</v>
      </c>
      <c r="M1200" t="n">
        <v>0</v>
      </c>
      <c r="N1200" t="n">
        <v>0</v>
      </c>
      <c r="O1200" t="n">
        <v>1</v>
      </c>
      <c r="P1200" t="n">
        <v>0</v>
      </c>
      <c r="Q1200" t="n">
        <v>1</v>
      </c>
      <c r="R1200" s="2" t="inlineStr">
        <is>
          <t>Ullticka</t>
        </is>
      </c>
      <c r="S1200">
        <f>HYPERLINK("https://klasma.github.io/Logging_2313/artfynd/A 50654-2021 artfynd.xlsx", "A 50654-2021")</f>
        <v/>
      </c>
      <c r="T1200">
        <f>HYPERLINK("https://klasma.github.io/Logging_2313/kartor/A 50654-2021 karta.png", "A 50654-2021")</f>
        <v/>
      </c>
      <c r="V1200">
        <f>HYPERLINK("https://klasma.github.io/Logging_2313/klagomål/A 50654-2021 FSC-klagomål.docx", "A 50654-2021")</f>
        <v/>
      </c>
      <c r="W1200">
        <f>HYPERLINK("https://klasma.github.io/Logging_2313/klagomålsmail/A 50654-2021 FSC-klagomål mail.docx", "A 50654-2021")</f>
        <v/>
      </c>
      <c r="X1200">
        <f>HYPERLINK("https://klasma.github.io/Logging_2313/tillsyn/A 50654-2021 tillsynsbegäran.docx", "A 50654-2021")</f>
        <v/>
      </c>
      <c r="Y1200">
        <f>HYPERLINK("https://klasma.github.io/Logging_2313/tillsynsmail/A 50654-2021 tillsynsbegäran mail.docx", "A 50654-2021")</f>
        <v/>
      </c>
    </row>
    <row r="1201" ht="15" customHeight="1">
      <c r="A1201" t="inlineStr">
        <is>
          <t>A 51916-2021</t>
        </is>
      </c>
      <c r="B1201" s="1" t="n">
        <v>44462</v>
      </c>
      <c r="C1201" s="1" t="n">
        <v>45363</v>
      </c>
      <c r="D1201" t="inlineStr">
        <is>
          <t>JÄMTLANDS LÄN</t>
        </is>
      </c>
      <c r="E1201" t="inlineStr">
        <is>
          <t>RAGUNDA</t>
        </is>
      </c>
      <c r="F1201" t="inlineStr">
        <is>
          <t>SCA</t>
        </is>
      </c>
      <c r="G1201" t="n">
        <v>3</v>
      </c>
      <c r="H1201" t="n">
        <v>1</v>
      </c>
      <c r="I1201" t="n">
        <v>0</v>
      </c>
      <c r="J1201" t="n">
        <v>1</v>
      </c>
      <c r="K1201" t="n">
        <v>0</v>
      </c>
      <c r="L1201" t="n">
        <v>0</v>
      </c>
      <c r="M1201" t="n">
        <v>0</v>
      </c>
      <c r="N1201" t="n">
        <v>0</v>
      </c>
      <c r="O1201" t="n">
        <v>1</v>
      </c>
      <c r="P1201" t="n">
        <v>0</v>
      </c>
      <c r="Q1201" t="n">
        <v>1</v>
      </c>
      <c r="R1201" s="2" t="inlineStr">
        <is>
          <t>Varglav</t>
        </is>
      </c>
      <c r="S1201">
        <f>HYPERLINK("https://klasma.github.io/Logging_2303/artfynd/A 51916-2021 artfynd.xlsx", "A 51916-2021")</f>
        <v/>
      </c>
      <c r="T1201">
        <f>HYPERLINK("https://klasma.github.io/Logging_2303/kartor/A 51916-2021 karta.png", "A 51916-2021")</f>
        <v/>
      </c>
      <c r="V1201">
        <f>HYPERLINK("https://klasma.github.io/Logging_2303/klagomål/A 51916-2021 FSC-klagomål.docx", "A 51916-2021")</f>
        <v/>
      </c>
      <c r="W1201">
        <f>HYPERLINK("https://klasma.github.io/Logging_2303/klagomålsmail/A 51916-2021 FSC-klagomål mail.docx", "A 51916-2021")</f>
        <v/>
      </c>
      <c r="X1201">
        <f>HYPERLINK("https://klasma.github.io/Logging_2303/tillsyn/A 51916-2021 tillsynsbegäran.docx", "A 51916-2021")</f>
        <v/>
      </c>
      <c r="Y1201">
        <f>HYPERLINK("https://klasma.github.io/Logging_2303/tillsynsmail/A 51916-2021 tillsynsbegäran mail.docx", "A 51916-2021")</f>
        <v/>
      </c>
    </row>
    <row r="1202" ht="15" customHeight="1">
      <c r="A1202" t="inlineStr">
        <is>
          <t>A 53509-2021</t>
        </is>
      </c>
      <c r="B1202" s="1" t="n">
        <v>44468</v>
      </c>
      <c r="C1202" s="1" t="n">
        <v>45363</v>
      </c>
      <c r="D1202" t="inlineStr">
        <is>
          <t>JÄMTLANDS LÄN</t>
        </is>
      </c>
      <c r="E1202" t="inlineStr">
        <is>
          <t>STRÖMSUND</t>
        </is>
      </c>
      <c r="F1202" t="inlineStr">
        <is>
          <t>SCA</t>
        </is>
      </c>
      <c r="G1202" t="n">
        <v>3.4</v>
      </c>
      <c r="H1202" t="n">
        <v>0</v>
      </c>
      <c r="I1202" t="n">
        <v>1</v>
      </c>
      <c r="J1202" t="n">
        <v>0</v>
      </c>
      <c r="K1202" t="n">
        <v>0</v>
      </c>
      <c r="L1202" t="n">
        <v>0</v>
      </c>
      <c r="M1202" t="n">
        <v>0</v>
      </c>
      <c r="N1202" t="n">
        <v>0</v>
      </c>
      <c r="O1202" t="n">
        <v>0</v>
      </c>
      <c r="P1202" t="n">
        <v>0</v>
      </c>
      <c r="Q1202" t="n">
        <v>1</v>
      </c>
      <c r="R1202" s="2" t="inlineStr">
        <is>
          <t>Stor aspticka</t>
        </is>
      </c>
      <c r="S1202">
        <f>HYPERLINK("https://klasma.github.io/Logging_2313/artfynd/A 53509-2021 artfynd.xlsx", "A 53509-2021")</f>
        <v/>
      </c>
      <c r="T1202">
        <f>HYPERLINK("https://klasma.github.io/Logging_2313/kartor/A 53509-2021 karta.png", "A 53509-2021")</f>
        <v/>
      </c>
      <c r="V1202">
        <f>HYPERLINK("https://klasma.github.io/Logging_2313/klagomål/A 53509-2021 FSC-klagomål.docx", "A 53509-2021")</f>
        <v/>
      </c>
      <c r="W1202">
        <f>HYPERLINK("https://klasma.github.io/Logging_2313/klagomålsmail/A 53509-2021 FSC-klagomål mail.docx", "A 53509-2021")</f>
        <v/>
      </c>
      <c r="X1202">
        <f>HYPERLINK("https://klasma.github.io/Logging_2313/tillsyn/A 53509-2021 tillsynsbegäran.docx", "A 53509-2021")</f>
        <v/>
      </c>
      <c r="Y1202">
        <f>HYPERLINK("https://klasma.github.io/Logging_2313/tillsynsmail/A 53509-2021 tillsynsbegäran mail.docx", "A 53509-2021")</f>
        <v/>
      </c>
    </row>
    <row r="1203" ht="15" customHeight="1">
      <c r="A1203" t="inlineStr">
        <is>
          <t>A 53517-2021</t>
        </is>
      </c>
      <c r="B1203" s="1" t="n">
        <v>44468</v>
      </c>
      <c r="C1203" s="1" t="n">
        <v>45363</v>
      </c>
      <c r="D1203" t="inlineStr">
        <is>
          <t>JÄMTLANDS LÄN</t>
        </is>
      </c>
      <c r="E1203" t="inlineStr">
        <is>
          <t>STRÖMSUND</t>
        </is>
      </c>
      <c r="F1203" t="inlineStr">
        <is>
          <t>SCA</t>
        </is>
      </c>
      <c r="G1203" t="n">
        <v>3</v>
      </c>
      <c r="H1203" t="n">
        <v>0</v>
      </c>
      <c r="I1203" t="n">
        <v>0</v>
      </c>
      <c r="J1203" t="n">
        <v>1</v>
      </c>
      <c r="K1203" t="n">
        <v>0</v>
      </c>
      <c r="L1203" t="n">
        <v>0</v>
      </c>
      <c r="M1203" t="n">
        <v>0</v>
      </c>
      <c r="N1203" t="n">
        <v>0</v>
      </c>
      <c r="O1203" t="n">
        <v>1</v>
      </c>
      <c r="P1203" t="n">
        <v>0</v>
      </c>
      <c r="Q1203" t="n">
        <v>1</v>
      </c>
      <c r="R1203" s="2" t="inlineStr">
        <is>
          <t>Lunglav</t>
        </is>
      </c>
      <c r="S1203">
        <f>HYPERLINK("https://klasma.github.io/Logging_2313/artfynd/A 53517-2021 artfynd.xlsx", "A 53517-2021")</f>
        <v/>
      </c>
      <c r="T1203">
        <f>HYPERLINK("https://klasma.github.io/Logging_2313/kartor/A 53517-2021 karta.png", "A 53517-2021")</f>
        <v/>
      </c>
      <c r="V1203">
        <f>HYPERLINK("https://klasma.github.io/Logging_2313/klagomål/A 53517-2021 FSC-klagomål.docx", "A 53517-2021")</f>
        <v/>
      </c>
      <c r="W1203">
        <f>HYPERLINK("https://klasma.github.io/Logging_2313/klagomålsmail/A 53517-2021 FSC-klagomål mail.docx", "A 53517-2021")</f>
        <v/>
      </c>
      <c r="X1203">
        <f>HYPERLINK("https://klasma.github.io/Logging_2313/tillsyn/A 53517-2021 tillsynsbegäran.docx", "A 53517-2021")</f>
        <v/>
      </c>
      <c r="Y1203">
        <f>HYPERLINK("https://klasma.github.io/Logging_2313/tillsynsmail/A 53517-2021 tillsynsbegäran mail.docx", "A 53517-2021")</f>
        <v/>
      </c>
    </row>
    <row r="1204" ht="15" customHeight="1">
      <c r="A1204" t="inlineStr">
        <is>
          <t>A 54547-2021</t>
        </is>
      </c>
      <c r="B1204" s="1" t="n">
        <v>44473</v>
      </c>
      <c r="C1204" s="1" t="n">
        <v>45363</v>
      </c>
      <c r="D1204" t="inlineStr">
        <is>
          <t>JÄMTLANDS LÄN</t>
        </is>
      </c>
      <c r="E1204" t="inlineStr">
        <is>
          <t>KROKOM</t>
        </is>
      </c>
      <c r="G1204" t="n">
        <v>8</v>
      </c>
      <c r="H1204" t="n">
        <v>0</v>
      </c>
      <c r="I1204" t="n">
        <v>0</v>
      </c>
      <c r="J1204" t="n">
        <v>1</v>
      </c>
      <c r="K1204" t="n">
        <v>0</v>
      </c>
      <c r="L1204" t="n">
        <v>0</v>
      </c>
      <c r="M1204" t="n">
        <v>0</v>
      </c>
      <c r="N1204" t="n">
        <v>0</v>
      </c>
      <c r="O1204" t="n">
        <v>1</v>
      </c>
      <c r="P1204" t="n">
        <v>0</v>
      </c>
      <c r="Q1204" t="n">
        <v>1</v>
      </c>
      <c r="R1204" s="2" t="inlineStr">
        <is>
          <t>Luddfingersvamp</t>
        </is>
      </c>
      <c r="S1204">
        <f>HYPERLINK("https://klasma.github.io/Logging_2309/artfynd/A 54547-2021 artfynd.xlsx", "A 54547-2021")</f>
        <v/>
      </c>
      <c r="T1204">
        <f>HYPERLINK("https://klasma.github.io/Logging_2309/kartor/A 54547-2021 karta.png", "A 54547-2021")</f>
        <v/>
      </c>
      <c r="V1204">
        <f>HYPERLINK("https://klasma.github.io/Logging_2309/klagomål/A 54547-2021 FSC-klagomål.docx", "A 54547-2021")</f>
        <v/>
      </c>
      <c r="W1204">
        <f>HYPERLINK("https://klasma.github.io/Logging_2309/klagomålsmail/A 54547-2021 FSC-klagomål mail.docx", "A 54547-2021")</f>
        <v/>
      </c>
      <c r="X1204">
        <f>HYPERLINK("https://klasma.github.io/Logging_2309/tillsyn/A 54547-2021 tillsynsbegäran.docx", "A 54547-2021")</f>
        <v/>
      </c>
      <c r="Y1204">
        <f>HYPERLINK("https://klasma.github.io/Logging_2309/tillsynsmail/A 54547-2021 tillsynsbegäran mail.docx", "A 54547-2021")</f>
        <v/>
      </c>
    </row>
    <row r="1205" ht="15" customHeight="1">
      <c r="A1205" t="inlineStr">
        <is>
          <t>A 55223-2021</t>
        </is>
      </c>
      <c r="B1205" s="1" t="n">
        <v>44475</v>
      </c>
      <c r="C1205" s="1" t="n">
        <v>45363</v>
      </c>
      <c r="D1205" t="inlineStr">
        <is>
          <t>JÄMTLANDS LÄN</t>
        </is>
      </c>
      <c r="E1205" t="inlineStr">
        <is>
          <t>HÄRJEDALEN</t>
        </is>
      </c>
      <c r="G1205" t="n">
        <v>18.2</v>
      </c>
      <c r="H1205" t="n">
        <v>1</v>
      </c>
      <c r="I1205" t="n">
        <v>0</v>
      </c>
      <c r="J1205" t="n">
        <v>1</v>
      </c>
      <c r="K1205" t="n">
        <v>0</v>
      </c>
      <c r="L1205" t="n">
        <v>0</v>
      </c>
      <c r="M1205" t="n">
        <v>0</v>
      </c>
      <c r="N1205" t="n">
        <v>0</v>
      </c>
      <c r="O1205" t="n">
        <v>1</v>
      </c>
      <c r="P1205" t="n">
        <v>0</v>
      </c>
      <c r="Q1205" t="n">
        <v>1</v>
      </c>
      <c r="R1205" s="2" t="inlineStr">
        <is>
          <t>Varglav</t>
        </is>
      </c>
      <c r="S1205">
        <f>HYPERLINK("https://klasma.github.io/Logging_2361/artfynd/A 55223-2021 artfynd.xlsx", "A 55223-2021")</f>
        <v/>
      </c>
      <c r="T1205">
        <f>HYPERLINK("https://klasma.github.io/Logging_2361/kartor/A 55223-2021 karta.png", "A 55223-2021")</f>
        <v/>
      </c>
      <c r="V1205">
        <f>HYPERLINK("https://klasma.github.io/Logging_2361/klagomål/A 55223-2021 FSC-klagomål.docx", "A 55223-2021")</f>
        <v/>
      </c>
      <c r="W1205">
        <f>HYPERLINK("https://klasma.github.io/Logging_2361/klagomålsmail/A 55223-2021 FSC-klagomål mail.docx", "A 55223-2021")</f>
        <v/>
      </c>
      <c r="X1205">
        <f>HYPERLINK("https://klasma.github.io/Logging_2361/tillsyn/A 55223-2021 tillsynsbegäran.docx", "A 55223-2021")</f>
        <v/>
      </c>
      <c r="Y1205">
        <f>HYPERLINK("https://klasma.github.io/Logging_2361/tillsynsmail/A 55223-2021 tillsynsbegäran mail.docx", "A 55223-2021")</f>
        <v/>
      </c>
    </row>
    <row r="1206" ht="15" customHeight="1">
      <c r="A1206" t="inlineStr">
        <is>
          <t>A 55222-2021</t>
        </is>
      </c>
      <c r="B1206" s="1" t="n">
        <v>44475</v>
      </c>
      <c r="C1206" s="1" t="n">
        <v>45363</v>
      </c>
      <c r="D1206" t="inlineStr">
        <is>
          <t>JÄMTLANDS LÄN</t>
        </is>
      </c>
      <c r="E1206" t="inlineStr">
        <is>
          <t>HÄRJEDALEN</t>
        </is>
      </c>
      <c r="G1206" t="n">
        <v>1.1</v>
      </c>
      <c r="H1206" t="n">
        <v>1</v>
      </c>
      <c r="I1206" t="n">
        <v>0</v>
      </c>
      <c r="J1206" t="n">
        <v>1</v>
      </c>
      <c r="K1206" t="n">
        <v>0</v>
      </c>
      <c r="L1206" t="n">
        <v>0</v>
      </c>
      <c r="M1206" t="n">
        <v>0</v>
      </c>
      <c r="N1206" t="n">
        <v>0</v>
      </c>
      <c r="O1206" t="n">
        <v>1</v>
      </c>
      <c r="P1206" t="n">
        <v>0</v>
      </c>
      <c r="Q1206" t="n">
        <v>1</v>
      </c>
      <c r="R1206" s="2" t="inlineStr">
        <is>
          <t>Varglav</t>
        </is>
      </c>
      <c r="S1206">
        <f>HYPERLINK("https://klasma.github.io/Logging_2361/artfynd/A 55222-2021 artfynd.xlsx", "A 55222-2021")</f>
        <v/>
      </c>
      <c r="T1206">
        <f>HYPERLINK("https://klasma.github.io/Logging_2361/kartor/A 55222-2021 karta.png", "A 55222-2021")</f>
        <v/>
      </c>
      <c r="V1206">
        <f>HYPERLINK("https://klasma.github.io/Logging_2361/klagomål/A 55222-2021 FSC-klagomål.docx", "A 55222-2021")</f>
        <v/>
      </c>
      <c r="W1206">
        <f>HYPERLINK("https://klasma.github.io/Logging_2361/klagomålsmail/A 55222-2021 FSC-klagomål mail.docx", "A 55222-2021")</f>
        <v/>
      </c>
      <c r="X1206">
        <f>HYPERLINK("https://klasma.github.io/Logging_2361/tillsyn/A 55222-2021 tillsynsbegäran.docx", "A 55222-2021")</f>
        <v/>
      </c>
      <c r="Y1206">
        <f>HYPERLINK("https://klasma.github.io/Logging_2361/tillsynsmail/A 55222-2021 tillsynsbegäran mail.docx", "A 55222-2021")</f>
        <v/>
      </c>
    </row>
    <row r="1207" ht="15" customHeight="1">
      <c r="A1207" t="inlineStr">
        <is>
          <t>A 55221-2021</t>
        </is>
      </c>
      <c r="B1207" s="1" t="n">
        <v>44475</v>
      </c>
      <c r="C1207" s="1" t="n">
        <v>45363</v>
      </c>
      <c r="D1207" t="inlineStr">
        <is>
          <t>JÄMTLANDS LÄN</t>
        </is>
      </c>
      <c r="E1207" t="inlineStr">
        <is>
          <t>HÄRJEDALEN</t>
        </is>
      </c>
      <c r="G1207" t="n">
        <v>0.2</v>
      </c>
      <c r="H1207" t="n">
        <v>1</v>
      </c>
      <c r="I1207" t="n">
        <v>0</v>
      </c>
      <c r="J1207" t="n">
        <v>1</v>
      </c>
      <c r="K1207" t="n">
        <v>0</v>
      </c>
      <c r="L1207" t="n">
        <v>0</v>
      </c>
      <c r="M1207" t="n">
        <v>0</v>
      </c>
      <c r="N1207" t="n">
        <v>0</v>
      </c>
      <c r="O1207" t="n">
        <v>1</v>
      </c>
      <c r="P1207" t="n">
        <v>0</v>
      </c>
      <c r="Q1207" t="n">
        <v>1</v>
      </c>
      <c r="R1207" s="2" t="inlineStr">
        <is>
          <t>Varglav</t>
        </is>
      </c>
      <c r="S1207">
        <f>HYPERLINK("https://klasma.github.io/Logging_2361/artfynd/A 55221-2021 artfynd.xlsx", "A 55221-2021")</f>
        <v/>
      </c>
      <c r="T1207">
        <f>HYPERLINK("https://klasma.github.io/Logging_2361/kartor/A 55221-2021 karta.png", "A 55221-2021")</f>
        <v/>
      </c>
      <c r="V1207">
        <f>HYPERLINK("https://klasma.github.io/Logging_2361/klagomål/A 55221-2021 FSC-klagomål.docx", "A 55221-2021")</f>
        <v/>
      </c>
      <c r="W1207">
        <f>HYPERLINK("https://klasma.github.io/Logging_2361/klagomålsmail/A 55221-2021 FSC-klagomål mail.docx", "A 55221-2021")</f>
        <v/>
      </c>
      <c r="X1207">
        <f>HYPERLINK("https://klasma.github.io/Logging_2361/tillsyn/A 55221-2021 tillsynsbegäran.docx", "A 55221-2021")</f>
        <v/>
      </c>
      <c r="Y1207">
        <f>HYPERLINK("https://klasma.github.io/Logging_2361/tillsynsmail/A 55221-2021 tillsynsbegäran mail.docx", "A 55221-2021")</f>
        <v/>
      </c>
    </row>
    <row r="1208" ht="15" customHeight="1">
      <c r="A1208" t="inlineStr">
        <is>
          <t>A 55245-2021</t>
        </is>
      </c>
      <c r="B1208" s="1" t="n">
        <v>44475</v>
      </c>
      <c r="C1208" s="1" t="n">
        <v>45363</v>
      </c>
      <c r="D1208" t="inlineStr">
        <is>
          <t>JÄMTLANDS LÄN</t>
        </is>
      </c>
      <c r="E1208" t="inlineStr">
        <is>
          <t>HÄRJEDALEN</t>
        </is>
      </c>
      <c r="G1208" t="n">
        <v>5.1</v>
      </c>
      <c r="H1208" t="n">
        <v>0</v>
      </c>
      <c r="I1208" t="n">
        <v>0</v>
      </c>
      <c r="J1208" t="n">
        <v>1</v>
      </c>
      <c r="K1208" t="n">
        <v>0</v>
      </c>
      <c r="L1208" t="n">
        <v>0</v>
      </c>
      <c r="M1208" t="n">
        <v>0</v>
      </c>
      <c r="N1208" t="n">
        <v>0</v>
      </c>
      <c r="O1208" t="n">
        <v>1</v>
      </c>
      <c r="P1208" t="n">
        <v>0</v>
      </c>
      <c r="Q1208" t="n">
        <v>1</v>
      </c>
      <c r="R1208" s="2" t="inlineStr">
        <is>
          <t>Blanksvart spiklav</t>
        </is>
      </c>
      <c r="S1208">
        <f>HYPERLINK("https://klasma.github.io/Logging_2361/artfynd/A 55245-2021 artfynd.xlsx", "A 55245-2021")</f>
        <v/>
      </c>
      <c r="T1208">
        <f>HYPERLINK("https://klasma.github.io/Logging_2361/kartor/A 55245-2021 karta.png", "A 55245-2021")</f>
        <v/>
      </c>
      <c r="V1208">
        <f>HYPERLINK("https://klasma.github.io/Logging_2361/klagomål/A 55245-2021 FSC-klagomål.docx", "A 55245-2021")</f>
        <v/>
      </c>
      <c r="W1208">
        <f>HYPERLINK("https://klasma.github.io/Logging_2361/klagomålsmail/A 55245-2021 FSC-klagomål mail.docx", "A 55245-2021")</f>
        <v/>
      </c>
      <c r="X1208">
        <f>HYPERLINK("https://klasma.github.io/Logging_2361/tillsyn/A 55245-2021 tillsynsbegäran.docx", "A 55245-2021")</f>
        <v/>
      </c>
      <c r="Y1208">
        <f>HYPERLINK("https://klasma.github.io/Logging_2361/tillsynsmail/A 55245-2021 tillsynsbegäran mail.docx", "A 55245-2021")</f>
        <v/>
      </c>
    </row>
    <row r="1209" ht="15" customHeight="1">
      <c r="A1209" t="inlineStr">
        <is>
          <t>A 55604-2021</t>
        </is>
      </c>
      <c r="B1209" s="1" t="n">
        <v>44475</v>
      </c>
      <c r="C1209" s="1" t="n">
        <v>45363</v>
      </c>
      <c r="D1209" t="inlineStr">
        <is>
          <t>JÄMTLANDS LÄN</t>
        </is>
      </c>
      <c r="E1209" t="inlineStr">
        <is>
          <t>STRÖMSUND</t>
        </is>
      </c>
      <c r="F1209" t="inlineStr">
        <is>
          <t>SCA</t>
        </is>
      </c>
      <c r="G1209" t="n">
        <v>4.9</v>
      </c>
      <c r="H1209" t="n">
        <v>0</v>
      </c>
      <c r="I1209" t="n">
        <v>1</v>
      </c>
      <c r="J1209" t="n">
        <v>0</v>
      </c>
      <c r="K1209" t="n">
        <v>0</v>
      </c>
      <c r="L1209" t="n">
        <v>0</v>
      </c>
      <c r="M1209" t="n">
        <v>0</v>
      </c>
      <c r="N1209" t="n">
        <v>0</v>
      </c>
      <c r="O1209" t="n">
        <v>0</v>
      </c>
      <c r="P1209" t="n">
        <v>0</v>
      </c>
      <c r="Q1209" t="n">
        <v>1</v>
      </c>
      <c r="R1209" s="2" t="inlineStr">
        <is>
          <t>Stor aspticka</t>
        </is>
      </c>
      <c r="S1209">
        <f>HYPERLINK("https://klasma.github.io/Logging_2313/artfynd/A 55604-2021 artfynd.xlsx", "A 55604-2021")</f>
        <v/>
      </c>
      <c r="T1209">
        <f>HYPERLINK("https://klasma.github.io/Logging_2313/kartor/A 55604-2021 karta.png", "A 55604-2021")</f>
        <v/>
      </c>
      <c r="V1209">
        <f>HYPERLINK("https://klasma.github.io/Logging_2313/klagomål/A 55604-2021 FSC-klagomål.docx", "A 55604-2021")</f>
        <v/>
      </c>
      <c r="W1209">
        <f>HYPERLINK("https://klasma.github.io/Logging_2313/klagomålsmail/A 55604-2021 FSC-klagomål mail.docx", "A 55604-2021")</f>
        <v/>
      </c>
      <c r="X1209">
        <f>HYPERLINK("https://klasma.github.io/Logging_2313/tillsyn/A 55604-2021 tillsynsbegäran.docx", "A 55604-2021")</f>
        <v/>
      </c>
      <c r="Y1209">
        <f>HYPERLINK("https://klasma.github.io/Logging_2313/tillsynsmail/A 55604-2021 tillsynsbegäran mail.docx", "A 55604-2021")</f>
        <v/>
      </c>
    </row>
    <row r="1210" ht="15" customHeight="1">
      <c r="A1210" t="inlineStr">
        <is>
          <t>A 55821-2021</t>
        </is>
      </c>
      <c r="B1210" s="1" t="n">
        <v>44476</v>
      </c>
      <c r="C1210" s="1" t="n">
        <v>45363</v>
      </c>
      <c r="D1210" t="inlineStr">
        <is>
          <t>JÄMTLANDS LÄN</t>
        </is>
      </c>
      <c r="E1210" t="inlineStr">
        <is>
          <t>ÖSTERSUND</t>
        </is>
      </c>
      <c r="G1210" t="n">
        <v>7.2</v>
      </c>
      <c r="H1210" t="n">
        <v>0</v>
      </c>
      <c r="I1210" t="n">
        <v>0</v>
      </c>
      <c r="J1210" t="n">
        <v>1</v>
      </c>
      <c r="K1210" t="n">
        <v>0</v>
      </c>
      <c r="L1210" t="n">
        <v>0</v>
      </c>
      <c r="M1210" t="n">
        <v>0</v>
      </c>
      <c r="N1210" t="n">
        <v>0</v>
      </c>
      <c r="O1210" t="n">
        <v>1</v>
      </c>
      <c r="P1210" t="n">
        <v>0</v>
      </c>
      <c r="Q1210" t="n">
        <v>1</v>
      </c>
      <c r="R1210" s="2" t="inlineStr">
        <is>
          <t>Harticka</t>
        </is>
      </c>
      <c r="S1210">
        <f>HYPERLINK("https://klasma.github.io/Logging_2380/artfynd/A 55821-2021 artfynd.xlsx", "A 55821-2021")</f>
        <v/>
      </c>
      <c r="T1210">
        <f>HYPERLINK("https://klasma.github.io/Logging_2380/kartor/A 55821-2021 karta.png", "A 55821-2021")</f>
        <v/>
      </c>
      <c r="V1210">
        <f>HYPERLINK("https://klasma.github.io/Logging_2380/klagomål/A 55821-2021 FSC-klagomål.docx", "A 55821-2021")</f>
        <v/>
      </c>
      <c r="W1210">
        <f>HYPERLINK("https://klasma.github.io/Logging_2380/klagomålsmail/A 55821-2021 FSC-klagomål mail.docx", "A 55821-2021")</f>
        <v/>
      </c>
      <c r="X1210">
        <f>HYPERLINK("https://klasma.github.io/Logging_2380/tillsyn/A 55821-2021 tillsynsbegäran.docx", "A 55821-2021")</f>
        <v/>
      </c>
      <c r="Y1210">
        <f>HYPERLINK("https://klasma.github.io/Logging_2380/tillsynsmail/A 55821-2021 tillsynsbegäran mail.docx", "A 55821-2021")</f>
        <v/>
      </c>
    </row>
    <row r="1211" ht="15" customHeight="1">
      <c r="A1211" t="inlineStr">
        <is>
          <t>A 56193-2021</t>
        </is>
      </c>
      <c r="B1211" s="1" t="n">
        <v>44477</v>
      </c>
      <c r="C1211" s="1" t="n">
        <v>45363</v>
      </c>
      <c r="D1211" t="inlineStr">
        <is>
          <t>JÄMTLANDS LÄN</t>
        </is>
      </c>
      <c r="E1211" t="inlineStr">
        <is>
          <t>ÅRE</t>
        </is>
      </c>
      <c r="F1211" t="inlineStr">
        <is>
          <t>Övriga Aktiebolag</t>
        </is>
      </c>
      <c r="G1211" t="n">
        <v>15.5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HYPERLINK("https://klasma.github.io/Logging_2321/artfynd/A 56193-2021 artfynd.xlsx", "A 56193-2021")</f>
        <v/>
      </c>
      <c r="T1211">
        <f>HYPERLINK("https://klasma.github.io/Logging_2321/kartor/A 56193-2021 karta.png", "A 56193-2021")</f>
        <v/>
      </c>
      <c r="V1211">
        <f>HYPERLINK("https://klasma.github.io/Logging_2321/klagomål/A 56193-2021 FSC-klagomål.docx", "A 56193-2021")</f>
        <v/>
      </c>
      <c r="W1211">
        <f>HYPERLINK("https://klasma.github.io/Logging_2321/klagomålsmail/A 56193-2021 FSC-klagomål mail.docx", "A 56193-2021")</f>
        <v/>
      </c>
      <c r="X1211">
        <f>HYPERLINK("https://klasma.github.io/Logging_2321/tillsyn/A 56193-2021 tillsynsbegäran.docx", "A 56193-2021")</f>
        <v/>
      </c>
      <c r="Y1211">
        <f>HYPERLINK("https://klasma.github.io/Logging_2321/tillsynsmail/A 56193-2021 tillsynsbegäran mail.docx", "A 56193-2021")</f>
        <v/>
      </c>
      <c r="Z1211">
        <f>HYPERLINK("https://klasma.github.io/Logging_2321/fåglar/A 56193-2021 prioriterade fågelarter.docx", "A 56193-2021")</f>
        <v/>
      </c>
    </row>
    <row r="1212" ht="15" customHeight="1">
      <c r="A1212" t="inlineStr">
        <is>
          <t>A 56210-2021</t>
        </is>
      </c>
      <c r="B1212" s="1" t="n">
        <v>44477</v>
      </c>
      <c r="C1212" s="1" t="n">
        <v>45363</v>
      </c>
      <c r="D1212" t="inlineStr">
        <is>
          <t>JÄMTLANDS LÄN</t>
        </is>
      </c>
      <c r="E1212" t="inlineStr">
        <is>
          <t>STRÖMSUND</t>
        </is>
      </c>
      <c r="F1212" t="inlineStr">
        <is>
          <t>SCA</t>
        </is>
      </c>
      <c r="G1212" t="n">
        <v>24.1</v>
      </c>
      <c r="H1212" t="n">
        <v>0</v>
      </c>
      <c r="I1212" t="n">
        <v>0</v>
      </c>
      <c r="J1212" t="n">
        <v>1</v>
      </c>
      <c r="K1212" t="n">
        <v>0</v>
      </c>
      <c r="L1212" t="n">
        <v>0</v>
      </c>
      <c r="M1212" t="n">
        <v>0</v>
      </c>
      <c r="N1212" t="n">
        <v>0</v>
      </c>
      <c r="O1212" t="n">
        <v>1</v>
      </c>
      <c r="P1212" t="n">
        <v>0</v>
      </c>
      <c r="Q1212" t="n">
        <v>1</v>
      </c>
      <c r="R1212" s="2" t="inlineStr">
        <is>
          <t>Skrovellav</t>
        </is>
      </c>
      <c r="S1212">
        <f>HYPERLINK("https://klasma.github.io/Logging_2313/artfynd/A 56210-2021 artfynd.xlsx", "A 56210-2021")</f>
        <v/>
      </c>
      <c r="T1212">
        <f>HYPERLINK("https://klasma.github.io/Logging_2313/kartor/A 56210-2021 karta.png", "A 56210-2021")</f>
        <v/>
      </c>
      <c r="V1212">
        <f>HYPERLINK("https://klasma.github.io/Logging_2313/klagomål/A 56210-2021 FSC-klagomål.docx", "A 56210-2021")</f>
        <v/>
      </c>
      <c r="W1212">
        <f>HYPERLINK("https://klasma.github.io/Logging_2313/klagomålsmail/A 56210-2021 FSC-klagomål mail.docx", "A 56210-2021")</f>
        <v/>
      </c>
      <c r="X1212">
        <f>HYPERLINK("https://klasma.github.io/Logging_2313/tillsyn/A 56210-2021 tillsynsbegäran.docx", "A 56210-2021")</f>
        <v/>
      </c>
      <c r="Y1212">
        <f>HYPERLINK("https://klasma.github.io/Logging_2313/tillsynsmail/A 56210-2021 tillsynsbegäran mail.docx", "A 56210-2021")</f>
        <v/>
      </c>
    </row>
    <row r="1213" ht="15" customHeight="1">
      <c r="A1213" t="inlineStr">
        <is>
          <t>A 58117-2021</t>
        </is>
      </c>
      <c r="B1213" s="1" t="n">
        <v>44487</v>
      </c>
      <c r="C1213" s="1" t="n">
        <v>45363</v>
      </c>
      <c r="D1213" t="inlineStr">
        <is>
          <t>JÄMTLANDS LÄN</t>
        </is>
      </c>
      <c r="E1213" t="inlineStr">
        <is>
          <t>ÅRE</t>
        </is>
      </c>
      <c r="G1213" t="n">
        <v>40.9</v>
      </c>
      <c r="H1213" t="n">
        <v>0</v>
      </c>
      <c r="I1213" t="n">
        <v>1</v>
      </c>
      <c r="J1213" t="n">
        <v>0</v>
      </c>
      <c r="K1213" t="n">
        <v>0</v>
      </c>
      <c r="L1213" t="n">
        <v>0</v>
      </c>
      <c r="M1213" t="n">
        <v>0</v>
      </c>
      <c r="N1213" t="n">
        <v>0</v>
      </c>
      <c r="O1213" t="n">
        <v>0</v>
      </c>
      <c r="P1213" t="n">
        <v>0</v>
      </c>
      <c r="Q1213" t="n">
        <v>1</v>
      </c>
      <c r="R1213" s="2" t="inlineStr">
        <is>
          <t>Stuplav</t>
        </is>
      </c>
      <c r="S1213">
        <f>HYPERLINK("https://klasma.github.io/Logging_2321/artfynd/A 58117-2021 artfynd.xlsx", "A 58117-2021")</f>
        <v/>
      </c>
      <c r="T1213">
        <f>HYPERLINK("https://klasma.github.io/Logging_2321/kartor/A 58117-2021 karta.png", "A 58117-2021")</f>
        <v/>
      </c>
      <c r="V1213">
        <f>HYPERLINK("https://klasma.github.io/Logging_2321/klagomål/A 58117-2021 FSC-klagomål.docx", "A 58117-2021")</f>
        <v/>
      </c>
      <c r="W1213">
        <f>HYPERLINK("https://klasma.github.io/Logging_2321/klagomålsmail/A 58117-2021 FSC-klagomål mail.docx", "A 58117-2021")</f>
        <v/>
      </c>
      <c r="X1213">
        <f>HYPERLINK("https://klasma.github.io/Logging_2321/tillsyn/A 58117-2021 tillsynsbegäran.docx", "A 58117-2021")</f>
        <v/>
      </c>
      <c r="Y1213">
        <f>HYPERLINK("https://klasma.github.io/Logging_2321/tillsynsmail/A 58117-2021 tillsynsbegäran mail.docx", "A 58117-2021")</f>
        <v/>
      </c>
    </row>
    <row r="1214" ht="15" customHeight="1">
      <c r="A1214" t="inlineStr">
        <is>
          <t>A 58239-2021</t>
        </is>
      </c>
      <c r="B1214" s="1" t="n">
        <v>44487</v>
      </c>
      <c r="C1214" s="1" t="n">
        <v>45363</v>
      </c>
      <c r="D1214" t="inlineStr">
        <is>
          <t>JÄMTLANDS LÄN</t>
        </is>
      </c>
      <c r="E1214" t="inlineStr">
        <is>
          <t>ÅRE</t>
        </is>
      </c>
      <c r="G1214" t="n">
        <v>25</v>
      </c>
      <c r="H1214" t="n">
        <v>0</v>
      </c>
      <c r="I1214" t="n">
        <v>0</v>
      </c>
      <c r="J1214" t="n">
        <v>0</v>
      </c>
      <c r="K1214" t="n">
        <v>1</v>
      </c>
      <c r="L1214" t="n">
        <v>0</v>
      </c>
      <c r="M1214" t="n">
        <v>0</v>
      </c>
      <c r="N1214" t="n">
        <v>0</v>
      </c>
      <c r="O1214" t="n">
        <v>1</v>
      </c>
      <c r="P1214" t="n">
        <v>1</v>
      </c>
      <c r="Q1214" t="n">
        <v>1</v>
      </c>
      <c r="R1214" s="2" t="inlineStr">
        <is>
          <t>Rynkskinn</t>
        </is>
      </c>
      <c r="S1214">
        <f>HYPERLINK("https://klasma.github.io/Logging_2321/artfynd/A 58239-2021 artfynd.xlsx", "A 58239-2021")</f>
        <v/>
      </c>
      <c r="T1214">
        <f>HYPERLINK("https://klasma.github.io/Logging_2321/kartor/A 58239-2021 karta.png", "A 58239-2021")</f>
        <v/>
      </c>
      <c r="V1214">
        <f>HYPERLINK("https://klasma.github.io/Logging_2321/klagomål/A 58239-2021 FSC-klagomål.docx", "A 58239-2021")</f>
        <v/>
      </c>
      <c r="W1214">
        <f>HYPERLINK("https://klasma.github.io/Logging_2321/klagomålsmail/A 58239-2021 FSC-klagomål mail.docx", "A 58239-2021")</f>
        <v/>
      </c>
      <c r="X1214">
        <f>HYPERLINK("https://klasma.github.io/Logging_2321/tillsyn/A 58239-2021 tillsynsbegäran.docx", "A 58239-2021")</f>
        <v/>
      </c>
      <c r="Y1214">
        <f>HYPERLINK("https://klasma.github.io/Logging_2321/tillsynsmail/A 58239-2021 tillsynsbegäran mail.docx", "A 58239-2021")</f>
        <v/>
      </c>
    </row>
    <row r="1215" ht="15" customHeight="1">
      <c r="A1215" t="inlineStr">
        <is>
          <t>A 58226-2021</t>
        </is>
      </c>
      <c r="B1215" s="1" t="n">
        <v>44487</v>
      </c>
      <c r="C1215" s="1" t="n">
        <v>45363</v>
      </c>
      <c r="D1215" t="inlineStr">
        <is>
          <t>JÄMTLANDS LÄN</t>
        </is>
      </c>
      <c r="E1215" t="inlineStr">
        <is>
          <t>ÅRE</t>
        </is>
      </c>
      <c r="G1215" t="n">
        <v>62.3</v>
      </c>
      <c r="H1215" t="n">
        <v>0</v>
      </c>
      <c r="I1215" t="n">
        <v>1</v>
      </c>
      <c r="J1215" t="n">
        <v>0</v>
      </c>
      <c r="K1215" t="n">
        <v>0</v>
      </c>
      <c r="L1215" t="n">
        <v>0</v>
      </c>
      <c r="M1215" t="n">
        <v>0</v>
      </c>
      <c r="N1215" t="n">
        <v>0</v>
      </c>
      <c r="O1215" t="n">
        <v>0</v>
      </c>
      <c r="P1215" t="n">
        <v>0</v>
      </c>
      <c r="Q1215" t="n">
        <v>1</v>
      </c>
      <c r="R1215" s="2" t="inlineStr">
        <is>
          <t>Kambräken</t>
        </is>
      </c>
      <c r="S1215">
        <f>HYPERLINK("https://klasma.github.io/Logging_2321/artfynd/A 58226-2021 artfynd.xlsx", "A 58226-2021")</f>
        <v/>
      </c>
      <c r="T1215">
        <f>HYPERLINK("https://klasma.github.io/Logging_2321/kartor/A 58226-2021 karta.png", "A 58226-2021")</f>
        <v/>
      </c>
      <c r="V1215">
        <f>HYPERLINK("https://klasma.github.io/Logging_2321/klagomål/A 58226-2021 FSC-klagomål.docx", "A 58226-2021")</f>
        <v/>
      </c>
      <c r="W1215">
        <f>HYPERLINK("https://klasma.github.io/Logging_2321/klagomålsmail/A 58226-2021 FSC-klagomål mail.docx", "A 58226-2021")</f>
        <v/>
      </c>
      <c r="X1215">
        <f>HYPERLINK("https://klasma.github.io/Logging_2321/tillsyn/A 58226-2021 tillsynsbegäran.docx", "A 58226-2021")</f>
        <v/>
      </c>
      <c r="Y1215">
        <f>HYPERLINK("https://klasma.github.io/Logging_2321/tillsynsmail/A 58226-2021 tillsynsbegäran mail.docx", "A 58226-2021")</f>
        <v/>
      </c>
    </row>
    <row r="1216" ht="15" customHeight="1">
      <c r="A1216" t="inlineStr">
        <is>
          <t>A 59433-2021</t>
        </is>
      </c>
      <c r="B1216" s="1" t="n">
        <v>44491</v>
      </c>
      <c r="C1216" s="1" t="n">
        <v>45363</v>
      </c>
      <c r="D1216" t="inlineStr">
        <is>
          <t>JÄMTLANDS LÄN</t>
        </is>
      </c>
      <c r="E1216" t="inlineStr">
        <is>
          <t>ÖSTERSUND</t>
        </is>
      </c>
      <c r="F1216" t="inlineStr">
        <is>
          <t>Övriga statliga verk och myndigheter</t>
        </is>
      </c>
      <c r="G1216" t="n">
        <v>1.6</v>
      </c>
      <c r="H1216" t="n">
        <v>0</v>
      </c>
      <c r="I1216" t="n">
        <v>0</v>
      </c>
      <c r="J1216" t="n">
        <v>1</v>
      </c>
      <c r="K1216" t="n">
        <v>0</v>
      </c>
      <c r="L1216" t="n">
        <v>0</v>
      </c>
      <c r="M1216" t="n">
        <v>0</v>
      </c>
      <c r="N1216" t="n">
        <v>0</v>
      </c>
      <c r="O1216" t="n">
        <v>1</v>
      </c>
      <c r="P1216" t="n">
        <v>0</v>
      </c>
      <c r="Q1216" t="n">
        <v>1</v>
      </c>
      <c r="R1216" s="2" t="inlineStr">
        <is>
          <t>Brunpudrad nållav</t>
        </is>
      </c>
      <c r="S1216">
        <f>HYPERLINK("https://klasma.github.io/Logging_2380/artfynd/A 59433-2021 artfynd.xlsx", "A 59433-2021")</f>
        <v/>
      </c>
      <c r="T1216">
        <f>HYPERLINK("https://klasma.github.io/Logging_2380/kartor/A 59433-2021 karta.png", "A 59433-2021")</f>
        <v/>
      </c>
      <c r="V1216">
        <f>HYPERLINK("https://klasma.github.io/Logging_2380/klagomål/A 59433-2021 FSC-klagomål.docx", "A 59433-2021")</f>
        <v/>
      </c>
      <c r="W1216">
        <f>HYPERLINK("https://klasma.github.io/Logging_2380/klagomålsmail/A 59433-2021 FSC-klagomål mail.docx", "A 59433-2021")</f>
        <v/>
      </c>
      <c r="X1216">
        <f>HYPERLINK("https://klasma.github.io/Logging_2380/tillsyn/A 59433-2021 tillsynsbegäran.docx", "A 59433-2021")</f>
        <v/>
      </c>
      <c r="Y1216">
        <f>HYPERLINK("https://klasma.github.io/Logging_2380/tillsynsmail/A 59433-2021 tillsynsbegäran mail.docx", "A 59433-2021")</f>
        <v/>
      </c>
    </row>
    <row r="1217" ht="15" customHeight="1">
      <c r="A1217" t="inlineStr">
        <is>
          <t>A 60006-2021</t>
        </is>
      </c>
      <c r="B1217" s="1" t="n">
        <v>44494</v>
      </c>
      <c r="C1217" s="1" t="n">
        <v>45363</v>
      </c>
      <c r="D1217" t="inlineStr">
        <is>
          <t>JÄMTLANDS LÄN</t>
        </is>
      </c>
      <c r="E1217" t="inlineStr">
        <is>
          <t>KROKOM</t>
        </is>
      </c>
      <c r="F1217" t="inlineStr">
        <is>
          <t>SCA</t>
        </is>
      </c>
      <c r="G1217" t="n">
        <v>7.5</v>
      </c>
      <c r="H1217" t="n">
        <v>0</v>
      </c>
      <c r="I1217" t="n">
        <v>0</v>
      </c>
      <c r="J1217" t="n">
        <v>1</v>
      </c>
      <c r="K1217" t="n">
        <v>0</v>
      </c>
      <c r="L1217" t="n">
        <v>0</v>
      </c>
      <c r="M1217" t="n">
        <v>0</v>
      </c>
      <c r="N1217" t="n">
        <v>0</v>
      </c>
      <c r="O1217" t="n">
        <v>1</v>
      </c>
      <c r="P1217" t="n">
        <v>0</v>
      </c>
      <c r="Q1217" t="n">
        <v>1</v>
      </c>
      <c r="R1217" s="2" t="inlineStr">
        <is>
          <t>Flattoppad klubbsvamp</t>
        </is>
      </c>
      <c r="S1217">
        <f>HYPERLINK("https://klasma.github.io/Logging_2309/artfynd/A 60006-2021 artfynd.xlsx", "A 60006-2021")</f>
        <v/>
      </c>
      <c r="T1217">
        <f>HYPERLINK("https://klasma.github.io/Logging_2309/kartor/A 60006-2021 karta.png", "A 60006-2021")</f>
        <v/>
      </c>
      <c r="V1217">
        <f>HYPERLINK("https://klasma.github.io/Logging_2309/klagomål/A 60006-2021 FSC-klagomål.docx", "A 60006-2021")</f>
        <v/>
      </c>
      <c r="W1217">
        <f>HYPERLINK("https://klasma.github.io/Logging_2309/klagomålsmail/A 60006-2021 FSC-klagomål mail.docx", "A 60006-2021")</f>
        <v/>
      </c>
      <c r="X1217">
        <f>HYPERLINK("https://klasma.github.io/Logging_2309/tillsyn/A 60006-2021 tillsynsbegäran.docx", "A 60006-2021")</f>
        <v/>
      </c>
      <c r="Y1217">
        <f>HYPERLINK("https://klasma.github.io/Logging_2309/tillsynsmail/A 60006-2021 tillsynsbegäran mail.docx", "A 60006-2021")</f>
        <v/>
      </c>
    </row>
    <row r="1218" ht="15" customHeight="1">
      <c r="A1218" t="inlineStr">
        <is>
          <t>A 61437-2021</t>
        </is>
      </c>
      <c r="B1218" s="1" t="n">
        <v>44500</v>
      </c>
      <c r="C1218" s="1" t="n">
        <v>45363</v>
      </c>
      <c r="D1218" t="inlineStr">
        <is>
          <t>JÄMTLANDS LÄN</t>
        </is>
      </c>
      <c r="E1218" t="inlineStr">
        <is>
          <t>STRÖMSUND</t>
        </is>
      </c>
      <c r="F1218" t="inlineStr">
        <is>
          <t>SCA</t>
        </is>
      </c>
      <c r="G1218" t="n">
        <v>3.6</v>
      </c>
      <c r="H1218" t="n">
        <v>0</v>
      </c>
      <c r="I1218" t="n">
        <v>0</v>
      </c>
      <c r="J1218" t="n">
        <v>1</v>
      </c>
      <c r="K1218" t="n">
        <v>0</v>
      </c>
      <c r="L1218" t="n">
        <v>0</v>
      </c>
      <c r="M1218" t="n">
        <v>0</v>
      </c>
      <c r="N1218" t="n">
        <v>0</v>
      </c>
      <c r="O1218" t="n">
        <v>1</v>
      </c>
      <c r="P1218" t="n">
        <v>0</v>
      </c>
      <c r="Q1218" t="n">
        <v>1</v>
      </c>
      <c r="R1218" s="2" t="inlineStr">
        <is>
          <t>Rödbrun klubbdyna</t>
        </is>
      </c>
      <c r="S1218">
        <f>HYPERLINK("https://klasma.github.io/Logging_2313/artfynd/A 61437-2021 artfynd.xlsx", "A 61437-2021")</f>
        <v/>
      </c>
      <c r="T1218">
        <f>HYPERLINK("https://klasma.github.io/Logging_2313/kartor/A 61437-2021 karta.png", "A 61437-2021")</f>
        <v/>
      </c>
      <c r="V1218">
        <f>HYPERLINK("https://klasma.github.io/Logging_2313/klagomål/A 61437-2021 FSC-klagomål.docx", "A 61437-2021")</f>
        <v/>
      </c>
      <c r="W1218">
        <f>HYPERLINK("https://klasma.github.io/Logging_2313/klagomålsmail/A 61437-2021 FSC-klagomål mail.docx", "A 61437-2021")</f>
        <v/>
      </c>
      <c r="X1218">
        <f>HYPERLINK("https://klasma.github.io/Logging_2313/tillsyn/A 61437-2021 tillsynsbegäran.docx", "A 61437-2021")</f>
        <v/>
      </c>
      <c r="Y1218">
        <f>HYPERLINK("https://klasma.github.io/Logging_2313/tillsynsmail/A 61437-2021 tillsynsbegäran mail.docx", "A 61437-2021")</f>
        <v/>
      </c>
    </row>
    <row r="1219" ht="15" customHeight="1">
      <c r="A1219" t="inlineStr">
        <is>
          <t>A 61482-2021</t>
        </is>
      </c>
      <c r="B1219" s="1" t="n">
        <v>44500</v>
      </c>
      <c r="C1219" s="1" t="n">
        <v>45363</v>
      </c>
      <c r="D1219" t="inlineStr">
        <is>
          <t>JÄMTLANDS LÄN</t>
        </is>
      </c>
      <c r="E1219" t="inlineStr">
        <is>
          <t>STRÖMSUND</t>
        </is>
      </c>
      <c r="F1219" t="inlineStr">
        <is>
          <t>SCA</t>
        </is>
      </c>
      <c r="G1219" t="n">
        <v>5.9</v>
      </c>
      <c r="H1219" t="n">
        <v>0</v>
      </c>
      <c r="I1219" t="n">
        <v>0</v>
      </c>
      <c r="J1219" t="n">
        <v>1</v>
      </c>
      <c r="K1219" t="n">
        <v>0</v>
      </c>
      <c r="L1219" t="n">
        <v>0</v>
      </c>
      <c r="M1219" t="n">
        <v>0</v>
      </c>
      <c r="N1219" t="n">
        <v>0</v>
      </c>
      <c r="O1219" t="n">
        <v>1</v>
      </c>
      <c r="P1219" t="n">
        <v>0</v>
      </c>
      <c r="Q1219" t="n">
        <v>1</v>
      </c>
      <c r="R1219" s="2" t="inlineStr">
        <is>
          <t>Lunglav</t>
        </is>
      </c>
      <c r="S1219">
        <f>HYPERLINK("https://klasma.github.io/Logging_2313/artfynd/A 61482-2021 artfynd.xlsx", "A 61482-2021")</f>
        <v/>
      </c>
      <c r="T1219">
        <f>HYPERLINK("https://klasma.github.io/Logging_2313/kartor/A 61482-2021 karta.png", "A 61482-2021")</f>
        <v/>
      </c>
      <c r="V1219">
        <f>HYPERLINK("https://klasma.github.io/Logging_2313/klagomål/A 61482-2021 FSC-klagomål.docx", "A 61482-2021")</f>
        <v/>
      </c>
      <c r="W1219">
        <f>HYPERLINK("https://klasma.github.io/Logging_2313/klagomålsmail/A 61482-2021 FSC-klagomål mail.docx", "A 61482-2021")</f>
        <v/>
      </c>
      <c r="X1219">
        <f>HYPERLINK("https://klasma.github.io/Logging_2313/tillsyn/A 61482-2021 tillsynsbegäran.docx", "A 61482-2021")</f>
        <v/>
      </c>
      <c r="Y1219">
        <f>HYPERLINK("https://klasma.github.io/Logging_2313/tillsynsmail/A 61482-2021 tillsynsbegäran mail.docx", "A 61482-2021")</f>
        <v/>
      </c>
    </row>
    <row r="1220" ht="15" customHeight="1">
      <c r="A1220" t="inlineStr">
        <is>
          <t>A 62188-2021</t>
        </is>
      </c>
      <c r="B1220" s="1" t="n">
        <v>44502</v>
      </c>
      <c r="C1220" s="1" t="n">
        <v>45363</v>
      </c>
      <c r="D1220" t="inlineStr">
        <is>
          <t>JÄMTLANDS LÄN</t>
        </is>
      </c>
      <c r="E1220" t="inlineStr">
        <is>
          <t>ÅRE</t>
        </is>
      </c>
      <c r="G1220" t="n">
        <v>2.5</v>
      </c>
      <c r="H1220" t="n">
        <v>0</v>
      </c>
      <c r="I1220" t="n">
        <v>1</v>
      </c>
      <c r="J1220" t="n">
        <v>0</v>
      </c>
      <c r="K1220" t="n">
        <v>0</v>
      </c>
      <c r="L1220" t="n">
        <v>0</v>
      </c>
      <c r="M1220" t="n">
        <v>0</v>
      </c>
      <c r="N1220" t="n">
        <v>0</v>
      </c>
      <c r="O1220" t="n">
        <v>0</v>
      </c>
      <c r="P1220" t="n">
        <v>0</v>
      </c>
      <c r="Q1220" t="n">
        <v>1</v>
      </c>
      <c r="R1220" s="2" t="inlineStr">
        <is>
          <t>Svart trolldruva</t>
        </is>
      </c>
      <c r="S1220">
        <f>HYPERLINK("https://klasma.github.io/Logging_2321/artfynd/A 62188-2021 artfynd.xlsx", "A 62188-2021")</f>
        <v/>
      </c>
      <c r="T1220">
        <f>HYPERLINK("https://klasma.github.io/Logging_2321/kartor/A 62188-2021 karta.png", "A 62188-2021")</f>
        <v/>
      </c>
      <c r="V1220">
        <f>HYPERLINK("https://klasma.github.io/Logging_2321/klagomål/A 62188-2021 FSC-klagomål.docx", "A 62188-2021")</f>
        <v/>
      </c>
      <c r="W1220">
        <f>HYPERLINK("https://klasma.github.io/Logging_2321/klagomålsmail/A 62188-2021 FSC-klagomål mail.docx", "A 62188-2021")</f>
        <v/>
      </c>
      <c r="X1220">
        <f>HYPERLINK("https://klasma.github.io/Logging_2321/tillsyn/A 62188-2021 tillsynsbegäran.docx", "A 62188-2021")</f>
        <v/>
      </c>
      <c r="Y1220">
        <f>HYPERLINK("https://klasma.github.io/Logging_2321/tillsynsmail/A 62188-2021 tillsynsbegäran mail.docx", "A 62188-2021")</f>
        <v/>
      </c>
    </row>
    <row r="1221" ht="15" customHeight="1">
      <c r="A1221" t="inlineStr">
        <is>
          <t>A 63975-2021</t>
        </is>
      </c>
      <c r="B1221" s="1" t="n">
        <v>44509</v>
      </c>
      <c r="C1221" s="1" t="n">
        <v>45363</v>
      </c>
      <c r="D1221" t="inlineStr">
        <is>
          <t>JÄMTLANDS LÄN</t>
        </is>
      </c>
      <c r="E1221" t="inlineStr">
        <is>
          <t>ÅRE</t>
        </is>
      </c>
      <c r="G1221" t="n">
        <v>2.4</v>
      </c>
      <c r="H1221" t="n">
        <v>0</v>
      </c>
      <c r="I1221" t="n">
        <v>1</v>
      </c>
      <c r="J1221" t="n">
        <v>0</v>
      </c>
      <c r="K1221" t="n">
        <v>0</v>
      </c>
      <c r="L1221" t="n">
        <v>0</v>
      </c>
      <c r="M1221" t="n">
        <v>0</v>
      </c>
      <c r="N1221" t="n">
        <v>0</v>
      </c>
      <c r="O1221" t="n">
        <v>0</v>
      </c>
      <c r="P1221" t="n">
        <v>0</v>
      </c>
      <c r="Q1221" t="n">
        <v>1</v>
      </c>
      <c r="R1221" s="2" t="inlineStr">
        <is>
          <t>Svart trolldruva</t>
        </is>
      </c>
      <c r="S1221">
        <f>HYPERLINK("https://klasma.github.io/Logging_2321/artfynd/A 63975-2021 artfynd.xlsx", "A 63975-2021")</f>
        <v/>
      </c>
      <c r="T1221">
        <f>HYPERLINK("https://klasma.github.io/Logging_2321/kartor/A 63975-2021 karta.png", "A 63975-2021")</f>
        <v/>
      </c>
      <c r="V1221">
        <f>HYPERLINK("https://klasma.github.io/Logging_2321/klagomål/A 63975-2021 FSC-klagomål.docx", "A 63975-2021")</f>
        <v/>
      </c>
      <c r="W1221">
        <f>HYPERLINK("https://klasma.github.io/Logging_2321/klagomålsmail/A 63975-2021 FSC-klagomål mail.docx", "A 63975-2021")</f>
        <v/>
      </c>
      <c r="X1221">
        <f>HYPERLINK("https://klasma.github.io/Logging_2321/tillsyn/A 63975-2021 tillsynsbegäran.docx", "A 63975-2021")</f>
        <v/>
      </c>
      <c r="Y1221">
        <f>HYPERLINK("https://klasma.github.io/Logging_2321/tillsynsmail/A 63975-2021 tillsynsbegäran mail.docx", "A 63975-2021")</f>
        <v/>
      </c>
    </row>
    <row r="1222" ht="15" customHeight="1">
      <c r="A1222" t="inlineStr">
        <is>
          <t>A 64301-2021</t>
        </is>
      </c>
      <c r="B1222" s="1" t="n">
        <v>44510</v>
      </c>
      <c r="C1222" s="1" t="n">
        <v>45363</v>
      </c>
      <c r="D1222" t="inlineStr">
        <is>
          <t>JÄMTLANDS LÄN</t>
        </is>
      </c>
      <c r="E1222" t="inlineStr">
        <is>
          <t>KROKOM</t>
        </is>
      </c>
      <c r="G1222" t="n">
        <v>3.3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HYPERLINK("https://klasma.github.io/Logging_2309/artfynd/A 64301-2021 artfynd.xlsx", "A 64301-2021")</f>
        <v/>
      </c>
      <c r="T1222">
        <f>HYPERLINK("https://klasma.github.io/Logging_2309/kartor/A 64301-2021 karta.png", "A 64301-2021")</f>
        <v/>
      </c>
      <c r="V1222">
        <f>HYPERLINK("https://klasma.github.io/Logging_2309/klagomål/A 64301-2021 FSC-klagomål.docx", "A 64301-2021")</f>
        <v/>
      </c>
      <c r="W1222">
        <f>HYPERLINK("https://klasma.github.io/Logging_2309/klagomålsmail/A 64301-2021 FSC-klagomål mail.docx", "A 64301-2021")</f>
        <v/>
      </c>
      <c r="X1222">
        <f>HYPERLINK("https://klasma.github.io/Logging_2309/tillsyn/A 64301-2021 tillsynsbegäran.docx", "A 64301-2021")</f>
        <v/>
      </c>
      <c r="Y1222">
        <f>HYPERLINK("https://klasma.github.io/Logging_2309/tillsynsmail/A 64301-2021 tillsynsbegäran mail.docx", "A 64301-2021")</f>
        <v/>
      </c>
      <c r="Z1222">
        <f>HYPERLINK("https://klasma.github.io/Logging_2309/fåglar/A 64301-2021 prioriterade fågelarter.docx", "A 64301-2021")</f>
        <v/>
      </c>
    </row>
    <row r="1223" ht="15" customHeight="1">
      <c r="A1223" t="inlineStr">
        <is>
          <t>A 64658-2021</t>
        </is>
      </c>
      <c r="B1223" s="1" t="n">
        <v>44511</v>
      </c>
      <c r="C1223" s="1" t="n">
        <v>45363</v>
      </c>
      <c r="D1223" t="inlineStr">
        <is>
          <t>JÄMTLANDS LÄN</t>
        </is>
      </c>
      <c r="E1223" t="inlineStr">
        <is>
          <t>STRÖMSUND</t>
        </is>
      </c>
      <c r="F1223" t="inlineStr">
        <is>
          <t>SCA</t>
        </is>
      </c>
      <c r="G1223" t="n">
        <v>4.7</v>
      </c>
      <c r="H1223" t="n">
        <v>0</v>
      </c>
      <c r="I1223" t="n">
        <v>0</v>
      </c>
      <c r="J1223" t="n">
        <v>1</v>
      </c>
      <c r="K1223" t="n">
        <v>0</v>
      </c>
      <c r="L1223" t="n">
        <v>0</v>
      </c>
      <c r="M1223" t="n">
        <v>0</v>
      </c>
      <c r="N1223" t="n">
        <v>0</v>
      </c>
      <c r="O1223" t="n">
        <v>1</v>
      </c>
      <c r="P1223" t="n">
        <v>0</v>
      </c>
      <c r="Q1223" t="n">
        <v>1</v>
      </c>
      <c r="R1223" s="2" t="inlineStr">
        <is>
          <t>Harticka</t>
        </is>
      </c>
      <c r="S1223">
        <f>HYPERLINK("https://klasma.github.io/Logging_2313/artfynd/A 64658-2021 artfynd.xlsx", "A 64658-2021")</f>
        <v/>
      </c>
      <c r="T1223">
        <f>HYPERLINK("https://klasma.github.io/Logging_2313/kartor/A 64658-2021 karta.png", "A 64658-2021")</f>
        <v/>
      </c>
      <c r="V1223">
        <f>HYPERLINK("https://klasma.github.io/Logging_2313/klagomål/A 64658-2021 FSC-klagomål.docx", "A 64658-2021")</f>
        <v/>
      </c>
      <c r="W1223">
        <f>HYPERLINK("https://klasma.github.io/Logging_2313/klagomålsmail/A 64658-2021 FSC-klagomål mail.docx", "A 64658-2021")</f>
        <v/>
      </c>
      <c r="X1223">
        <f>HYPERLINK("https://klasma.github.io/Logging_2313/tillsyn/A 64658-2021 tillsynsbegäran.docx", "A 64658-2021")</f>
        <v/>
      </c>
      <c r="Y1223">
        <f>HYPERLINK("https://klasma.github.io/Logging_2313/tillsynsmail/A 64658-2021 tillsynsbegäran mail.docx", "A 64658-2021")</f>
        <v/>
      </c>
    </row>
    <row r="1224" ht="15" customHeight="1">
      <c r="A1224" t="inlineStr">
        <is>
          <t>A 64951-2021</t>
        </is>
      </c>
      <c r="B1224" s="1" t="n">
        <v>44512</v>
      </c>
      <c r="C1224" s="1" t="n">
        <v>45363</v>
      </c>
      <c r="D1224" t="inlineStr">
        <is>
          <t>JÄMTLANDS LÄN</t>
        </is>
      </c>
      <c r="E1224" t="inlineStr">
        <is>
          <t>KROKOM</t>
        </is>
      </c>
      <c r="F1224" t="inlineStr">
        <is>
          <t>SCA</t>
        </is>
      </c>
      <c r="G1224" t="n">
        <v>2.5</v>
      </c>
      <c r="H1224" t="n">
        <v>0</v>
      </c>
      <c r="I1224" t="n">
        <v>1</v>
      </c>
      <c r="J1224" t="n">
        <v>0</v>
      </c>
      <c r="K1224" t="n">
        <v>0</v>
      </c>
      <c r="L1224" t="n">
        <v>0</v>
      </c>
      <c r="M1224" t="n">
        <v>0</v>
      </c>
      <c r="N1224" t="n">
        <v>0</v>
      </c>
      <c r="O1224" t="n">
        <v>0</v>
      </c>
      <c r="P1224" t="n">
        <v>0</v>
      </c>
      <c r="Q1224" t="n">
        <v>1</v>
      </c>
      <c r="R1224" s="2" t="inlineStr">
        <is>
          <t>Kransrams</t>
        </is>
      </c>
      <c r="S1224">
        <f>HYPERLINK("https://klasma.github.io/Logging_2309/artfynd/A 64951-2021 artfynd.xlsx", "A 64951-2021")</f>
        <v/>
      </c>
      <c r="T1224">
        <f>HYPERLINK("https://klasma.github.io/Logging_2309/kartor/A 64951-2021 karta.png", "A 64951-2021")</f>
        <v/>
      </c>
      <c r="V1224">
        <f>HYPERLINK("https://klasma.github.io/Logging_2309/klagomål/A 64951-2021 FSC-klagomål.docx", "A 64951-2021")</f>
        <v/>
      </c>
      <c r="W1224">
        <f>HYPERLINK("https://klasma.github.io/Logging_2309/klagomålsmail/A 64951-2021 FSC-klagomål mail.docx", "A 64951-2021")</f>
        <v/>
      </c>
      <c r="X1224">
        <f>HYPERLINK("https://klasma.github.io/Logging_2309/tillsyn/A 64951-2021 tillsynsbegäran.docx", "A 64951-2021")</f>
        <v/>
      </c>
      <c r="Y1224">
        <f>HYPERLINK("https://klasma.github.io/Logging_2309/tillsynsmail/A 64951-2021 tillsynsbegäran mail.docx", "A 64951-2021")</f>
        <v/>
      </c>
    </row>
    <row r="1225" ht="15" customHeight="1">
      <c r="A1225" t="inlineStr">
        <is>
          <t>A 64968-2021</t>
        </is>
      </c>
      <c r="B1225" s="1" t="n">
        <v>44512</v>
      </c>
      <c r="C1225" s="1" t="n">
        <v>45363</v>
      </c>
      <c r="D1225" t="inlineStr">
        <is>
          <t>JÄMTLANDS LÄN</t>
        </is>
      </c>
      <c r="E1225" t="inlineStr">
        <is>
          <t>KROKOM</t>
        </is>
      </c>
      <c r="F1225" t="inlineStr">
        <is>
          <t>SCA</t>
        </is>
      </c>
      <c r="G1225" t="n">
        <v>3.2</v>
      </c>
      <c r="H1225" t="n">
        <v>0</v>
      </c>
      <c r="I1225" t="n">
        <v>0</v>
      </c>
      <c r="J1225" t="n">
        <v>1</v>
      </c>
      <c r="K1225" t="n">
        <v>0</v>
      </c>
      <c r="L1225" t="n">
        <v>0</v>
      </c>
      <c r="M1225" t="n">
        <v>0</v>
      </c>
      <c r="N1225" t="n">
        <v>0</v>
      </c>
      <c r="O1225" t="n">
        <v>1</v>
      </c>
      <c r="P1225" t="n">
        <v>0</v>
      </c>
      <c r="Q1225" t="n">
        <v>1</v>
      </c>
      <c r="R1225" s="2" t="inlineStr">
        <is>
          <t>Skrovellav</t>
        </is>
      </c>
      <c r="S1225">
        <f>HYPERLINK("https://klasma.github.io/Logging_2309/artfynd/A 64968-2021 artfynd.xlsx", "A 64968-2021")</f>
        <v/>
      </c>
      <c r="T1225">
        <f>HYPERLINK("https://klasma.github.io/Logging_2309/kartor/A 64968-2021 karta.png", "A 64968-2021")</f>
        <v/>
      </c>
      <c r="V1225">
        <f>HYPERLINK("https://klasma.github.io/Logging_2309/klagomål/A 64968-2021 FSC-klagomål.docx", "A 64968-2021")</f>
        <v/>
      </c>
      <c r="W1225">
        <f>HYPERLINK("https://klasma.github.io/Logging_2309/klagomålsmail/A 64968-2021 FSC-klagomål mail.docx", "A 64968-2021")</f>
        <v/>
      </c>
      <c r="X1225">
        <f>HYPERLINK("https://klasma.github.io/Logging_2309/tillsyn/A 64968-2021 tillsynsbegäran.docx", "A 64968-2021")</f>
        <v/>
      </c>
      <c r="Y1225">
        <f>HYPERLINK("https://klasma.github.io/Logging_2309/tillsynsmail/A 64968-2021 tillsynsbegäran mail.docx", "A 64968-2021")</f>
        <v/>
      </c>
    </row>
    <row r="1226" ht="15" customHeight="1">
      <c r="A1226" t="inlineStr">
        <is>
          <t>A 66483-2021</t>
        </is>
      </c>
      <c r="B1226" s="1" t="n">
        <v>44518</v>
      </c>
      <c r="C1226" s="1" t="n">
        <v>45363</v>
      </c>
      <c r="D1226" t="inlineStr">
        <is>
          <t>JÄMTLANDS LÄN</t>
        </is>
      </c>
      <c r="E1226" t="inlineStr">
        <is>
          <t>STRÖMSUND</t>
        </is>
      </c>
      <c r="F1226" t="inlineStr">
        <is>
          <t>SCA</t>
        </is>
      </c>
      <c r="G1226" t="n">
        <v>10.2</v>
      </c>
      <c r="H1226" t="n">
        <v>0</v>
      </c>
      <c r="I1226" t="n">
        <v>0</v>
      </c>
      <c r="J1226" t="n">
        <v>1</v>
      </c>
      <c r="K1226" t="n">
        <v>0</v>
      </c>
      <c r="L1226" t="n">
        <v>0</v>
      </c>
      <c r="M1226" t="n">
        <v>0</v>
      </c>
      <c r="N1226" t="n">
        <v>0</v>
      </c>
      <c r="O1226" t="n">
        <v>1</v>
      </c>
      <c r="P1226" t="n">
        <v>0</v>
      </c>
      <c r="Q1226" t="n">
        <v>1</v>
      </c>
      <c r="R1226" s="2" t="inlineStr">
        <is>
          <t>Knottrig blåslav</t>
        </is>
      </c>
      <c r="S1226">
        <f>HYPERLINK("https://klasma.github.io/Logging_2313/artfynd/A 66483-2021 artfynd.xlsx", "A 66483-2021")</f>
        <v/>
      </c>
      <c r="T1226">
        <f>HYPERLINK("https://klasma.github.io/Logging_2313/kartor/A 66483-2021 karta.png", "A 66483-2021")</f>
        <v/>
      </c>
      <c r="V1226">
        <f>HYPERLINK("https://klasma.github.io/Logging_2313/klagomål/A 66483-2021 FSC-klagomål.docx", "A 66483-2021")</f>
        <v/>
      </c>
      <c r="W1226">
        <f>HYPERLINK("https://klasma.github.io/Logging_2313/klagomålsmail/A 66483-2021 FSC-klagomål mail.docx", "A 66483-2021")</f>
        <v/>
      </c>
      <c r="X1226">
        <f>HYPERLINK("https://klasma.github.io/Logging_2313/tillsyn/A 66483-2021 tillsynsbegäran.docx", "A 66483-2021")</f>
        <v/>
      </c>
      <c r="Y1226">
        <f>HYPERLINK("https://klasma.github.io/Logging_2313/tillsynsmail/A 66483-2021 tillsynsbegäran mail.docx", "A 66483-2021")</f>
        <v/>
      </c>
    </row>
    <row r="1227" ht="15" customHeight="1">
      <c r="A1227" t="inlineStr">
        <is>
          <t>A 67701-2021</t>
        </is>
      </c>
      <c r="B1227" s="1" t="n">
        <v>44524</v>
      </c>
      <c r="C1227" s="1" t="n">
        <v>45363</v>
      </c>
      <c r="D1227" t="inlineStr">
        <is>
          <t>JÄMTLANDS LÄN</t>
        </is>
      </c>
      <c r="E1227" t="inlineStr">
        <is>
          <t>KROKOM</t>
        </is>
      </c>
      <c r="F1227" t="inlineStr">
        <is>
          <t>SCA</t>
        </is>
      </c>
      <c r="G1227" t="n">
        <v>3.1</v>
      </c>
      <c r="H1227" t="n">
        <v>0</v>
      </c>
      <c r="I1227" t="n">
        <v>1</v>
      </c>
      <c r="J1227" t="n">
        <v>0</v>
      </c>
      <c r="K1227" t="n">
        <v>0</v>
      </c>
      <c r="L1227" t="n">
        <v>0</v>
      </c>
      <c r="M1227" t="n">
        <v>0</v>
      </c>
      <c r="N1227" t="n">
        <v>0</v>
      </c>
      <c r="O1227" t="n">
        <v>0</v>
      </c>
      <c r="P1227" t="n">
        <v>0</v>
      </c>
      <c r="Q1227" t="n">
        <v>1</v>
      </c>
      <c r="R1227" s="2" t="inlineStr">
        <is>
          <t>Trådticka</t>
        </is>
      </c>
      <c r="S1227">
        <f>HYPERLINK("https://klasma.github.io/Logging_2309/artfynd/A 67701-2021 artfynd.xlsx", "A 67701-2021")</f>
        <v/>
      </c>
      <c r="T1227">
        <f>HYPERLINK("https://klasma.github.io/Logging_2309/kartor/A 67701-2021 karta.png", "A 67701-2021")</f>
        <v/>
      </c>
      <c r="V1227">
        <f>HYPERLINK("https://klasma.github.io/Logging_2309/klagomål/A 67701-2021 FSC-klagomål.docx", "A 67701-2021")</f>
        <v/>
      </c>
      <c r="W1227">
        <f>HYPERLINK("https://klasma.github.io/Logging_2309/klagomålsmail/A 67701-2021 FSC-klagomål mail.docx", "A 67701-2021")</f>
        <v/>
      </c>
      <c r="X1227">
        <f>HYPERLINK("https://klasma.github.io/Logging_2309/tillsyn/A 67701-2021 tillsynsbegäran.docx", "A 67701-2021")</f>
        <v/>
      </c>
      <c r="Y1227">
        <f>HYPERLINK("https://klasma.github.io/Logging_2309/tillsynsmail/A 67701-2021 tillsynsbegäran mail.docx", "A 67701-2021")</f>
        <v/>
      </c>
    </row>
    <row r="1228" ht="15" customHeight="1">
      <c r="A1228" t="inlineStr">
        <is>
          <t>A 68604-2021</t>
        </is>
      </c>
      <c r="B1228" s="1" t="n">
        <v>44529</v>
      </c>
      <c r="C1228" s="1" t="n">
        <v>45363</v>
      </c>
      <c r="D1228" t="inlineStr">
        <is>
          <t>JÄMTLANDS LÄN</t>
        </is>
      </c>
      <c r="E1228" t="inlineStr">
        <is>
          <t>STRÖMSUND</t>
        </is>
      </c>
      <c r="G1228" t="n">
        <v>1.3</v>
      </c>
      <c r="H1228" t="n">
        <v>0</v>
      </c>
      <c r="I1228" t="n">
        <v>0</v>
      </c>
      <c r="J1228" t="n">
        <v>1</v>
      </c>
      <c r="K1228" t="n">
        <v>0</v>
      </c>
      <c r="L1228" t="n">
        <v>0</v>
      </c>
      <c r="M1228" t="n">
        <v>0</v>
      </c>
      <c r="N1228" t="n">
        <v>0</v>
      </c>
      <c r="O1228" t="n">
        <v>1</v>
      </c>
      <c r="P1228" t="n">
        <v>0</v>
      </c>
      <c r="Q1228" t="n">
        <v>1</v>
      </c>
      <c r="R1228" s="2" t="inlineStr">
        <is>
          <t>Blanksvart spiklav</t>
        </is>
      </c>
      <c r="S1228">
        <f>HYPERLINK("https://klasma.github.io/Logging_2313/artfynd/A 68604-2021 artfynd.xlsx", "A 68604-2021")</f>
        <v/>
      </c>
      <c r="T1228">
        <f>HYPERLINK("https://klasma.github.io/Logging_2313/kartor/A 68604-2021 karta.png", "A 68604-2021")</f>
        <v/>
      </c>
      <c r="V1228">
        <f>HYPERLINK("https://klasma.github.io/Logging_2313/klagomål/A 68604-2021 FSC-klagomål.docx", "A 68604-2021")</f>
        <v/>
      </c>
      <c r="W1228">
        <f>HYPERLINK("https://klasma.github.io/Logging_2313/klagomålsmail/A 68604-2021 FSC-klagomål mail.docx", "A 68604-2021")</f>
        <v/>
      </c>
      <c r="X1228">
        <f>HYPERLINK("https://klasma.github.io/Logging_2313/tillsyn/A 68604-2021 tillsynsbegäran.docx", "A 68604-2021")</f>
        <v/>
      </c>
      <c r="Y1228">
        <f>HYPERLINK("https://klasma.github.io/Logging_2313/tillsynsmail/A 68604-2021 tillsynsbegäran mail.docx", "A 68604-2021")</f>
        <v/>
      </c>
    </row>
    <row r="1229" ht="15" customHeight="1">
      <c r="A1229" t="inlineStr">
        <is>
          <t>A 68434-2021</t>
        </is>
      </c>
      <c r="B1229" s="1" t="n">
        <v>44529</v>
      </c>
      <c r="C1229" s="1" t="n">
        <v>45363</v>
      </c>
      <c r="D1229" t="inlineStr">
        <is>
          <t>JÄMTLANDS LÄN</t>
        </is>
      </c>
      <c r="E1229" t="inlineStr">
        <is>
          <t>BERG</t>
        </is>
      </c>
      <c r="G1229" t="n">
        <v>14</v>
      </c>
      <c r="H1229" t="n">
        <v>0</v>
      </c>
      <c r="I1229" t="n">
        <v>0</v>
      </c>
      <c r="J1229" t="n">
        <v>0</v>
      </c>
      <c r="K1229" t="n">
        <v>1</v>
      </c>
      <c r="L1229" t="n">
        <v>0</v>
      </c>
      <c r="M1229" t="n">
        <v>0</v>
      </c>
      <c r="N1229" t="n">
        <v>0</v>
      </c>
      <c r="O1229" t="n">
        <v>1</v>
      </c>
      <c r="P1229" t="n">
        <v>1</v>
      </c>
      <c r="Q1229" t="n">
        <v>1</v>
      </c>
      <c r="R1229" s="2" t="inlineStr">
        <is>
          <t>Ostticka</t>
        </is>
      </c>
      <c r="S1229">
        <f>HYPERLINK("https://klasma.github.io/Logging_2326/artfynd/A 68434-2021 artfynd.xlsx", "A 68434-2021")</f>
        <v/>
      </c>
      <c r="T1229">
        <f>HYPERLINK("https://klasma.github.io/Logging_2326/kartor/A 68434-2021 karta.png", "A 68434-2021")</f>
        <v/>
      </c>
      <c r="V1229">
        <f>HYPERLINK("https://klasma.github.io/Logging_2326/klagomål/A 68434-2021 FSC-klagomål.docx", "A 68434-2021")</f>
        <v/>
      </c>
      <c r="W1229">
        <f>HYPERLINK("https://klasma.github.io/Logging_2326/klagomålsmail/A 68434-2021 FSC-klagomål mail.docx", "A 68434-2021")</f>
        <v/>
      </c>
      <c r="X1229">
        <f>HYPERLINK("https://klasma.github.io/Logging_2326/tillsyn/A 68434-2021 tillsynsbegäran.docx", "A 68434-2021")</f>
        <v/>
      </c>
      <c r="Y1229">
        <f>HYPERLINK("https://klasma.github.io/Logging_2326/tillsynsmail/A 68434-2021 tillsynsbegäran mail.docx", "A 68434-2021")</f>
        <v/>
      </c>
    </row>
    <row r="1230" ht="15" customHeight="1">
      <c r="A1230" t="inlineStr">
        <is>
          <t>A 69137-2021</t>
        </is>
      </c>
      <c r="B1230" s="1" t="n">
        <v>44530</v>
      </c>
      <c r="C1230" s="1" t="n">
        <v>45363</v>
      </c>
      <c r="D1230" t="inlineStr">
        <is>
          <t>JÄMTLANDS LÄN</t>
        </is>
      </c>
      <c r="E1230" t="inlineStr">
        <is>
          <t>KROKOM</t>
        </is>
      </c>
      <c r="F1230" t="inlineStr">
        <is>
          <t>SCA</t>
        </is>
      </c>
      <c r="G1230" t="n">
        <v>30.5</v>
      </c>
      <c r="H1230" t="n">
        <v>0</v>
      </c>
      <c r="I1230" t="n">
        <v>0</v>
      </c>
      <c r="J1230" t="n">
        <v>1</v>
      </c>
      <c r="K1230" t="n">
        <v>0</v>
      </c>
      <c r="L1230" t="n">
        <v>0</v>
      </c>
      <c r="M1230" t="n">
        <v>0</v>
      </c>
      <c r="N1230" t="n">
        <v>0</v>
      </c>
      <c r="O1230" t="n">
        <v>1</v>
      </c>
      <c r="P1230" t="n">
        <v>0</v>
      </c>
      <c r="Q1230" t="n">
        <v>1</v>
      </c>
      <c r="R1230" s="2" t="inlineStr">
        <is>
          <t>Garnlav</t>
        </is>
      </c>
      <c r="S1230">
        <f>HYPERLINK("https://klasma.github.io/Logging_2309/artfynd/A 69137-2021 artfynd.xlsx", "A 69137-2021")</f>
        <v/>
      </c>
      <c r="T1230">
        <f>HYPERLINK("https://klasma.github.io/Logging_2309/kartor/A 69137-2021 karta.png", "A 69137-2021")</f>
        <v/>
      </c>
      <c r="V1230">
        <f>HYPERLINK("https://klasma.github.io/Logging_2309/klagomål/A 69137-2021 FSC-klagomål.docx", "A 69137-2021")</f>
        <v/>
      </c>
      <c r="W1230">
        <f>HYPERLINK("https://klasma.github.io/Logging_2309/klagomålsmail/A 69137-2021 FSC-klagomål mail.docx", "A 69137-2021")</f>
        <v/>
      </c>
      <c r="X1230">
        <f>HYPERLINK("https://klasma.github.io/Logging_2309/tillsyn/A 69137-2021 tillsynsbegäran.docx", "A 69137-2021")</f>
        <v/>
      </c>
      <c r="Y1230">
        <f>HYPERLINK("https://klasma.github.io/Logging_2309/tillsynsmail/A 69137-2021 tillsynsbegäran mail.docx", "A 69137-2021")</f>
        <v/>
      </c>
    </row>
    <row r="1231" ht="15" customHeight="1">
      <c r="A1231" t="inlineStr">
        <is>
          <t>A 69154-2021</t>
        </is>
      </c>
      <c r="B1231" s="1" t="n">
        <v>44530</v>
      </c>
      <c r="C1231" s="1" t="n">
        <v>45363</v>
      </c>
      <c r="D1231" t="inlineStr">
        <is>
          <t>JÄMTLANDS LÄN</t>
        </is>
      </c>
      <c r="E1231" t="inlineStr">
        <is>
          <t>BRÄCKE</t>
        </is>
      </c>
      <c r="F1231" t="inlineStr">
        <is>
          <t>SCA</t>
        </is>
      </c>
      <c r="G1231" t="n">
        <v>3.4</v>
      </c>
      <c r="H1231" t="n">
        <v>0</v>
      </c>
      <c r="I1231" t="n">
        <v>0</v>
      </c>
      <c r="J1231" t="n">
        <v>1</v>
      </c>
      <c r="K1231" t="n">
        <v>0</v>
      </c>
      <c r="L1231" t="n">
        <v>0</v>
      </c>
      <c r="M1231" t="n">
        <v>0</v>
      </c>
      <c r="N1231" t="n">
        <v>0</v>
      </c>
      <c r="O1231" t="n">
        <v>1</v>
      </c>
      <c r="P1231" t="n">
        <v>0</v>
      </c>
      <c r="Q1231" t="n">
        <v>1</v>
      </c>
      <c r="R1231" s="2" t="inlineStr">
        <is>
          <t>Lunglav</t>
        </is>
      </c>
      <c r="S1231">
        <f>HYPERLINK("https://klasma.github.io/Logging_2305/artfynd/A 69154-2021 artfynd.xlsx", "A 69154-2021")</f>
        <v/>
      </c>
      <c r="T1231">
        <f>HYPERLINK("https://klasma.github.io/Logging_2305/kartor/A 69154-2021 karta.png", "A 69154-2021")</f>
        <v/>
      </c>
      <c r="V1231">
        <f>HYPERLINK("https://klasma.github.io/Logging_2305/klagomål/A 69154-2021 FSC-klagomål.docx", "A 69154-2021")</f>
        <v/>
      </c>
      <c r="W1231">
        <f>HYPERLINK("https://klasma.github.io/Logging_2305/klagomålsmail/A 69154-2021 FSC-klagomål mail.docx", "A 69154-2021")</f>
        <v/>
      </c>
      <c r="X1231">
        <f>HYPERLINK("https://klasma.github.io/Logging_2305/tillsyn/A 69154-2021 tillsynsbegäran.docx", "A 69154-2021")</f>
        <v/>
      </c>
      <c r="Y1231">
        <f>HYPERLINK("https://klasma.github.io/Logging_2305/tillsynsmail/A 69154-2021 tillsynsbegäran mail.docx", "A 69154-2021")</f>
        <v/>
      </c>
    </row>
    <row r="1232" ht="15" customHeight="1">
      <c r="A1232" t="inlineStr">
        <is>
          <t>A 69134-2021</t>
        </is>
      </c>
      <c r="B1232" s="1" t="n">
        <v>44530</v>
      </c>
      <c r="C1232" s="1" t="n">
        <v>45363</v>
      </c>
      <c r="D1232" t="inlineStr">
        <is>
          <t>JÄMTLANDS LÄN</t>
        </is>
      </c>
      <c r="E1232" t="inlineStr">
        <is>
          <t>STRÖMSUND</t>
        </is>
      </c>
      <c r="G1232" t="n">
        <v>9.4</v>
      </c>
      <c r="H1232" t="n">
        <v>0</v>
      </c>
      <c r="I1232" t="n">
        <v>0</v>
      </c>
      <c r="J1232" t="n">
        <v>1</v>
      </c>
      <c r="K1232" t="n">
        <v>0</v>
      </c>
      <c r="L1232" t="n">
        <v>0</v>
      </c>
      <c r="M1232" t="n">
        <v>0</v>
      </c>
      <c r="N1232" t="n">
        <v>0</v>
      </c>
      <c r="O1232" t="n">
        <v>1</v>
      </c>
      <c r="P1232" t="n">
        <v>0</v>
      </c>
      <c r="Q1232" t="n">
        <v>1</v>
      </c>
      <c r="R1232" s="2" t="inlineStr">
        <is>
          <t>Garnlav</t>
        </is>
      </c>
      <c r="S1232">
        <f>HYPERLINK("https://klasma.github.io/Logging_2313/artfynd/A 69134-2021 artfynd.xlsx", "A 69134-2021")</f>
        <v/>
      </c>
      <c r="T1232">
        <f>HYPERLINK("https://klasma.github.io/Logging_2313/kartor/A 69134-2021 karta.png", "A 69134-2021")</f>
        <v/>
      </c>
      <c r="V1232">
        <f>HYPERLINK("https://klasma.github.io/Logging_2313/klagomål/A 69134-2021 FSC-klagomål.docx", "A 69134-2021")</f>
        <v/>
      </c>
      <c r="W1232">
        <f>HYPERLINK("https://klasma.github.io/Logging_2313/klagomålsmail/A 69134-2021 FSC-klagomål mail.docx", "A 69134-2021")</f>
        <v/>
      </c>
      <c r="X1232">
        <f>HYPERLINK("https://klasma.github.io/Logging_2313/tillsyn/A 69134-2021 tillsynsbegäran.docx", "A 69134-2021")</f>
        <v/>
      </c>
      <c r="Y1232">
        <f>HYPERLINK("https://klasma.github.io/Logging_2313/tillsynsmail/A 69134-2021 tillsynsbegäran mail.docx", "A 69134-2021")</f>
        <v/>
      </c>
    </row>
    <row r="1233" ht="15" customHeight="1">
      <c r="A1233" t="inlineStr">
        <is>
          <t>A 69551-2021</t>
        </is>
      </c>
      <c r="B1233" s="1" t="n">
        <v>44531</v>
      </c>
      <c r="C1233" s="1" t="n">
        <v>45363</v>
      </c>
      <c r="D1233" t="inlineStr">
        <is>
          <t>JÄMTLANDS LÄN</t>
        </is>
      </c>
      <c r="E1233" t="inlineStr">
        <is>
          <t>STRÖMSUND</t>
        </is>
      </c>
      <c r="F1233" t="inlineStr">
        <is>
          <t>SCA</t>
        </is>
      </c>
      <c r="G1233" t="n">
        <v>14.1</v>
      </c>
      <c r="H1233" t="n">
        <v>0</v>
      </c>
      <c r="I1233" t="n">
        <v>0</v>
      </c>
      <c r="J1233" t="n">
        <v>1</v>
      </c>
      <c r="K1233" t="n">
        <v>0</v>
      </c>
      <c r="L1233" t="n">
        <v>0</v>
      </c>
      <c r="M1233" t="n">
        <v>0</v>
      </c>
      <c r="N1233" t="n">
        <v>0</v>
      </c>
      <c r="O1233" t="n">
        <v>1</v>
      </c>
      <c r="P1233" t="n">
        <v>0</v>
      </c>
      <c r="Q1233" t="n">
        <v>1</v>
      </c>
      <c r="R1233" s="2" t="inlineStr">
        <is>
          <t>Skrovellav</t>
        </is>
      </c>
      <c r="S1233">
        <f>HYPERLINK("https://klasma.github.io/Logging_2313/artfynd/A 69551-2021 artfynd.xlsx", "A 69551-2021")</f>
        <v/>
      </c>
      <c r="T1233">
        <f>HYPERLINK("https://klasma.github.io/Logging_2313/kartor/A 69551-2021 karta.png", "A 69551-2021")</f>
        <v/>
      </c>
      <c r="V1233">
        <f>HYPERLINK("https://klasma.github.io/Logging_2313/klagomål/A 69551-2021 FSC-klagomål.docx", "A 69551-2021")</f>
        <v/>
      </c>
      <c r="W1233">
        <f>HYPERLINK("https://klasma.github.io/Logging_2313/klagomålsmail/A 69551-2021 FSC-klagomål mail.docx", "A 69551-2021")</f>
        <v/>
      </c>
      <c r="X1233">
        <f>HYPERLINK("https://klasma.github.io/Logging_2313/tillsyn/A 69551-2021 tillsynsbegäran.docx", "A 69551-2021")</f>
        <v/>
      </c>
      <c r="Y1233">
        <f>HYPERLINK("https://klasma.github.io/Logging_2313/tillsynsmail/A 69551-2021 tillsynsbegäran mail.docx", "A 69551-2021")</f>
        <v/>
      </c>
    </row>
    <row r="1234" ht="15" customHeight="1">
      <c r="A1234" t="inlineStr">
        <is>
          <t>A 71575-2021</t>
        </is>
      </c>
      <c r="B1234" s="1" t="n">
        <v>44540</v>
      </c>
      <c r="C1234" s="1" t="n">
        <v>45363</v>
      </c>
      <c r="D1234" t="inlineStr">
        <is>
          <t>JÄMTLANDS LÄN</t>
        </is>
      </c>
      <c r="E1234" t="inlineStr">
        <is>
          <t>KROKOM</t>
        </is>
      </c>
      <c r="G1234" t="n">
        <v>0.9</v>
      </c>
      <c r="H1234" t="n">
        <v>0</v>
      </c>
      <c r="I1234" t="n">
        <v>0</v>
      </c>
      <c r="J1234" t="n">
        <v>1</v>
      </c>
      <c r="K1234" t="n">
        <v>0</v>
      </c>
      <c r="L1234" t="n">
        <v>0</v>
      </c>
      <c r="M1234" t="n">
        <v>0</v>
      </c>
      <c r="N1234" t="n">
        <v>0</v>
      </c>
      <c r="O1234" t="n">
        <v>1</v>
      </c>
      <c r="P1234" t="n">
        <v>0</v>
      </c>
      <c r="Q1234" t="n">
        <v>1</v>
      </c>
      <c r="R1234" s="2" t="inlineStr">
        <is>
          <t>Gultoppig fingersvamp</t>
        </is>
      </c>
      <c r="S1234">
        <f>HYPERLINK("https://klasma.github.io/Logging_2309/artfynd/A 71575-2021 artfynd.xlsx", "A 71575-2021")</f>
        <v/>
      </c>
      <c r="T1234">
        <f>HYPERLINK("https://klasma.github.io/Logging_2309/kartor/A 71575-2021 karta.png", "A 71575-2021")</f>
        <v/>
      </c>
      <c r="V1234">
        <f>HYPERLINK("https://klasma.github.io/Logging_2309/klagomål/A 71575-2021 FSC-klagomål.docx", "A 71575-2021")</f>
        <v/>
      </c>
      <c r="W1234">
        <f>HYPERLINK("https://klasma.github.io/Logging_2309/klagomålsmail/A 71575-2021 FSC-klagomål mail.docx", "A 71575-2021")</f>
        <v/>
      </c>
      <c r="X1234">
        <f>HYPERLINK("https://klasma.github.io/Logging_2309/tillsyn/A 71575-2021 tillsynsbegäran.docx", "A 71575-2021")</f>
        <v/>
      </c>
      <c r="Y1234">
        <f>HYPERLINK("https://klasma.github.io/Logging_2309/tillsynsmail/A 71575-2021 tillsynsbegäran mail.docx", "A 71575-2021")</f>
        <v/>
      </c>
    </row>
    <row r="1235" ht="15" customHeight="1">
      <c r="A1235" t="inlineStr">
        <is>
          <t>A 71574-2021</t>
        </is>
      </c>
      <c r="B1235" s="1" t="n">
        <v>44540</v>
      </c>
      <c r="C1235" s="1" t="n">
        <v>45363</v>
      </c>
      <c r="D1235" t="inlineStr">
        <is>
          <t>JÄMTLANDS LÄN</t>
        </is>
      </c>
      <c r="E1235" t="inlineStr">
        <is>
          <t>KROKOM</t>
        </is>
      </c>
      <c r="G1235" t="n">
        <v>1.1</v>
      </c>
      <c r="H1235" t="n">
        <v>1</v>
      </c>
      <c r="I1235" t="n">
        <v>1</v>
      </c>
      <c r="J1235" t="n">
        <v>0</v>
      </c>
      <c r="K1235" t="n">
        <v>0</v>
      </c>
      <c r="L1235" t="n">
        <v>0</v>
      </c>
      <c r="M1235" t="n">
        <v>0</v>
      </c>
      <c r="N1235" t="n">
        <v>0</v>
      </c>
      <c r="O1235" t="n">
        <v>0</v>
      </c>
      <c r="P1235" t="n">
        <v>0</v>
      </c>
      <c r="Q1235" t="n">
        <v>1</v>
      </c>
      <c r="R1235" s="2" t="inlineStr">
        <is>
          <t>Spindelblomster</t>
        </is>
      </c>
      <c r="S1235">
        <f>HYPERLINK("https://klasma.github.io/Logging_2309/artfynd/A 71574-2021 artfynd.xlsx", "A 71574-2021")</f>
        <v/>
      </c>
      <c r="T1235">
        <f>HYPERLINK("https://klasma.github.io/Logging_2309/kartor/A 71574-2021 karta.png", "A 71574-2021")</f>
        <v/>
      </c>
      <c r="V1235">
        <f>HYPERLINK("https://klasma.github.io/Logging_2309/klagomål/A 71574-2021 FSC-klagomål.docx", "A 71574-2021")</f>
        <v/>
      </c>
      <c r="W1235">
        <f>HYPERLINK("https://klasma.github.io/Logging_2309/klagomålsmail/A 71574-2021 FSC-klagomål mail.docx", "A 71574-2021")</f>
        <v/>
      </c>
      <c r="X1235">
        <f>HYPERLINK("https://klasma.github.io/Logging_2309/tillsyn/A 71574-2021 tillsynsbegäran.docx", "A 71574-2021")</f>
        <v/>
      </c>
      <c r="Y1235">
        <f>HYPERLINK("https://klasma.github.io/Logging_2309/tillsynsmail/A 71574-2021 tillsynsbegäran mail.docx", "A 71574-2021")</f>
        <v/>
      </c>
    </row>
    <row r="1236" ht="15" customHeight="1">
      <c r="A1236" t="inlineStr">
        <is>
          <t>A 74392-2021</t>
        </is>
      </c>
      <c r="B1236" s="1" t="n">
        <v>44559</v>
      </c>
      <c r="C1236" s="1" t="n">
        <v>45363</v>
      </c>
      <c r="D1236" t="inlineStr">
        <is>
          <t>JÄMTLANDS LÄN</t>
        </is>
      </c>
      <c r="E1236" t="inlineStr">
        <is>
          <t>ÅRE</t>
        </is>
      </c>
      <c r="G1236" t="n">
        <v>11.6</v>
      </c>
      <c r="H1236" t="n">
        <v>0</v>
      </c>
      <c r="I1236" t="n">
        <v>0</v>
      </c>
      <c r="J1236" t="n">
        <v>1</v>
      </c>
      <c r="K1236" t="n">
        <v>0</v>
      </c>
      <c r="L1236" t="n">
        <v>0</v>
      </c>
      <c r="M1236" t="n">
        <v>0</v>
      </c>
      <c r="N1236" t="n">
        <v>0</v>
      </c>
      <c r="O1236" t="n">
        <v>1</v>
      </c>
      <c r="P1236" t="n">
        <v>0</v>
      </c>
      <c r="Q1236" t="n">
        <v>1</v>
      </c>
      <c r="R1236" s="2" t="inlineStr">
        <is>
          <t>Skrovellav</t>
        </is>
      </c>
      <c r="S1236">
        <f>HYPERLINK("https://klasma.github.io/Logging_2321/artfynd/A 74392-2021 artfynd.xlsx", "A 74392-2021")</f>
        <v/>
      </c>
      <c r="T1236">
        <f>HYPERLINK("https://klasma.github.io/Logging_2321/kartor/A 74392-2021 karta.png", "A 74392-2021")</f>
        <v/>
      </c>
      <c r="V1236">
        <f>HYPERLINK("https://klasma.github.io/Logging_2321/klagomål/A 74392-2021 FSC-klagomål.docx", "A 74392-2021")</f>
        <v/>
      </c>
      <c r="W1236">
        <f>HYPERLINK("https://klasma.github.io/Logging_2321/klagomålsmail/A 74392-2021 FSC-klagomål mail.docx", "A 74392-2021")</f>
        <v/>
      </c>
      <c r="X1236">
        <f>HYPERLINK("https://klasma.github.io/Logging_2321/tillsyn/A 74392-2021 tillsynsbegäran.docx", "A 74392-2021")</f>
        <v/>
      </c>
      <c r="Y1236">
        <f>HYPERLINK("https://klasma.github.io/Logging_2321/tillsynsmail/A 74392-2021 tillsynsbegäran mail.docx", "A 74392-2021")</f>
        <v/>
      </c>
    </row>
    <row r="1237" ht="15" customHeight="1">
      <c r="A1237" t="inlineStr">
        <is>
          <t>A 235-2022</t>
        </is>
      </c>
      <c r="B1237" s="1" t="n">
        <v>44564</v>
      </c>
      <c r="C1237" s="1" t="n">
        <v>45363</v>
      </c>
      <c r="D1237" t="inlineStr">
        <is>
          <t>JÄMTLANDS LÄN</t>
        </is>
      </c>
      <c r="E1237" t="inlineStr">
        <is>
          <t>BRÄCKE</t>
        </is>
      </c>
      <c r="F1237" t="inlineStr">
        <is>
          <t>SCA</t>
        </is>
      </c>
      <c r="G1237" t="n">
        <v>5.8</v>
      </c>
      <c r="H1237" t="n">
        <v>0</v>
      </c>
      <c r="I1237" t="n">
        <v>0</v>
      </c>
      <c r="J1237" t="n">
        <v>1</v>
      </c>
      <c r="K1237" t="n">
        <v>0</v>
      </c>
      <c r="L1237" t="n">
        <v>0</v>
      </c>
      <c r="M1237" t="n">
        <v>0</v>
      </c>
      <c r="N1237" t="n">
        <v>0</v>
      </c>
      <c r="O1237" t="n">
        <v>1</v>
      </c>
      <c r="P1237" t="n">
        <v>0</v>
      </c>
      <c r="Q1237" t="n">
        <v>1</v>
      </c>
      <c r="R1237" s="2" t="inlineStr">
        <is>
          <t>Harticka</t>
        </is>
      </c>
      <c r="S1237">
        <f>HYPERLINK("https://klasma.github.io/Logging_2305/artfynd/A 235-2022 artfynd.xlsx", "A 235-2022")</f>
        <v/>
      </c>
      <c r="T1237">
        <f>HYPERLINK("https://klasma.github.io/Logging_2305/kartor/A 235-2022 karta.png", "A 235-2022")</f>
        <v/>
      </c>
      <c r="V1237">
        <f>HYPERLINK("https://klasma.github.io/Logging_2305/klagomål/A 235-2022 FSC-klagomål.docx", "A 235-2022")</f>
        <v/>
      </c>
      <c r="W1237">
        <f>HYPERLINK("https://klasma.github.io/Logging_2305/klagomålsmail/A 235-2022 FSC-klagomål mail.docx", "A 235-2022")</f>
        <v/>
      </c>
      <c r="X1237">
        <f>HYPERLINK("https://klasma.github.io/Logging_2305/tillsyn/A 235-2022 tillsynsbegäran.docx", "A 235-2022")</f>
        <v/>
      </c>
      <c r="Y1237">
        <f>HYPERLINK("https://klasma.github.io/Logging_2305/tillsynsmail/A 235-2022 tillsynsbegäran mail.docx", "A 235-2022")</f>
        <v/>
      </c>
    </row>
    <row r="1238" ht="15" customHeight="1">
      <c r="A1238" t="inlineStr">
        <is>
          <t>A 806-2022</t>
        </is>
      </c>
      <c r="B1238" s="1" t="n">
        <v>44568</v>
      </c>
      <c r="C1238" s="1" t="n">
        <v>45363</v>
      </c>
      <c r="D1238" t="inlineStr">
        <is>
          <t>JÄMTLANDS LÄN</t>
        </is>
      </c>
      <c r="E1238" t="inlineStr">
        <is>
          <t>KROKOM</t>
        </is>
      </c>
      <c r="G1238" t="n">
        <v>46.8</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HYPERLINK("https://klasma.github.io/Logging_2309/artfynd/A 806-2022 artfynd.xlsx", "A 806-2022")</f>
        <v/>
      </c>
      <c r="T1238">
        <f>HYPERLINK("https://klasma.github.io/Logging_2309/kartor/A 806-2022 karta.png", "A 806-2022")</f>
        <v/>
      </c>
      <c r="V1238">
        <f>HYPERLINK("https://klasma.github.io/Logging_2309/klagomål/A 806-2022 FSC-klagomål.docx", "A 806-2022")</f>
        <v/>
      </c>
      <c r="W1238">
        <f>HYPERLINK("https://klasma.github.io/Logging_2309/klagomålsmail/A 806-2022 FSC-klagomål mail.docx", "A 806-2022")</f>
        <v/>
      </c>
      <c r="X1238">
        <f>HYPERLINK("https://klasma.github.io/Logging_2309/tillsyn/A 806-2022 tillsynsbegäran.docx", "A 806-2022")</f>
        <v/>
      </c>
      <c r="Y1238">
        <f>HYPERLINK("https://klasma.github.io/Logging_2309/tillsynsmail/A 806-2022 tillsynsbegäran mail.docx", "A 806-2022")</f>
        <v/>
      </c>
      <c r="Z1238">
        <f>HYPERLINK("https://klasma.github.io/Logging_2309/fåglar/A 806-2022 prioriterade fågelarter.docx", "A 806-2022")</f>
        <v/>
      </c>
    </row>
    <row r="1239" ht="15" customHeight="1">
      <c r="A1239" t="inlineStr">
        <is>
          <t>A 814-2022</t>
        </is>
      </c>
      <c r="B1239" s="1" t="n">
        <v>44568</v>
      </c>
      <c r="C1239" s="1" t="n">
        <v>45363</v>
      </c>
      <c r="D1239" t="inlineStr">
        <is>
          <t>JÄMTLANDS LÄN</t>
        </is>
      </c>
      <c r="E1239" t="inlineStr">
        <is>
          <t>KROKOM</t>
        </is>
      </c>
      <c r="G1239" t="n">
        <v>2.6</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HYPERLINK("https://klasma.github.io/Logging_2309/artfynd/A 814-2022 artfynd.xlsx", "A 814-2022")</f>
        <v/>
      </c>
      <c r="T1239">
        <f>HYPERLINK("https://klasma.github.io/Logging_2309/kartor/A 814-2022 karta.png", "A 814-2022")</f>
        <v/>
      </c>
      <c r="V1239">
        <f>HYPERLINK("https://klasma.github.io/Logging_2309/klagomål/A 814-2022 FSC-klagomål.docx", "A 814-2022")</f>
        <v/>
      </c>
      <c r="W1239">
        <f>HYPERLINK("https://klasma.github.io/Logging_2309/klagomålsmail/A 814-2022 FSC-klagomål mail.docx", "A 814-2022")</f>
        <v/>
      </c>
      <c r="X1239">
        <f>HYPERLINK("https://klasma.github.io/Logging_2309/tillsyn/A 814-2022 tillsynsbegäran.docx", "A 814-2022")</f>
        <v/>
      </c>
      <c r="Y1239">
        <f>HYPERLINK("https://klasma.github.io/Logging_2309/tillsynsmail/A 814-2022 tillsynsbegäran mail.docx", "A 814-2022")</f>
        <v/>
      </c>
      <c r="Z1239">
        <f>HYPERLINK("https://klasma.github.io/Logging_2309/fåglar/A 814-2022 prioriterade fågelarter.docx", "A 814-2022")</f>
        <v/>
      </c>
    </row>
    <row r="1240" ht="15" customHeight="1">
      <c r="A1240" t="inlineStr">
        <is>
          <t>A 6550-2022</t>
        </is>
      </c>
      <c r="B1240" s="1" t="n">
        <v>44601</v>
      </c>
      <c r="C1240" s="1" t="n">
        <v>45363</v>
      </c>
      <c r="D1240" t="inlineStr">
        <is>
          <t>JÄMTLANDS LÄN</t>
        </is>
      </c>
      <c r="E1240" t="inlineStr">
        <is>
          <t>RAGUNDA</t>
        </is>
      </c>
      <c r="G1240" t="n">
        <v>2.3</v>
      </c>
      <c r="H1240" t="n">
        <v>0</v>
      </c>
      <c r="I1240" t="n">
        <v>0</v>
      </c>
      <c r="J1240" t="n">
        <v>1</v>
      </c>
      <c r="K1240" t="n">
        <v>0</v>
      </c>
      <c r="L1240" t="n">
        <v>0</v>
      </c>
      <c r="M1240" t="n">
        <v>0</v>
      </c>
      <c r="N1240" t="n">
        <v>0</v>
      </c>
      <c r="O1240" t="n">
        <v>1</v>
      </c>
      <c r="P1240" t="n">
        <v>0</v>
      </c>
      <c r="Q1240" t="n">
        <v>1</v>
      </c>
      <c r="R1240" s="2" t="inlineStr">
        <is>
          <t>Dvärgbägarlav</t>
        </is>
      </c>
      <c r="S1240">
        <f>HYPERLINK("https://klasma.github.io/Logging_2303/artfynd/A 6550-2022 artfynd.xlsx", "A 6550-2022")</f>
        <v/>
      </c>
      <c r="T1240">
        <f>HYPERLINK("https://klasma.github.io/Logging_2303/kartor/A 6550-2022 karta.png", "A 6550-2022")</f>
        <v/>
      </c>
      <c r="V1240">
        <f>HYPERLINK("https://klasma.github.io/Logging_2303/klagomål/A 6550-2022 FSC-klagomål.docx", "A 6550-2022")</f>
        <v/>
      </c>
      <c r="W1240">
        <f>HYPERLINK("https://klasma.github.io/Logging_2303/klagomålsmail/A 6550-2022 FSC-klagomål mail.docx", "A 6550-2022")</f>
        <v/>
      </c>
      <c r="X1240">
        <f>HYPERLINK("https://klasma.github.io/Logging_2303/tillsyn/A 6550-2022 tillsynsbegäran.docx", "A 6550-2022")</f>
        <v/>
      </c>
      <c r="Y1240">
        <f>HYPERLINK("https://klasma.github.io/Logging_2303/tillsynsmail/A 6550-2022 tillsynsbegäran mail.docx", "A 6550-2022")</f>
        <v/>
      </c>
    </row>
    <row r="1241" ht="15" customHeight="1">
      <c r="A1241" t="inlineStr">
        <is>
          <t>A 7005-2022</t>
        </is>
      </c>
      <c r="B1241" s="1" t="n">
        <v>44603</v>
      </c>
      <c r="C1241" s="1" t="n">
        <v>45363</v>
      </c>
      <c r="D1241" t="inlineStr">
        <is>
          <t>JÄMTLANDS LÄN</t>
        </is>
      </c>
      <c r="E1241" t="inlineStr">
        <is>
          <t>KROKOM</t>
        </is>
      </c>
      <c r="G1241" t="n">
        <v>46</v>
      </c>
      <c r="H1241" t="n">
        <v>0</v>
      </c>
      <c r="I1241" t="n">
        <v>1</v>
      </c>
      <c r="J1241" t="n">
        <v>0</v>
      </c>
      <c r="K1241" t="n">
        <v>0</v>
      </c>
      <c r="L1241" t="n">
        <v>0</v>
      </c>
      <c r="M1241" t="n">
        <v>0</v>
      </c>
      <c r="N1241" t="n">
        <v>0</v>
      </c>
      <c r="O1241" t="n">
        <v>0</v>
      </c>
      <c r="P1241" t="n">
        <v>0</v>
      </c>
      <c r="Q1241" t="n">
        <v>1</v>
      </c>
      <c r="R1241" s="2" t="inlineStr">
        <is>
          <t>Stuplav</t>
        </is>
      </c>
      <c r="S1241">
        <f>HYPERLINK("https://klasma.github.io/Logging_2309/artfynd/A 7005-2022 artfynd.xlsx", "A 7005-2022")</f>
        <v/>
      </c>
      <c r="T1241">
        <f>HYPERLINK("https://klasma.github.io/Logging_2309/kartor/A 7005-2022 karta.png", "A 7005-2022")</f>
        <v/>
      </c>
      <c r="V1241">
        <f>HYPERLINK("https://klasma.github.io/Logging_2309/klagomål/A 7005-2022 FSC-klagomål.docx", "A 7005-2022")</f>
        <v/>
      </c>
      <c r="W1241">
        <f>HYPERLINK("https://klasma.github.io/Logging_2309/klagomålsmail/A 7005-2022 FSC-klagomål mail.docx", "A 7005-2022")</f>
        <v/>
      </c>
      <c r="X1241">
        <f>HYPERLINK("https://klasma.github.io/Logging_2309/tillsyn/A 7005-2022 tillsynsbegäran.docx", "A 7005-2022")</f>
        <v/>
      </c>
      <c r="Y1241">
        <f>HYPERLINK("https://klasma.github.io/Logging_2309/tillsynsmail/A 7005-2022 tillsynsbegäran mail.docx", "A 7005-2022")</f>
        <v/>
      </c>
    </row>
    <row r="1242" ht="15" customHeight="1">
      <c r="A1242" t="inlineStr">
        <is>
          <t>A 7666-2022</t>
        </is>
      </c>
      <c r="B1242" s="1" t="n">
        <v>44607</v>
      </c>
      <c r="C1242" s="1" t="n">
        <v>45363</v>
      </c>
      <c r="D1242" t="inlineStr">
        <is>
          <t>JÄMTLANDS LÄN</t>
        </is>
      </c>
      <c r="E1242" t="inlineStr">
        <is>
          <t>RAGUNDA</t>
        </is>
      </c>
      <c r="F1242" t="inlineStr">
        <is>
          <t>SCA</t>
        </is>
      </c>
      <c r="G1242" t="n">
        <v>1.4</v>
      </c>
      <c r="H1242" t="n">
        <v>0</v>
      </c>
      <c r="I1242" t="n">
        <v>0</v>
      </c>
      <c r="J1242" t="n">
        <v>1</v>
      </c>
      <c r="K1242" t="n">
        <v>0</v>
      </c>
      <c r="L1242" t="n">
        <v>0</v>
      </c>
      <c r="M1242" t="n">
        <v>0</v>
      </c>
      <c r="N1242" t="n">
        <v>0</v>
      </c>
      <c r="O1242" t="n">
        <v>1</v>
      </c>
      <c r="P1242" t="n">
        <v>0</v>
      </c>
      <c r="Q1242" t="n">
        <v>1</v>
      </c>
      <c r="R1242" s="2" t="inlineStr">
        <is>
          <t>Garnlav</t>
        </is>
      </c>
      <c r="S1242">
        <f>HYPERLINK("https://klasma.github.io/Logging_2303/artfynd/A 7666-2022 artfynd.xlsx", "A 7666-2022")</f>
        <v/>
      </c>
      <c r="T1242">
        <f>HYPERLINK("https://klasma.github.io/Logging_2303/kartor/A 7666-2022 karta.png", "A 7666-2022")</f>
        <v/>
      </c>
      <c r="V1242">
        <f>HYPERLINK("https://klasma.github.io/Logging_2303/klagomål/A 7666-2022 FSC-klagomål.docx", "A 7666-2022")</f>
        <v/>
      </c>
      <c r="W1242">
        <f>HYPERLINK("https://klasma.github.io/Logging_2303/klagomålsmail/A 7666-2022 FSC-klagomål mail.docx", "A 7666-2022")</f>
        <v/>
      </c>
      <c r="X1242">
        <f>HYPERLINK("https://klasma.github.io/Logging_2303/tillsyn/A 7666-2022 tillsynsbegäran.docx", "A 7666-2022")</f>
        <v/>
      </c>
      <c r="Y1242">
        <f>HYPERLINK("https://klasma.github.io/Logging_2303/tillsynsmail/A 7666-2022 tillsynsbegäran mail.docx", "A 7666-2022")</f>
        <v/>
      </c>
    </row>
    <row r="1243" ht="15" customHeight="1">
      <c r="A1243" t="inlineStr">
        <is>
          <t>A 9739-2022</t>
        </is>
      </c>
      <c r="B1243" s="1" t="n">
        <v>44617</v>
      </c>
      <c r="C1243" s="1" t="n">
        <v>45363</v>
      </c>
      <c r="D1243" t="inlineStr">
        <is>
          <t>JÄMTLANDS LÄN</t>
        </is>
      </c>
      <c r="E1243" t="inlineStr">
        <is>
          <t>ÖSTERSUND</t>
        </is>
      </c>
      <c r="F1243" t="inlineStr">
        <is>
          <t>SCA</t>
        </is>
      </c>
      <c r="G1243" t="n">
        <v>13.5</v>
      </c>
      <c r="H1243" t="n">
        <v>0</v>
      </c>
      <c r="I1243" t="n">
        <v>0</v>
      </c>
      <c r="J1243" t="n">
        <v>1</v>
      </c>
      <c r="K1243" t="n">
        <v>0</v>
      </c>
      <c r="L1243" t="n">
        <v>0</v>
      </c>
      <c r="M1243" t="n">
        <v>0</v>
      </c>
      <c r="N1243" t="n">
        <v>0</v>
      </c>
      <c r="O1243" t="n">
        <v>1</v>
      </c>
      <c r="P1243" t="n">
        <v>0</v>
      </c>
      <c r="Q1243" t="n">
        <v>1</v>
      </c>
      <c r="R1243" s="2" t="inlineStr">
        <is>
          <t>Dvärgbägarlav</t>
        </is>
      </c>
      <c r="S1243">
        <f>HYPERLINK("https://klasma.github.io/Logging_2380/artfynd/A 9739-2022 artfynd.xlsx", "A 9739-2022")</f>
        <v/>
      </c>
      <c r="T1243">
        <f>HYPERLINK("https://klasma.github.io/Logging_2380/kartor/A 9739-2022 karta.png", "A 9739-2022")</f>
        <v/>
      </c>
      <c r="V1243">
        <f>HYPERLINK("https://klasma.github.io/Logging_2380/klagomål/A 9739-2022 FSC-klagomål.docx", "A 9739-2022")</f>
        <v/>
      </c>
      <c r="W1243">
        <f>HYPERLINK("https://klasma.github.io/Logging_2380/klagomålsmail/A 9739-2022 FSC-klagomål mail.docx", "A 9739-2022")</f>
        <v/>
      </c>
      <c r="X1243">
        <f>HYPERLINK("https://klasma.github.io/Logging_2380/tillsyn/A 9739-2022 tillsynsbegäran.docx", "A 9739-2022")</f>
        <v/>
      </c>
      <c r="Y1243">
        <f>HYPERLINK("https://klasma.github.io/Logging_2380/tillsynsmail/A 9739-2022 tillsynsbegäran mail.docx", "A 9739-2022")</f>
        <v/>
      </c>
    </row>
    <row r="1244" ht="15" customHeight="1">
      <c r="A1244" t="inlineStr">
        <is>
          <t>A 10336-2022</t>
        </is>
      </c>
      <c r="B1244" s="1" t="n">
        <v>44623</v>
      </c>
      <c r="C1244" s="1" t="n">
        <v>45363</v>
      </c>
      <c r="D1244" t="inlineStr">
        <is>
          <t>JÄMTLANDS LÄN</t>
        </is>
      </c>
      <c r="E1244" t="inlineStr">
        <is>
          <t>ÖSTERSUND</t>
        </is>
      </c>
      <c r="G1244" t="n">
        <v>0.9</v>
      </c>
      <c r="H1244" t="n">
        <v>0</v>
      </c>
      <c r="I1244" t="n">
        <v>1</v>
      </c>
      <c r="J1244" t="n">
        <v>0</v>
      </c>
      <c r="K1244" t="n">
        <v>0</v>
      </c>
      <c r="L1244" t="n">
        <v>0</v>
      </c>
      <c r="M1244" t="n">
        <v>0</v>
      </c>
      <c r="N1244" t="n">
        <v>0</v>
      </c>
      <c r="O1244" t="n">
        <v>0</v>
      </c>
      <c r="P1244" t="n">
        <v>0</v>
      </c>
      <c r="Q1244" t="n">
        <v>1</v>
      </c>
      <c r="R1244" s="2" t="inlineStr">
        <is>
          <t>Underviol</t>
        </is>
      </c>
      <c r="S1244">
        <f>HYPERLINK("https://klasma.github.io/Logging_2380/artfynd/A 10336-2022 artfynd.xlsx", "A 10336-2022")</f>
        <v/>
      </c>
      <c r="T1244">
        <f>HYPERLINK("https://klasma.github.io/Logging_2380/kartor/A 10336-2022 karta.png", "A 10336-2022")</f>
        <v/>
      </c>
      <c r="V1244">
        <f>HYPERLINK("https://klasma.github.io/Logging_2380/klagomål/A 10336-2022 FSC-klagomål.docx", "A 10336-2022")</f>
        <v/>
      </c>
      <c r="W1244">
        <f>HYPERLINK("https://klasma.github.io/Logging_2380/klagomålsmail/A 10336-2022 FSC-klagomål mail.docx", "A 10336-2022")</f>
        <v/>
      </c>
      <c r="X1244">
        <f>HYPERLINK("https://klasma.github.io/Logging_2380/tillsyn/A 10336-2022 tillsynsbegäran.docx", "A 10336-2022")</f>
        <v/>
      </c>
      <c r="Y1244">
        <f>HYPERLINK("https://klasma.github.io/Logging_2380/tillsynsmail/A 10336-2022 tillsynsbegäran mail.docx", "A 10336-2022")</f>
        <v/>
      </c>
    </row>
    <row r="1245" ht="15" customHeight="1">
      <c r="A1245" t="inlineStr">
        <is>
          <t>A 10696-2022</t>
        </is>
      </c>
      <c r="B1245" s="1" t="n">
        <v>44624</v>
      </c>
      <c r="C1245" s="1" t="n">
        <v>45363</v>
      </c>
      <c r="D1245" t="inlineStr">
        <is>
          <t>JÄMTLANDS LÄN</t>
        </is>
      </c>
      <c r="E1245" t="inlineStr">
        <is>
          <t>STRÖMSUND</t>
        </is>
      </c>
      <c r="F1245" t="inlineStr">
        <is>
          <t>SCA</t>
        </is>
      </c>
      <c r="G1245" t="n">
        <v>9</v>
      </c>
      <c r="H1245" t="n">
        <v>0</v>
      </c>
      <c r="I1245" t="n">
        <v>0</v>
      </c>
      <c r="J1245" t="n">
        <v>0</v>
      </c>
      <c r="K1245" t="n">
        <v>1</v>
      </c>
      <c r="L1245" t="n">
        <v>0</v>
      </c>
      <c r="M1245" t="n">
        <v>0</v>
      </c>
      <c r="N1245" t="n">
        <v>0</v>
      </c>
      <c r="O1245" t="n">
        <v>1</v>
      </c>
      <c r="P1245" t="n">
        <v>1</v>
      </c>
      <c r="Q1245" t="n">
        <v>1</v>
      </c>
      <c r="R1245" s="2" t="inlineStr">
        <is>
          <t>Smalskaftslav</t>
        </is>
      </c>
      <c r="S1245">
        <f>HYPERLINK("https://klasma.github.io/Logging_2313/artfynd/A 10696-2022 artfynd.xlsx", "A 10696-2022")</f>
        <v/>
      </c>
      <c r="T1245">
        <f>HYPERLINK("https://klasma.github.io/Logging_2313/kartor/A 10696-2022 karta.png", "A 10696-2022")</f>
        <v/>
      </c>
      <c r="V1245">
        <f>HYPERLINK("https://klasma.github.io/Logging_2313/klagomål/A 10696-2022 FSC-klagomål.docx", "A 10696-2022")</f>
        <v/>
      </c>
      <c r="W1245">
        <f>HYPERLINK("https://klasma.github.io/Logging_2313/klagomålsmail/A 10696-2022 FSC-klagomål mail.docx", "A 10696-2022")</f>
        <v/>
      </c>
      <c r="X1245">
        <f>HYPERLINK("https://klasma.github.io/Logging_2313/tillsyn/A 10696-2022 tillsynsbegäran.docx", "A 10696-2022")</f>
        <v/>
      </c>
      <c r="Y1245">
        <f>HYPERLINK("https://klasma.github.io/Logging_2313/tillsynsmail/A 10696-2022 tillsynsbegäran mail.docx", "A 10696-2022")</f>
        <v/>
      </c>
    </row>
    <row r="1246" ht="15" customHeight="1">
      <c r="A1246" t="inlineStr">
        <is>
          <t>A 11124-2022</t>
        </is>
      </c>
      <c r="B1246" s="1" t="n">
        <v>44628</v>
      </c>
      <c r="C1246" s="1" t="n">
        <v>45363</v>
      </c>
      <c r="D1246" t="inlineStr">
        <is>
          <t>JÄMTLANDS LÄN</t>
        </is>
      </c>
      <c r="E1246" t="inlineStr">
        <is>
          <t>STRÖMSUND</t>
        </is>
      </c>
      <c r="F1246" t="inlineStr">
        <is>
          <t>SCA</t>
        </is>
      </c>
      <c r="G1246" t="n">
        <v>3.4</v>
      </c>
      <c r="H1246" t="n">
        <v>1</v>
      </c>
      <c r="I1246" t="n">
        <v>0</v>
      </c>
      <c r="J1246" t="n">
        <v>0</v>
      </c>
      <c r="K1246" t="n">
        <v>0</v>
      </c>
      <c r="L1246" t="n">
        <v>0</v>
      </c>
      <c r="M1246" t="n">
        <v>0</v>
      </c>
      <c r="N1246" t="n">
        <v>0</v>
      </c>
      <c r="O1246" t="n">
        <v>0</v>
      </c>
      <c r="P1246" t="n">
        <v>0</v>
      </c>
      <c r="Q1246" t="n">
        <v>1</v>
      </c>
      <c r="R1246" s="2" t="inlineStr">
        <is>
          <t>Fläcknycklar</t>
        </is>
      </c>
      <c r="S1246">
        <f>HYPERLINK("https://klasma.github.io/Logging_2313/artfynd/A 11124-2022 artfynd.xlsx", "A 11124-2022")</f>
        <v/>
      </c>
      <c r="T1246">
        <f>HYPERLINK("https://klasma.github.io/Logging_2313/kartor/A 11124-2022 karta.png", "A 11124-2022")</f>
        <v/>
      </c>
      <c r="V1246">
        <f>HYPERLINK("https://klasma.github.io/Logging_2313/klagomål/A 11124-2022 FSC-klagomål.docx", "A 11124-2022")</f>
        <v/>
      </c>
      <c r="W1246">
        <f>HYPERLINK("https://klasma.github.io/Logging_2313/klagomålsmail/A 11124-2022 FSC-klagomål mail.docx", "A 11124-2022")</f>
        <v/>
      </c>
      <c r="X1246">
        <f>HYPERLINK("https://klasma.github.io/Logging_2313/tillsyn/A 11124-2022 tillsynsbegäran.docx", "A 11124-2022")</f>
        <v/>
      </c>
      <c r="Y1246">
        <f>HYPERLINK("https://klasma.github.io/Logging_2313/tillsynsmail/A 11124-2022 tillsynsbegäran mail.docx", "A 11124-2022")</f>
        <v/>
      </c>
    </row>
    <row r="1247" ht="15" customHeight="1">
      <c r="A1247" t="inlineStr">
        <is>
          <t>A 12242-2022</t>
        </is>
      </c>
      <c r="B1247" s="1" t="n">
        <v>44637</v>
      </c>
      <c r="C1247" s="1" t="n">
        <v>45363</v>
      </c>
      <c r="D1247" t="inlineStr">
        <is>
          <t>JÄMTLANDS LÄN</t>
        </is>
      </c>
      <c r="E1247" t="inlineStr">
        <is>
          <t>ÅRE</t>
        </is>
      </c>
      <c r="G1247" t="n">
        <v>53.4</v>
      </c>
      <c r="H1247" t="n">
        <v>0</v>
      </c>
      <c r="I1247" t="n">
        <v>0</v>
      </c>
      <c r="J1247" t="n">
        <v>1</v>
      </c>
      <c r="K1247" t="n">
        <v>0</v>
      </c>
      <c r="L1247" t="n">
        <v>0</v>
      </c>
      <c r="M1247" t="n">
        <v>0</v>
      </c>
      <c r="N1247" t="n">
        <v>0</v>
      </c>
      <c r="O1247" t="n">
        <v>1</v>
      </c>
      <c r="P1247" t="n">
        <v>0</v>
      </c>
      <c r="Q1247" t="n">
        <v>1</v>
      </c>
      <c r="R1247" s="2" t="inlineStr">
        <is>
          <t>Granticka</t>
        </is>
      </c>
      <c r="S1247">
        <f>HYPERLINK("https://klasma.github.io/Logging_2321/artfynd/A 12242-2022 artfynd.xlsx", "A 12242-2022")</f>
        <v/>
      </c>
      <c r="T1247">
        <f>HYPERLINK("https://klasma.github.io/Logging_2321/kartor/A 12242-2022 karta.png", "A 12242-2022")</f>
        <v/>
      </c>
      <c r="V1247">
        <f>HYPERLINK("https://klasma.github.io/Logging_2321/klagomål/A 12242-2022 FSC-klagomål.docx", "A 12242-2022")</f>
        <v/>
      </c>
      <c r="W1247">
        <f>HYPERLINK("https://klasma.github.io/Logging_2321/klagomålsmail/A 12242-2022 FSC-klagomål mail.docx", "A 12242-2022")</f>
        <v/>
      </c>
      <c r="X1247">
        <f>HYPERLINK("https://klasma.github.io/Logging_2321/tillsyn/A 12242-2022 tillsynsbegäran.docx", "A 12242-2022")</f>
        <v/>
      </c>
      <c r="Y1247">
        <f>HYPERLINK("https://klasma.github.io/Logging_2321/tillsynsmail/A 12242-2022 tillsynsbegäran mail.docx", "A 12242-2022")</f>
        <v/>
      </c>
    </row>
    <row r="1248" ht="15" customHeight="1">
      <c r="A1248" t="inlineStr">
        <is>
          <t>A 12386-2022</t>
        </is>
      </c>
      <c r="B1248" s="1" t="n">
        <v>44637</v>
      </c>
      <c r="C1248" s="1" t="n">
        <v>45363</v>
      </c>
      <c r="D1248" t="inlineStr">
        <is>
          <t>JÄMTLANDS LÄN</t>
        </is>
      </c>
      <c r="E1248" t="inlineStr">
        <is>
          <t>STRÖMSUND</t>
        </is>
      </c>
      <c r="G1248" t="n">
        <v>2.1</v>
      </c>
      <c r="H1248" t="n">
        <v>0</v>
      </c>
      <c r="I1248" t="n">
        <v>0</v>
      </c>
      <c r="J1248" t="n">
        <v>1</v>
      </c>
      <c r="K1248" t="n">
        <v>0</v>
      </c>
      <c r="L1248" t="n">
        <v>0</v>
      </c>
      <c r="M1248" t="n">
        <v>0</v>
      </c>
      <c r="N1248" t="n">
        <v>0</v>
      </c>
      <c r="O1248" t="n">
        <v>1</v>
      </c>
      <c r="P1248" t="n">
        <v>0</v>
      </c>
      <c r="Q1248" t="n">
        <v>1</v>
      </c>
      <c r="R1248" s="2" t="inlineStr">
        <is>
          <t>Lunglav</t>
        </is>
      </c>
      <c r="S1248">
        <f>HYPERLINK("https://klasma.github.io/Logging_2313/artfynd/A 12386-2022 artfynd.xlsx", "A 12386-2022")</f>
        <v/>
      </c>
      <c r="T1248">
        <f>HYPERLINK("https://klasma.github.io/Logging_2313/kartor/A 12386-2022 karta.png", "A 12386-2022")</f>
        <v/>
      </c>
      <c r="V1248">
        <f>HYPERLINK("https://klasma.github.io/Logging_2313/klagomål/A 12386-2022 FSC-klagomål.docx", "A 12386-2022")</f>
        <v/>
      </c>
      <c r="W1248">
        <f>HYPERLINK("https://klasma.github.io/Logging_2313/klagomålsmail/A 12386-2022 FSC-klagomål mail.docx", "A 12386-2022")</f>
        <v/>
      </c>
      <c r="X1248">
        <f>HYPERLINK("https://klasma.github.io/Logging_2313/tillsyn/A 12386-2022 tillsynsbegäran.docx", "A 12386-2022")</f>
        <v/>
      </c>
      <c r="Y1248">
        <f>HYPERLINK("https://klasma.github.io/Logging_2313/tillsynsmail/A 12386-2022 tillsynsbegäran mail.docx", "A 12386-2022")</f>
        <v/>
      </c>
    </row>
    <row r="1249" ht="15" customHeight="1">
      <c r="A1249" t="inlineStr">
        <is>
          <t>A 12950-2022</t>
        </is>
      </c>
      <c r="B1249" s="1" t="n">
        <v>44642</v>
      </c>
      <c r="C1249" s="1" t="n">
        <v>45363</v>
      </c>
      <c r="D1249" t="inlineStr">
        <is>
          <t>JÄMTLANDS LÄN</t>
        </is>
      </c>
      <c r="E1249" t="inlineStr">
        <is>
          <t>STRÖMSUND</t>
        </is>
      </c>
      <c r="F1249" t="inlineStr">
        <is>
          <t>SCA</t>
        </is>
      </c>
      <c r="G1249" t="n">
        <v>6.3</v>
      </c>
      <c r="H1249" t="n">
        <v>0</v>
      </c>
      <c r="I1249" t="n">
        <v>0</v>
      </c>
      <c r="J1249" t="n">
        <v>1</v>
      </c>
      <c r="K1249" t="n">
        <v>0</v>
      </c>
      <c r="L1249" t="n">
        <v>0</v>
      </c>
      <c r="M1249" t="n">
        <v>0</v>
      </c>
      <c r="N1249" t="n">
        <v>0</v>
      </c>
      <c r="O1249" t="n">
        <v>1</v>
      </c>
      <c r="P1249" t="n">
        <v>0</v>
      </c>
      <c r="Q1249" t="n">
        <v>1</v>
      </c>
      <c r="R1249" s="2" t="inlineStr">
        <is>
          <t>Granticka</t>
        </is>
      </c>
      <c r="S1249">
        <f>HYPERLINK("https://klasma.github.io/Logging_2313/artfynd/A 12950-2022 artfynd.xlsx", "A 12950-2022")</f>
        <v/>
      </c>
      <c r="T1249">
        <f>HYPERLINK("https://klasma.github.io/Logging_2313/kartor/A 12950-2022 karta.png", "A 12950-2022")</f>
        <v/>
      </c>
      <c r="V1249">
        <f>HYPERLINK("https://klasma.github.io/Logging_2313/klagomål/A 12950-2022 FSC-klagomål.docx", "A 12950-2022")</f>
        <v/>
      </c>
      <c r="W1249">
        <f>HYPERLINK("https://klasma.github.io/Logging_2313/klagomålsmail/A 12950-2022 FSC-klagomål mail.docx", "A 12950-2022")</f>
        <v/>
      </c>
      <c r="X1249">
        <f>HYPERLINK("https://klasma.github.io/Logging_2313/tillsyn/A 12950-2022 tillsynsbegäran.docx", "A 12950-2022")</f>
        <v/>
      </c>
      <c r="Y1249">
        <f>HYPERLINK("https://klasma.github.io/Logging_2313/tillsynsmail/A 12950-2022 tillsynsbegäran mail.docx", "A 12950-2022")</f>
        <v/>
      </c>
    </row>
    <row r="1250" ht="15" customHeight="1">
      <c r="A1250" t="inlineStr">
        <is>
          <t>A 13982-2022</t>
        </is>
      </c>
      <c r="B1250" s="1" t="n">
        <v>44650</v>
      </c>
      <c r="C1250" s="1" t="n">
        <v>45363</v>
      </c>
      <c r="D1250" t="inlineStr">
        <is>
          <t>JÄMTLANDS LÄN</t>
        </is>
      </c>
      <c r="E1250" t="inlineStr">
        <is>
          <t>HÄRJEDALEN</t>
        </is>
      </c>
      <c r="F1250" t="inlineStr">
        <is>
          <t>Holmen skog AB</t>
        </is>
      </c>
      <c r="G1250" t="n">
        <v>4.4</v>
      </c>
      <c r="H1250" t="n">
        <v>0</v>
      </c>
      <c r="I1250" t="n">
        <v>0</v>
      </c>
      <c r="J1250" t="n">
        <v>1</v>
      </c>
      <c r="K1250" t="n">
        <v>0</v>
      </c>
      <c r="L1250" t="n">
        <v>0</v>
      </c>
      <c r="M1250" t="n">
        <v>0</v>
      </c>
      <c r="N1250" t="n">
        <v>0</v>
      </c>
      <c r="O1250" t="n">
        <v>1</v>
      </c>
      <c r="P1250" t="n">
        <v>0</v>
      </c>
      <c r="Q1250" t="n">
        <v>1</v>
      </c>
      <c r="R1250" s="2" t="inlineStr">
        <is>
          <t>Garnlav</t>
        </is>
      </c>
      <c r="S1250">
        <f>HYPERLINK("https://klasma.github.io/Logging_2361/artfynd/A 13982-2022 artfynd.xlsx", "A 13982-2022")</f>
        <v/>
      </c>
      <c r="T1250">
        <f>HYPERLINK("https://klasma.github.io/Logging_2361/kartor/A 13982-2022 karta.png", "A 13982-2022")</f>
        <v/>
      </c>
      <c r="V1250">
        <f>HYPERLINK("https://klasma.github.io/Logging_2361/klagomål/A 13982-2022 FSC-klagomål.docx", "A 13982-2022")</f>
        <v/>
      </c>
      <c r="W1250">
        <f>HYPERLINK("https://klasma.github.io/Logging_2361/klagomålsmail/A 13982-2022 FSC-klagomål mail.docx", "A 13982-2022")</f>
        <v/>
      </c>
      <c r="X1250">
        <f>HYPERLINK("https://klasma.github.io/Logging_2361/tillsyn/A 13982-2022 tillsynsbegäran.docx", "A 13982-2022")</f>
        <v/>
      </c>
      <c r="Y1250">
        <f>HYPERLINK("https://klasma.github.io/Logging_2361/tillsynsmail/A 13982-2022 tillsynsbegäran mail.docx", "A 13982-2022")</f>
        <v/>
      </c>
    </row>
    <row r="1251" ht="15" customHeight="1">
      <c r="A1251" t="inlineStr">
        <is>
          <t>A 14290-2022</t>
        </is>
      </c>
      <c r="B1251" s="1" t="n">
        <v>44651</v>
      </c>
      <c r="C1251" s="1" t="n">
        <v>45363</v>
      </c>
      <c r="D1251" t="inlineStr">
        <is>
          <t>JÄMTLANDS LÄN</t>
        </is>
      </c>
      <c r="E1251" t="inlineStr">
        <is>
          <t>STRÖMSUND</t>
        </is>
      </c>
      <c r="F1251" t="inlineStr">
        <is>
          <t>SCA</t>
        </is>
      </c>
      <c r="G1251" t="n">
        <v>0.3</v>
      </c>
      <c r="H1251" t="n">
        <v>0</v>
      </c>
      <c r="I1251" t="n">
        <v>0</v>
      </c>
      <c r="J1251" t="n">
        <v>1</v>
      </c>
      <c r="K1251" t="n">
        <v>0</v>
      </c>
      <c r="L1251" t="n">
        <v>0</v>
      </c>
      <c r="M1251" t="n">
        <v>0</v>
      </c>
      <c r="N1251" t="n">
        <v>0</v>
      </c>
      <c r="O1251" t="n">
        <v>1</v>
      </c>
      <c r="P1251" t="n">
        <v>0</v>
      </c>
      <c r="Q1251" t="n">
        <v>1</v>
      </c>
      <c r="R1251" s="2" t="inlineStr">
        <is>
          <t>Garnlav</t>
        </is>
      </c>
      <c r="S1251">
        <f>HYPERLINK("https://klasma.github.io/Logging_2313/artfynd/A 14290-2022 artfynd.xlsx", "A 14290-2022")</f>
        <v/>
      </c>
      <c r="T1251">
        <f>HYPERLINK("https://klasma.github.io/Logging_2313/kartor/A 14290-2022 karta.png", "A 14290-2022")</f>
        <v/>
      </c>
      <c r="U1251">
        <f>HYPERLINK("https://klasma.github.io/Logging_2313/knärot/A 14290-2022 karta knärot.png", "A 14290-2022")</f>
        <v/>
      </c>
      <c r="V1251">
        <f>HYPERLINK("https://klasma.github.io/Logging_2313/klagomål/A 14290-2022 FSC-klagomål.docx", "A 14290-2022")</f>
        <v/>
      </c>
      <c r="W1251">
        <f>HYPERLINK("https://klasma.github.io/Logging_2313/klagomålsmail/A 14290-2022 FSC-klagomål mail.docx", "A 14290-2022")</f>
        <v/>
      </c>
      <c r="X1251">
        <f>HYPERLINK("https://klasma.github.io/Logging_2313/tillsyn/A 14290-2022 tillsynsbegäran.docx", "A 14290-2022")</f>
        <v/>
      </c>
      <c r="Y1251">
        <f>HYPERLINK("https://klasma.github.io/Logging_2313/tillsynsmail/A 14290-2022 tillsynsbegäran mail.docx", "A 14290-2022")</f>
        <v/>
      </c>
    </row>
    <row r="1252" ht="15" customHeight="1">
      <c r="A1252" t="inlineStr">
        <is>
          <t>A 14291-2022</t>
        </is>
      </c>
      <c r="B1252" s="1" t="n">
        <v>44651</v>
      </c>
      <c r="C1252" s="1" t="n">
        <v>45363</v>
      </c>
      <c r="D1252" t="inlineStr">
        <is>
          <t>JÄMTLANDS LÄN</t>
        </is>
      </c>
      <c r="E1252" t="inlineStr">
        <is>
          <t>STRÖMSUND</t>
        </is>
      </c>
      <c r="F1252" t="inlineStr">
        <is>
          <t>SCA</t>
        </is>
      </c>
      <c r="G1252" t="n">
        <v>0.5</v>
      </c>
      <c r="H1252" t="n">
        <v>0</v>
      </c>
      <c r="I1252" t="n">
        <v>0</v>
      </c>
      <c r="J1252" t="n">
        <v>1</v>
      </c>
      <c r="K1252" t="n">
        <v>0</v>
      </c>
      <c r="L1252" t="n">
        <v>0</v>
      </c>
      <c r="M1252" t="n">
        <v>0</v>
      </c>
      <c r="N1252" t="n">
        <v>0</v>
      </c>
      <c r="O1252" t="n">
        <v>1</v>
      </c>
      <c r="P1252" t="n">
        <v>0</v>
      </c>
      <c r="Q1252" t="n">
        <v>1</v>
      </c>
      <c r="R1252" s="2" t="inlineStr">
        <is>
          <t>Skrovellav</t>
        </is>
      </c>
      <c r="S1252">
        <f>HYPERLINK("https://klasma.github.io/Logging_2313/artfynd/A 14291-2022 artfynd.xlsx", "A 14291-2022")</f>
        <v/>
      </c>
      <c r="T1252">
        <f>HYPERLINK("https://klasma.github.io/Logging_2313/kartor/A 14291-2022 karta.png", "A 14291-2022")</f>
        <v/>
      </c>
      <c r="V1252">
        <f>HYPERLINK("https://klasma.github.io/Logging_2313/klagomål/A 14291-2022 FSC-klagomål.docx", "A 14291-2022")</f>
        <v/>
      </c>
      <c r="W1252">
        <f>HYPERLINK("https://klasma.github.io/Logging_2313/klagomålsmail/A 14291-2022 FSC-klagomål mail.docx", "A 14291-2022")</f>
        <v/>
      </c>
      <c r="X1252">
        <f>HYPERLINK("https://klasma.github.io/Logging_2313/tillsyn/A 14291-2022 tillsynsbegäran.docx", "A 14291-2022")</f>
        <v/>
      </c>
      <c r="Y1252">
        <f>HYPERLINK("https://klasma.github.io/Logging_2313/tillsynsmail/A 14291-2022 tillsynsbegäran mail.docx", "A 14291-2022")</f>
        <v/>
      </c>
    </row>
    <row r="1253" ht="15" customHeight="1">
      <c r="A1253" t="inlineStr">
        <is>
          <t>A 14628-2022</t>
        </is>
      </c>
      <c r="B1253" s="1" t="n">
        <v>44655</v>
      </c>
      <c r="C1253" s="1" t="n">
        <v>45363</v>
      </c>
      <c r="D1253" t="inlineStr">
        <is>
          <t>JÄMTLANDS LÄN</t>
        </is>
      </c>
      <c r="E1253" t="inlineStr">
        <is>
          <t>BRÄCKE</t>
        </is>
      </c>
      <c r="G1253" t="n">
        <v>4.7</v>
      </c>
      <c r="H1253" t="n">
        <v>0</v>
      </c>
      <c r="I1253" t="n">
        <v>1</v>
      </c>
      <c r="J1253" t="n">
        <v>0</v>
      </c>
      <c r="K1253" t="n">
        <v>0</v>
      </c>
      <c r="L1253" t="n">
        <v>0</v>
      </c>
      <c r="M1253" t="n">
        <v>0</v>
      </c>
      <c r="N1253" t="n">
        <v>0</v>
      </c>
      <c r="O1253" t="n">
        <v>0</v>
      </c>
      <c r="P1253" t="n">
        <v>0</v>
      </c>
      <c r="Q1253" t="n">
        <v>1</v>
      </c>
      <c r="R1253" s="2" t="inlineStr">
        <is>
          <t>Dropptaggsvamp</t>
        </is>
      </c>
      <c r="S1253">
        <f>HYPERLINK("https://klasma.github.io/Logging_2305/artfynd/A 14628-2022 artfynd.xlsx", "A 14628-2022")</f>
        <v/>
      </c>
      <c r="T1253">
        <f>HYPERLINK("https://klasma.github.io/Logging_2305/kartor/A 14628-2022 karta.png", "A 14628-2022")</f>
        <v/>
      </c>
      <c r="V1253">
        <f>HYPERLINK("https://klasma.github.io/Logging_2305/klagomål/A 14628-2022 FSC-klagomål.docx", "A 14628-2022")</f>
        <v/>
      </c>
      <c r="W1253">
        <f>HYPERLINK("https://klasma.github.io/Logging_2305/klagomålsmail/A 14628-2022 FSC-klagomål mail.docx", "A 14628-2022")</f>
        <v/>
      </c>
      <c r="X1253">
        <f>HYPERLINK("https://klasma.github.io/Logging_2305/tillsyn/A 14628-2022 tillsynsbegäran.docx", "A 14628-2022")</f>
        <v/>
      </c>
      <c r="Y1253">
        <f>HYPERLINK("https://klasma.github.io/Logging_2305/tillsynsmail/A 14628-2022 tillsynsbegäran mail.docx", "A 14628-2022")</f>
        <v/>
      </c>
    </row>
    <row r="1254" ht="15" customHeight="1">
      <c r="A1254" t="inlineStr">
        <is>
          <t>A 14895-2022</t>
        </is>
      </c>
      <c r="B1254" s="1" t="n">
        <v>44656</v>
      </c>
      <c r="C1254" s="1" t="n">
        <v>45363</v>
      </c>
      <c r="D1254" t="inlineStr">
        <is>
          <t>JÄMTLANDS LÄN</t>
        </is>
      </c>
      <c r="E1254" t="inlineStr">
        <is>
          <t>STRÖMSUND</t>
        </is>
      </c>
      <c r="G1254" t="n">
        <v>43.5</v>
      </c>
      <c r="H1254" t="n">
        <v>0</v>
      </c>
      <c r="I1254" t="n">
        <v>0</v>
      </c>
      <c r="J1254" t="n">
        <v>1</v>
      </c>
      <c r="K1254" t="n">
        <v>0</v>
      </c>
      <c r="L1254" t="n">
        <v>0</v>
      </c>
      <c r="M1254" t="n">
        <v>0</v>
      </c>
      <c r="N1254" t="n">
        <v>0</v>
      </c>
      <c r="O1254" t="n">
        <v>1</v>
      </c>
      <c r="P1254" t="n">
        <v>0</v>
      </c>
      <c r="Q1254" t="n">
        <v>1</v>
      </c>
      <c r="R1254" s="2" t="inlineStr">
        <is>
          <t>Lunglav</t>
        </is>
      </c>
      <c r="S1254">
        <f>HYPERLINK("https://klasma.github.io/Logging_2313/artfynd/A 14895-2022 artfynd.xlsx", "A 14895-2022")</f>
        <v/>
      </c>
      <c r="T1254">
        <f>HYPERLINK("https://klasma.github.io/Logging_2313/kartor/A 14895-2022 karta.png", "A 14895-2022")</f>
        <v/>
      </c>
      <c r="V1254">
        <f>HYPERLINK("https://klasma.github.io/Logging_2313/klagomål/A 14895-2022 FSC-klagomål.docx", "A 14895-2022")</f>
        <v/>
      </c>
      <c r="W1254">
        <f>HYPERLINK("https://klasma.github.io/Logging_2313/klagomålsmail/A 14895-2022 FSC-klagomål mail.docx", "A 14895-2022")</f>
        <v/>
      </c>
      <c r="X1254">
        <f>HYPERLINK("https://klasma.github.io/Logging_2313/tillsyn/A 14895-2022 tillsynsbegäran.docx", "A 14895-2022")</f>
        <v/>
      </c>
      <c r="Y1254">
        <f>HYPERLINK("https://klasma.github.io/Logging_2313/tillsynsmail/A 14895-2022 tillsynsbegäran mail.docx", "A 14895-2022")</f>
        <v/>
      </c>
    </row>
    <row r="1255" ht="15" customHeight="1">
      <c r="A1255" t="inlineStr">
        <is>
          <t>A 15076-2022</t>
        </is>
      </c>
      <c r="B1255" s="1" t="n">
        <v>44657</v>
      </c>
      <c r="C1255" s="1" t="n">
        <v>45363</v>
      </c>
      <c r="D1255" t="inlineStr">
        <is>
          <t>JÄMTLANDS LÄN</t>
        </is>
      </c>
      <c r="E1255" t="inlineStr">
        <is>
          <t>BRÄCKE</t>
        </is>
      </c>
      <c r="G1255" t="n">
        <v>24.7</v>
      </c>
      <c r="H1255" t="n">
        <v>0</v>
      </c>
      <c r="I1255" t="n">
        <v>0</v>
      </c>
      <c r="J1255" t="n">
        <v>1</v>
      </c>
      <c r="K1255" t="n">
        <v>0</v>
      </c>
      <c r="L1255" t="n">
        <v>0</v>
      </c>
      <c r="M1255" t="n">
        <v>0</v>
      </c>
      <c r="N1255" t="n">
        <v>0</v>
      </c>
      <c r="O1255" t="n">
        <v>1</v>
      </c>
      <c r="P1255" t="n">
        <v>0</v>
      </c>
      <c r="Q1255" t="n">
        <v>1</v>
      </c>
      <c r="R1255" s="2" t="inlineStr">
        <is>
          <t>Skrovellav</t>
        </is>
      </c>
      <c r="S1255">
        <f>HYPERLINK("https://klasma.github.io/Logging_2305/artfynd/A 15076-2022 artfynd.xlsx", "A 15076-2022")</f>
        <v/>
      </c>
      <c r="T1255">
        <f>HYPERLINK("https://klasma.github.io/Logging_2305/kartor/A 15076-2022 karta.png", "A 15076-2022")</f>
        <v/>
      </c>
      <c r="V1255">
        <f>HYPERLINK("https://klasma.github.io/Logging_2305/klagomål/A 15076-2022 FSC-klagomål.docx", "A 15076-2022")</f>
        <v/>
      </c>
      <c r="W1255">
        <f>HYPERLINK("https://klasma.github.io/Logging_2305/klagomålsmail/A 15076-2022 FSC-klagomål mail.docx", "A 15076-2022")</f>
        <v/>
      </c>
      <c r="X1255">
        <f>HYPERLINK("https://klasma.github.io/Logging_2305/tillsyn/A 15076-2022 tillsynsbegäran.docx", "A 15076-2022")</f>
        <v/>
      </c>
      <c r="Y1255">
        <f>HYPERLINK("https://klasma.github.io/Logging_2305/tillsynsmail/A 15076-2022 tillsynsbegäran mail.docx", "A 15076-2022")</f>
        <v/>
      </c>
    </row>
    <row r="1256" ht="15" customHeight="1">
      <c r="A1256" t="inlineStr">
        <is>
          <t>A 15149-2022</t>
        </is>
      </c>
      <c r="B1256" s="1" t="n">
        <v>44658</v>
      </c>
      <c r="C1256" s="1" t="n">
        <v>45363</v>
      </c>
      <c r="D1256" t="inlineStr">
        <is>
          <t>JÄMTLANDS LÄN</t>
        </is>
      </c>
      <c r="E1256" t="inlineStr">
        <is>
          <t>STRÖMSUND</t>
        </is>
      </c>
      <c r="G1256" t="n">
        <v>10.6</v>
      </c>
      <c r="H1256" t="n">
        <v>1</v>
      </c>
      <c r="I1256" t="n">
        <v>0</v>
      </c>
      <c r="J1256" t="n">
        <v>0</v>
      </c>
      <c r="K1256" t="n">
        <v>0</v>
      </c>
      <c r="L1256" t="n">
        <v>0</v>
      </c>
      <c r="M1256" t="n">
        <v>0</v>
      </c>
      <c r="N1256" t="n">
        <v>0</v>
      </c>
      <c r="O1256" t="n">
        <v>0</v>
      </c>
      <c r="P1256" t="n">
        <v>0</v>
      </c>
      <c r="Q1256" t="n">
        <v>1</v>
      </c>
      <c r="R1256" s="2" t="inlineStr">
        <is>
          <t>Lavskrika</t>
        </is>
      </c>
      <c r="S1256">
        <f>HYPERLINK("https://klasma.github.io/Logging_2313/artfynd/A 15149-2022 artfynd.xlsx", "A 15149-2022")</f>
        <v/>
      </c>
      <c r="T1256">
        <f>HYPERLINK("https://klasma.github.io/Logging_2313/kartor/A 15149-2022 karta.png", "A 15149-2022")</f>
        <v/>
      </c>
      <c r="V1256">
        <f>HYPERLINK("https://klasma.github.io/Logging_2313/klagomål/A 15149-2022 FSC-klagomål.docx", "A 15149-2022")</f>
        <v/>
      </c>
      <c r="W1256">
        <f>HYPERLINK("https://klasma.github.io/Logging_2313/klagomålsmail/A 15149-2022 FSC-klagomål mail.docx", "A 15149-2022")</f>
        <v/>
      </c>
      <c r="X1256">
        <f>HYPERLINK("https://klasma.github.io/Logging_2313/tillsyn/A 15149-2022 tillsynsbegäran.docx", "A 15149-2022")</f>
        <v/>
      </c>
      <c r="Y1256">
        <f>HYPERLINK("https://klasma.github.io/Logging_2313/tillsynsmail/A 15149-2022 tillsynsbegäran mail.docx", "A 15149-2022")</f>
        <v/>
      </c>
      <c r="Z1256">
        <f>HYPERLINK("https://klasma.github.io/Logging_2313/fåglar/A 15149-2022 prioriterade fågelarter.docx", "A 15149-2022")</f>
        <v/>
      </c>
    </row>
    <row r="1257" ht="15" customHeight="1">
      <c r="A1257" t="inlineStr">
        <is>
          <t>A 15360-2022</t>
        </is>
      </c>
      <c r="B1257" s="1" t="n">
        <v>44659</v>
      </c>
      <c r="C1257" s="1" t="n">
        <v>45363</v>
      </c>
      <c r="D1257" t="inlineStr">
        <is>
          <t>JÄMTLANDS LÄN</t>
        </is>
      </c>
      <c r="E1257" t="inlineStr">
        <is>
          <t>HÄRJEDALEN</t>
        </is>
      </c>
      <c r="G1257" t="n">
        <v>7.7</v>
      </c>
      <c r="H1257" t="n">
        <v>1</v>
      </c>
      <c r="I1257" t="n">
        <v>0</v>
      </c>
      <c r="J1257" t="n">
        <v>0</v>
      </c>
      <c r="K1257" t="n">
        <v>0</v>
      </c>
      <c r="L1257" t="n">
        <v>1</v>
      </c>
      <c r="M1257" t="n">
        <v>0</v>
      </c>
      <c r="N1257" t="n">
        <v>0</v>
      </c>
      <c r="O1257" t="n">
        <v>1</v>
      </c>
      <c r="P1257" t="n">
        <v>1</v>
      </c>
      <c r="Q1257" t="n">
        <v>1</v>
      </c>
      <c r="R1257" s="2" t="inlineStr">
        <is>
          <t>Mosippa</t>
        </is>
      </c>
      <c r="S1257">
        <f>HYPERLINK("https://klasma.github.io/Logging_2361/artfynd/A 15360-2022 artfynd.xlsx", "A 15360-2022")</f>
        <v/>
      </c>
      <c r="T1257">
        <f>HYPERLINK("https://klasma.github.io/Logging_2361/kartor/A 15360-2022 karta.png", "A 15360-2022")</f>
        <v/>
      </c>
      <c r="V1257">
        <f>HYPERLINK("https://klasma.github.io/Logging_2361/klagomål/A 15360-2022 FSC-klagomål.docx", "A 15360-2022")</f>
        <v/>
      </c>
      <c r="W1257">
        <f>HYPERLINK("https://klasma.github.io/Logging_2361/klagomålsmail/A 15360-2022 FSC-klagomål mail.docx", "A 15360-2022")</f>
        <v/>
      </c>
      <c r="X1257">
        <f>HYPERLINK("https://klasma.github.io/Logging_2361/tillsyn/A 15360-2022 tillsynsbegäran.docx", "A 15360-2022")</f>
        <v/>
      </c>
      <c r="Y1257">
        <f>HYPERLINK("https://klasma.github.io/Logging_2361/tillsynsmail/A 15360-2022 tillsynsbegäran mail.docx", "A 15360-2022")</f>
        <v/>
      </c>
    </row>
    <row r="1258" ht="15" customHeight="1">
      <c r="A1258" t="inlineStr">
        <is>
          <t>A 15366-2022</t>
        </is>
      </c>
      <c r="B1258" s="1" t="n">
        <v>44659</v>
      </c>
      <c r="C1258" s="1" t="n">
        <v>45363</v>
      </c>
      <c r="D1258" t="inlineStr">
        <is>
          <t>JÄMTLANDS LÄN</t>
        </is>
      </c>
      <c r="E1258" t="inlineStr">
        <is>
          <t>BRÄCKE</t>
        </is>
      </c>
      <c r="G1258" t="n">
        <v>3.3</v>
      </c>
      <c r="H1258" t="n">
        <v>1</v>
      </c>
      <c r="I1258" t="n">
        <v>0</v>
      </c>
      <c r="J1258" t="n">
        <v>0</v>
      </c>
      <c r="K1258" t="n">
        <v>0</v>
      </c>
      <c r="L1258" t="n">
        <v>0</v>
      </c>
      <c r="M1258" t="n">
        <v>0</v>
      </c>
      <c r="N1258" t="n">
        <v>0</v>
      </c>
      <c r="O1258" t="n">
        <v>0</v>
      </c>
      <c r="P1258" t="n">
        <v>0</v>
      </c>
      <c r="Q1258" t="n">
        <v>1</v>
      </c>
      <c r="R1258" s="2" t="inlineStr">
        <is>
          <t>Brudsporre</t>
        </is>
      </c>
      <c r="S1258">
        <f>HYPERLINK("https://klasma.github.io/Logging_2305/artfynd/A 15366-2022 artfynd.xlsx", "A 15366-2022")</f>
        <v/>
      </c>
      <c r="T1258">
        <f>HYPERLINK("https://klasma.github.io/Logging_2305/kartor/A 15366-2022 karta.png", "A 15366-2022")</f>
        <v/>
      </c>
      <c r="V1258">
        <f>HYPERLINK("https://klasma.github.io/Logging_2305/klagomål/A 15366-2022 FSC-klagomål.docx", "A 15366-2022")</f>
        <v/>
      </c>
      <c r="W1258">
        <f>HYPERLINK("https://klasma.github.io/Logging_2305/klagomålsmail/A 15366-2022 FSC-klagomål mail.docx", "A 15366-2022")</f>
        <v/>
      </c>
      <c r="X1258">
        <f>HYPERLINK("https://klasma.github.io/Logging_2305/tillsyn/A 15366-2022 tillsynsbegäran.docx", "A 15366-2022")</f>
        <v/>
      </c>
      <c r="Y1258">
        <f>HYPERLINK("https://klasma.github.io/Logging_2305/tillsynsmail/A 15366-2022 tillsynsbegäran mail.docx", "A 15366-2022")</f>
        <v/>
      </c>
    </row>
    <row r="1259" ht="15" customHeight="1">
      <c r="A1259" t="inlineStr">
        <is>
          <t>A 15663-2022</t>
        </is>
      </c>
      <c r="B1259" s="1" t="n">
        <v>44663</v>
      </c>
      <c r="C1259" s="1" t="n">
        <v>45363</v>
      </c>
      <c r="D1259" t="inlineStr">
        <is>
          <t>JÄMTLANDS LÄN</t>
        </is>
      </c>
      <c r="E1259" t="inlineStr">
        <is>
          <t>RAGUNDA</t>
        </is>
      </c>
      <c r="F1259" t="inlineStr">
        <is>
          <t>SCA</t>
        </is>
      </c>
      <c r="G1259" t="n">
        <v>1.7</v>
      </c>
      <c r="H1259" t="n">
        <v>1</v>
      </c>
      <c r="I1259" t="n">
        <v>0</v>
      </c>
      <c r="J1259" t="n">
        <v>0</v>
      </c>
      <c r="K1259" t="n">
        <v>1</v>
      </c>
      <c r="L1259" t="n">
        <v>0</v>
      </c>
      <c r="M1259" t="n">
        <v>0</v>
      </c>
      <c r="N1259" t="n">
        <v>0</v>
      </c>
      <c r="O1259" t="n">
        <v>1</v>
      </c>
      <c r="P1259" t="n">
        <v>1</v>
      </c>
      <c r="Q1259" t="n">
        <v>1</v>
      </c>
      <c r="R1259" s="2" t="inlineStr">
        <is>
          <t>Norna</t>
        </is>
      </c>
      <c r="S1259">
        <f>HYPERLINK("https://klasma.github.io/Logging_2303/artfynd/A 15663-2022 artfynd.xlsx", "A 15663-2022")</f>
        <v/>
      </c>
      <c r="T1259">
        <f>HYPERLINK("https://klasma.github.io/Logging_2303/kartor/A 15663-2022 karta.png", "A 15663-2022")</f>
        <v/>
      </c>
      <c r="V1259">
        <f>HYPERLINK("https://klasma.github.io/Logging_2303/klagomål/A 15663-2022 FSC-klagomål.docx", "A 15663-2022")</f>
        <v/>
      </c>
      <c r="W1259">
        <f>HYPERLINK("https://klasma.github.io/Logging_2303/klagomålsmail/A 15663-2022 FSC-klagomål mail.docx", "A 15663-2022")</f>
        <v/>
      </c>
      <c r="X1259">
        <f>HYPERLINK("https://klasma.github.io/Logging_2303/tillsyn/A 15663-2022 tillsynsbegäran.docx", "A 15663-2022")</f>
        <v/>
      </c>
      <c r="Y1259">
        <f>HYPERLINK("https://klasma.github.io/Logging_2303/tillsynsmail/A 15663-2022 tillsynsbegäran mail.docx", "A 15663-2022")</f>
        <v/>
      </c>
    </row>
    <row r="1260" ht="15" customHeight="1">
      <c r="A1260" t="inlineStr">
        <is>
          <t>A 17692-2022</t>
        </is>
      </c>
      <c r="B1260" s="1" t="n">
        <v>44680</v>
      </c>
      <c r="C1260" s="1" t="n">
        <v>45363</v>
      </c>
      <c r="D1260" t="inlineStr">
        <is>
          <t>JÄMTLANDS LÄN</t>
        </is>
      </c>
      <c r="E1260" t="inlineStr">
        <is>
          <t>ÅRE</t>
        </is>
      </c>
      <c r="G1260" t="n">
        <v>3.1</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HYPERLINK("https://klasma.github.io/Logging_2321/artfynd/A 17692-2022 artfynd.xlsx", "A 17692-2022")</f>
        <v/>
      </c>
      <c r="T1260">
        <f>HYPERLINK("https://klasma.github.io/Logging_2321/kartor/A 17692-2022 karta.png", "A 17692-2022")</f>
        <v/>
      </c>
      <c r="V1260">
        <f>HYPERLINK("https://klasma.github.io/Logging_2321/klagomål/A 17692-2022 FSC-klagomål.docx", "A 17692-2022")</f>
        <v/>
      </c>
      <c r="W1260">
        <f>HYPERLINK("https://klasma.github.io/Logging_2321/klagomålsmail/A 17692-2022 FSC-klagomål mail.docx", "A 17692-2022")</f>
        <v/>
      </c>
      <c r="X1260">
        <f>HYPERLINK("https://klasma.github.io/Logging_2321/tillsyn/A 17692-2022 tillsynsbegäran.docx", "A 17692-2022")</f>
        <v/>
      </c>
      <c r="Y1260">
        <f>HYPERLINK("https://klasma.github.io/Logging_2321/tillsynsmail/A 17692-2022 tillsynsbegäran mail.docx", "A 17692-2022")</f>
        <v/>
      </c>
      <c r="Z1260">
        <f>HYPERLINK("https://klasma.github.io/Logging_2321/fåglar/A 17692-2022 prioriterade fågelarter.docx", "A 17692-2022")</f>
        <v/>
      </c>
    </row>
    <row r="1261" ht="15" customHeight="1">
      <c r="A1261" t="inlineStr">
        <is>
          <t>A 17751-2022</t>
        </is>
      </c>
      <c r="B1261" s="1" t="n">
        <v>44681</v>
      </c>
      <c r="C1261" s="1" t="n">
        <v>45363</v>
      </c>
      <c r="D1261" t="inlineStr">
        <is>
          <t>JÄMTLANDS LÄN</t>
        </is>
      </c>
      <c r="E1261" t="inlineStr">
        <is>
          <t>RAGUNDA</t>
        </is>
      </c>
      <c r="F1261" t="inlineStr">
        <is>
          <t>SCA</t>
        </is>
      </c>
      <c r="G1261" t="n">
        <v>1.4</v>
      </c>
      <c r="H1261" t="n">
        <v>0</v>
      </c>
      <c r="I1261" t="n">
        <v>0</v>
      </c>
      <c r="J1261" t="n">
        <v>1</v>
      </c>
      <c r="K1261" t="n">
        <v>0</v>
      </c>
      <c r="L1261" t="n">
        <v>0</v>
      </c>
      <c r="M1261" t="n">
        <v>0</v>
      </c>
      <c r="N1261" t="n">
        <v>0</v>
      </c>
      <c r="O1261" t="n">
        <v>1</v>
      </c>
      <c r="P1261" t="n">
        <v>0</v>
      </c>
      <c r="Q1261" t="n">
        <v>1</v>
      </c>
      <c r="R1261" s="2" t="inlineStr">
        <is>
          <t>Granticka</t>
        </is>
      </c>
      <c r="S1261">
        <f>HYPERLINK("https://klasma.github.io/Logging_2303/artfynd/A 17751-2022 artfynd.xlsx", "A 17751-2022")</f>
        <v/>
      </c>
      <c r="T1261">
        <f>HYPERLINK("https://klasma.github.io/Logging_2303/kartor/A 17751-2022 karta.png", "A 17751-2022")</f>
        <v/>
      </c>
      <c r="V1261">
        <f>HYPERLINK("https://klasma.github.io/Logging_2303/klagomål/A 17751-2022 FSC-klagomål.docx", "A 17751-2022")</f>
        <v/>
      </c>
      <c r="W1261">
        <f>HYPERLINK("https://klasma.github.io/Logging_2303/klagomålsmail/A 17751-2022 FSC-klagomål mail.docx", "A 17751-2022")</f>
        <v/>
      </c>
      <c r="X1261">
        <f>HYPERLINK("https://klasma.github.io/Logging_2303/tillsyn/A 17751-2022 tillsynsbegäran.docx", "A 17751-2022")</f>
        <v/>
      </c>
      <c r="Y1261">
        <f>HYPERLINK("https://klasma.github.io/Logging_2303/tillsynsmail/A 17751-2022 tillsynsbegäran mail.docx", "A 17751-2022")</f>
        <v/>
      </c>
    </row>
    <row r="1262" ht="15" customHeight="1">
      <c r="A1262" t="inlineStr">
        <is>
          <t>A 18032-2022</t>
        </is>
      </c>
      <c r="B1262" s="1" t="n">
        <v>44683</v>
      </c>
      <c r="C1262" s="1" t="n">
        <v>45363</v>
      </c>
      <c r="D1262" t="inlineStr">
        <is>
          <t>JÄMTLANDS LÄN</t>
        </is>
      </c>
      <c r="E1262" t="inlineStr">
        <is>
          <t>KROKOM</t>
        </is>
      </c>
      <c r="G1262" t="n">
        <v>15.8</v>
      </c>
      <c r="H1262" t="n">
        <v>0</v>
      </c>
      <c r="I1262" t="n">
        <v>0</v>
      </c>
      <c r="J1262" t="n">
        <v>1</v>
      </c>
      <c r="K1262" t="n">
        <v>0</v>
      </c>
      <c r="L1262" t="n">
        <v>0</v>
      </c>
      <c r="M1262" t="n">
        <v>0</v>
      </c>
      <c r="N1262" t="n">
        <v>0</v>
      </c>
      <c r="O1262" t="n">
        <v>1</v>
      </c>
      <c r="P1262" t="n">
        <v>0</v>
      </c>
      <c r="Q1262" t="n">
        <v>1</v>
      </c>
      <c r="R1262" s="2" t="inlineStr">
        <is>
          <t>Brunklöver</t>
        </is>
      </c>
      <c r="S1262">
        <f>HYPERLINK("https://klasma.github.io/Logging_2309/artfynd/A 18032-2022 artfynd.xlsx", "A 18032-2022")</f>
        <v/>
      </c>
      <c r="T1262">
        <f>HYPERLINK("https://klasma.github.io/Logging_2309/kartor/A 18032-2022 karta.png", "A 18032-2022")</f>
        <v/>
      </c>
      <c r="V1262">
        <f>HYPERLINK("https://klasma.github.io/Logging_2309/klagomål/A 18032-2022 FSC-klagomål.docx", "A 18032-2022")</f>
        <v/>
      </c>
      <c r="W1262">
        <f>HYPERLINK("https://klasma.github.io/Logging_2309/klagomålsmail/A 18032-2022 FSC-klagomål mail.docx", "A 18032-2022")</f>
        <v/>
      </c>
      <c r="X1262">
        <f>HYPERLINK("https://klasma.github.io/Logging_2309/tillsyn/A 18032-2022 tillsynsbegäran.docx", "A 18032-2022")</f>
        <v/>
      </c>
      <c r="Y1262">
        <f>HYPERLINK("https://klasma.github.io/Logging_2309/tillsynsmail/A 18032-2022 tillsynsbegäran mail.docx", "A 18032-2022")</f>
        <v/>
      </c>
    </row>
    <row r="1263" ht="15" customHeight="1">
      <c r="A1263" t="inlineStr">
        <is>
          <t>A 18851-2022</t>
        </is>
      </c>
      <c r="B1263" s="1" t="n">
        <v>44690</v>
      </c>
      <c r="C1263" s="1" t="n">
        <v>45363</v>
      </c>
      <c r="D1263" t="inlineStr">
        <is>
          <t>JÄMTLANDS LÄN</t>
        </is>
      </c>
      <c r="E1263" t="inlineStr">
        <is>
          <t>ÅRE</t>
        </is>
      </c>
      <c r="G1263" t="n">
        <v>10.4</v>
      </c>
      <c r="H1263" t="n">
        <v>0</v>
      </c>
      <c r="I1263" t="n">
        <v>0</v>
      </c>
      <c r="J1263" t="n">
        <v>1</v>
      </c>
      <c r="K1263" t="n">
        <v>0</v>
      </c>
      <c r="L1263" t="n">
        <v>0</v>
      </c>
      <c r="M1263" t="n">
        <v>0</v>
      </c>
      <c r="N1263" t="n">
        <v>0</v>
      </c>
      <c r="O1263" t="n">
        <v>1</v>
      </c>
      <c r="P1263" t="n">
        <v>0</v>
      </c>
      <c r="Q1263" t="n">
        <v>1</v>
      </c>
      <c r="R1263" s="2" t="inlineStr">
        <is>
          <t>Garnlav</t>
        </is>
      </c>
      <c r="S1263">
        <f>HYPERLINK("https://klasma.github.io/Logging_2321/artfynd/A 18851-2022 artfynd.xlsx", "A 18851-2022")</f>
        <v/>
      </c>
      <c r="T1263">
        <f>HYPERLINK("https://klasma.github.io/Logging_2321/kartor/A 18851-2022 karta.png", "A 18851-2022")</f>
        <v/>
      </c>
      <c r="V1263">
        <f>HYPERLINK("https://klasma.github.io/Logging_2321/klagomål/A 18851-2022 FSC-klagomål.docx", "A 18851-2022")</f>
        <v/>
      </c>
      <c r="W1263">
        <f>HYPERLINK("https://klasma.github.io/Logging_2321/klagomålsmail/A 18851-2022 FSC-klagomål mail.docx", "A 18851-2022")</f>
        <v/>
      </c>
      <c r="X1263">
        <f>HYPERLINK("https://klasma.github.io/Logging_2321/tillsyn/A 18851-2022 tillsynsbegäran.docx", "A 18851-2022")</f>
        <v/>
      </c>
      <c r="Y1263">
        <f>HYPERLINK("https://klasma.github.io/Logging_2321/tillsynsmail/A 18851-2022 tillsynsbegäran mail.docx", "A 18851-2022")</f>
        <v/>
      </c>
    </row>
    <row r="1264" ht="15" customHeight="1">
      <c r="A1264" t="inlineStr">
        <is>
          <t>A 19600-2022</t>
        </is>
      </c>
      <c r="B1264" s="1" t="n">
        <v>44693</v>
      </c>
      <c r="C1264" s="1" t="n">
        <v>45363</v>
      </c>
      <c r="D1264" t="inlineStr">
        <is>
          <t>JÄMTLANDS LÄN</t>
        </is>
      </c>
      <c r="E1264" t="inlineStr">
        <is>
          <t>STRÖMSUND</t>
        </is>
      </c>
      <c r="F1264" t="inlineStr">
        <is>
          <t>SCA</t>
        </is>
      </c>
      <c r="G1264" t="n">
        <v>6.9</v>
      </c>
      <c r="H1264" t="n">
        <v>0</v>
      </c>
      <c r="I1264" t="n">
        <v>0</v>
      </c>
      <c r="J1264" t="n">
        <v>1</v>
      </c>
      <c r="K1264" t="n">
        <v>0</v>
      </c>
      <c r="L1264" t="n">
        <v>0</v>
      </c>
      <c r="M1264" t="n">
        <v>0</v>
      </c>
      <c r="N1264" t="n">
        <v>0</v>
      </c>
      <c r="O1264" t="n">
        <v>1</v>
      </c>
      <c r="P1264" t="n">
        <v>0</v>
      </c>
      <c r="Q1264" t="n">
        <v>1</v>
      </c>
      <c r="R1264" s="2" t="inlineStr">
        <is>
          <t>Garnlav</t>
        </is>
      </c>
      <c r="S1264">
        <f>HYPERLINK("https://klasma.github.io/Logging_2313/artfynd/A 19600-2022 artfynd.xlsx", "A 19600-2022")</f>
        <v/>
      </c>
      <c r="T1264">
        <f>HYPERLINK("https://klasma.github.io/Logging_2313/kartor/A 19600-2022 karta.png", "A 19600-2022")</f>
        <v/>
      </c>
      <c r="V1264">
        <f>HYPERLINK("https://klasma.github.io/Logging_2313/klagomål/A 19600-2022 FSC-klagomål.docx", "A 19600-2022")</f>
        <v/>
      </c>
      <c r="W1264">
        <f>HYPERLINK("https://klasma.github.io/Logging_2313/klagomålsmail/A 19600-2022 FSC-klagomål mail.docx", "A 19600-2022")</f>
        <v/>
      </c>
      <c r="X1264">
        <f>HYPERLINK("https://klasma.github.io/Logging_2313/tillsyn/A 19600-2022 tillsynsbegäran.docx", "A 19600-2022")</f>
        <v/>
      </c>
      <c r="Y1264">
        <f>HYPERLINK("https://klasma.github.io/Logging_2313/tillsynsmail/A 19600-2022 tillsynsbegäran mail.docx", "A 19600-2022")</f>
        <v/>
      </c>
    </row>
    <row r="1265" ht="15" customHeight="1">
      <c r="A1265" t="inlineStr">
        <is>
          <t>A 19798-2022</t>
        </is>
      </c>
      <c r="B1265" s="1" t="n">
        <v>44694</v>
      </c>
      <c r="C1265" s="1" t="n">
        <v>45363</v>
      </c>
      <c r="D1265" t="inlineStr">
        <is>
          <t>JÄMTLANDS LÄN</t>
        </is>
      </c>
      <c r="E1265" t="inlineStr">
        <is>
          <t>ÖSTERSUND</t>
        </is>
      </c>
      <c r="F1265" t="inlineStr">
        <is>
          <t>SCA</t>
        </is>
      </c>
      <c r="G1265" t="n">
        <v>1</v>
      </c>
      <c r="H1265" t="n">
        <v>1</v>
      </c>
      <c r="I1265" t="n">
        <v>1</v>
      </c>
      <c r="J1265" t="n">
        <v>0</v>
      </c>
      <c r="K1265" t="n">
        <v>0</v>
      </c>
      <c r="L1265" t="n">
        <v>0</v>
      </c>
      <c r="M1265" t="n">
        <v>0</v>
      </c>
      <c r="N1265" t="n">
        <v>0</v>
      </c>
      <c r="O1265" t="n">
        <v>0</v>
      </c>
      <c r="P1265" t="n">
        <v>0</v>
      </c>
      <c r="Q1265" t="n">
        <v>1</v>
      </c>
      <c r="R1265" s="2" t="inlineStr">
        <is>
          <t>Guckusko</t>
        </is>
      </c>
      <c r="S1265">
        <f>HYPERLINK("https://klasma.github.io/Logging_2380/artfynd/A 19798-2022 artfynd.xlsx", "A 19798-2022")</f>
        <v/>
      </c>
      <c r="T1265">
        <f>HYPERLINK("https://klasma.github.io/Logging_2380/kartor/A 19798-2022 karta.png", "A 19798-2022")</f>
        <v/>
      </c>
      <c r="V1265">
        <f>HYPERLINK("https://klasma.github.io/Logging_2380/klagomål/A 19798-2022 FSC-klagomål.docx", "A 19798-2022")</f>
        <v/>
      </c>
      <c r="W1265">
        <f>HYPERLINK("https://klasma.github.io/Logging_2380/klagomålsmail/A 19798-2022 FSC-klagomål mail.docx", "A 19798-2022")</f>
        <v/>
      </c>
      <c r="X1265">
        <f>HYPERLINK("https://klasma.github.io/Logging_2380/tillsyn/A 19798-2022 tillsynsbegäran.docx", "A 19798-2022")</f>
        <v/>
      </c>
      <c r="Y1265">
        <f>HYPERLINK("https://klasma.github.io/Logging_2380/tillsynsmail/A 19798-2022 tillsynsbegäran mail.docx", "A 19798-2022")</f>
        <v/>
      </c>
    </row>
    <row r="1266" ht="15" customHeight="1">
      <c r="A1266" t="inlineStr">
        <is>
          <t>A 20316-2022</t>
        </is>
      </c>
      <c r="B1266" s="1" t="n">
        <v>44698</v>
      </c>
      <c r="C1266" s="1" t="n">
        <v>45363</v>
      </c>
      <c r="D1266" t="inlineStr">
        <is>
          <t>JÄMTLANDS LÄN</t>
        </is>
      </c>
      <c r="E1266" t="inlineStr">
        <is>
          <t>STRÖMSUND</t>
        </is>
      </c>
      <c r="F1266" t="inlineStr">
        <is>
          <t>SCA</t>
        </is>
      </c>
      <c r="G1266" t="n">
        <v>6.4</v>
      </c>
      <c r="H1266" t="n">
        <v>1</v>
      </c>
      <c r="I1266" t="n">
        <v>0</v>
      </c>
      <c r="J1266" t="n">
        <v>0</v>
      </c>
      <c r="K1266" t="n">
        <v>0</v>
      </c>
      <c r="L1266" t="n">
        <v>0</v>
      </c>
      <c r="M1266" t="n">
        <v>0</v>
      </c>
      <c r="N1266" t="n">
        <v>0</v>
      </c>
      <c r="O1266" t="n">
        <v>0</v>
      </c>
      <c r="P1266" t="n">
        <v>0</v>
      </c>
      <c r="Q1266" t="n">
        <v>1</v>
      </c>
      <c r="R1266" s="2" t="inlineStr">
        <is>
          <t>Fläcknycklar</t>
        </is>
      </c>
      <c r="S1266">
        <f>HYPERLINK("https://klasma.github.io/Logging_2313/artfynd/A 20316-2022 artfynd.xlsx", "A 20316-2022")</f>
        <v/>
      </c>
      <c r="T1266">
        <f>HYPERLINK("https://klasma.github.io/Logging_2313/kartor/A 20316-2022 karta.png", "A 20316-2022")</f>
        <v/>
      </c>
      <c r="V1266">
        <f>HYPERLINK("https://klasma.github.io/Logging_2313/klagomål/A 20316-2022 FSC-klagomål.docx", "A 20316-2022")</f>
        <v/>
      </c>
      <c r="W1266">
        <f>HYPERLINK("https://klasma.github.io/Logging_2313/klagomålsmail/A 20316-2022 FSC-klagomål mail.docx", "A 20316-2022")</f>
        <v/>
      </c>
      <c r="X1266">
        <f>HYPERLINK("https://klasma.github.io/Logging_2313/tillsyn/A 20316-2022 tillsynsbegäran.docx", "A 20316-2022")</f>
        <v/>
      </c>
      <c r="Y1266">
        <f>HYPERLINK("https://klasma.github.io/Logging_2313/tillsynsmail/A 20316-2022 tillsynsbegäran mail.docx", "A 20316-2022")</f>
        <v/>
      </c>
    </row>
    <row r="1267" ht="15" customHeight="1">
      <c r="A1267" t="inlineStr">
        <is>
          <t>A 21208-2022</t>
        </is>
      </c>
      <c r="B1267" s="1" t="n">
        <v>44704</v>
      </c>
      <c r="C1267" s="1" t="n">
        <v>45363</v>
      </c>
      <c r="D1267" t="inlineStr">
        <is>
          <t>JÄMTLANDS LÄN</t>
        </is>
      </c>
      <c r="E1267" t="inlineStr">
        <is>
          <t>STRÖMSUND</t>
        </is>
      </c>
      <c r="F1267" t="inlineStr">
        <is>
          <t>SCA</t>
        </is>
      </c>
      <c r="G1267" t="n">
        <v>1.5</v>
      </c>
      <c r="H1267" t="n">
        <v>0</v>
      </c>
      <c r="I1267" t="n">
        <v>0</v>
      </c>
      <c r="J1267" t="n">
        <v>1</v>
      </c>
      <c r="K1267" t="n">
        <v>0</v>
      </c>
      <c r="L1267" t="n">
        <v>0</v>
      </c>
      <c r="M1267" t="n">
        <v>0</v>
      </c>
      <c r="N1267" t="n">
        <v>0</v>
      </c>
      <c r="O1267" t="n">
        <v>1</v>
      </c>
      <c r="P1267" t="n">
        <v>0</v>
      </c>
      <c r="Q1267" t="n">
        <v>1</v>
      </c>
      <c r="R1267" s="2" t="inlineStr">
        <is>
          <t>Harticka</t>
        </is>
      </c>
      <c r="S1267">
        <f>HYPERLINK("https://klasma.github.io/Logging_2313/artfynd/A 21208-2022 artfynd.xlsx", "A 21208-2022")</f>
        <v/>
      </c>
      <c r="T1267">
        <f>HYPERLINK("https://klasma.github.io/Logging_2313/kartor/A 21208-2022 karta.png", "A 21208-2022")</f>
        <v/>
      </c>
      <c r="V1267">
        <f>HYPERLINK("https://klasma.github.io/Logging_2313/klagomål/A 21208-2022 FSC-klagomål.docx", "A 21208-2022")</f>
        <v/>
      </c>
      <c r="W1267">
        <f>HYPERLINK("https://klasma.github.io/Logging_2313/klagomålsmail/A 21208-2022 FSC-klagomål mail.docx", "A 21208-2022")</f>
        <v/>
      </c>
      <c r="X1267">
        <f>HYPERLINK("https://klasma.github.io/Logging_2313/tillsyn/A 21208-2022 tillsynsbegäran.docx", "A 21208-2022")</f>
        <v/>
      </c>
      <c r="Y1267">
        <f>HYPERLINK("https://klasma.github.io/Logging_2313/tillsynsmail/A 21208-2022 tillsynsbegäran mail.docx", "A 21208-2022")</f>
        <v/>
      </c>
    </row>
    <row r="1268" ht="15" customHeight="1">
      <c r="A1268" t="inlineStr">
        <is>
          <t>A 21275-2022</t>
        </is>
      </c>
      <c r="B1268" s="1" t="n">
        <v>44705</v>
      </c>
      <c r="C1268" s="1" t="n">
        <v>45363</v>
      </c>
      <c r="D1268" t="inlineStr">
        <is>
          <t>JÄMTLANDS LÄN</t>
        </is>
      </c>
      <c r="E1268" t="inlineStr">
        <is>
          <t>RAGUNDA</t>
        </is>
      </c>
      <c r="G1268" t="n">
        <v>2.2</v>
      </c>
      <c r="H1268" t="n">
        <v>0</v>
      </c>
      <c r="I1268" t="n">
        <v>1</v>
      </c>
      <c r="J1268" t="n">
        <v>0</v>
      </c>
      <c r="K1268" t="n">
        <v>0</v>
      </c>
      <c r="L1268" t="n">
        <v>0</v>
      </c>
      <c r="M1268" t="n">
        <v>0</v>
      </c>
      <c r="N1268" t="n">
        <v>0</v>
      </c>
      <c r="O1268" t="n">
        <v>0</v>
      </c>
      <c r="P1268" t="n">
        <v>0</v>
      </c>
      <c r="Q1268" t="n">
        <v>1</v>
      </c>
      <c r="R1268" s="2" t="inlineStr">
        <is>
          <t>Kransrams</t>
        </is>
      </c>
      <c r="S1268">
        <f>HYPERLINK("https://klasma.github.io/Logging_2303/artfynd/A 21275-2022 artfynd.xlsx", "A 21275-2022")</f>
        <v/>
      </c>
      <c r="T1268">
        <f>HYPERLINK("https://klasma.github.io/Logging_2303/kartor/A 21275-2022 karta.png", "A 21275-2022")</f>
        <v/>
      </c>
      <c r="V1268">
        <f>HYPERLINK("https://klasma.github.io/Logging_2303/klagomål/A 21275-2022 FSC-klagomål.docx", "A 21275-2022")</f>
        <v/>
      </c>
      <c r="W1268">
        <f>HYPERLINK("https://klasma.github.io/Logging_2303/klagomålsmail/A 21275-2022 FSC-klagomål mail.docx", "A 21275-2022")</f>
        <v/>
      </c>
      <c r="X1268">
        <f>HYPERLINK("https://klasma.github.io/Logging_2303/tillsyn/A 21275-2022 tillsynsbegäran.docx", "A 21275-2022")</f>
        <v/>
      </c>
      <c r="Y1268">
        <f>HYPERLINK("https://klasma.github.io/Logging_2303/tillsynsmail/A 21275-2022 tillsynsbegäran mail.docx", "A 21275-2022")</f>
        <v/>
      </c>
    </row>
    <row r="1269" ht="15" customHeight="1">
      <c r="A1269" t="inlineStr">
        <is>
          <t>A 23186-2022</t>
        </is>
      </c>
      <c r="B1269" s="1" t="n">
        <v>44719</v>
      </c>
      <c r="C1269" s="1" t="n">
        <v>45363</v>
      </c>
      <c r="D1269" t="inlineStr">
        <is>
          <t>JÄMTLANDS LÄN</t>
        </is>
      </c>
      <c r="E1269" t="inlineStr">
        <is>
          <t>STRÖMSUND</t>
        </is>
      </c>
      <c r="G1269" t="n">
        <v>14.3</v>
      </c>
      <c r="H1269" t="n">
        <v>0</v>
      </c>
      <c r="I1269" t="n">
        <v>0</v>
      </c>
      <c r="J1269" t="n">
        <v>1</v>
      </c>
      <c r="K1269" t="n">
        <v>0</v>
      </c>
      <c r="L1269" t="n">
        <v>0</v>
      </c>
      <c r="M1269" t="n">
        <v>0</v>
      </c>
      <c r="N1269" t="n">
        <v>0</v>
      </c>
      <c r="O1269" t="n">
        <v>1</v>
      </c>
      <c r="P1269" t="n">
        <v>0</v>
      </c>
      <c r="Q1269" t="n">
        <v>1</v>
      </c>
      <c r="R1269" s="2" t="inlineStr">
        <is>
          <t>Lunglav</t>
        </is>
      </c>
      <c r="S1269">
        <f>HYPERLINK("https://klasma.github.io/Logging_2313/artfynd/A 23186-2022 artfynd.xlsx", "A 23186-2022")</f>
        <v/>
      </c>
      <c r="T1269">
        <f>HYPERLINK("https://klasma.github.io/Logging_2313/kartor/A 23186-2022 karta.png", "A 23186-2022")</f>
        <v/>
      </c>
      <c r="V1269">
        <f>HYPERLINK("https://klasma.github.io/Logging_2313/klagomål/A 23186-2022 FSC-klagomål.docx", "A 23186-2022")</f>
        <v/>
      </c>
      <c r="W1269">
        <f>HYPERLINK("https://klasma.github.io/Logging_2313/klagomålsmail/A 23186-2022 FSC-klagomål mail.docx", "A 23186-2022")</f>
        <v/>
      </c>
      <c r="X1269">
        <f>HYPERLINK("https://klasma.github.io/Logging_2313/tillsyn/A 23186-2022 tillsynsbegäran.docx", "A 23186-2022")</f>
        <v/>
      </c>
      <c r="Y1269">
        <f>HYPERLINK("https://klasma.github.io/Logging_2313/tillsynsmail/A 23186-2022 tillsynsbegäran mail.docx", "A 23186-2022")</f>
        <v/>
      </c>
    </row>
    <row r="1270" ht="15" customHeight="1">
      <c r="A1270" t="inlineStr">
        <is>
          <t>A 23434-2022</t>
        </is>
      </c>
      <c r="B1270" s="1" t="n">
        <v>44720</v>
      </c>
      <c r="C1270" s="1" t="n">
        <v>45363</v>
      </c>
      <c r="D1270" t="inlineStr">
        <is>
          <t>JÄMTLANDS LÄN</t>
        </is>
      </c>
      <c r="E1270" t="inlineStr">
        <is>
          <t>BRÄCKE</t>
        </is>
      </c>
      <c r="G1270" t="n">
        <v>14.1</v>
      </c>
      <c r="H1270" t="n">
        <v>1</v>
      </c>
      <c r="I1270" t="n">
        <v>0</v>
      </c>
      <c r="J1270" t="n">
        <v>0</v>
      </c>
      <c r="K1270" t="n">
        <v>1</v>
      </c>
      <c r="L1270" t="n">
        <v>0</v>
      </c>
      <c r="M1270" t="n">
        <v>0</v>
      </c>
      <c r="N1270" t="n">
        <v>0</v>
      </c>
      <c r="O1270" t="n">
        <v>1</v>
      </c>
      <c r="P1270" t="n">
        <v>1</v>
      </c>
      <c r="Q1270" t="n">
        <v>1</v>
      </c>
      <c r="R1270" s="2" t="inlineStr">
        <is>
          <t>Knärot</t>
        </is>
      </c>
      <c r="S1270">
        <f>HYPERLINK("https://klasma.github.io/Logging_2305/artfynd/A 23434-2022 artfynd.xlsx", "A 23434-2022")</f>
        <v/>
      </c>
      <c r="T1270">
        <f>HYPERLINK("https://klasma.github.io/Logging_2305/kartor/A 23434-2022 karta.png", "A 23434-2022")</f>
        <v/>
      </c>
      <c r="U1270">
        <f>HYPERLINK("https://klasma.github.io/Logging_2305/knärot/A 23434-2022 karta knärot.png", "A 23434-2022")</f>
        <v/>
      </c>
      <c r="V1270">
        <f>HYPERLINK("https://klasma.github.io/Logging_2305/klagomål/A 23434-2022 FSC-klagomål.docx", "A 23434-2022")</f>
        <v/>
      </c>
      <c r="W1270">
        <f>HYPERLINK("https://klasma.github.io/Logging_2305/klagomålsmail/A 23434-2022 FSC-klagomål mail.docx", "A 23434-2022")</f>
        <v/>
      </c>
      <c r="X1270">
        <f>HYPERLINK("https://klasma.github.io/Logging_2305/tillsyn/A 23434-2022 tillsynsbegäran.docx", "A 23434-2022")</f>
        <v/>
      </c>
      <c r="Y1270">
        <f>HYPERLINK("https://klasma.github.io/Logging_2305/tillsynsmail/A 23434-2022 tillsynsbegäran mail.docx", "A 23434-2022")</f>
        <v/>
      </c>
    </row>
    <row r="1271" ht="15" customHeight="1">
      <c r="A1271" t="inlineStr">
        <is>
          <t>A 24552-2022</t>
        </is>
      </c>
      <c r="B1271" s="1" t="n">
        <v>44726</v>
      </c>
      <c r="C1271" s="1" t="n">
        <v>45363</v>
      </c>
      <c r="D1271" t="inlineStr">
        <is>
          <t>JÄMTLANDS LÄN</t>
        </is>
      </c>
      <c r="E1271" t="inlineStr">
        <is>
          <t>BRÄCKE</t>
        </is>
      </c>
      <c r="G1271" t="n">
        <v>2.6</v>
      </c>
      <c r="H1271" t="n">
        <v>0</v>
      </c>
      <c r="I1271" t="n">
        <v>0</v>
      </c>
      <c r="J1271" t="n">
        <v>1</v>
      </c>
      <c r="K1271" t="n">
        <v>0</v>
      </c>
      <c r="L1271" t="n">
        <v>0</v>
      </c>
      <c r="M1271" t="n">
        <v>0</v>
      </c>
      <c r="N1271" t="n">
        <v>0</v>
      </c>
      <c r="O1271" t="n">
        <v>1</v>
      </c>
      <c r="P1271" t="n">
        <v>0</v>
      </c>
      <c r="Q1271" t="n">
        <v>1</v>
      </c>
      <c r="R1271" s="2" t="inlineStr">
        <is>
          <t>Bredbrämad bastardsvärmare</t>
        </is>
      </c>
      <c r="S1271">
        <f>HYPERLINK("https://klasma.github.io/Logging_2305/artfynd/A 24552-2022 artfynd.xlsx", "A 24552-2022")</f>
        <v/>
      </c>
      <c r="T1271">
        <f>HYPERLINK("https://klasma.github.io/Logging_2305/kartor/A 24552-2022 karta.png", "A 24552-2022")</f>
        <v/>
      </c>
      <c r="V1271">
        <f>HYPERLINK("https://klasma.github.io/Logging_2305/klagomål/A 24552-2022 FSC-klagomål.docx", "A 24552-2022")</f>
        <v/>
      </c>
      <c r="W1271">
        <f>HYPERLINK("https://klasma.github.io/Logging_2305/klagomålsmail/A 24552-2022 FSC-klagomål mail.docx", "A 24552-2022")</f>
        <v/>
      </c>
      <c r="X1271">
        <f>HYPERLINK("https://klasma.github.io/Logging_2305/tillsyn/A 24552-2022 tillsynsbegäran.docx", "A 24552-2022")</f>
        <v/>
      </c>
      <c r="Y1271">
        <f>HYPERLINK("https://klasma.github.io/Logging_2305/tillsynsmail/A 24552-2022 tillsynsbegäran mail.docx", "A 24552-2022")</f>
        <v/>
      </c>
    </row>
    <row r="1272" ht="15" customHeight="1">
      <c r="A1272" t="inlineStr">
        <is>
          <t>A 24729-2022</t>
        </is>
      </c>
      <c r="B1272" s="1" t="n">
        <v>44727</v>
      </c>
      <c r="C1272" s="1" t="n">
        <v>45363</v>
      </c>
      <c r="D1272" t="inlineStr">
        <is>
          <t>JÄMTLANDS LÄN</t>
        </is>
      </c>
      <c r="E1272" t="inlineStr">
        <is>
          <t>STRÖMSUND</t>
        </is>
      </c>
      <c r="F1272" t="inlineStr">
        <is>
          <t>SCA</t>
        </is>
      </c>
      <c r="G1272" t="n">
        <v>1.3</v>
      </c>
      <c r="H1272" t="n">
        <v>0</v>
      </c>
      <c r="I1272" t="n">
        <v>0</v>
      </c>
      <c r="J1272" t="n">
        <v>1</v>
      </c>
      <c r="K1272" t="n">
        <v>0</v>
      </c>
      <c r="L1272" t="n">
        <v>0</v>
      </c>
      <c r="M1272" t="n">
        <v>0</v>
      </c>
      <c r="N1272" t="n">
        <v>0</v>
      </c>
      <c r="O1272" t="n">
        <v>1</v>
      </c>
      <c r="P1272" t="n">
        <v>0</v>
      </c>
      <c r="Q1272" t="n">
        <v>1</v>
      </c>
      <c r="R1272" s="2" t="inlineStr">
        <is>
          <t>Granticka</t>
        </is>
      </c>
      <c r="S1272">
        <f>HYPERLINK("https://klasma.github.io/Logging_2313/artfynd/A 24729-2022 artfynd.xlsx", "A 24729-2022")</f>
        <v/>
      </c>
      <c r="T1272">
        <f>HYPERLINK("https://klasma.github.io/Logging_2313/kartor/A 24729-2022 karta.png", "A 24729-2022")</f>
        <v/>
      </c>
      <c r="V1272">
        <f>HYPERLINK("https://klasma.github.io/Logging_2313/klagomål/A 24729-2022 FSC-klagomål.docx", "A 24729-2022")</f>
        <v/>
      </c>
      <c r="W1272">
        <f>HYPERLINK("https://klasma.github.io/Logging_2313/klagomålsmail/A 24729-2022 FSC-klagomål mail.docx", "A 24729-2022")</f>
        <v/>
      </c>
      <c r="X1272">
        <f>HYPERLINK("https://klasma.github.io/Logging_2313/tillsyn/A 24729-2022 tillsynsbegäran.docx", "A 24729-2022")</f>
        <v/>
      </c>
      <c r="Y1272">
        <f>HYPERLINK("https://klasma.github.io/Logging_2313/tillsynsmail/A 24729-2022 tillsynsbegäran mail.docx", "A 24729-2022")</f>
        <v/>
      </c>
    </row>
    <row r="1273" ht="15" customHeight="1">
      <c r="A1273" t="inlineStr">
        <is>
          <t>A 25015-2022</t>
        </is>
      </c>
      <c r="B1273" s="1" t="n">
        <v>44728</v>
      </c>
      <c r="C1273" s="1" t="n">
        <v>45363</v>
      </c>
      <c r="D1273" t="inlineStr">
        <is>
          <t>JÄMTLANDS LÄN</t>
        </is>
      </c>
      <c r="E1273" t="inlineStr">
        <is>
          <t>STRÖMSUND</t>
        </is>
      </c>
      <c r="F1273" t="inlineStr">
        <is>
          <t>SCA</t>
        </is>
      </c>
      <c r="G1273" t="n">
        <v>1.5</v>
      </c>
      <c r="H1273" t="n">
        <v>0</v>
      </c>
      <c r="I1273" t="n">
        <v>0</v>
      </c>
      <c r="J1273" t="n">
        <v>1</v>
      </c>
      <c r="K1273" t="n">
        <v>0</v>
      </c>
      <c r="L1273" t="n">
        <v>0</v>
      </c>
      <c r="M1273" t="n">
        <v>0</v>
      </c>
      <c r="N1273" t="n">
        <v>0</v>
      </c>
      <c r="O1273" t="n">
        <v>1</v>
      </c>
      <c r="P1273" t="n">
        <v>0</v>
      </c>
      <c r="Q1273" t="n">
        <v>1</v>
      </c>
      <c r="R1273" s="2" t="inlineStr">
        <is>
          <t>Ullticka</t>
        </is>
      </c>
      <c r="S1273">
        <f>HYPERLINK("https://klasma.github.io/Logging_2313/artfynd/A 25015-2022 artfynd.xlsx", "A 25015-2022")</f>
        <v/>
      </c>
      <c r="T1273">
        <f>HYPERLINK("https://klasma.github.io/Logging_2313/kartor/A 25015-2022 karta.png", "A 25015-2022")</f>
        <v/>
      </c>
      <c r="V1273">
        <f>HYPERLINK("https://klasma.github.io/Logging_2313/klagomål/A 25015-2022 FSC-klagomål.docx", "A 25015-2022")</f>
        <v/>
      </c>
      <c r="W1273">
        <f>HYPERLINK("https://klasma.github.io/Logging_2313/klagomålsmail/A 25015-2022 FSC-klagomål mail.docx", "A 25015-2022")</f>
        <v/>
      </c>
      <c r="X1273">
        <f>HYPERLINK("https://klasma.github.io/Logging_2313/tillsyn/A 25015-2022 tillsynsbegäran.docx", "A 25015-2022")</f>
        <v/>
      </c>
      <c r="Y1273">
        <f>HYPERLINK("https://klasma.github.io/Logging_2313/tillsynsmail/A 25015-2022 tillsynsbegäran mail.docx", "A 25015-2022")</f>
        <v/>
      </c>
    </row>
    <row r="1274" ht="15" customHeight="1">
      <c r="A1274" t="inlineStr">
        <is>
          <t>A 25041-2022</t>
        </is>
      </c>
      <c r="B1274" s="1" t="n">
        <v>44728</v>
      </c>
      <c r="C1274" s="1" t="n">
        <v>45363</v>
      </c>
      <c r="D1274" t="inlineStr">
        <is>
          <t>JÄMTLANDS LÄN</t>
        </is>
      </c>
      <c r="E1274" t="inlineStr">
        <is>
          <t>KROKOM</t>
        </is>
      </c>
      <c r="F1274" t="inlineStr">
        <is>
          <t>SCA</t>
        </is>
      </c>
      <c r="G1274" t="n">
        <v>5.5</v>
      </c>
      <c r="H1274" t="n">
        <v>0</v>
      </c>
      <c r="I1274" t="n">
        <v>0</v>
      </c>
      <c r="J1274" t="n">
        <v>1</v>
      </c>
      <c r="K1274" t="n">
        <v>0</v>
      </c>
      <c r="L1274" t="n">
        <v>0</v>
      </c>
      <c r="M1274" t="n">
        <v>0</v>
      </c>
      <c r="N1274" t="n">
        <v>0</v>
      </c>
      <c r="O1274" t="n">
        <v>1</v>
      </c>
      <c r="P1274" t="n">
        <v>0</v>
      </c>
      <c r="Q1274" t="n">
        <v>1</v>
      </c>
      <c r="R1274" s="2" t="inlineStr">
        <is>
          <t>Harticka</t>
        </is>
      </c>
      <c r="S1274">
        <f>HYPERLINK("https://klasma.github.io/Logging_2309/artfynd/A 25041-2022 artfynd.xlsx", "A 25041-2022")</f>
        <v/>
      </c>
      <c r="T1274">
        <f>HYPERLINK("https://klasma.github.io/Logging_2309/kartor/A 25041-2022 karta.png", "A 25041-2022")</f>
        <v/>
      </c>
      <c r="V1274">
        <f>HYPERLINK("https://klasma.github.io/Logging_2309/klagomål/A 25041-2022 FSC-klagomål.docx", "A 25041-2022")</f>
        <v/>
      </c>
      <c r="W1274">
        <f>HYPERLINK("https://klasma.github.io/Logging_2309/klagomålsmail/A 25041-2022 FSC-klagomål mail.docx", "A 25041-2022")</f>
        <v/>
      </c>
      <c r="X1274">
        <f>HYPERLINK("https://klasma.github.io/Logging_2309/tillsyn/A 25041-2022 tillsynsbegäran.docx", "A 25041-2022")</f>
        <v/>
      </c>
      <c r="Y1274">
        <f>HYPERLINK("https://klasma.github.io/Logging_2309/tillsynsmail/A 25041-2022 tillsynsbegäran mail.docx", "A 25041-2022")</f>
        <v/>
      </c>
    </row>
    <row r="1275" ht="15" customHeight="1">
      <c r="A1275" t="inlineStr">
        <is>
          <t>A 25038-2022</t>
        </is>
      </c>
      <c r="B1275" s="1" t="n">
        <v>44728</v>
      </c>
      <c r="C1275" s="1" t="n">
        <v>45363</v>
      </c>
      <c r="D1275" t="inlineStr">
        <is>
          <t>JÄMTLANDS LÄN</t>
        </is>
      </c>
      <c r="E1275" t="inlineStr">
        <is>
          <t>STRÖMSUND</t>
        </is>
      </c>
      <c r="F1275" t="inlineStr">
        <is>
          <t>SCA</t>
        </is>
      </c>
      <c r="G1275" t="n">
        <v>7.7</v>
      </c>
      <c r="H1275" t="n">
        <v>0</v>
      </c>
      <c r="I1275" t="n">
        <v>0</v>
      </c>
      <c r="J1275" t="n">
        <v>0</v>
      </c>
      <c r="K1275" t="n">
        <v>1</v>
      </c>
      <c r="L1275" t="n">
        <v>0</v>
      </c>
      <c r="M1275" t="n">
        <v>0</v>
      </c>
      <c r="N1275" t="n">
        <v>0</v>
      </c>
      <c r="O1275" t="n">
        <v>1</v>
      </c>
      <c r="P1275" t="n">
        <v>1</v>
      </c>
      <c r="Q1275" t="n">
        <v>1</v>
      </c>
      <c r="R1275" s="2" t="inlineStr">
        <is>
          <t>Gräddporing</t>
        </is>
      </c>
      <c r="S1275">
        <f>HYPERLINK("https://klasma.github.io/Logging_2313/artfynd/A 25038-2022 artfynd.xlsx", "A 25038-2022")</f>
        <v/>
      </c>
      <c r="T1275">
        <f>HYPERLINK("https://klasma.github.io/Logging_2313/kartor/A 25038-2022 karta.png", "A 25038-2022")</f>
        <v/>
      </c>
      <c r="V1275">
        <f>HYPERLINK("https://klasma.github.io/Logging_2313/klagomål/A 25038-2022 FSC-klagomål.docx", "A 25038-2022")</f>
        <v/>
      </c>
      <c r="W1275">
        <f>HYPERLINK("https://klasma.github.io/Logging_2313/klagomålsmail/A 25038-2022 FSC-klagomål mail.docx", "A 25038-2022")</f>
        <v/>
      </c>
      <c r="X1275">
        <f>HYPERLINK("https://klasma.github.io/Logging_2313/tillsyn/A 25038-2022 tillsynsbegäran.docx", "A 25038-2022")</f>
        <v/>
      </c>
      <c r="Y1275">
        <f>HYPERLINK("https://klasma.github.io/Logging_2313/tillsynsmail/A 25038-2022 tillsynsbegäran mail.docx", "A 25038-2022")</f>
        <v/>
      </c>
    </row>
    <row r="1276" ht="15" customHeight="1">
      <c r="A1276" t="inlineStr">
        <is>
          <t>A 27273-2022</t>
        </is>
      </c>
      <c r="B1276" s="1" t="n">
        <v>44741</v>
      </c>
      <c r="C1276" s="1" t="n">
        <v>45363</v>
      </c>
      <c r="D1276" t="inlineStr">
        <is>
          <t>JÄMTLANDS LÄN</t>
        </is>
      </c>
      <c r="E1276" t="inlineStr">
        <is>
          <t>RAGUNDA</t>
        </is>
      </c>
      <c r="G1276" t="n">
        <v>1.2</v>
      </c>
      <c r="H1276" t="n">
        <v>0</v>
      </c>
      <c r="I1276" t="n">
        <v>1</v>
      </c>
      <c r="J1276" t="n">
        <v>0</v>
      </c>
      <c r="K1276" t="n">
        <v>0</v>
      </c>
      <c r="L1276" t="n">
        <v>0</v>
      </c>
      <c r="M1276" t="n">
        <v>0</v>
      </c>
      <c r="N1276" t="n">
        <v>0</v>
      </c>
      <c r="O1276" t="n">
        <v>0</v>
      </c>
      <c r="P1276" t="n">
        <v>0</v>
      </c>
      <c r="Q1276" t="n">
        <v>1</v>
      </c>
      <c r="R1276" s="2" t="inlineStr">
        <is>
          <t>Svart trolldruva</t>
        </is>
      </c>
      <c r="S1276">
        <f>HYPERLINK("https://klasma.github.io/Logging_2303/artfynd/A 27273-2022 artfynd.xlsx", "A 27273-2022")</f>
        <v/>
      </c>
      <c r="T1276">
        <f>HYPERLINK("https://klasma.github.io/Logging_2303/kartor/A 27273-2022 karta.png", "A 27273-2022")</f>
        <v/>
      </c>
      <c r="V1276">
        <f>HYPERLINK("https://klasma.github.io/Logging_2303/klagomål/A 27273-2022 FSC-klagomål.docx", "A 27273-2022")</f>
        <v/>
      </c>
      <c r="W1276">
        <f>HYPERLINK("https://klasma.github.io/Logging_2303/klagomålsmail/A 27273-2022 FSC-klagomål mail.docx", "A 27273-2022")</f>
        <v/>
      </c>
      <c r="X1276">
        <f>HYPERLINK("https://klasma.github.io/Logging_2303/tillsyn/A 27273-2022 tillsynsbegäran.docx", "A 27273-2022")</f>
        <v/>
      </c>
      <c r="Y1276">
        <f>HYPERLINK("https://klasma.github.io/Logging_2303/tillsynsmail/A 27273-2022 tillsynsbegäran mail.docx", "A 27273-2022")</f>
        <v/>
      </c>
    </row>
    <row r="1277" ht="15" customHeight="1">
      <c r="A1277" t="inlineStr">
        <is>
          <t>A 27286-2022</t>
        </is>
      </c>
      <c r="B1277" s="1" t="n">
        <v>44741</v>
      </c>
      <c r="C1277" s="1" t="n">
        <v>45363</v>
      </c>
      <c r="D1277" t="inlineStr">
        <is>
          <t>JÄMTLANDS LÄN</t>
        </is>
      </c>
      <c r="E1277" t="inlineStr">
        <is>
          <t>RAGUNDA</t>
        </is>
      </c>
      <c r="F1277" t="inlineStr">
        <is>
          <t>SCA</t>
        </is>
      </c>
      <c r="G1277" t="n">
        <v>3.1</v>
      </c>
      <c r="H1277" t="n">
        <v>0</v>
      </c>
      <c r="I1277" t="n">
        <v>0</v>
      </c>
      <c r="J1277" t="n">
        <v>1</v>
      </c>
      <c r="K1277" t="n">
        <v>0</v>
      </c>
      <c r="L1277" t="n">
        <v>0</v>
      </c>
      <c r="M1277" t="n">
        <v>0</v>
      </c>
      <c r="N1277" t="n">
        <v>0</v>
      </c>
      <c r="O1277" t="n">
        <v>1</v>
      </c>
      <c r="P1277" t="n">
        <v>0</v>
      </c>
      <c r="Q1277" t="n">
        <v>1</v>
      </c>
      <c r="R1277" s="2" t="inlineStr">
        <is>
          <t>Harticka</t>
        </is>
      </c>
      <c r="S1277">
        <f>HYPERLINK("https://klasma.github.io/Logging_2303/artfynd/A 27286-2022 artfynd.xlsx", "A 27286-2022")</f>
        <v/>
      </c>
      <c r="T1277">
        <f>HYPERLINK("https://klasma.github.io/Logging_2303/kartor/A 27286-2022 karta.png", "A 27286-2022")</f>
        <v/>
      </c>
      <c r="V1277">
        <f>HYPERLINK("https://klasma.github.io/Logging_2303/klagomål/A 27286-2022 FSC-klagomål.docx", "A 27286-2022")</f>
        <v/>
      </c>
      <c r="W1277">
        <f>HYPERLINK("https://klasma.github.io/Logging_2303/klagomålsmail/A 27286-2022 FSC-klagomål mail.docx", "A 27286-2022")</f>
        <v/>
      </c>
      <c r="X1277">
        <f>HYPERLINK("https://klasma.github.io/Logging_2303/tillsyn/A 27286-2022 tillsynsbegäran.docx", "A 27286-2022")</f>
        <v/>
      </c>
      <c r="Y1277">
        <f>HYPERLINK("https://klasma.github.io/Logging_2303/tillsynsmail/A 27286-2022 tillsynsbegäran mail.docx", "A 27286-2022")</f>
        <v/>
      </c>
    </row>
    <row r="1278" ht="15" customHeight="1">
      <c r="A1278" t="inlineStr">
        <is>
          <t>A 27578-2022</t>
        </is>
      </c>
      <c r="B1278" s="1" t="n">
        <v>44742</v>
      </c>
      <c r="C1278" s="1" t="n">
        <v>45363</v>
      </c>
      <c r="D1278" t="inlineStr">
        <is>
          <t>JÄMTLANDS LÄN</t>
        </is>
      </c>
      <c r="E1278" t="inlineStr">
        <is>
          <t>ÖSTERSUND</t>
        </is>
      </c>
      <c r="F1278" t="inlineStr">
        <is>
          <t>SCA</t>
        </is>
      </c>
      <c r="G1278" t="n">
        <v>2</v>
      </c>
      <c r="H1278" t="n">
        <v>1</v>
      </c>
      <c r="I1278" t="n">
        <v>0</v>
      </c>
      <c r="J1278" t="n">
        <v>0</v>
      </c>
      <c r="K1278" t="n">
        <v>0</v>
      </c>
      <c r="L1278" t="n">
        <v>0</v>
      </c>
      <c r="M1278" t="n">
        <v>0</v>
      </c>
      <c r="N1278" t="n">
        <v>0</v>
      </c>
      <c r="O1278" t="n">
        <v>0</v>
      </c>
      <c r="P1278" t="n">
        <v>0</v>
      </c>
      <c r="Q1278" t="n">
        <v>1</v>
      </c>
      <c r="R1278" s="2" t="inlineStr">
        <is>
          <t>Blåsippa</t>
        </is>
      </c>
      <c r="S1278">
        <f>HYPERLINK("https://klasma.github.io/Logging_2380/artfynd/A 27578-2022 artfynd.xlsx", "A 27578-2022")</f>
        <v/>
      </c>
      <c r="T1278">
        <f>HYPERLINK("https://klasma.github.io/Logging_2380/kartor/A 27578-2022 karta.png", "A 27578-2022")</f>
        <v/>
      </c>
      <c r="V1278">
        <f>HYPERLINK("https://klasma.github.io/Logging_2380/klagomål/A 27578-2022 FSC-klagomål.docx", "A 27578-2022")</f>
        <v/>
      </c>
      <c r="W1278">
        <f>HYPERLINK("https://klasma.github.io/Logging_2380/klagomålsmail/A 27578-2022 FSC-klagomål mail.docx", "A 27578-2022")</f>
        <v/>
      </c>
      <c r="X1278">
        <f>HYPERLINK("https://klasma.github.io/Logging_2380/tillsyn/A 27578-2022 tillsynsbegäran.docx", "A 27578-2022")</f>
        <v/>
      </c>
      <c r="Y1278">
        <f>HYPERLINK("https://klasma.github.io/Logging_2380/tillsynsmail/A 27578-2022 tillsynsbegäran mail.docx", "A 27578-2022")</f>
        <v/>
      </c>
    </row>
    <row r="1279" ht="15" customHeight="1">
      <c r="A1279" t="inlineStr">
        <is>
          <t>A 27587-2022</t>
        </is>
      </c>
      <c r="B1279" s="1" t="n">
        <v>44742</v>
      </c>
      <c r="C1279" s="1" t="n">
        <v>45363</v>
      </c>
      <c r="D1279" t="inlineStr">
        <is>
          <t>JÄMTLANDS LÄN</t>
        </is>
      </c>
      <c r="E1279" t="inlineStr">
        <is>
          <t>BRÄCKE</t>
        </is>
      </c>
      <c r="F1279" t="inlineStr">
        <is>
          <t>SCA</t>
        </is>
      </c>
      <c r="G1279" t="n">
        <v>4.1</v>
      </c>
      <c r="H1279" t="n">
        <v>0</v>
      </c>
      <c r="I1279" t="n">
        <v>0</v>
      </c>
      <c r="J1279" t="n">
        <v>1</v>
      </c>
      <c r="K1279" t="n">
        <v>0</v>
      </c>
      <c r="L1279" t="n">
        <v>0</v>
      </c>
      <c r="M1279" t="n">
        <v>0</v>
      </c>
      <c r="N1279" t="n">
        <v>0</v>
      </c>
      <c r="O1279" t="n">
        <v>1</v>
      </c>
      <c r="P1279" t="n">
        <v>0</v>
      </c>
      <c r="Q1279" t="n">
        <v>1</v>
      </c>
      <c r="R1279" s="2" t="inlineStr">
        <is>
          <t>Lunglav</t>
        </is>
      </c>
      <c r="S1279">
        <f>HYPERLINK("https://klasma.github.io/Logging_2305/artfynd/A 27587-2022 artfynd.xlsx", "A 27587-2022")</f>
        <v/>
      </c>
      <c r="T1279">
        <f>HYPERLINK("https://klasma.github.io/Logging_2305/kartor/A 27587-2022 karta.png", "A 27587-2022")</f>
        <v/>
      </c>
      <c r="V1279">
        <f>HYPERLINK("https://klasma.github.io/Logging_2305/klagomål/A 27587-2022 FSC-klagomål.docx", "A 27587-2022")</f>
        <v/>
      </c>
      <c r="W1279">
        <f>HYPERLINK("https://klasma.github.io/Logging_2305/klagomålsmail/A 27587-2022 FSC-klagomål mail.docx", "A 27587-2022")</f>
        <v/>
      </c>
      <c r="X1279">
        <f>HYPERLINK("https://klasma.github.io/Logging_2305/tillsyn/A 27587-2022 tillsynsbegäran.docx", "A 27587-2022")</f>
        <v/>
      </c>
      <c r="Y1279">
        <f>HYPERLINK("https://klasma.github.io/Logging_2305/tillsynsmail/A 27587-2022 tillsynsbegäran mail.docx", "A 27587-2022")</f>
        <v/>
      </c>
    </row>
    <row r="1280" ht="15" customHeight="1">
      <c r="A1280" t="inlineStr">
        <is>
          <t>A 27576-2022</t>
        </is>
      </c>
      <c r="B1280" s="1" t="n">
        <v>44742</v>
      </c>
      <c r="C1280" s="1" t="n">
        <v>45363</v>
      </c>
      <c r="D1280" t="inlineStr">
        <is>
          <t>JÄMTLANDS LÄN</t>
        </is>
      </c>
      <c r="E1280" t="inlineStr">
        <is>
          <t>ÖSTERSUND</t>
        </is>
      </c>
      <c r="F1280" t="inlineStr">
        <is>
          <t>SCA</t>
        </is>
      </c>
      <c r="G1280" t="n">
        <v>0.6</v>
      </c>
      <c r="H1280" t="n">
        <v>0</v>
      </c>
      <c r="I1280" t="n">
        <v>0</v>
      </c>
      <c r="J1280" t="n">
        <v>1</v>
      </c>
      <c r="K1280" t="n">
        <v>0</v>
      </c>
      <c r="L1280" t="n">
        <v>0</v>
      </c>
      <c r="M1280" t="n">
        <v>0</v>
      </c>
      <c r="N1280" t="n">
        <v>0</v>
      </c>
      <c r="O1280" t="n">
        <v>1</v>
      </c>
      <c r="P1280" t="n">
        <v>0</v>
      </c>
      <c r="Q1280" t="n">
        <v>1</v>
      </c>
      <c r="R1280" s="2" t="inlineStr">
        <is>
          <t>Ullticka</t>
        </is>
      </c>
      <c r="S1280">
        <f>HYPERLINK("https://klasma.github.io/Logging_2380/artfynd/A 27576-2022 artfynd.xlsx", "A 27576-2022")</f>
        <v/>
      </c>
      <c r="T1280">
        <f>HYPERLINK("https://klasma.github.io/Logging_2380/kartor/A 27576-2022 karta.png", "A 27576-2022")</f>
        <v/>
      </c>
      <c r="U1280">
        <f>HYPERLINK("https://klasma.github.io/Logging_2380/knärot/A 27576-2022 karta knärot.png", "A 27576-2022")</f>
        <v/>
      </c>
      <c r="V1280">
        <f>HYPERLINK("https://klasma.github.io/Logging_2380/klagomål/A 27576-2022 FSC-klagomål.docx", "A 27576-2022")</f>
        <v/>
      </c>
      <c r="W1280">
        <f>HYPERLINK("https://klasma.github.io/Logging_2380/klagomålsmail/A 27576-2022 FSC-klagomål mail.docx", "A 27576-2022")</f>
        <v/>
      </c>
      <c r="X1280">
        <f>HYPERLINK("https://klasma.github.io/Logging_2380/tillsyn/A 27576-2022 tillsynsbegäran.docx", "A 27576-2022")</f>
        <v/>
      </c>
      <c r="Y1280">
        <f>HYPERLINK("https://klasma.github.io/Logging_2380/tillsynsmail/A 27576-2022 tillsynsbegäran mail.docx", "A 27576-2022")</f>
        <v/>
      </c>
    </row>
    <row r="1281" ht="15" customHeight="1">
      <c r="A1281" t="inlineStr">
        <is>
          <t>A 27602-2022</t>
        </is>
      </c>
      <c r="B1281" s="1" t="n">
        <v>44742</v>
      </c>
      <c r="C1281" s="1" t="n">
        <v>45363</v>
      </c>
      <c r="D1281" t="inlineStr">
        <is>
          <t>JÄMTLANDS LÄN</t>
        </is>
      </c>
      <c r="E1281" t="inlineStr">
        <is>
          <t>STRÖMSUND</t>
        </is>
      </c>
      <c r="F1281" t="inlineStr">
        <is>
          <t>SCA</t>
        </is>
      </c>
      <c r="G1281" t="n">
        <v>2.1</v>
      </c>
      <c r="H1281" t="n">
        <v>0</v>
      </c>
      <c r="I1281" t="n">
        <v>0</v>
      </c>
      <c r="J1281" t="n">
        <v>1</v>
      </c>
      <c r="K1281" t="n">
        <v>0</v>
      </c>
      <c r="L1281" t="n">
        <v>0</v>
      </c>
      <c r="M1281" t="n">
        <v>0</v>
      </c>
      <c r="N1281" t="n">
        <v>0</v>
      </c>
      <c r="O1281" t="n">
        <v>1</v>
      </c>
      <c r="P1281" t="n">
        <v>0</v>
      </c>
      <c r="Q1281" t="n">
        <v>1</v>
      </c>
      <c r="R1281" s="2" t="inlineStr">
        <is>
          <t>Brunklöver</t>
        </is>
      </c>
      <c r="S1281">
        <f>HYPERLINK("https://klasma.github.io/Logging_2313/artfynd/A 27602-2022 artfynd.xlsx", "A 27602-2022")</f>
        <v/>
      </c>
      <c r="T1281">
        <f>HYPERLINK("https://klasma.github.io/Logging_2313/kartor/A 27602-2022 karta.png", "A 27602-2022")</f>
        <v/>
      </c>
      <c r="V1281">
        <f>HYPERLINK("https://klasma.github.io/Logging_2313/klagomål/A 27602-2022 FSC-klagomål.docx", "A 27602-2022")</f>
        <v/>
      </c>
      <c r="W1281">
        <f>HYPERLINK("https://klasma.github.io/Logging_2313/klagomålsmail/A 27602-2022 FSC-klagomål mail.docx", "A 27602-2022")</f>
        <v/>
      </c>
      <c r="X1281">
        <f>HYPERLINK("https://klasma.github.io/Logging_2313/tillsyn/A 27602-2022 tillsynsbegäran.docx", "A 27602-2022")</f>
        <v/>
      </c>
      <c r="Y1281">
        <f>HYPERLINK("https://klasma.github.io/Logging_2313/tillsynsmail/A 27602-2022 tillsynsbegäran mail.docx", "A 27602-2022")</f>
        <v/>
      </c>
    </row>
    <row r="1282" ht="15" customHeight="1">
      <c r="A1282" t="inlineStr">
        <is>
          <t>A 27579-2022</t>
        </is>
      </c>
      <c r="B1282" s="1" t="n">
        <v>44742</v>
      </c>
      <c r="C1282" s="1" t="n">
        <v>45363</v>
      </c>
      <c r="D1282" t="inlineStr">
        <is>
          <t>JÄMTLANDS LÄN</t>
        </is>
      </c>
      <c r="E1282" t="inlineStr">
        <is>
          <t>KROKOM</t>
        </is>
      </c>
      <c r="F1282" t="inlineStr">
        <is>
          <t>SCA</t>
        </is>
      </c>
      <c r="G1282" t="n">
        <v>1.5</v>
      </c>
      <c r="H1282" t="n">
        <v>0</v>
      </c>
      <c r="I1282" t="n">
        <v>0</v>
      </c>
      <c r="J1282" t="n">
        <v>1</v>
      </c>
      <c r="K1282" t="n">
        <v>0</v>
      </c>
      <c r="L1282" t="n">
        <v>0</v>
      </c>
      <c r="M1282" t="n">
        <v>0</v>
      </c>
      <c r="N1282" t="n">
        <v>0</v>
      </c>
      <c r="O1282" t="n">
        <v>1</v>
      </c>
      <c r="P1282" t="n">
        <v>0</v>
      </c>
      <c r="Q1282" t="n">
        <v>1</v>
      </c>
      <c r="R1282" s="2" t="inlineStr">
        <is>
          <t>Lunglav</t>
        </is>
      </c>
      <c r="S1282">
        <f>HYPERLINK("https://klasma.github.io/Logging_2309/artfynd/A 27579-2022 artfynd.xlsx", "A 27579-2022")</f>
        <v/>
      </c>
      <c r="T1282">
        <f>HYPERLINK("https://klasma.github.io/Logging_2309/kartor/A 27579-2022 karta.png", "A 27579-2022")</f>
        <v/>
      </c>
      <c r="V1282">
        <f>HYPERLINK("https://klasma.github.io/Logging_2309/klagomål/A 27579-2022 FSC-klagomål.docx", "A 27579-2022")</f>
        <v/>
      </c>
      <c r="W1282">
        <f>HYPERLINK("https://klasma.github.io/Logging_2309/klagomålsmail/A 27579-2022 FSC-klagomål mail.docx", "A 27579-2022")</f>
        <v/>
      </c>
      <c r="X1282">
        <f>HYPERLINK("https://klasma.github.io/Logging_2309/tillsyn/A 27579-2022 tillsynsbegäran.docx", "A 27579-2022")</f>
        <v/>
      </c>
      <c r="Y1282">
        <f>HYPERLINK("https://klasma.github.io/Logging_2309/tillsynsmail/A 27579-2022 tillsynsbegäran mail.docx", "A 27579-2022")</f>
        <v/>
      </c>
    </row>
    <row r="1283" ht="15" customHeight="1">
      <c r="A1283" t="inlineStr">
        <is>
          <t>A 28490-2022</t>
        </is>
      </c>
      <c r="B1283" s="1" t="n">
        <v>44747</v>
      </c>
      <c r="C1283" s="1" t="n">
        <v>45363</v>
      </c>
      <c r="D1283" t="inlineStr">
        <is>
          <t>JÄMTLANDS LÄN</t>
        </is>
      </c>
      <c r="E1283" t="inlineStr">
        <is>
          <t>KROKOM</t>
        </is>
      </c>
      <c r="F1283" t="inlineStr">
        <is>
          <t>SCA</t>
        </is>
      </c>
      <c r="G1283" t="n">
        <v>57.9</v>
      </c>
      <c r="H1283" t="n">
        <v>0</v>
      </c>
      <c r="I1283" t="n">
        <v>0</v>
      </c>
      <c r="J1283" t="n">
        <v>1</v>
      </c>
      <c r="K1283" t="n">
        <v>0</v>
      </c>
      <c r="L1283" t="n">
        <v>0</v>
      </c>
      <c r="M1283" t="n">
        <v>0</v>
      </c>
      <c r="N1283" t="n">
        <v>0</v>
      </c>
      <c r="O1283" t="n">
        <v>1</v>
      </c>
      <c r="P1283" t="n">
        <v>0</v>
      </c>
      <c r="Q1283" t="n">
        <v>1</v>
      </c>
      <c r="R1283" s="2" t="inlineStr">
        <is>
          <t>Kolflarnlav</t>
        </is>
      </c>
      <c r="S1283">
        <f>HYPERLINK("https://klasma.github.io/Logging_2309/artfynd/A 28490-2022 artfynd.xlsx", "A 28490-2022")</f>
        <v/>
      </c>
      <c r="T1283">
        <f>HYPERLINK("https://klasma.github.io/Logging_2309/kartor/A 28490-2022 karta.png", "A 28490-2022")</f>
        <v/>
      </c>
      <c r="V1283">
        <f>HYPERLINK("https://klasma.github.io/Logging_2309/klagomål/A 28490-2022 FSC-klagomål.docx", "A 28490-2022")</f>
        <v/>
      </c>
      <c r="W1283">
        <f>HYPERLINK("https://klasma.github.io/Logging_2309/klagomålsmail/A 28490-2022 FSC-klagomål mail.docx", "A 28490-2022")</f>
        <v/>
      </c>
      <c r="X1283">
        <f>HYPERLINK("https://klasma.github.io/Logging_2309/tillsyn/A 28490-2022 tillsynsbegäran.docx", "A 28490-2022")</f>
        <v/>
      </c>
      <c r="Y1283">
        <f>HYPERLINK("https://klasma.github.io/Logging_2309/tillsynsmail/A 28490-2022 tillsynsbegäran mail.docx", "A 28490-2022")</f>
        <v/>
      </c>
    </row>
    <row r="1284" ht="15" customHeight="1">
      <c r="A1284" t="inlineStr">
        <is>
          <t>A 30233-2022</t>
        </is>
      </c>
      <c r="B1284" s="1" t="n">
        <v>44757</v>
      </c>
      <c r="C1284" s="1" t="n">
        <v>45363</v>
      </c>
      <c r="D1284" t="inlineStr">
        <is>
          <t>JÄMTLANDS LÄN</t>
        </is>
      </c>
      <c r="E1284" t="inlineStr">
        <is>
          <t>STRÖMSUND</t>
        </is>
      </c>
      <c r="F1284" t="inlineStr">
        <is>
          <t>SCA</t>
        </is>
      </c>
      <c r="G1284" t="n">
        <v>10.1</v>
      </c>
      <c r="H1284" t="n">
        <v>1</v>
      </c>
      <c r="I1284" t="n">
        <v>1</v>
      </c>
      <c r="J1284" t="n">
        <v>0</v>
      </c>
      <c r="K1284" t="n">
        <v>0</v>
      </c>
      <c r="L1284" t="n">
        <v>0</v>
      </c>
      <c r="M1284" t="n">
        <v>0</v>
      </c>
      <c r="N1284" t="n">
        <v>0</v>
      </c>
      <c r="O1284" t="n">
        <v>0</v>
      </c>
      <c r="P1284" t="n">
        <v>0</v>
      </c>
      <c r="Q1284" t="n">
        <v>1</v>
      </c>
      <c r="R1284" s="2" t="inlineStr">
        <is>
          <t>Guckusko</t>
        </is>
      </c>
      <c r="S1284">
        <f>HYPERLINK("https://klasma.github.io/Logging_2313/artfynd/A 30233-2022 artfynd.xlsx", "A 30233-2022")</f>
        <v/>
      </c>
      <c r="T1284">
        <f>HYPERLINK("https://klasma.github.io/Logging_2313/kartor/A 30233-2022 karta.png", "A 30233-2022")</f>
        <v/>
      </c>
      <c r="V1284">
        <f>HYPERLINK("https://klasma.github.io/Logging_2313/klagomål/A 30233-2022 FSC-klagomål.docx", "A 30233-2022")</f>
        <v/>
      </c>
      <c r="W1284">
        <f>HYPERLINK("https://klasma.github.io/Logging_2313/klagomålsmail/A 30233-2022 FSC-klagomål mail.docx", "A 30233-2022")</f>
        <v/>
      </c>
      <c r="X1284">
        <f>HYPERLINK("https://klasma.github.io/Logging_2313/tillsyn/A 30233-2022 tillsynsbegäran.docx", "A 30233-2022")</f>
        <v/>
      </c>
      <c r="Y1284">
        <f>HYPERLINK("https://klasma.github.io/Logging_2313/tillsynsmail/A 30233-2022 tillsynsbegäran mail.docx", "A 30233-2022")</f>
        <v/>
      </c>
    </row>
    <row r="1285" ht="15" customHeight="1">
      <c r="A1285" t="inlineStr">
        <is>
          <t>A 31477-2022</t>
        </is>
      </c>
      <c r="B1285" s="1" t="n">
        <v>44775</v>
      </c>
      <c r="C1285" s="1" t="n">
        <v>45363</v>
      </c>
      <c r="D1285" t="inlineStr">
        <is>
          <t>JÄMTLANDS LÄN</t>
        </is>
      </c>
      <c r="E1285" t="inlineStr">
        <is>
          <t>RAGUNDA</t>
        </is>
      </c>
      <c r="F1285" t="inlineStr">
        <is>
          <t>SCA</t>
        </is>
      </c>
      <c r="G1285" t="n">
        <v>1.8</v>
      </c>
      <c r="H1285" t="n">
        <v>0</v>
      </c>
      <c r="I1285" t="n">
        <v>0</v>
      </c>
      <c r="J1285" t="n">
        <v>1</v>
      </c>
      <c r="K1285" t="n">
        <v>0</v>
      </c>
      <c r="L1285" t="n">
        <v>0</v>
      </c>
      <c r="M1285" t="n">
        <v>0</v>
      </c>
      <c r="N1285" t="n">
        <v>0</v>
      </c>
      <c r="O1285" t="n">
        <v>1</v>
      </c>
      <c r="P1285" t="n">
        <v>0</v>
      </c>
      <c r="Q1285" t="n">
        <v>1</v>
      </c>
      <c r="R1285" s="2" t="inlineStr">
        <is>
          <t>Garnlav</t>
        </is>
      </c>
      <c r="S1285">
        <f>HYPERLINK("https://klasma.github.io/Logging_2303/artfynd/A 31477-2022 artfynd.xlsx", "A 31477-2022")</f>
        <v/>
      </c>
      <c r="T1285">
        <f>HYPERLINK("https://klasma.github.io/Logging_2303/kartor/A 31477-2022 karta.png", "A 31477-2022")</f>
        <v/>
      </c>
      <c r="V1285">
        <f>HYPERLINK("https://klasma.github.io/Logging_2303/klagomål/A 31477-2022 FSC-klagomål.docx", "A 31477-2022")</f>
        <v/>
      </c>
      <c r="W1285">
        <f>HYPERLINK("https://klasma.github.io/Logging_2303/klagomålsmail/A 31477-2022 FSC-klagomål mail.docx", "A 31477-2022")</f>
        <v/>
      </c>
      <c r="X1285">
        <f>HYPERLINK("https://klasma.github.io/Logging_2303/tillsyn/A 31477-2022 tillsynsbegäran.docx", "A 31477-2022")</f>
        <v/>
      </c>
      <c r="Y1285">
        <f>HYPERLINK("https://klasma.github.io/Logging_2303/tillsynsmail/A 31477-2022 tillsynsbegäran mail.docx", "A 31477-2022")</f>
        <v/>
      </c>
    </row>
    <row r="1286" ht="15" customHeight="1">
      <c r="A1286" t="inlineStr">
        <is>
          <t>A 32686-2022</t>
        </is>
      </c>
      <c r="B1286" s="1" t="n">
        <v>44776</v>
      </c>
      <c r="C1286" s="1" t="n">
        <v>45363</v>
      </c>
      <c r="D1286" t="inlineStr">
        <is>
          <t>JÄMTLANDS LÄN</t>
        </is>
      </c>
      <c r="E1286" t="inlineStr">
        <is>
          <t>BERG</t>
        </is>
      </c>
      <c r="G1286" t="n">
        <v>4.8</v>
      </c>
      <c r="H1286" t="n">
        <v>1</v>
      </c>
      <c r="I1286" t="n">
        <v>0</v>
      </c>
      <c r="J1286" t="n">
        <v>0</v>
      </c>
      <c r="K1286" t="n">
        <v>1</v>
      </c>
      <c r="L1286" t="n">
        <v>0</v>
      </c>
      <c r="M1286" t="n">
        <v>0</v>
      </c>
      <c r="N1286" t="n">
        <v>0</v>
      </c>
      <c r="O1286" t="n">
        <v>1</v>
      </c>
      <c r="P1286" t="n">
        <v>1</v>
      </c>
      <c r="Q1286" t="n">
        <v>1</v>
      </c>
      <c r="R1286" s="2" t="inlineStr">
        <is>
          <t>Knärot</t>
        </is>
      </c>
      <c r="S1286">
        <f>HYPERLINK("https://klasma.github.io/Logging_2326/artfynd/A 32686-2022 artfynd.xlsx", "A 32686-2022")</f>
        <v/>
      </c>
      <c r="T1286">
        <f>HYPERLINK("https://klasma.github.io/Logging_2326/kartor/A 32686-2022 karta.png", "A 32686-2022")</f>
        <v/>
      </c>
      <c r="U1286">
        <f>HYPERLINK("https://klasma.github.io/Logging_2326/knärot/A 32686-2022 karta knärot.png", "A 32686-2022")</f>
        <v/>
      </c>
      <c r="V1286">
        <f>HYPERLINK("https://klasma.github.io/Logging_2326/klagomål/A 32686-2022 FSC-klagomål.docx", "A 32686-2022")</f>
        <v/>
      </c>
      <c r="W1286">
        <f>HYPERLINK("https://klasma.github.io/Logging_2326/klagomålsmail/A 32686-2022 FSC-klagomål mail.docx", "A 32686-2022")</f>
        <v/>
      </c>
      <c r="X1286">
        <f>HYPERLINK("https://klasma.github.io/Logging_2326/tillsyn/A 32686-2022 tillsynsbegäran.docx", "A 32686-2022")</f>
        <v/>
      </c>
      <c r="Y1286">
        <f>HYPERLINK("https://klasma.github.io/Logging_2326/tillsynsmail/A 32686-2022 tillsynsbegäran mail.docx", "A 32686-2022")</f>
        <v/>
      </c>
    </row>
    <row r="1287" ht="15" customHeight="1">
      <c r="A1287" t="inlineStr">
        <is>
          <t>A 32216-2022</t>
        </is>
      </c>
      <c r="B1287" s="1" t="n">
        <v>44781</v>
      </c>
      <c r="C1287" s="1" t="n">
        <v>45363</v>
      </c>
      <c r="D1287" t="inlineStr">
        <is>
          <t>JÄMTLANDS LÄN</t>
        </is>
      </c>
      <c r="E1287" t="inlineStr">
        <is>
          <t>ÅRE</t>
        </is>
      </c>
      <c r="G1287" t="n">
        <v>27.3</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HYPERLINK("https://klasma.github.io/Logging_2321/artfynd/A 32216-2022 artfynd.xlsx", "A 32216-2022")</f>
        <v/>
      </c>
      <c r="T1287">
        <f>HYPERLINK("https://klasma.github.io/Logging_2321/kartor/A 32216-2022 karta.png", "A 32216-2022")</f>
        <v/>
      </c>
      <c r="V1287">
        <f>HYPERLINK("https://klasma.github.io/Logging_2321/klagomål/A 32216-2022 FSC-klagomål.docx", "A 32216-2022")</f>
        <v/>
      </c>
      <c r="W1287">
        <f>HYPERLINK("https://klasma.github.io/Logging_2321/klagomålsmail/A 32216-2022 FSC-klagomål mail.docx", "A 32216-2022")</f>
        <v/>
      </c>
      <c r="X1287">
        <f>HYPERLINK("https://klasma.github.io/Logging_2321/tillsyn/A 32216-2022 tillsynsbegäran.docx", "A 32216-2022")</f>
        <v/>
      </c>
      <c r="Y1287">
        <f>HYPERLINK("https://klasma.github.io/Logging_2321/tillsynsmail/A 32216-2022 tillsynsbegäran mail.docx", "A 32216-2022")</f>
        <v/>
      </c>
      <c r="Z1287">
        <f>HYPERLINK("https://klasma.github.io/Logging_2321/fåglar/A 32216-2022 prioriterade fågelarter.docx", "A 32216-2022")</f>
        <v/>
      </c>
    </row>
    <row r="1288" ht="15" customHeight="1">
      <c r="A1288" t="inlineStr">
        <is>
          <t>A 32351-2022</t>
        </is>
      </c>
      <c r="B1288" s="1" t="n">
        <v>44781</v>
      </c>
      <c r="C1288" s="1" t="n">
        <v>45363</v>
      </c>
      <c r="D1288" t="inlineStr">
        <is>
          <t>JÄMTLANDS LÄN</t>
        </is>
      </c>
      <c r="E1288" t="inlineStr">
        <is>
          <t>STRÖMSUND</t>
        </is>
      </c>
      <c r="F1288" t="inlineStr">
        <is>
          <t>SCA</t>
        </is>
      </c>
      <c r="G1288" t="n">
        <v>13.2</v>
      </c>
      <c r="H1288" t="n">
        <v>0</v>
      </c>
      <c r="I1288" t="n">
        <v>0</v>
      </c>
      <c r="J1288" t="n">
        <v>1</v>
      </c>
      <c r="K1288" t="n">
        <v>0</v>
      </c>
      <c r="L1288" t="n">
        <v>0</v>
      </c>
      <c r="M1288" t="n">
        <v>0</v>
      </c>
      <c r="N1288" t="n">
        <v>0</v>
      </c>
      <c r="O1288" t="n">
        <v>1</v>
      </c>
      <c r="P1288" t="n">
        <v>0</v>
      </c>
      <c r="Q1288" t="n">
        <v>1</v>
      </c>
      <c r="R1288" s="2" t="inlineStr">
        <is>
          <t>Harticka</t>
        </is>
      </c>
      <c r="S1288">
        <f>HYPERLINK("https://klasma.github.io/Logging_2313/artfynd/A 32351-2022 artfynd.xlsx", "A 32351-2022")</f>
        <v/>
      </c>
      <c r="T1288">
        <f>HYPERLINK("https://klasma.github.io/Logging_2313/kartor/A 32351-2022 karta.png", "A 32351-2022")</f>
        <v/>
      </c>
      <c r="V1288">
        <f>HYPERLINK("https://klasma.github.io/Logging_2313/klagomål/A 32351-2022 FSC-klagomål.docx", "A 32351-2022")</f>
        <v/>
      </c>
      <c r="W1288">
        <f>HYPERLINK("https://klasma.github.io/Logging_2313/klagomålsmail/A 32351-2022 FSC-klagomål mail.docx", "A 32351-2022")</f>
        <v/>
      </c>
      <c r="X1288">
        <f>HYPERLINK("https://klasma.github.io/Logging_2313/tillsyn/A 32351-2022 tillsynsbegäran.docx", "A 32351-2022")</f>
        <v/>
      </c>
      <c r="Y1288">
        <f>HYPERLINK("https://klasma.github.io/Logging_2313/tillsynsmail/A 32351-2022 tillsynsbegäran mail.docx", "A 32351-2022")</f>
        <v/>
      </c>
    </row>
    <row r="1289" ht="15" customHeight="1">
      <c r="A1289" t="inlineStr">
        <is>
          <t>A 32965-2022</t>
        </is>
      </c>
      <c r="B1289" s="1" t="n">
        <v>44784</v>
      </c>
      <c r="C1289" s="1" t="n">
        <v>45363</v>
      </c>
      <c r="D1289" t="inlineStr">
        <is>
          <t>JÄMTLANDS LÄN</t>
        </is>
      </c>
      <c r="E1289" t="inlineStr">
        <is>
          <t>STRÖMSUND</t>
        </is>
      </c>
      <c r="G1289" t="n">
        <v>5.8</v>
      </c>
      <c r="H1289" t="n">
        <v>0</v>
      </c>
      <c r="I1289" t="n">
        <v>0</v>
      </c>
      <c r="J1289" t="n">
        <v>1</v>
      </c>
      <c r="K1289" t="n">
        <v>0</v>
      </c>
      <c r="L1289" t="n">
        <v>0</v>
      </c>
      <c r="M1289" t="n">
        <v>0</v>
      </c>
      <c r="N1289" t="n">
        <v>0</v>
      </c>
      <c r="O1289" t="n">
        <v>1</v>
      </c>
      <c r="P1289" t="n">
        <v>0</v>
      </c>
      <c r="Q1289" t="n">
        <v>1</v>
      </c>
      <c r="R1289" s="2" t="inlineStr">
        <is>
          <t>Vitgrynig nållav</t>
        </is>
      </c>
      <c r="S1289">
        <f>HYPERLINK("https://klasma.github.io/Logging_2313/artfynd/A 32965-2022 artfynd.xlsx", "A 32965-2022")</f>
        <v/>
      </c>
      <c r="T1289">
        <f>HYPERLINK("https://klasma.github.io/Logging_2313/kartor/A 32965-2022 karta.png", "A 32965-2022")</f>
        <v/>
      </c>
      <c r="V1289">
        <f>HYPERLINK("https://klasma.github.io/Logging_2313/klagomål/A 32965-2022 FSC-klagomål.docx", "A 32965-2022")</f>
        <v/>
      </c>
      <c r="W1289">
        <f>HYPERLINK("https://klasma.github.io/Logging_2313/klagomålsmail/A 32965-2022 FSC-klagomål mail.docx", "A 32965-2022")</f>
        <v/>
      </c>
      <c r="X1289">
        <f>HYPERLINK("https://klasma.github.io/Logging_2313/tillsyn/A 32965-2022 tillsynsbegäran.docx", "A 32965-2022")</f>
        <v/>
      </c>
      <c r="Y1289">
        <f>HYPERLINK("https://klasma.github.io/Logging_2313/tillsynsmail/A 32965-2022 tillsynsbegäran mail.docx", "A 32965-2022")</f>
        <v/>
      </c>
    </row>
    <row r="1290" ht="15" customHeight="1">
      <c r="A1290" t="inlineStr">
        <is>
          <t>A 33267-2022</t>
        </is>
      </c>
      <c r="B1290" s="1" t="n">
        <v>44785</v>
      </c>
      <c r="C1290" s="1" t="n">
        <v>45363</v>
      </c>
      <c r="D1290" t="inlineStr">
        <is>
          <t>JÄMTLANDS LÄN</t>
        </is>
      </c>
      <c r="E1290" t="inlineStr">
        <is>
          <t>ÖSTERSUND</t>
        </is>
      </c>
      <c r="G1290" t="n">
        <v>0.9</v>
      </c>
      <c r="H1290" t="n">
        <v>1</v>
      </c>
      <c r="I1290" t="n">
        <v>0</v>
      </c>
      <c r="J1290" t="n">
        <v>1</v>
      </c>
      <c r="K1290" t="n">
        <v>0</v>
      </c>
      <c r="L1290" t="n">
        <v>0</v>
      </c>
      <c r="M1290" t="n">
        <v>0</v>
      </c>
      <c r="N1290" t="n">
        <v>0</v>
      </c>
      <c r="O1290" t="n">
        <v>1</v>
      </c>
      <c r="P1290" t="n">
        <v>0</v>
      </c>
      <c r="Q1290" t="n">
        <v>1</v>
      </c>
      <c r="R1290" s="2" t="inlineStr">
        <is>
          <t>Talltita</t>
        </is>
      </c>
      <c r="S1290">
        <f>HYPERLINK("https://klasma.github.io/Logging_2380/artfynd/A 33267-2022 artfynd.xlsx", "A 33267-2022")</f>
        <v/>
      </c>
      <c r="T1290">
        <f>HYPERLINK("https://klasma.github.io/Logging_2380/kartor/A 33267-2022 karta.png", "A 33267-2022")</f>
        <v/>
      </c>
      <c r="V1290">
        <f>HYPERLINK("https://klasma.github.io/Logging_2380/klagomål/A 33267-2022 FSC-klagomål.docx", "A 33267-2022")</f>
        <v/>
      </c>
      <c r="W1290">
        <f>HYPERLINK("https://klasma.github.io/Logging_2380/klagomålsmail/A 33267-2022 FSC-klagomål mail.docx", "A 33267-2022")</f>
        <v/>
      </c>
      <c r="X1290">
        <f>HYPERLINK("https://klasma.github.io/Logging_2380/tillsyn/A 33267-2022 tillsynsbegäran.docx", "A 33267-2022")</f>
        <v/>
      </c>
      <c r="Y1290">
        <f>HYPERLINK("https://klasma.github.io/Logging_2380/tillsynsmail/A 33267-2022 tillsynsbegäran mail.docx", "A 33267-2022")</f>
        <v/>
      </c>
      <c r="Z1290">
        <f>HYPERLINK("https://klasma.github.io/Logging_2380/fåglar/A 33267-2022 prioriterade fågelarter.docx", "A 33267-2022")</f>
        <v/>
      </c>
    </row>
    <row r="1291" ht="15" customHeight="1">
      <c r="A1291" t="inlineStr">
        <is>
          <t>A 33316-2022</t>
        </is>
      </c>
      <c r="B1291" s="1" t="n">
        <v>44788</v>
      </c>
      <c r="C1291" s="1" t="n">
        <v>45363</v>
      </c>
      <c r="D1291" t="inlineStr">
        <is>
          <t>JÄMTLANDS LÄN</t>
        </is>
      </c>
      <c r="E1291" t="inlineStr">
        <is>
          <t>KROKOM</t>
        </is>
      </c>
      <c r="G1291" t="n">
        <v>10.4</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HYPERLINK("https://klasma.github.io/Logging_2309/artfynd/A 33316-2022 artfynd.xlsx", "A 33316-2022")</f>
        <v/>
      </c>
      <c r="T1291">
        <f>HYPERLINK("https://klasma.github.io/Logging_2309/kartor/A 33316-2022 karta.png", "A 33316-2022")</f>
        <v/>
      </c>
      <c r="V1291">
        <f>HYPERLINK("https://klasma.github.io/Logging_2309/klagomål/A 33316-2022 FSC-klagomål.docx", "A 33316-2022")</f>
        <v/>
      </c>
      <c r="W1291">
        <f>HYPERLINK("https://klasma.github.io/Logging_2309/klagomålsmail/A 33316-2022 FSC-klagomål mail.docx", "A 33316-2022")</f>
        <v/>
      </c>
      <c r="X1291">
        <f>HYPERLINK("https://klasma.github.io/Logging_2309/tillsyn/A 33316-2022 tillsynsbegäran.docx", "A 33316-2022")</f>
        <v/>
      </c>
      <c r="Y1291">
        <f>HYPERLINK("https://klasma.github.io/Logging_2309/tillsynsmail/A 33316-2022 tillsynsbegäran mail.docx", "A 33316-2022")</f>
        <v/>
      </c>
      <c r="Z1291">
        <f>HYPERLINK("https://klasma.github.io/Logging_2309/fåglar/A 33316-2022 prioriterade fågelarter.docx", "A 33316-2022")</f>
        <v/>
      </c>
    </row>
    <row r="1292" ht="15" customHeight="1">
      <c r="A1292" t="inlineStr">
        <is>
          <t>A 34009-2022</t>
        </is>
      </c>
      <c r="B1292" s="1" t="n">
        <v>44790</v>
      </c>
      <c r="C1292" s="1" t="n">
        <v>45363</v>
      </c>
      <c r="D1292" t="inlineStr">
        <is>
          <t>JÄMTLANDS LÄN</t>
        </is>
      </c>
      <c r="E1292" t="inlineStr">
        <is>
          <t>STRÖMSUND</t>
        </is>
      </c>
      <c r="F1292" t="inlineStr">
        <is>
          <t>SCA</t>
        </is>
      </c>
      <c r="G1292" t="n">
        <v>8.5</v>
      </c>
      <c r="H1292" t="n">
        <v>0</v>
      </c>
      <c r="I1292" t="n">
        <v>0</v>
      </c>
      <c r="J1292" t="n">
        <v>0</v>
      </c>
      <c r="K1292" t="n">
        <v>1</v>
      </c>
      <c r="L1292" t="n">
        <v>0</v>
      </c>
      <c r="M1292" t="n">
        <v>0</v>
      </c>
      <c r="N1292" t="n">
        <v>0</v>
      </c>
      <c r="O1292" t="n">
        <v>1</v>
      </c>
      <c r="P1292" t="n">
        <v>1</v>
      </c>
      <c r="Q1292" t="n">
        <v>1</v>
      </c>
      <c r="R1292" s="2" t="inlineStr">
        <is>
          <t>Rynkskinn</t>
        </is>
      </c>
      <c r="S1292">
        <f>HYPERLINK("https://klasma.github.io/Logging_2313/artfynd/A 34009-2022 artfynd.xlsx", "A 34009-2022")</f>
        <v/>
      </c>
      <c r="T1292">
        <f>HYPERLINK("https://klasma.github.io/Logging_2313/kartor/A 34009-2022 karta.png", "A 34009-2022")</f>
        <v/>
      </c>
      <c r="V1292">
        <f>HYPERLINK("https://klasma.github.io/Logging_2313/klagomål/A 34009-2022 FSC-klagomål.docx", "A 34009-2022")</f>
        <v/>
      </c>
      <c r="W1292">
        <f>HYPERLINK("https://klasma.github.io/Logging_2313/klagomålsmail/A 34009-2022 FSC-klagomål mail.docx", "A 34009-2022")</f>
        <v/>
      </c>
      <c r="X1292">
        <f>HYPERLINK("https://klasma.github.io/Logging_2313/tillsyn/A 34009-2022 tillsynsbegäran.docx", "A 34009-2022")</f>
        <v/>
      </c>
      <c r="Y1292">
        <f>HYPERLINK("https://klasma.github.io/Logging_2313/tillsynsmail/A 34009-2022 tillsynsbegäran mail.docx", "A 34009-2022")</f>
        <v/>
      </c>
    </row>
    <row r="1293" ht="15" customHeight="1">
      <c r="A1293" t="inlineStr">
        <is>
          <t>A 34271-2022</t>
        </is>
      </c>
      <c r="B1293" s="1" t="n">
        <v>44792</v>
      </c>
      <c r="C1293" s="1" t="n">
        <v>45363</v>
      </c>
      <c r="D1293" t="inlineStr">
        <is>
          <t>JÄMTLANDS LÄN</t>
        </is>
      </c>
      <c r="E1293" t="inlineStr">
        <is>
          <t>BERG</t>
        </is>
      </c>
      <c r="F1293" t="inlineStr">
        <is>
          <t>SCA</t>
        </is>
      </c>
      <c r="G1293" t="n">
        <v>17</v>
      </c>
      <c r="H1293" t="n">
        <v>1</v>
      </c>
      <c r="I1293" t="n">
        <v>0</v>
      </c>
      <c r="J1293" t="n">
        <v>1</v>
      </c>
      <c r="K1293" t="n">
        <v>0</v>
      </c>
      <c r="L1293" t="n">
        <v>0</v>
      </c>
      <c r="M1293" t="n">
        <v>0</v>
      </c>
      <c r="N1293" t="n">
        <v>0</v>
      </c>
      <c r="O1293" t="n">
        <v>1</v>
      </c>
      <c r="P1293" t="n">
        <v>0</v>
      </c>
      <c r="Q1293" t="n">
        <v>1</v>
      </c>
      <c r="R1293" s="2" t="inlineStr">
        <is>
          <t>Spillkråka</t>
        </is>
      </c>
      <c r="S1293">
        <f>HYPERLINK("https://klasma.github.io/Logging_2326/artfynd/A 34271-2022 artfynd.xlsx", "A 34271-2022")</f>
        <v/>
      </c>
      <c r="T1293">
        <f>HYPERLINK("https://klasma.github.io/Logging_2326/kartor/A 34271-2022 karta.png", "A 34271-2022")</f>
        <v/>
      </c>
      <c r="V1293">
        <f>HYPERLINK("https://klasma.github.io/Logging_2326/klagomål/A 34271-2022 FSC-klagomål.docx", "A 34271-2022")</f>
        <v/>
      </c>
      <c r="W1293">
        <f>HYPERLINK("https://klasma.github.io/Logging_2326/klagomålsmail/A 34271-2022 FSC-klagomål mail.docx", "A 34271-2022")</f>
        <v/>
      </c>
      <c r="X1293">
        <f>HYPERLINK("https://klasma.github.io/Logging_2326/tillsyn/A 34271-2022 tillsynsbegäran.docx", "A 34271-2022")</f>
        <v/>
      </c>
      <c r="Y1293">
        <f>HYPERLINK("https://klasma.github.io/Logging_2326/tillsynsmail/A 34271-2022 tillsynsbegäran mail.docx", "A 34271-2022")</f>
        <v/>
      </c>
      <c r="Z1293">
        <f>HYPERLINK("https://klasma.github.io/Logging_2326/fåglar/A 34271-2022 prioriterade fågelarter.docx", "A 34271-2022")</f>
        <v/>
      </c>
    </row>
    <row r="1294" ht="15" customHeight="1">
      <c r="A1294" t="inlineStr">
        <is>
          <t>A 34274-2022</t>
        </is>
      </c>
      <c r="B1294" s="1" t="n">
        <v>44791</v>
      </c>
      <c r="C1294" s="1" t="n">
        <v>45363</v>
      </c>
      <c r="D1294" t="inlineStr">
        <is>
          <t>JÄMTLANDS LÄN</t>
        </is>
      </c>
      <c r="E1294" t="inlineStr">
        <is>
          <t>BERG</t>
        </is>
      </c>
      <c r="F1294" t="inlineStr">
        <is>
          <t>SCA</t>
        </is>
      </c>
      <c r="G1294" t="n">
        <v>6.1</v>
      </c>
      <c r="H1294" t="n">
        <v>0</v>
      </c>
      <c r="I1294" t="n">
        <v>0</v>
      </c>
      <c r="J1294" t="n">
        <v>1</v>
      </c>
      <c r="K1294" t="n">
        <v>0</v>
      </c>
      <c r="L1294" t="n">
        <v>0</v>
      </c>
      <c r="M1294" t="n">
        <v>0</v>
      </c>
      <c r="N1294" t="n">
        <v>0</v>
      </c>
      <c r="O1294" t="n">
        <v>1</v>
      </c>
      <c r="P1294" t="n">
        <v>0</v>
      </c>
      <c r="Q1294" t="n">
        <v>1</v>
      </c>
      <c r="R1294" s="2" t="inlineStr">
        <is>
          <t>Rosenticka</t>
        </is>
      </c>
      <c r="S1294">
        <f>HYPERLINK("https://klasma.github.io/Logging_2326/artfynd/A 34274-2022 artfynd.xlsx", "A 34274-2022")</f>
        <v/>
      </c>
      <c r="T1294">
        <f>HYPERLINK("https://klasma.github.io/Logging_2326/kartor/A 34274-2022 karta.png", "A 34274-2022")</f>
        <v/>
      </c>
      <c r="V1294">
        <f>HYPERLINK("https://klasma.github.io/Logging_2326/klagomål/A 34274-2022 FSC-klagomål.docx", "A 34274-2022")</f>
        <v/>
      </c>
      <c r="W1294">
        <f>HYPERLINK("https://klasma.github.io/Logging_2326/klagomålsmail/A 34274-2022 FSC-klagomål mail.docx", "A 34274-2022")</f>
        <v/>
      </c>
      <c r="X1294">
        <f>HYPERLINK("https://klasma.github.io/Logging_2326/tillsyn/A 34274-2022 tillsynsbegäran.docx", "A 34274-2022")</f>
        <v/>
      </c>
      <c r="Y1294">
        <f>HYPERLINK("https://klasma.github.io/Logging_2326/tillsynsmail/A 34274-2022 tillsynsbegäran mail.docx", "A 34274-2022")</f>
        <v/>
      </c>
    </row>
    <row r="1295" ht="15" customHeight="1">
      <c r="A1295" t="inlineStr">
        <is>
          <t>A 35023-2022</t>
        </is>
      </c>
      <c r="B1295" s="1" t="n">
        <v>44796</v>
      </c>
      <c r="C1295" s="1" t="n">
        <v>45363</v>
      </c>
      <c r="D1295" t="inlineStr">
        <is>
          <t>JÄMTLANDS LÄN</t>
        </is>
      </c>
      <c r="E1295" t="inlineStr">
        <is>
          <t>BRÄCKE</t>
        </is>
      </c>
      <c r="F1295" t="inlineStr">
        <is>
          <t>SCA</t>
        </is>
      </c>
      <c r="G1295" t="n">
        <v>4.8</v>
      </c>
      <c r="H1295" t="n">
        <v>0</v>
      </c>
      <c r="I1295" t="n">
        <v>0</v>
      </c>
      <c r="J1295" t="n">
        <v>1</v>
      </c>
      <c r="K1295" t="n">
        <v>0</v>
      </c>
      <c r="L1295" t="n">
        <v>0</v>
      </c>
      <c r="M1295" t="n">
        <v>0</v>
      </c>
      <c r="N1295" t="n">
        <v>0</v>
      </c>
      <c r="O1295" t="n">
        <v>1</v>
      </c>
      <c r="P1295" t="n">
        <v>0</v>
      </c>
      <c r="Q1295" t="n">
        <v>1</v>
      </c>
      <c r="R1295" s="2" t="inlineStr">
        <is>
          <t>Dvärgbägarlav</t>
        </is>
      </c>
      <c r="S1295">
        <f>HYPERLINK("https://klasma.github.io/Logging_2305/artfynd/A 35023-2022 artfynd.xlsx", "A 35023-2022")</f>
        <v/>
      </c>
      <c r="T1295">
        <f>HYPERLINK("https://klasma.github.io/Logging_2305/kartor/A 35023-2022 karta.png", "A 35023-2022")</f>
        <v/>
      </c>
      <c r="V1295">
        <f>HYPERLINK("https://klasma.github.io/Logging_2305/klagomål/A 35023-2022 FSC-klagomål.docx", "A 35023-2022")</f>
        <v/>
      </c>
      <c r="W1295">
        <f>HYPERLINK("https://klasma.github.io/Logging_2305/klagomålsmail/A 35023-2022 FSC-klagomål mail.docx", "A 35023-2022")</f>
        <v/>
      </c>
      <c r="X1295">
        <f>HYPERLINK("https://klasma.github.io/Logging_2305/tillsyn/A 35023-2022 tillsynsbegäran.docx", "A 35023-2022")</f>
        <v/>
      </c>
      <c r="Y1295">
        <f>HYPERLINK("https://klasma.github.io/Logging_2305/tillsynsmail/A 35023-2022 tillsynsbegäran mail.docx", "A 35023-2022")</f>
        <v/>
      </c>
    </row>
    <row r="1296" ht="15" customHeight="1">
      <c r="A1296" t="inlineStr">
        <is>
          <t>A 35246-2022</t>
        </is>
      </c>
      <c r="B1296" s="1" t="n">
        <v>44797</v>
      </c>
      <c r="C1296" s="1" t="n">
        <v>45363</v>
      </c>
      <c r="D1296" t="inlineStr">
        <is>
          <t>JÄMTLANDS LÄN</t>
        </is>
      </c>
      <c r="E1296" t="inlineStr">
        <is>
          <t>KROKOM</t>
        </is>
      </c>
      <c r="G1296" t="n">
        <v>29.4</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HYPERLINK("https://klasma.github.io/Logging_2309/artfynd/A 35246-2022 artfynd.xlsx", "A 35246-2022")</f>
        <v/>
      </c>
      <c r="T1296">
        <f>HYPERLINK("https://klasma.github.io/Logging_2309/kartor/A 35246-2022 karta.png", "A 35246-2022")</f>
        <v/>
      </c>
      <c r="V1296">
        <f>HYPERLINK("https://klasma.github.io/Logging_2309/klagomål/A 35246-2022 FSC-klagomål.docx", "A 35246-2022")</f>
        <v/>
      </c>
      <c r="W1296">
        <f>HYPERLINK("https://klasma.github.io/Logging_2309/klagomålsmail/A 35246-2022 FSC-klagomål mail.docx", "A 35246-2022")</f>
        <v/>
      </c>
      <c r="X1296">
        <f>HYPERLINK("https://klasma.github.io/Logging_2309/tillsyn/A 35246-2022 tillsynsbegäran.docx", "A 35246-2022")</f>
        <v/>
      </c>
      <c r="Y1296">
        <f>HYPERLINK("https://klasma.github.io/Logging_2309/tillsynsmail/A 35246-2022 tillsynsbegäran mail.docx", "A 35246-2022")</f>
        <v/>
      </c>
      <c r="Z1296">
        <f>HYPERLINK("https://klasma.github.io/Logging_2309/fåglar/A 35246-2022 prioriterade fågelarter.docx", "A 35246-2022")</f>
        <v/>
      </c>
    </row>
    <row r="1297" ht="15" customHeight="1">
      <c r="A1297" t="inlineStr">
        <is>
          <t>A 39696-2022</t>
        </is>
      </c>
      <c r="B1297" s="1" t="n">
        <v>44818</v>
      </c>
      <c r="C1297" s="1" t="n">
        <v>45363</v>
      </c>
      <c r="D1297" t="inlineStr">
        <is>
          <t>JÄMTLANDS LÄN</t>
        </is>
      </c>
      <c r="E1297" t="inlineStr">
        <is>
          <t>STRÖMSUND</t>
        </is>
      </c>
      <c r="F1297" t="inlineStr">
        <is>
          <t>SCA</t>
        </is>
      </c>
      <c r="G1297" t="n">
        <v>4.6</v>
      </c>
      <c r="H1297" t="n">
        <v>0</v>
      </c>
      <c r="I1297" t="n">
        <v>0</v>
      </c>
      <c r="J1297" t="n">
        <v>0</v>
      </c>
      <c r="K1297" t="n">
        <v>1</v>
      </c>
      <c r="L1297" t="n">
        <v>0</v>
      </c>
      <c r="M1297" t="n">
        <v>0</v>
      </c>
      <c r="N1297" t="n">
        <v>0</v>
      </c>
      <c r="O1297" t="n">
        <v>1</v>
      </c>
      <c r="P1297" t="n">
        <v>1</v>
      </c>
      <c r="Q1297" t="n">
        <v>1</v>
      </c>
      <c r="R1297" s="2" t="inlineStr">
        <is>
          <t>Gräddporing</t>
        </is>
      </c>
      <c r="S1297">
        <f>HYPERLINK("https://klasma.github.io/Logging_2313/artfynd/A 39696-2022 artfynd.xlsx", "A 39696-2022")</f>
        <v/>
      </c>
      <c r="T1297">
        <f>HYPERLINK("https://klasma.github.io/Logging_2313/kartor/A 39696-2022 karta.png", "A 39696-2022")</f>
        <v/>
      </c>
      <c r="V1297">
        <f>HYPERLINK("https://klasma.github.io/Logging_2313/klagomål/A 39696-2022 FSC-klagomål.docx", "A 39696-2022")</f>
        <v/>
      </c>
      <c r="W1297">
        <f>HYPERLINK("https://klasma.github.io/Logging_2313/klagomålsmail/A 39696-2022 FSC-klagomål mail.docx", "A 39696-2022")</f>
        <v/>
      </c>
      <c r="X1297">
        <f>HYPERLINK("https://klasma.github.io/Logging_2313/tillsyn/A 39696-2022 tillsynsbegäran.docx", "A 39696-2022")</f>
        <v/>
      </c>
      <c r="Y1297">
        <f>HYPERLINK("https://klasma.github.io/Logging_2313/tillsynsmail/A 39696-2022 tillsynsbegäran mail.docx", "A 39696-2022")</f>
        <v/>
      </c>
    </row>
    <row r="1298" ht="15" customHeight="1">
      <c r="A1298" t="inlineStr">
        <is>
          <t>A 40614-2022</t>
        </is>
      </c>
      <c r="B1298" s="1" t="n">
        <v>44824</v>
      </c>
      <c r="C1298" s="1" t="n">
        <v>45363</v>
      </c>
      <c r="D1298" t="inlineStr">
        <is>
          <t>JÄMTLANDS LÄN</t>
        </is>
      </c>
      <c r="E1298" t="inlineStr">
        <is>
          <t>ÅRE</t>
        </is>
      </c>
      <c r="F1298" t="inlineStr">
        <is>
          <t>Övriga Aktiebolag</t>
        </is>
      </c>
      <c r="G1298" t="n">
        <v>23.2</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HYPERLINK("https://klasma.github.io/Logging_2321/artfynd/A 40614-2022 artfynd.xlsx", "A 40614-2022")</f>
        <v/>
      </c>
      <c r="T1298">
        <f>HYPERLINK("https://klasma.github.io/Logging_2321/kartor/A 40614-2022 karta.png", "A 40614-2022")</f>
        <v/>
      </c>
      <c r="V1298">
        <f>HYPERLINK("https://klasma.github.io/Logging_2321/klagomål/A 40614-2022 FSC-klagomål.docx", "A 40614-2022")</f>
        <v/>
      </c>
      <c r="W1298">
        <f>HYPERLINK("https://klasma.github.io/Logging_2321/klagomålsmail/A 40614-2022 FSC-klagomål mail.docx", "A 40614-2022")</f>
        <v/>
      </c>
      <c r="X1298">
        <f>HYPERLINK("https://klasma.github.io/Logging_2321/tillsyn/A 40614-2022 tillsynsbegäran.docx", "A 40614-2022")</f>
        <v/>
      </c>
      <c r="Y1298">
        <f>HYPERLINK("https://klasma.github.io/Logging_2321/tillsynsmail/A 40614-2022 tillsynsbegäran mail.docx", "A 40614-2022")</f>
        <v/>
      </c>
      <c r="Z1298">
        <f>HYPERLINK("https://klasma.github.io/Logging_2321/fåglar/A 40614-2022 prioriterade fågelarter.docx", "A 40614-2022")</f>
        <v/>
      </c>
    </row>
    <row r="1299" ht="15" customHeight="1">
      <c r="A1299" t="inlineStr">
        <is>
          <t>A 41193-2022</t>
        </is>
      </c>
      <c r="B1299" s="1" t="n">
        <v>44826</v>
      </c>
      <c r="C1299" s="1" t="n">
        <v>45363</v>
      </c>
      <c r="D1299" t="inlineStr">
        <is>
          <t>JÄMTLANDS LÄN</t>
        </is>
      </c>
      <c r="E1299" t="inlineStr">
        <is>
          <t>STRÖMSUND</t>
        </is>
      </c>
      <c r="F1299" t="inlineStr">
        <is>
          <t>SCA</t>
        </is>
      </c>
      <c r="G1299" t="n">
        <v>2.7</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HYPERLINK("https://klasma.github.io/Logging_2313/artfynd/A 41193-2022 artfynd.xlsx", "A 41193-2022")</f>
        <v/>
      </c>
      <c r="T1299">
        <f>HYPERLINK("https://klasma.github.io/Logging_2313/kartor/A 41193-2022 karta.png", "A 41193-2022")</f>
        <v/>
      </c>
      <c r="V1299">
        <f>HYPERLINK("https://klasma.github.io/Logging_2313/klagomål/A 41193-2022 FSC-klagomål.docx", "A 41193-2022")</f>
        <v/>
      </c>
      <c r="W1299">
        <f>HYPERLINK("https://klasma.github.io/Logging_2313/klagomålsmail/A 41193-2022 FSC-klagomål mail.docx", "A 41193-2022")</f>
        <v/>
      </c>
      <c r="X1299">
        <f>HYPERLINK("https://klasma.github.io/Logging_2313/tillsyn/A 41193-2022 tillsynsbegäran.docx", "A 41193-2022")</f>
        <v/>
      </c>
      <c r="Y1299">
        <f>HYPERLINK("https://klasma.github.io/Logging_2313/tillsynsmail/A 41193-2022 tillsynsbegäran mail.docx", "A 41193-2022")</f>
        <v/>
      </c>
      <c r="Z1299">
        <f>HYPERLINK("https://klasma.github.io/Logging_2313/fåglar/A 41193-2022 prioriterade fågelarter.docx", "A 41193-2022")</f>
        <v/>
      </c>
    </row>
    <row r="1300" ht="15" customHeight="1">
      <c r="A1300" t="inlineStr">
        <is>
          <t>A 41317-2022</t>
        </is>
      </c>
      <c r="B1300" s="1" t="n">
        <v>44826</v>
      </c>
      <c r="C1300" s="1" t="n">
        <v>45363</v>
      </c>
      <c r="D1300" t="inlineStr">
        <is>
          <t>JÄMTLANDS LÄN</t>
        </is>
      </c>
      <c r="E1300" t="inlineStr">
        <is>
          <t>BERG</t>
        </is>
      </c>
      <c r="G1300" t="n">
        <v>0.5</v>
      </c>
      <c r="H1300" t="n">
        <v>1</v>
      </c>
      <c r="I1300" t="n">
        <v>0</v>
      </c>
      <c r="J1300" t="n">
        <v>0</v>
      </c>
      <c r="K1300" t="n">
        <v>0</v>
      </c>
      <c r="L1300" t="n">
        <v>0</v>
      </c>
      <c r="M1300" t="n">
        <v>0</v>
      </c>
      <c r="N1300" t="n">
        <v>0</v>
      </c>
      <c r="O1300" t="n">
        <v>0</v>
      </c>
      <c r="P1300" t="n">
        <v>0</v>
      </c>
      <c r="Q1300" t="n">
        <v>1</v>
      </c>
      <c r="R1300" s="2" t="inlineStr">
        <is>
          <t>Fläcknycklar</t>
        </is>
      </c>
      <c r="S1300">
        <f>HYPERLINK("https://klasma.github.io/Logging_2326/artfynd/A 41317-2022 artfynd.xlsx", "A 41317-2022")</f>
        <v/>
      </c>
      <c r="T1300">
        <f>HYPERLINK("https://klasma.github.io/Logging_2326/kartor/A 41317-2022 karta.png", "A 41317-2022")</f>
        <v/>
      </c>
      <c r="V1300">
        <f>HYPERLINK("https://klasma.github.io/Logging_2326/klagomål/A 41317-2022 FSC-klagomål.docx", "A 41317-2022")</f>
        <v/>
      </c>
      <c r="W1300">
        <f>HYPERLINK("https://klasma.github.io/Logging_2326/klagomålsmail/A 41317-2022 FSC-klagomål mail.docx", "A 41317-2022")</f>
        <v/>
      </c>
      <c r="X1300">
        <f>HYPERLINK("https://klasma.github.io/Logging_2326/tillsyn/A 41317-2022 tillsynsbegäran.docx", "A 41317-2022")</f>
        <v/>
      </c>
      <c r="Y1300">
        <f>HYPERLINK("https://klasma.github.io/Logging_2326/tillsynsmail/A 41317-2022 tillsynsbegäran mail.docx", "A 41317-2022")</f>
        <v/>
      </c>
    </row>
    <row r="1301" ht="15" customHeight="1">
      <c r="A1301" t="inlineStr">
        <is>
          <t>A 41811-2022</t>
        </is>
      </c>
      <c r="B1301" s="1" t="n">
        <v>44827</v>
      </c>
      <c r="C1301" s="1" t="n">
        <v>45363</v>
      </c>
      <c r="D1301" t="inlineStr">
        <is>
          <t>JÄMTLANDS LÄN</t>
        </is>
      </c>
      <c r="E1301" t="inlineStr">
        <is>
          <t>STRÖMSUND</t>
        </is>
      </c>
      <c r="F1301" t="inlineStr">
        <is>
          <t>SCA</t>
        </is>
      </c>
      <c r="G1301" t="n">
        <v>7.6</v>
      </c>
      <c r="H1301" t="n">
        <v>1</v>
      </c>
      <c r="I1301" t="n">
        <v>0</v>
      </c>
      <c r="J1301" t="n">
        <v>0</v>
      </c>
      <c r="K1301" t="n">
        <v>1</v>
      </c>
      <c r="L1301" t="n">
        <v>0</v>
      </c>
      <c r="M1301" t="n">
        <v>0</v>
      </c>
      <c r="N1301" t="n">
        <v>0</v>
      </c>
      <c r="O1301" t="n">
        <v>1</v>
      </c>
      <c r="P1301" t="n">
        <v>1</v>
      </c>
      <c r="Q1301" t="n">
        <v>1</v>
      </c>
      <c r="R1301" s="2" t="inlineStr">
        <is>
          <t>Knärot</t>
        </is>
      </c>
      <c r="S1301">
        <f>HYPERLINK("https://klasma.github.io/Logging_2313/artfynd/A 41811-2022 artfynd.xlsx", "A 41811-2022")</f>
        <v/>
      </c>
      <c r="T1301">
        <f>HYPERLINK("https://klasma.github.io/Logging_2313/kartor/A 41811-2022 karta.png", "A 41811-2022")</f>
        <v/>
      </c>
      <c r="U1301">
        <f>HYPERLINK("https://klasma.github.io/Logging_2313/knärot/A 41811-2022 karta knärot.png", "A 41811-2022")</f>
        <v/>
      </c>
      <c r="V1301">
        <f>HYPERLINK("https://klasma.github.io/Logging_2313/klagomål/A 41811-2022 FSC-klagomål.docx", "A 41811-2022")</f>
        <v/>
      </c>
      <c r="W1301">
        <f>HYPERLINK("https://klasma.github.io/Logging_2313/klagomålsmail/A 41811-2022 FSC-klagomål mail.docx", "A 41811-2022")</f>
        <v/>
      </c>
      <c r="X1301">
        <f>HYPERLINK("https://klasma.github.io/Logging_2313/tillsyn/A 41811-2022 tillsynsbegäran.docx", "A 41811-2022")</f>
        <v/>
      </c>
      <c r="Y1301">
        <f>HYPERLINK("https://klasma.github.io/Logging_2313/tillsynsmail/A 41811-2022 tillsynsbegäran mail.docx", "A 41811-2022")</f>
        <v/>
      </c>
    </row>
    <row r="1302" ht="15" customHeight="1">
      <c r="A1302" t="inlineStr">
        <is>
          <t>A 42214-2022</t>
        </is>
      </c>
      <c r="B1302" s="1" t="n">
        <v>44830</v>
      </c>
      <c r="C1302" s="1" t="n">
        <v>45363</v>
      </c>
      <c r="D1302" t="inlineStr">
        <is>
          <t>JÄMTLANDS LÄN</t>
        </is>
      </c>
      <c r="E1302" t="inlineStr">
        <is>
          <t>HÄRJEDALEN</t>
        </is>
      </c>
      <c r="F1302" t="inlineStr">
        <is>
          <t>Sveaskog</t>
        </is>
      </c>
      <c r="G1302" t="n">
        <v>8.800000000000001</v>
      </c>
      <c r="H1302" t="n">
        <v>0</v>
      </c>
      <c r="I1302" t="n">
        <v>0</v>
      </c>
      <c r="J1302" t="n">
        <v>0</v>
      </c>
      <c r="K1302" t="n">
        <v>1</v>
      </c>
      <c r="L1302" t="n">
        <v>0</v>
      </c>
      <c r="M1302" t="n">
        <v>0</v>
      </c>
      <c r="N1302" t="n">
        <v>0</v>
      </c>
      <c r="O1302" t="n">
        <v>1</v>
      </c>
      <c r="P1302" t="n">
        <v>1</v>
      </c>
      <c r="Q1302" t="n">
        <v>1</v>
      </c>
      <c r="R1302" s="2" t="inlineStr">
        <is>
          <t>Rynkskinn</t>
        </is>
      </c>
      <c r="S1302">
        <f>HYPERLINK("https://klasma.github.io/Logging_2361/artfynd/A 42214-2022 artfynd.xlsx", "A 42214-2022")</f>
        <v/>
      </c>
      <c r="T1302">
        <f>HYPERLINK("https://klasma.github.io/Logging_2361/kartor/A 42214-2022 karta.png", "A 42214-2022")</f>
        <v/>
      </c>
      <c r="V1302">
        <f>HYPERLINK("https://klasma.github.io/Logging_2361/klagomål/A 42214-2022 FSC-klagomål.docx", "A 42214-2022")</f>
        <v/>
      </c>
      <c r="W1302">
        <f>HYPERLINK("https://klasma.github.io/Logging_2361/klagomålsmail/A 42214-2022 FSC-klagomål mail.docx", "A 42214-2022")</f>
        <v/>
      </c>
      <c r="X1302">
        <f>HYPERLINK("https://klasma.github.io/Logging_2361/tillsyn/A 42214-2022 tillsynsbegäran.docx", "A 42214-2022")</f>
        <v/>
      </c>
      <c r="Y1302">
        <f>HYPERLINK("https://klasma.github.io/Logging_2361/tillsynsmail/A 42214-2022 tillsynsbegäran mail.docx", "A 42214-2022")</f>
        <v/>
      </c>
    </row>
    <row r="1303" ht="15" customHeight="1">
      <c r="A1303" t="inlineStr">
        <is>
          <t>A 42307-2022</t>
        </is>
      </c>
      <c r="B1303" s="1" t="n">
        <v>44830</v>
      </c>
      <c r="C1303" s="1" t="n">
        <v>45363</v>
      </c>
      <c r="D1303" t="inlineStr">
        <is>
          <t>JÄMTLANDS LÄN</t>
        </is>
      </c>
      <c r="E1303" t="inlineStr">
        <is>
          <t>RAGUNDA</t>
        </is>
      </c>
      <c r="F1303" t="inlineStr">
        <is>
          <t>SCA</t>
        </is>
      </c>
      <c r="G1303" t="n">
        <v>2.6</v>
      </c>
      <c r="H1303" t="n">
        <v>0</v>
      </c>
      <c r="I1303" t="n">
        <v>0</v>
      </c>
      <c r="J1303" t="n">
        <v>0</v>
      </c>
      <c r="K1303" t="n">
        <v>1</v>
      </c>
      <c r="L1303" t="n">
        <v>0</v>
      </c>
      <c r="M1303" t="n">
        <v>0</v>
      </c>
      <c r="N1303" t="n">
        <v>0</v>
      </c>
      <c r="O1303" t="n">
        <v>1</v>
      </c>
      <c r="P1303" t="n">
        <v>1</v>
      </c>
      <c r="Q1303" t="n">
        <v>1</v>
      </c>
      <c r="R1303" s="2" t="inlineStr">
        <is>
          <t>Smalskaftslav</t>
        </is>
      </c>
      <c r="S1303">
        <f>HYPERLINK("https://klasma.github.io/Logging_2303/artfynd/A 42307-2022 artfynd.xlsx", "A 42307-2022")</f>
        <v/>
      </c>
      <c r="T1303">
        <f>HYPERLINK("https://klasma.github.io/Logging_2303/kartor/A 42307-2022 karta.png", "A 42307-2022")</f>
        <v/>
      </c>
      <c r="V1303">
        <f>HYPERLINK("https://klasma.github.io/Logging_2303/klagomål/A 42307-2022 FSC-klagomål.docx", "A 42307-2022")</f>
        <v/>
      </c>
      <c r="W1303">
        <f>HYPERLINK("https://klasma.github.io/Logging_2303/klagomålsmail/A 42307-2022 FSC-klagomål mail.docx", "A 42307-2022")</f>
        <v/>
      </c>
      <c r="X1303">
        <f>HYPERLINK("https://klasma.github.io/Logging_2303/tillsyn/A 42307-2022 tillsynsbegäran.docx", "A 42307-2022")</f>
        <v/>
      </c>
      <c r="Y1303">
        <f>HYPERLINK("https://klasma.github.io/Logging_2303/tillsynsmail/A 42307-2022 tillsynsbegäran mail.docx", "A 42307-2022")</f>
        <v/>
      </c>
    </row>
    <row r="1304" ht="15" customHeight="1">
      <c r="A1304" t="inlineStr">
        <is>
          <t>A 42899-2022</t>
        </is>
      </c>
      <c r="B1304" s="1" t="n">
        <v>44832</v>
      </c>
      <c r="C1304" s="1" t="n">
        <v>45363</v>
      </c>
      <c r="D1304" t="inlineStr">
        <is>
          <t>JÄMTLANDS LÄN</t>
        </is>
      </c>
      <c r="E1304" t="inlineStr">
        <is>
          <t>RAGUNDA</t>
        </is>
      </c>
      <c r="F1304" t="inlineStr">
        <is>
          <t>SCA</t>
        </is>
      </c>
      <c r="G1304" t="n">
        <v>2.3</v>
      </c>
      <c r="H1304" t="n">
        <v>0</v>
      </c>
      <c r="I1304" t="n">
        <v>0</v>
      </c>
      <c r="J1304" t="n">
        <v>1</v>
      </c>
      <c r="K1304" t="n">
        <v>0</v>
      </c>
      <c r="L1304" t="n">
        <v>0</v>
      </c>
      <c r="M1304" t="n">
        <v>0</v>
      </c>
      <c r="N1304" t="n">
        <v>0</v>
      </c>
      <c r="O1304" t="n">
        <v>1</v>
      </c>
      <c r="P1304" t="n">
        <v>0</v>
      </c>
      <c r="Q1304" t="n">
        <v>1</v>
      </c>
      <c r="R1304" s="2" t="inlineStr">
        <is>
          <t>Ullticka</t>
        </is>
      </c>
      <c r="S1304">
        <f>HYPERLINK("https://klasma.github.io/Logging_2303/artfynd/A 42899-2022 artfynd.xlsx", "A 42899-2022")</f>
        <v/>
      </c>
      <c r="T1304">
        <f>HYPERLINK("https://klasma.github.io/Logging_2303/kartor/A 42899-2022 karta.png", "A 42899-2022")</f>
        <v/>
      </c>
      <c r="V1304">
        <f>HYPERLINK("https://klasma.github.io/Logging_2303/klagomål/A 42899-2022 FSC-klagomål.docx", "A 42899-2022")</f>
        <v/>
      </c>
      <c r="W1304">
        <f>HYPERLINK("https://klasma.github.io/Logging_2303/klagomålsmail/A 42899-2022 FSC-klagomål mail.docx", "A 42899-2022")</f>
        <v/>
      </c>
      <c r="X1304">
        <f>HYPERLINK("https://klasma.github.io/Logging_2303/tillsyn/A 42899-2022 tillsynsbegäran.docx", "A 42899-2022")</f>
        <v/>
      </c>
      <c r="Y1304">
        <f>HYPERLINK("https://klasma.github.io/Logging_2303/tillsynsmail/A 42899-2022 tillsynsbegäran mail.docx", "A 42899-2022")</f>
        <v/>
      </c>
    </row>
    <row r="1305" ht="15" customHeight="1">
      <c r="A1305" t="inlineStr">
        <is>
          <t>A 43132-2022</t>
        </is>
      </c>
      <c r="B1305" s="1" t="n">
        <v>44833</v>
      </c>
      <c r="C1305" s="1" t="n">
        <v>45363</v>
      </c>
      <c r="D1305" t="inlineStr">
        <is>
          <t>JÄMTLANDS LÄN</t>
        </is>
      </c>
      <c r="E1305" t="inlineStr">
        <is>
          <t>BERG</t>
        </is>
      </c>
      <c r="F1305" t="inlineStr">
        <is>
          <t>SCA</t>
        </is>
      </c>
      <c r="G1305" t="n">
        <v>11.5</v>
      </c>
      <c r="H1305" t="n">
        <v>0</v>
      </c>
      <c r="I1305" t="n">
        <v>0</v>
      </c>
      <c r="J1305" t="n">
        <v>0</v>
      </c>
      <c r="K1305" t="n">
        <v>1</v>
      </c>
      <c r="L1305" t="n">
        <v>0</v>
      </c>
      <c r="M1305" t="n">
        <v>0</v>
      </c>
      <c r="N1305" t="n">
        <v>0</v>
      </c>
      <c r="O1305" t="n">
        <v>1</v>
      </c>
      <c r="P1305" t="n">
        <v>1</v>
      </c>
      <c r="Q1305" t="n">
        <v>1</v>
      </c>
      <c r="R1305" s="2" t="inlineStr">
        <is>
          <t>Gräddporing</t>
        </is>
      </c>
      <c r="S1305">
        <f>HYPERLINK("https://klasma.github.io/Logging_2326/artfynd/A 43132-2022 artfynd.xlsx", "A 43132-2022")</f>
        <v/>
      </c>
      <c r="T1305">
        <f>HYPERLINK("https://klasma.github.io/Logging_2326/kartor/A 43132-2022 karta.png", "A 43132-2022")</f>
        <v/>
      </c>
      <c r="V1305">
        <f>HYPERLINK("https://klasma.github.io/Logging_2326/klagomål/A 43132-2022 FSC-klagomål.docx", "A 43132-2022")</f>
        <v/>
      </c>
      <c r="W1305">
        <f>HYPERLINK("https://klasma.github.io/Logging_2326/klagomålsmail/A 43132-2022 FSC-klagomål mail.docx", "A 43132-2022")</f>
        <v/>
      </c>
      <c r="X1305">
        <f>HYPERLINK("https://klasma.github.io/Logging_2326/tillsyn/A 43132-2022 tillsynsbegäran.docx", "A 43132-2022")</f>
        <v/>
      </c>
      <c r="Y1305">
        <f>HYPERLINK("https://klasma.github.io/Logging_2326/tillsynsmail/A 43132-2022 tillsynsbegäran mail.docx", "A 43132-2022")</f>
        <v/>
      </c>
    </row>
    <row r="1306" ht="15" customHeight="1">
      <c r="A1306" t="inlineStr">
        <is>
          <t>A 43166-2022</t>
        </is>
      </c>
      <c r="B1306" s="1" t="n">
        <v>44833</v>
      </c>
      <c r="C1306" s="1" t="n">
        <v>45363</v>
      </c>
      <c r="D1306" t="inlineStr">
        <is>
          <t>JÄMTLANDS LÄN</t>
        </is>
      </c>
      <c r="E1306" t="inlineStr">
        <is>
          <t>BERG</t>
        </is>
      </c>
      <c r="F1306" t="inlineStr">
        <is>
          <t>SCA</t>
        </is>
      </c>
      <c r="G1306" t="n">
        <v>22.3</v>
      </c>
      <c r="H1306" t="n">
        <v>0</v>
      </c>
      <c r="I1306" t="n">
        <v>0</v>
      </c>
      <c r="J1306" t="n">
        <v>1</v>
      </c>
      <c r="K1306" t="n">
        <v>0</v>
      </c>
      <c r="L1306" t="n">
        <v>0</v>
      </c>
      <c r="M1306" t="n">
        <v>0</v>
      </c>
      <c r="N1306" t="n">
        <v>0</v>
      </c>
      <c r="O1306" t="n">
        <v>1</v>
      </c>
      <c r="P1306" t="n">
        <v>0</v>
      </c>
      <c r="Q1306" t="n">
        <v>1</v>
      </c>
      <c r="R1306" s="2" t="inlineStr">
        <is>
          <t>Skrovellav</t>
        </is>
      </c>
      <c r="S1306">
        <f>HYPERLINK("https://klasma.github.io/Logging_2326/artfynd/A 43166-2022 artfynd.xlsx", "A 43166-2022")</f>
        <v/>
      </c>
      <c r="T1306">
        <f>HYPERLINK("https://klasma.github.io/Logging_2326/kartor/A 43166-2022 karta.png", "A 43166-2022")</f>
        <v/>
      </c>
      <c r="V1306">
        <f>HYPERLINK("https://klasma.github.io/Logging_2326/klagomål/A 43166-2022 FSC-klagomål.docx", "A 43166-2022")</f>
        <v/>
      </c>
      <c r="W1306">
        <f>HYPERLINK("https://klasma.github.io/Logging_2326/klagomålsmail/A 43166-2022 FSC-klagomål mail.docx", "A 43166-2022")</f>
        <v/>
      </c>
      <c r="X1306">
        <f>HYPERLINK("https://klasma.github.io/Logging_2326/tillsyn/A 43166-2022 tillsynsbegäran.docx", "A 43166-2022")</f>
        <v/>
      </c>
      <c r="Y1306">
        <f>HYPERLINK("https://klasma.github.io/Logging_2326/tillsynsmail/A 43166-2022 tillsynsbegäran mail.docx", "A 43166-2022")</f>
        <v/>
      </c>
    </row>
    <row r="1307" ht="15" customHeight="1">
      <c r="A1307" t="inlineStr">
        <is>
          <t>A 43947-2022</t>
        </is>
      </c>
      <c r="B1307" s="1" t="n">
        <v>44838</v>
      </c>
      <c r="C1307" s="1" t="n">
        <v>45363</v>
      </c>
      <c r="D1307" t="inlineStr">
        <is>
          <t>JÄMTLANDS LÄN</t>
        </is>
      </c>
      <c r="E1307" t="inlineStr">
        <is>
          <t>ÖSTERSUND</t>
        </is>
      </c>
      <c r="F1307" t="inlineStr">
        <is>
          <t>Övriga Aktiebolag</t>
        </is>
      </c>
      <c r="G1307" t="n">
        <v>15.7</v>
      </c>
      <c r="H1307" t="n">
        <v>0</v>
      </c>
      <c r="I1307" t="n">
        <v>0</v>
      </c>
      <c r="J1307" t="n">
        <v>0</v>
      </c>
      <c r="K1307" t="n">
        <v>1</v>
      </c>
      <c r="L1307" t="n">
        <v>0</v>
      </c>
      <c r="M1307" t="n">
        <v>0</v>
      </c>
      <c r="N1307" t="n">
        <v>0</v>
      </c>
      <c r="O1307" t="n">
        <v>1</v>
      </c>
      <c r="P1307" t="n">
        <v>1</v>
      </c>
      <c r="Q1307" t="n">
        <v>1</v>
      </c>
      <c r="R1307" s="2" t="inlineStr">
        <is>
          <t>Sprickporing</t>
        </is>
      </c>
      <c r="S1307">
        <f>HYPERLINK("https://klasma.github.io/Logging_2380/artfynd/A 43947-2022 artfynd.xlsx", "A 43947-2022")</f>
        <v/>
      </c>
      <c r="T1307">
        <f>HYPERLINK("https://klasma.github.io/Logging_2380/kartor/A 43947-2022 karta.png", "A 43947-2022")</f>
        <v/>
      </c>
      <c r="V1307">
        <f>HYPERLINK("https://klasma.github.io/Logging_2380/klagomål/A 43947-2022 FSC-klagomål.docx", "A 43947-2022")</f>
        <v/>
      </c>
      <c r="W1307">
        <f>HYPERLINK("https://klasma.github.io/Logging_2380/klagomålsmail/A 43947-2022 FSC-klagomål mail.docx", "A 43947-2022")</f>
        <v/>
      </c>
      <c r="X1307">
        <f>HYPERLINK("https://klasma.github.io/Logging_2380/tillsyn/A 43947-2022 tillsynsbegäran.docx", "A 43947-2022")</f>
        <v/>
      </c>
      <c r="Y1307">
        <f>HYPERLINK("https://klasma.github.io/Logging_2380/tillsynsmail/A 43947-2022 tillsynsbegäran mail.docx", "A 43947-2022")</f>
        <v/>
      </c>
    </row>
    <row r="1308" ht="15" customHeight="1">
      <c r="A1308" t="inlineStr">
        <is>
          <t>A 45082-2022</t>
        </is>
      </c>
      <c r="B1308" s="1" t="n">
        <v>44842</v>
      </c>
      <c r="C1308" s="1" t="n">
        <v>45363</v>
      </c>
      <c r="D1308" t="inlineStr">
        <is>
          <t>JÄMTLANDS LÄN</t>
        </is>
      </c>
      <c r="E1308" t="inlineStr">
        <is>
          <t>BERG</t>
        </is>
      </c>
      <c r="F1308" t="inlineStr">
        <is>
          <t>SCA</t>
        </is>
      </c>
      <c r="G1308" t="n">
        <v>10.8</v>
      </c>
      <c r="H1308" t="n">
        <v>1</v>
      </c>
      <c r="I1308" t="n">
        <v>0</v>
      </c>
      <c r="J1308" t="n">
        <v>1</v>
      </c>
      <c r="K1308" t="n">
        <v>0</v>
      </c>
      <c r="L1308" t="n">
        <v>0</v>
      </c>
      <c r="M1308" t="n">
        <v>0</v>
      </c>
      <c r="N1308" t="n">
        <v>0</v>
      </c>
      <c r="O1308" t="n">
        <v>1</v>
      </c>
      <c r="P1308" t="n">
        <v>0</v>
      </c>
      <c r="Q1308" t="n">
        <v>1</v>
      </c>
      <c r="R1308" s="2" t="inlineStr">
        <is>
          <t>Fjällvråk</t>
        </is>
      </c>
      <c r="S1308">
        <f>HYPERLINK("https://klasma.github.io/Logging_2326/artfynd/A 45082-2022 artfynd.xlsx", "A 45082-2022")</f>
        <v/>
      </c>
      <c r="T1308">
        <f>HYPERLINK("https://klasma.github.io/Logging_2326/kartor/A 45082-2022 karta.png", "A 45082-2022")</f>
        <v/>
      </c>
      <c r="V1308">
        <f>HYPERLINK("https://klasma.github.io/Logging_2326/klagomål/A 45082-2022 FSC-klagomål.docx", "A 45082-2022")</f>
        <v/>
      </c>
      <c r="W1308">
        <f>HYPERLINK("https://klasma.github.io/Logging_2326/klagomålsmail/A 45082-2022 FSC-klagomål mail.docx", "A 45082-2022")</f>
        <v/>
      </c>
      <c r="X1308">
        <f>HYPERLINK("https://klasma.github.io/Logging_2326/tillsyn/A 45082-2022 tillsynsbegäran.docx", "A 45082-2022")</f>
        <v/>
      </c>
      <c r="Y1308">
        <f>HYPERLINK("https://klasma.github.io/Logging_2326/tillsynsmail/A 45082-2022 tillsynsbegäran mail.docx", "A 45082-2022")</f>
        <v/>
      </c>
      <c r="Z1308">
        <f>HYPERLINK("https://klasma.github.io/Logging_2326/fåglar/A 45082-2022 prioriterade fågelarter.docx", "A 45082-2022")</f>
        <v/>
      </c>
    </row>
    <row r="1309" ht="15" customHeight="1">
      <c r="A1309" t="inlineStr">
        <is>
          <t>A 45420-2022</t>
        </is>
      </c>
      <c r="B1309" s="1" t="n">
        <v>44844</v>
      </c>
      <c r="C1309" s="1" t="n">
        <v>45363</v>
      </c>
      <c r="D1309" t="inlineStr">
        <is>
          <t>JÄMTLANDS LÄN</t>
        </is>
      </c>
      <c r="E1309" t="inlineStr">
        <is>
          <t>BRÄCKE</t>
        </is>
      </c>
      <c r="F1309" t="inlineStr">
        <is>
          <t>SCA</t>
        </is>
      </c>
      <c r="G1309" t="n">
        <v>1.6</v>
      </c>
      <c r="H1309" t="n">
        <v>0</v>
      </c>
      <c r="I1309" t="n">
        <v>0</v>
      </c>
      <c r="J1309" t="n">
        <v>1</v>
      </c>
      <c r="K1309" t="n">
        <v>0</v>
      </c>
      <c r="L1309" t="n">
        <v>0</v>
      </c>
      <c r="M1309" t="n">
        <v>0</v>
      </c>
      <c r="N1309" t="n">
        <v>0</v>
      </c>
      <c r="O1309" t="n">
        <v>1</v>
      </c>
      <c r="P1309" t="n">
        <v>0</v>
      </c>
      <c r="Q1309" t="n">
        <v>1</v>
      </c>
      <c r="R1309" s="2" t="inlineStr">
        <is>
          <t>Vitgrynig nållav</t>
        </is>
      </c>
      <c r="S1309">
        <f>HYPERLINK("https://klasma.github.io/Logging_2305/artfynd/A 45420-2022 artfynd.xlsx", "A 45420-2022")</f>
        <v/>
      </c>
      <c r="T1309">
        <f>HYPERLINK("https://klasma.github.io/Logging_2305/kartor/A 45420-2022 karta.png", "A 45420-2022")</f>
        <v/>
      </c>
      <c r="V1309">
        <f>HYPERLINK("https://klasma.github.io/Logging_2305/klagomål/A 45420-2022 FSC-klagomål.docx", "A 45420-2022")</f>
        <v/>
      </c>
      <c r="W1309">
        <f>HYPERLINK("https://klasma.github.io/Logging_2305/klagomålsmail/A 45420-2022 FSC-klagomål mail.docx", "A 45420-2022")</f>
        <v/>
      </c>
      <c r="X1309">
        <f>HYPERLINK("https://klasma.github.io/Logging_2305/tillsyn/A 45420-2022 tillsynsbegäran.docx", "A 45420-2022")</f>
        <v/>
      </c>
      <c r="Y1309">
        <f>HYPERLINK("https://klasma.github.io/Logging_2305/tillsynsmail/A 45420-2022 tillsynsbegäran mail.docx", "A 45420-2022")</f>
        <v/>
      </c>
    </row>
    <row r="1310" ht="15" customHeight="1">
      <c r="A1310" t="inlineStr">
        <is>
          <t>A 45441-2022</t>
        </is>
      </c>
      <c r="B1310" s="1" t="n">
        <v>44844</v>
      </c>
      <c r="C1310" s="1" t="n">
        <v>45363</v>
      </c>
      <c r="D1310" t="inlineStr">
        <is>
          <t>JÄMTLANDS LÄN</t>
        </is>
      </c>
      <c r="E1310" t="inlineStr">
        <is>
          <t>ÖSTERSUND</t>
        </is>
      </c>
      <c r="F1310" t="inlineStr">
        <is>
          <t>SCA</t>
        </is>
      </c>
      <c r="G1310" t="n">
        <v>1.8</v>
      </c>
      <c r="H1310" t="n">
        <v>0</v>
      </c>
      <c r="I1310" t="n">
        <v>1</v>
      </c>
      <c r="J1310" t="n">
        <v>0</v>
      </c>
      <c r="K1310" t="n">
        <v>0</v>
      </c>
      <c r="L1310" t="n">
        <v>0</v>
      </c>
      <c r="M1310" t="n">
        <v>0</v>
      </c>
      <c r="N1310" t="n">
        <v>0</v>
      </c>
      <c r="O1310" t="n">
        <v>0</v>
      </c>
      <c r="P1310" t="n">
        <v>0</v>
      </c>
      <c r="Q1310" t="n">
        <v>1</v>
      </c>
      <c r="R1310" s="2" t="inlineStr">
        <is>
          <t>Korallblylav</t>
        </is>
      </c>
      <c r="S1310">
        <f>HYPERLINK("https://klasma.github.io/Logging_2380/artfynd/A 45441-2022 artfynd.xlsx", "A 45441-2022")</f>
        <v/>
      </c>
      <c r="T1310">
        <f>HYPERLINK("https://klasma.github.io/Logging_2380/kartor/A 45441-2022 karta.png", "A 45441-2022")</f>
        <v/>
      </c>
      <c r="V1310">
        <f>HYPERLINK("https://klasma.github.io/Logging_2380/klagomål/A 45441-2022 FSC-klagomål.docx", "A 45441-2022")</f>
        <v/>
      </c>
      <c r="W1310">
        <f>HYPERLINK("https://klasma.github.io/Logging_2380/klagomålsmail/A 45441-2022 FSC-klagomål mail.docx", "A 45441-2022")</f>
        <v/>
      </c>
      <c r="X1310">
        <f>HYPERLINK("https://klasma.github.io/Logging_2380/tillsyn/A 45441-2022 tillsynsbegäran.docx", "A 45441-2022")</f>
        <v/>
      </c>
      <c r="Y1310">
        <f>HYPERLINK("https://klasma.github.io/Logging_2380/tillsynsmail/A 45441-2022 tillsynsbegäran mail.docx", "A 45441-2022")</f>
        <v/>
      </c>
    </row>
    <row r="1311" ht="15" customHeight="1">
      <c r="A1311" t="inlineStr">
        <is>
          <t>A 45595-2022</t>
        </is>
      </c>
      <c r="B1311" s="1" t="n">
        <v>44845</v>
      </c>
      <c r="C1311" s="1" t="n">
        <v>45363</v>
      </c>
      <c r="D1311" t="inlineStr">
        <is>
          <t>JÄMTLANDS LÄN</t>
        </is>
      </c>
      <c r="E1311" t="inlineStr">
        <is>
          <t>KROKOM</t>
        </is>
      </c>
      <c r="G1311" t="n">
        <v>10.2</v>
      </c>
      <c r="H1311" t="n">
        <v>1</v>
      </c>
      <c r="I1311" t="n">
        <v>0</v>
      </c>
      <c r="J1311" t="n">
        <v>0</v>
      </c>
      <c r="K1311" t="n">
        <v>0</v>
      </c>
      <c r="L1311" t="n">
        <v>0</v>
      </c>
      <c r="M1311" t="n">
        <v>0</v>
      </c>
      <c r="N1311" t="n">
        <v>0</v>
      </c>
      <c r="O1311" t="n">
        <v>0</v>
      </c>
      <c r="P1311" t="n">
        <v>0</v>
      </c>
      <c r="Q1311" t="n">
        <v>1</v>
      </c>
      <c r="R1311" s="2" t="inlineStr">
        <is>
          <t>Revlummer</t>
        </is>
      </c>
      <c r="S1311">
        <f>HYPERLINK("https://klasma.github.io/Logging_2309/artfynd/A 45595-2022 artfynd.xlsx", "A 45595-2022")</f>
        <v/>
      </c>
      <c r="T1311">
        <f>HYPERLINK("https://klasma.github.io/Logging_2309/kartor/A 45595-2022 karta.png", "A 45595-2022")</f>
        <v/>
      </c>
      <c r="V1311">
        <f>HYPERLINK("https://klasma.github.io/Logging_2309/klagomål/A 45595-2022 FSC-klagomål.docx", "A 45595-2022")</f>
        <v/>
      </c>
      <c r="W1311">
        <f>HYPERLINK("https://klasma.github.io/Logging_2309/klagomålsmail/A 45595-2022 FSC-klagomål mail.docx", "A 45595-2022")</f>
        <v/>
      </c>
      <c r="X1311">
        <f>HYPERLINK("https://klasma.github.io/Logging_2309/tillsyn/A 45595-2022 tillsynsbegäran.docx", "A 45595-2022")</f>
        <v/>
      </c>
      <c r="Y1311">
        <f>HYPERLINK("https://klasma.github.io/Logging_2309/tillsynsmail/A 45595-2022 tillsynsbegäran mail.docx", "A 45595-2022")</f>
        <v/>
      </c>
    </row>
    <row r="1312" ht="15" customHeight="1">
      <c r="A1312" t="inlineStr">
        <is>
          <t>A 46343-2022</t>
        </is>
      </c>
      <c r="B1312" s="1" t="n">
        <v>44847</v>
      </c>
      <c r="C1312" s="1" t="n">
        <v>45363</v>
      </c>
      <c r="D1312" t="inlineStr">
        <is>
          <t>JÄMTLANDS LÄN</t>
        </is>
      </c>
      <c r="E1312" t="inlineStr">
        <is>
          <t>STRÖMSUND</t>
        </is>
      </c>
      <c r="F1312" t="inlineStr">
        <is>
          <t>SCA</t>
        </is>
      </c>
      <c r="G1312" t="n">
        <v>0.8</v>
      </c>
      <c r="H1312" t="n">
        <v>0</v>
      </c>
      <c r="I1312" t="n">
        <v>0</v>
      </c>
      <c r="J1312" t="n">
        <v>1</v>
      </c>
      <c r="K1312" t="n">
        <v>0</v>
      </c>
      <c r="L1312" t="n">
        <v>0</v>
      </c>
      <c r="M1312" t="n">
        <v>0</v>
      </c>
      <c r="N1312" t="n">
        <v>0</v>
      </c>
      <c r="O1312" t="n">
        <v>1</v>
      </c>
      <c r="P1312" t="n">
        <v>0</v>
      </c>
      <c r="Q1312" t="n">
        <v>1</v>
      </c>
      <c r="R1312" s="2" t="inlineStr">
        <is>
          <t>Lunglav</t>
        </is>
      </c>
      <c r="S1312">
        <f>HYPERLINK("https://klasma.github.io/Logging_2313/artfynd/A 46343-2022 artfynd.xlsx", "A 46343-2022")</f>
        <v/>
      </c>
      <c r="T1312">
        <f>HYPERLINK("https://klasma.github.io/Logging_2313/kartor/A 46343-2022 karta.png", "A 46343-2022")</f>
        <v/>
      </c>
      <c r="V1312">
        <f>HYPERLINK("https://klasma.github.io/Logging_2313/klagomål/A 46343-2022 FSC-klagomål.docx", "A 46343-2022")</f>
        <v/>
      </c>
      <c r="W1312">
        <f>HYPERLINK("https://klasma.github.io/Logging_2313/klagomålsmail/A 46343-2022 FSC-klagomål mail.docx", "A 46343-2022")</f>
        <v/>
      </c>
      <c r="X1312">
        <f>HYPERLINK("https://klasma.github.io/Logging_2313/tillsyn/A 46343-2022 tillsynsbegäran.docx", "A 46343-2022")</f>
        <v/>
      </c>
      <c r="Y1312">
        <f>HYPERLINK("https://klasma.github.io/Logging_2313/tillsynsmail/A 46343-2022 tillsynsbegäran mail.docx", "A 46343-2022")</f>
        <v/>
      </c>
    </row>
    <row r="1313" ht="15" customHeight="1">
      <c r="A1313" t="inlineStr">
        <is>
          <t>A 48063-2022</t>
        </is>
      </c>
      <c r="B1313" s="1" t="n">
        <v>44855</v>
      </c>
      <c r="C1313" s="1" t="n">
        <v>45363</v>
      </c>
      <c r="D1313" t="inlineStr">
        <is>
          <t>JÄMTLANDS LÄN</t>
        </is>
      </c>
      <c r="E1313" t="inlineStr">
        <is>
          <t>RAGUNDA</t>
        </is>
      </c>
      <c r="F1313" t="inlineStr">
        <is>
          <t>SCA</t>
        </is>
      </c>
      <c r="G1313" t="n">
        <v>3.3</v>
      </c>
      <c r="H1313" t="n">
        <v>0</v>
      </c>
      <c r="I1313" t="n">
        <v>1</v>
      </c>
      <c r="J1313" t="n">
        <v>0</v>
      </c>
      <c r="K1313" t="n">
        <v>0</v>
      </c>
      <c r="L1313" t="n">
        <v>0</v>
      </c>
      <c r="M1313" t="n">
        <v>0</v>
      </c>
      <c r="N1313" t="n">
        <v>0</v>
      </c>
      <c r="O1313" t="n">
        <v>0</v>
      </c>
      <c r="P1313" t="n">
        <v>0</v>
      </c>
      <c r="Q1313" t="n">
        <v>1</v>
      </c>
      <c r="R1313" s="2" t="inlineStr">
        <is>
          <t>Källmossa</t>
        </is>
      </c>
      <c r="S1313">
        <f>HYPERLINK("https://klasma.github.io/Logging_2303/artfynd/A 48063-2022 artfynd.xlsx", "A 48063-2022")</f>
        <v/>
      </c>
      <c r="T1313">
        <f>HYPERLINK("https://klasma.github.io/Logging_2303/kartor/A 48063-2022 karta.png", "A 48063-2022")</f>
        <v/>
      </c>
      <c r="V1313">
        <f>HYPERLINK("https://klasma.github.io/Logging_2303/klagomål/A 48063-2022 FSC-klagomål.docx", "A 48063-2022")</f>
        <v/>
      </c>
      <c r="W1313">
        <f>HYPERLINK("https://klasma.github.io/Logging_2303/klagomålsmail/A 48063-2022 FSC-klagomål mail.docx", "A 48063-2022")</f>
        <v/>
      </c>
      <c r="X1313">
        <f>HYPERLINK("https://klasma.github.io/Logging_2303/tillsyn/A 48063-2022 tillsynsbegäran.docx", "A 48063-2022")</f>
        <v/>
      </c>
      <c r="Y1313">
        <f>HYPERLINK("https://klasma.github.io/Logging_2303/tillsynsmail/A 48063-2022 tillsynsbegäran mail.docx", "A 48063-2022")</f>
        <v/>
      </c>
    </row>
    <row r="1314" ht="15" customHeight="1">
      <c r="A1314" t="inlineStr">
        <is>
          <t>A 48544-2022</t>
        </is>
      </c>
      <c r="B1314" s="1" t="n">
        <v>44858</v>
      </c>
      <c r="C1314" s="1" t="n">
        <v>45363</v>
      </c>
      <c r="D1314" t="inlineStr">
        <is>
          <t>JÄMTLANDS LÄN</t>
        </is>
      </c>
      <c r="E1314" t="inlineStr">
        <is>
          <t>STRÖMSUND</t>
        </is>
      </c>
      <c r="F1314" t="inlineStr">
        <is>
          <t>SCA</t>
        </is>
      </c>
      <c r="G1314" t="n">
        <v>2.6</v>
      </c>
      <c r="H1314" t="n">
        <v>1</v>
      </c>
      <c r="I1314" t="n">
        <v>0</v>
      </c>
      <c r="J1314" t="n">
        <v>0</v>
      </c>
      <c r="K1314" t="n">
        <v>1</v>
      </c>
      <c r="L1314" t="n">
        <v>0</v>
      </c>
      <c r="M1314" t="n">
        <v>0</v>
      </c>
      <c r="N1314" t="n">
        <v>0</v>
      </c>
      <c r="O1314" t="n">
        <v>1</v>
      </c>
      <c r="P1314" t="n">
        <v>1</v>
      </c>
      <c r="Q1314" t="n">
        <v>1</v>
      </c>
      <c r="R1314" s="2" t="inlineStr">
        <is>
          <t>Doftticka</t>
        </is>
      </c>
      <c r="S1314">
        <f>HYPERLINK("https://klasma.github.io/Logging_2313/artfynd/A 48544-2022 artfynd.xlsx", "A 48544-2022")</f>
        <v/>
      </c>
      <c r="T1314">
        <f>HYPERLINK("https://klasma.github.io/Logging_2313/kartor/A 48544-2022 karta.png", "A 48544-2022")</f>
        <v/>
      </c>
      <c r="V1314">
        <f>HYPERLINK("https://klasma.github.io/Logging_2313/klagomål/A 48544-2022 FSC-klagomål.docx", "A 48544-2022")</f>
        <v/>
      </c>
      <c r="W1314">
        <f>HYPERLINK("https://klasma.github.io/Logging_2313/klagomålsmail/A 48544-2022 FSC-klagomål mail.docx", "A 48544-2022")</f>
        <v/>
      </c>
      <c r="X1314">
        <f>HYPERLINK("https://klasma.github.io/Logging_2313/tillsyn/A 48544-2022 tillsynsbegäran.docx", "A 48544-2022")</f>
        <v/>
      </c>
      <c r="Y1314">
        <f>HYPERLINK("https://klasma.github.io/Logging_2313/tillsynsmail/A 48544-2022 tillsynsbegäran mail.docx", "A 48544-2022")</f>
        <v/>
      </c>
    </row>
    <row r="1315" ht="15" customHeight="1">
      <c r="A1315" t="inlineStr">
        <is>
          <t>A 48896-2022</t>
        </is>
      </c>
      <c r="B1315" s="1" t="n">
        <v>44859</v>
      </c>
      <c r="C1315" s="1" t="n">
        <v>45363</v>
      </c>
      <c r="D1315" t="inlineStr">
        <is>
          <t>JÄMTLANDS LÄN</t>
        </is>
      </c>
      <c r="E1315" t="inlineStr">
        <is>
          <t>STRÖMSUND</t>
        </is>
      </c>
      <c r="F1315" t="inlineStr">
        <is>
          <t>SCA</t>
        </is>
      </c>
      <c r="G1315" t="n">
        <v>3.3</v>
      </c>
      <c r="H1315" t="n">
        <v>1</v>
      </c>
      <c r="I1315" t="n">
        <v>1</v>
      </c>
      <c r="J1315" t="n">
        <v>0</v>
      </c>
      <c r="K1315" t="n">
        <v>0</v>
      </c>
      <c r="L1315" t="n">
        <v>0</v>
      </c>
      <c r="M1315" t="n">
        <v>0</v>
      </c>
      <c r="N1315" t="n">
        <v>0</v>
      </c>
      <c r="O1315" t="n">
        <v>0</v>
      </c>
      <c r="P1315" t="n">
        <v>0</v>
      </c>
      <c r="Q1315" t="n">
        <v>1</v>
      </c>
      <c r="R1315" s="2" t="inlineStr">
        <is>
          <t>Guckusko</t>
        </is>
      </c>
      <c r="S1315">
        <f>HYPERLINK("https://klasma.github.io/Logging_2313/artfynd/A 48896-2022 artfynd.xlsx", "A 48896-2022")</f>
        <v/>
      </c>
      <c r="T1315">
        <f>HYPERLINK("https://klasma.github.io/Logging_2313/kartor/A 48896-2022 karta.png", "A 48896-2022")</f>
        <v/>
      </c>
      <c r="V1315">
        <f>HYPERLINK("https://klasma.github.io/Logging_2313/klagomål/A 48896-2022 FSC-klagomål.docx", "A 48896-2022")</f>
        <v/>
      </c>
      <c r="W1315">
        <f>HYPERLINK("https://klasma.github.io/Logging_2313/klagomålsmail/A 48896-2022 FSC-klagomål mail.docx", "A 48896-2022")</f>
        <v/>
      </c>
      <c r="X1315">
        <f>HYPERLINK("https://klasma.github.io/Logging_2313/tillsyn/A 48896-2022 tillsynsbegäran.docx", "A 48896-2022")</f>
        <v/>
      </c>
      <c r="Y1315">
        <f>HYPERLINK("https://klasma.github.io/Logging_2313/tillsynsmail/A 48896-2022 tillsynsbegäran mail.docx", "A 48896-2022")</f>
        <v/>
      </c>
    </row>
    <row r="1316" ht="15" customHeight="1">
      <c r="A1316" t="inlineStr">
        <is>
          <t>A 49091-2022</t>
        </is>
      </c>
      <c r="B1316" s="1" t="n">
        <v>44860</v>
      </c>
      <c r="C1316" s="1" t="n">
        <v>45363</v>
      </c>
      <c r="D1316" t="inlineStr">
        <is>
          <t>JÄMTLANDS LÄN</t>
        </is>
      </c>
      <c r="E1316" t="inlineStr">
        <is>
          <t>RAGUNDA</t>
        </is>
      </c>
      <c r="G1316" t="n">
        <v>3.5</v>
      </c>
      <c r="H1316" t="n">
        <v>1</v>
      </c>
      <c r="I1316" t="n">
        <v>0</v>
      </c>
      <c r="J1316" t="n">
        <v>0</v>
      </c>
      <c r="K1316" t="n">
        <v>1</v>
      </c>
      <c r="L1316" t="n">
        <v>0</v>
      </c>
      <c r="M1316" t="n">
        <v>0</v>
      </c>
      <c r="N1316" t="n">
        <v>0</v>
      </c>
      <c r="O1316" t="n">
        <v>1</v>
      </c>
      <c r="P1316" t="n">
        <v>1</v>
      </c>
      <c r="Q1316" t="n">
        <v>1</v>
      </c>
      <c r="R1316" s="2" t="inlineStr">
        <is>
          <t>Doftticka</t>
        </is>
      </c>
      <c r="S1316">
        <f>HYPERLINK("https://klasma.github.io/Logging_2303/artfynd/A 49091-2022 artfynd.xlsx", "A 49091-2022")</f>
        <v/>
      </c>
      <c r="T1316">
        <f>HYPERLINK("https://klasma.github.io/Logging_2303/kartor/A 49091-2022 karta.png", "A 49091-2022")</f>
        <v/>
      </c>
      <c r="V1316">
        <f>HYPERLINK("https://klasma.github.io/Logging_2303/klagomål/A 49091-2022 FSC-klagomål.docx", "A 49091-2022")</f>
        <v/>
      </c>
      <c r="W1316">
        <f>HYPERLINK("https://klasma.github.io/Logging_2303/klagomålsmail/A 49091-2022 FSC-klagomål mail.docx", "A 49091-2022")</f>
        <v/>
      </c>
      <c r="X1316">
        <f>HYPERLINK("https://klasma.github.io/Logging_2303/tillsyn/A 49091-2022 tillsynsbegäran.docx", "A 49091-2022")</f>
        <v/>
      </c>
      <c r="Y1316">
        <f>HYPERLINK("https://klasma.github.io/Logging_2303/tillsynsmail/A 49091-2022 tillsynsbegäran mail.docx", "A 49091-2022")</f>
        <v/>
      </c>
    </row>
    <row r="1317" ht="15" customHeight="1">
      <c r="A1317" t="inlineStr">
        <is>
          <t>A 49532-2022</t>
        </is>
      </c>
      <c r="B1317" s="1" t="n">
        <v>44861</v>
      </c>
      <c r="C1317" s="1" t="n">
        <v>45363</v>
      </c>
      <c r="D1317" t="inlineStr">
        <is>
          <t>JÄMTLANDS LÄN</t>
        </is>
      </c>
      <c r="E1317" t="inlineStr">
        <is>
          <t>BERG</t>
        </is>
      </c>
      <c r="F1317" t="inlineStr">
        <is>
          <t>SCA</t>
        </is>
      </c>
      <c r="G1317" t="n">
        <v>12.7</v>
      </c>
      <c r="H1317" t="n">
        <v>0</v>
      </c>
      <c r="I1317" t="n">
        <v>0</v>
      </c>
      <c r="J1317" t="n">
        <v>1</v>
      </c>
      <c r="K1317" t="n">
        <v>0</v>
      </c>
      <c r="L1317" t="n">
        <v>0</v>
      </c>
      <c r="M1317" t="n">
        <v>0</v>
      </c>
      <c r="N1317" t="n">
        <v>0</v>
      </c>
      <c r="O1317" t="n">
        <v>1</v>
      </c>
      <c r="P1317" t="n">
        <v>0</v>
      </c>
      <c r="Q1317" t="n">
        <v>1</v>
      </c>
      <c r="R1317" s="2" t="inlineStr">
        <is>
          <t>Dvärgbägarlav</t>
        </is>
      </c>
      <c r="S1317">
        <f>HYPERLINK("https://klasma.github.io/Logging_2326/artfynd/A 49532-2022 artfynd.xlsx", "A 49532-2022")</f>
        <v/>
      </c>
      <c r="T1317">
        <f>HYPERLINK("https://klasma.github.io/Logging_2326/kartor/A 49532-2022 karta.png", "A 49532-2022")</f>
        <v/>
      </c>
      <c r="V1317">
        <f>HYPERLINK("https://klasma.github.io/Logging_2326/klagomål/A 49532-2022 FSC-klagomål.docx", "A 49532-2022")</f>
        <v/>
      </c>
      <c r="W1317">
        <f>HYPERLINK("https://klasma.github.io/Logging_2326/klagomålsmail/A 49532-2022 FSC-klagomål mail.docx", "A 49532-2022")</f>
        <v/>
      </c>
      <c r="X1317">
        <f>HYPERLINK("https://klasma.github.io/Logging_2326/tillsyn/A 49532-2022 tillsynsbegäran.docx", "A 49532-2022")</f>
        <v/>
      </c>
      <c r="Y1317">
        <f>HYPERLINK("https://klasma.github.io/Logging_2326/tillsynsmail/A 49532-2022 tillsynsbegäran mail.docx", "A 49532-2022")</f>
        <v/>
      </c>
    </row>
    <row r="1318" ht="15" customHeight="1">
      <c r="A1318" t="inlineStr">
        <is>
          <t>A 49863-2022</t>
        </is>
      </c>
      <c r="B1318" s="1" t="n">
        <v>44862</v>
      </c>
      <c r="C1318" s="1" t="n">
        <v>45363</v>
      </c>
      <c r="D1318" t="inlineStr">
        <is>
          <t>JÄMTLANDS LÄN</t>
        </is>
      </c>
      <c r="E1318" t="inlineStr">
        <is>
          <t>BRÄCKE</t>
        </is>
      </c>
      <c r="F1318" t="inlineStr">
        <is>
          <t>SCA</t>
        </is>
      </c>
      <c r="G1318" t="n">
        <v>3.9</v>
      </c>
      <c r="H1318" t="n">
        <v>1</v>
      </c>
      <c r="I1318" t="n">
        <v>1</v>
      </c>
      <c r="J1318" t="n">
        <v>0</v>
      </c>
      <c r="K1318" t="n">
        <v>0</v>
      </c>
      <c r="L1318" t="n">
        <v>0</v>
      </c>
      <c r="M1318" t="n">
        <v>0</v>
      </c>
      <c r="N1318" t="n">
        <v>0</v>
      </c>
      <c r="O1318" t="n">
        <v>0</v>
      </c>
      <c r="P1318" t="n">
        <v>0</v>
      </c>
      <c r="Q1318" t="n">
        <v>1</v>
      </c>
      <c r="R1318" s="2" t="inlineStr">
        <is>
          <t>Spindelblomster</t>
        </is>
      </c>
      <c r="S1318">
        <f>HYPERLINK("https://klasma.github.io/Logging_2305/artfynd/A 49863-2022 artfynd.xlsx", "A 49863-2022")</f>
        <v/>
      </c>
      <c r="T1318">
        <f>HYPERLINK("https://klasma.github.io/Logging_2305/kartor/A 49863-2022 karta.png", "A 49863-2022")</f>
        <v/>
      </c>
      <c r="V1318">
        <f>HYPERLINK("https://klasma.github.io/Logging_2305/klagomål/A 49863-2022 FSC-klagomål.docx", "A 49863-2022")</f>
        <v/>
      </c>
      <c r="W1318">
        <f>HYPERLINK("https://klasma.github.io/Logging_2305/klagomålsmail/A 49863-2022 FSC-klagomål mail.docx", "A 49863-2022")</f>
        <v/>
      </c>
      <c r="X1318">
        <f>HYPERLINK("https://klasma.github.io/Logging_2305/tillsyn/A 49863-2022 tillsynsbegäran.docx", "A 49863-2022")</f>
        <v/>
      </c>
      <c r="Y1318">
        <f>HYPERLINK("https://klasma.github.io/Logging_2305/tillsynsmail/A 49863-2022 tillsynsbegäran mail.docx", "A 49863-2022")</f>
        <v/>
      </c>
    </row>
    <row r="1319" ht="15" customHeight="1">
      <c r="A1319" t="inlineStr">
        <is>
          <t>A 50688-2022</t>
        </is>
      </c>
      <c r="B1319" s="1" t="n">
        <v>44866</v>
      </c>
      <c r="C1319" s="1" t="n">
        <v>45363</v>
      </c>
      <c r="D1319" t="inlineStr">
        <is>
          <t>JÄMTLANDS LÄN</t>
        </is>
      </c>
      <c r="E1319" t="inlineStr">
        <is>
          <t>STRÖMSUND</t>
        </is>
      </c>
      <c r="F1319" t="inlineStr">
        <is>
          <t>SCA</t>
        </is>
      </c>
      <c r="G1319" t="n">
        <v>8.699999999999999</v>
      </c>
      <c r="H1319" t="n">
        <v>1</v>
      </c>
      <c r="I1319" t="n">
        <v>0</v>
      </c>
      <c r="J1319" t="n">
        <v>1</v>
      </c>
      <c r="K1319" t="n">
        <v>0</v>
      </c>
      <c r="L1319" t="n">
        <v>0</v>
      </c>
      <c r="M1319" t="n">
        <v>0</v>
      </c>
      <c r="N1319" t="n">
        <v>0</v>
      </c>
      <c r="O1319" t="n">
        <v>1</v>
      </c>
      <c r="P1319" t="n">
        <v>0</v>
      </c>
      <c r="Q1319" t="n">
        <v>1</v>
      </c>
      <c r="R1319" s="2" t="inlineStr">
        <is>
          <t>Skogsfru</t>
        </is>
      </c>
      <c r="S1319">
        <f>HYPERLINK("https://klasma.github.io/Logging_2313/artfynd/A 50688-2022 artfynd.xlsx", "A 50688-2022")</f>
        <v/>
      </c>
      <c r="T1319">
        <f>HYPERLINK("https://klasma.github.io/Logging_2313/kartor/A 50688-2022 karta.png", "A 50688-2022")</f>
        <v/>
      </c>
      <c r="V1319">
        <f>HYPERLINK("https://klasma.github.io/Logging_2313/klagomål/A 50688-2022 FSC-klagomål.docx", "A 50688-2022")</f>
        <v/>
      </c>
      <c r="W1319">
        <f>HYPERLINK("https://klasma.github.io/Logging_2313/klagomålsmail/A 50688-2022 FSC-klagomål mail.docx", "A 50688-2022")</f>
        <v/>
      </c>
      <c r="X1319">
        <f>HYPERLINK("https://klasma.github.io/Logging_2313/tillsyn/A 50688-2022 tillsynsbegäran.docx", "A 50688-2022")</f>
        <v/>
      </c>
      <c r="Y1319">
        <f>HYPERLINK("https://klasma.github.io/Logging_2313/tillsynsmail/A 50688-2022 tillsynsbegäran mail.docx", "A 50688-2022")</f>
        <v/>
      </c>
    </row>
    <row r="1320" ht="15" customHeight="1">
      <c r="A1320" t="inlineStr">
        <is>
          <t>A 50683-2022</t>
        </is>
      </c>
      <c r="B1320" s="1" t="n">
        <v>44866</v>
      </c>
      <c r="C1320" s="1" t="n">
        <v>45363</v>
      </c>
      <c r="D1320" t="inlineStr">
        <is>
          <t>JÄMTLANDS LÄN</t>
        </is>
      </c>
      <c r="E1320" t="inlineStr">
        <is>
          <t>STRÖMSUND</t>
        </is>
      </c>
      <c r="F1320" t="inlineStr">
        <is>
          <t>SCA</t>
        </is>
      </c>
      <c r="G1320" t="n">
        <v>4.8</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HYPERLINK("https://klasma.github.io/Logging_2313/artfynd/A 50683-2022 artfynd.xlsx", "A 50683-2022")</f>
        <v/>
      </c>
      <c r="T1320">
        <f>HYPERLINK("https://klasma.github.io/Logging_2313/kartor/A 50683-2022 karta.png", "A 50683-2022")</f>
        <v/>
      </c>
      <c r="V1320">
        <f>HYPERLINK("https://klasma.github.io/Logging_2313/klagomål/A 50683-2022 FSC-klagomål.docx", "A 50683-2022")</f>
        <v/>
      </c>
      <c r="W1320">
        <f>HYPERLINK("https://klasma.github.io/Logging_2313/klagomålsmail/A 50683-2022 FSC-klagomål mail.docx", "A 50683-2022")</f>
        <v/>
      </c>
      <c r="X1320">
        <f>HYPERLINK("https://klasma.github.io/Logging_2313/tillsyn/A 50683-2022 tillsynsbegäran.docx", "A 50683-2022")</f>
        <v/>
      </c>
      <c r="Y1320">
        <f>HYPERLINK("https://klasma.github.io/Logging_2313/tillsynsmail/A 50683-2022 tillsynsbegäran mail.docx", "A 50683-2022")</f>
        <v/>
      </c>
    </row>
    <row r="1321" ht="15" customHeight="1">
      <c r="A1321" t="inlineStr">
        <is>
          <t>A 51309-2022</t>
        </is>
      </c>
      <c r="B1321" s="1" t="n">
        <v>44868</v>
      </c>
      <c r="C1321" s="1" t="n">
        <v>45363</v>
      </c>
      <c r="D1321" t="inlineStr">
        <is>
          <t>JÄMTLANDS LÄN</t>
        </is>
      </c>
      <c r="E1321" t="inlineStr">
        <is>
          <t>STRÖMSUND</t>
        </is>
      </c>
      <c r="F1321" t="inlineStr">
        <is>
          <t>SCA</t>
        </is>
      </c>
      <c r="G1321" t="n">
        <v>5.1</v>
      </c>
      <c r="H1321" t="n">
        <v>0</v>
      </c>
      <c r="I1321" t="n">
        <v>0</v>
      </c>
      <c r="J1321" t="n">
        <v>1</v>
      </c>
      <c r="K1321" t="n">
        <v>0</v>
      </c>
      <c r="L1321" t="n">
        <v>0</v>
      </c>
      <c r="M1321" t="n">
        <v>0</v>
      </c>
      <c r="N1321" t="n">
        <v>0</v>
      </c>
      <c r="O1321" t="n">
        <v>1</v>
      </c>
      <c r="P1321" t="n">
        <v>0</v>
      </c>
      <c r="Q1321" t="n">
        <v>1</v>
      </c>
      <c r="R1321" s="2" t="inlineStr">
        <is>
          <t>Skrovellav</t>
        </is>
      </c>
      <c r="S1321">
        <f>HYPERLINK("https://klasma.github.io/Logging_2313/artfynd/A 51309-2022 artfynd.xlsx", "A 51309-2022")</f>
        <v/>
      </c>
      <c r="T1321">
        <f>HYPERLINK("https://klasma.github.io/Logging_2313/kartor/A 51309-2022 karta.png", "A 51309-2022")</f>
        <v/>
      </c>
      <c r="V1321">
        <f>HYPERLINK("https://klasma.github.io/Logging_2313/klagomål/A 51309-2022 FSC-klagomål.docx", "A 51309-2022")</f>
        <v/>
      </c>
      <c r="W1321">
        <f>HYPERLINK("https://klasma.github.io/Logging_2313/klagomålsmail/A 51309-2022 FSC-klagomål mail.docx", "A 51309-2022")</f>
        <v/>
      </c>
      <c r="X1321">
        <f>HYPERLINK("https://klasma.github.io/Logging_2313/tillsyn/A 51309-2022 tillsynsbegäran.docx", "A 51309-2022")</f>
        <v/>
      </c>
      <c r="Y1321">
        <f>HYPERLINK("https://klasma.github.io/Logging_2313/tillsynsmail/A 51309-2022 tillsynsbegäran mail.docx", "A 51309-2022")</f>
        <v/>
      </c>
    </row>
    <row r="1322" ht="15" customHeight="1">
      <c r="A1322" t="inlineStr">
        <is>
          <t>A 52030-2022</t>
        </is>
      </c>
      <c r="B1322" s="1" t="n">
        <v>44872</v>
      </c>
      <c r="C1322" s="1" t="n">
        <v>45363</v>
      </c>
      <c r="D1322" t="inlineStr">
        <is>
          <t>JÄMTLANDS LÄN</t>
        </is>
      </c>
      <c r="E1322" t="inlineStr">
        <is>
          <t>BRÄCKE</t>
        </is>
      </c>
      <c r="F1322" t="inlineStr">
        <is>
          <t>SCA</t>
        </is>
      </c>
      <c r="G1322" t="n">
        <v>2.2</v>
      </c>
      <c r="H1322" t="n">
        <v>1</v>
      </c>
      <c r="I1322" t="n">
        <v>0</v>
      </c>
      <c r="J1322" t="n">
        <v>1</v>
      </c>
      <c r="K1322" t="n">
        <v>0</v>
      </c>
      <c r="L1322" t="n">
        <v>0</v>
      </c>
      <c r="M1322" t="n">
        <v>0</v>
      </c>
      <c r="N1322" t="n">
        <v>0</v>
      </c>
      <c r="O1322" t="n">
        <v>1</v>
      </c>
      <c r="P1322" t="n">
        <v>0</v>
      </c>
      <c r="Q1322" t="n">
        <v>1</v>
      </c>
      <c r="R1322" s="2" t="inlineStr">
        <is>
          <t>Talltita</t>
        </is>
      </c>
      <c r="S1322">
        <f>HYPERLINK("https://klasma.github.io/Logging_2305/artfynd/A 52030-2022 artfynd.xlsx", "A 52030-2022")</f>
        <v/>
      </c>
      <c r="T1322">
        <f>HYPERLINK("https://klasma.github.io/Logging_2305/kartor/A 52030-2022 karta.png", "A 52030-2022")</f>
        <v/>
      </c>
      <c r="V1322">
        <f>HYPERLINK("https://klasma.github.io/Logging_2305/klagomål/A 52030-2022 FSC-klagomål.docx", "A 52030-2022")</f>
        <v/>
      </c>
      <c r="W1322">
        <f>HYPERLINK("https://klasma.github.io/Logging_2305/klagomålsmail/A 52030-2022 FSC-klagomål mail.docx", "A 52030-2022")</f>
        <v/>
      </c>
      <c r="X1322">
        <f>HYPERLINK("https://klasma.github.io/Logging_2305/tillsyn/A 52030-2022 tillsynsbegäran.docx", "A 52030-2022")</f>
        <v/>
      </c>
      <c r="Y1322">
        <f>HYPERLINK("https://klasma.github.io/Logging_2305/tillsynsmail/A 52030-2022 tillsynsbegäran mail.docx", "A 52030-2022")</f>
        <v/>
      </c>
      <c r="Z1322">
        <f>HYPERLINK("https://klasma.github.io/Logging_2305/fåglar/A 52030-2022 prioriterade fågelarter.docx", "A 52030-2022")</f>
        <v/>
      </c>
    </row>
    <row r="1323" ht="15" customHeight="1">
      <c r="A1323" t="inlineStr">
        <is>
          <t>A 52018-2022</t>
        </is>
      </c>
      <c r="B1323" s="1" t="n">
        <v>44872</v>
      </c>
      <c r="C1323" s="1" t="n">
        <v>45363</v>
      </c>
      <c r="D1323" t="inlineStr">
        <is>
          <t>JÄMTLANDS LÄN</t>
        </is>
      </c>
      <c r="E1323" t="inlineStr">
        <is>
          <t>BRÄCKE</t>
        </is>
      </c>
      <c r="F1323" t="inlineStr">
        <is>
          <t>SCA</t>
        </is>
      </c>
      <c r="G1323" t="n">
        <v>1.3</v>
      </c>
      <c r="H1323" t="n">
        <v>0</v>
      </c>
      <c r="I1323" t="n">
        <v>0</v>
      </c>
      <c r="J1323" t="n">
        <v>1</v>
      </c>
      <c r="K1323" t="n">
        <v>0</v>
      </c>
      <c r="L1323" t="n">
        <v>0</v>
      </c>
      <c r="M1323" t="n">
        <v>0</v>
      </c>
      <c r="N1323" t="n">
        <v>0</v>
      </c>
      <c r="O1323" t="n">
        <v>1</v>
      </c>
      <c r="P1323" t="n">
        <v>0</v>
      </c>
      <c r="Q1323" t="n">
        <v>1</v>
      </c>
      <c r="R1323" s="2" t="inlineStr">
        <is>
          <t>Lunglav</t>
        </is>
      </c>
      <c r="S1323">
        <f>HYPERLINK("https://klasma.github.io/Logging_2305/artfynd/A 52018-2022 artfynd.xlsx", "A 52018-2022")</f>
        <v/>
      </c>
      <c r="T1323">
        <f>HYPERLINK("https://klasma.github.io/Logging_2305/kartor/A 52018-2022 karta.png", "A 52018-2022")</f>
        <v/>
      </c>
      <c r="V1323">
        <f>HYPERLINK("https://klasma.github.io/Logging_2305/klagomål/A 52018-2022 FSC-klagomål.docx", "A 52018-2022")</f>
        <v/>
      </c>
      <c r="W1323">
        <f>HYPERLINK("https://klasma.github.io/Logging_2305/klagomålsmail/A 52018-2022 FSC-klagomål mail.docx", "A 52018-2022")</f>
        <v/>
      </c>
      <c r="X1323">
        <f>HYPERLINK("https://klasma.github.io/Logging_2305/tillsyn/A 52018-2022 tillsynsbegäran.docx", "A 52018-2022")</f>
        <v/>
      </c>
      <c r="Y1323">
        <f>HYPERLINK("https://klasma.github.io/Logging_2305/tillsynsmail/A 52018-2022 tillsynsbegäran mail.docx", "A 52018-2022")</f>
        <v/>
      </c>
    </row>
    <row r="1324" ht="15" customHeight="1">
      <c r="A1324" t="inlineStr">
        <is>
          <t>A 52328-2022</t>
        </is>
      </c>
      <c r="B1324" s="1" t="n">
        <v>44873</v>
      </c>
      <c r="C1324" s="1" t="n">
        <v>45363</v>
      </c>
      <c r="D1324" t="inlineStr">
        <is>
          <t>JÄMTLANDS LÄN</t>
        </is>
      </c>
      <c r="E1324" t="inlineStr">
        <is>
          <t>HÄRJEDALEN</t>
        </is>
      </c>
      <c r="G1324" t="n">
        <v>30.5</v>
      </c>
      <c r="H1324" t="n">
        <v>0</v>
      </c>
      <c r="I1324" t="n">
        <v>0</v>
      </c>
      <c r="J1324" t="n">
        <v>1</v>
      </c>
      <c r="K1324" t="n">
        <v>0</v>
      </c>
      <c r="L1324" t="n">
        <v>0</v>
      </c>
      <c r="M1324" t="n">
        <v>0</v>
      </c>
      <c r="N1324" t="n">
        <v>0</v>
      </c>
      <c r="O1324" t="n">
        <v>1</v>
      </c>
      <c r="P1324" t="n">
        <v>0</v>
      </c>
      <c r="Q1324" t="n">
        <v>1</v>
      </c>
      <c r="R1324" s="2" t="inlineStr">
        <is>
          <t>Stjärntagging</t>
        </is>
      </c>
      <c r="S1324">
        <f>HYPERLINK("https://klasma.github.io/Logging_2361/artfynd/A 52328-2022 artfynd.xlsx", "A 52328-2022")</f>
        <v/>
      </c>
      <c r="T1324">
        <f>HYPERLINK("https://klasma.github.io/Logging_2361/kartor/A 52328-2022 karta.png", "A 52328-2022")</f>
        <v/>
      </c>
      <c r="V1324">
        <f>HYPERLINK("https://klasma.github.io/Logging_2361/klagomål/A 52328-2022 FSC-klagomål.docx", "A 52328-2022")</f>
        <v/>
      </c>
      <c r="W1324">
        <f>HYPERLINK("https://klasma.github.io/Logging_2361/klagomålsmail/A 52328-2022 FSC-klagomål mail.docx", "A 52328-2022")</f>
        <v/>
      </c>
      <c r="X1324">
        <f>HYPERLINK("https://klasma.github.io/Logging_2361/tillsyn/A 52328-2022 tillsynsbegäran.docx", "A 52328-2022")</f>
        <v/>
      </c>
      <c r="Y1324">
        <f>HYPERLINK("https://klasma.github.io/Logging_2361/tillsynsmail/A 52328-2022 tillsynsbegäran mail.docx", "A 52328-2022")</f>
        <v/>
      </c>
    </row>
    <row r="1325" ht="15" customHeight="1">
      <c r="A1325" t="inlineStr">
        <is>
          <t>A 53014-2022</t>
        </is>
      </c>
      <c r="B1325" s="1" t="n">
        <v>44875</v>
      </c>
      <c r="C1325" s="1" t="n">
        <v>45363</v>
      </c>
      <c r="D1325" t="inlineStr">
        <is>
          <t>JÄMTLANDS LÄN</t>
        </is>
      </c>
      <c r="E1325" t="inlineStr">
        <is>
          <t>BERG</t>
        </is>
      </c>
      <c r="F1325" t="inlineStr">
        <is>
          <t>SCA</t>
        </is>
      </c>
      <c r="G1325" t="n">
        <v>13</v>
      </c>
      <c r="H1325" t="n">
        <v>0</v>
      </c>
      <c r="I1325" t="n">
        <v>0</v>
      </c>
      <c r="J1325" t="n">
        <v>0</v>
      </c>
      <c r="K1325" t="n">
        <v>1</v>
      </c>
      <c r="L1325" t="n">
        <v>0</v>
      </c>
      <c r="M1325" t="n">
        <v>0</v>
      </c>
      <c r="N1325" t="n">
        <v>0</v>
      </c>
      <c r="O1325" t="n">
        <v>1</v>
      </c>
      <c r="P1325" t="n">
        <v>1</v>
      </c>
      <c r="Q1325" t="n">
        <v>1</v>
      </c>
      <c r="R1325" s="2" t="inlineStr">
        <is>
          <t>Gräddporing</t>
        </is>
      </c>
      <c r="S1325">
        <f>HYPERLINK("https://klasma.github.io/Logging_2326/artfynd/A 53014-2022 artfynd.xlsx", "A 53014-2022")</f>
        <v/>
      </c>
      <c r="T1325">
        <f>HYPERLINK("https://klasma.github.io/Logging_2326/kartor/A 53014-2022 karta.png", "A 53014-2022")</f>
        <v/>
      </c>
      <c r="V1325">
        <f>HYPERLINK("https://klasma.github.io/Logging_2326/klagomål/A 53014-2022 FSC-klagomål.docx", "A 53014-2022")</f>
        <v/>
      </c>
      <c r="W1325">
        <f>HYPERLINK("https://klasma.github.io/Logging_2326/klagomålsmail/A 53014-2022 FSC-klagomål mail.docx", "A 53014-2022")</f>
        <v/>
      </c>
      <c r="X1325">
        <f>HYPERLINK("https://klasma.github.io/Logging_2326/tillsyn/A 53014-2022 tillsynsbegäran.docx", "A 53014-2022")</f>
        <v/>
      </c>
      <c r="Y1325">
        <f>HYPERLINK("https://klasma.github.io/Logging_2326/tillsynsmail/A 53014-2022 tillsynsbegäran mail.docx", "A 53014-2022")</f>
        <v/>
      </c>
    </row>
    <row r="1326" ht="15" customHeight="1">
      <c r="A1326" t="inlineStr">
        <is>
          <t>A 53280-2022</t>
        </is>
      </c>
      <c r="B1326" s="1" t="n">
        <v>44876</v>
      </c>
      <c r="C1326" s="1" t="n">
        <v>45363</v>
      </c>
      <c r="D1326" t="inlineStr">
        <is>
          <t>JÄMTLANDS LÄN</t>
        </is>
      </c>
      <c r="E1326" t="inlineStr">
        <is>
          <t>BRÄCKE</t>
        </is>
      </c>
      <c r="F1326" t="inlineStr">
        <is>
          <t>SCA</t>
        </is>
      </c>
      <c r="G1326" t="n">
        <v>2</v>
      </c>
      <c r="H1326" t="n">
        <v>0</v>
      </c>
      <c r="I1326" t="n">
        <v>1</v>
      </c>
      <c r="J1326" t="n">
        <v>0</v>
      </c>
      <c r="K1326" t="n">
        <v>0</v>
      </c>
      <c r="L1326" t="n">
        <v>0</v>
      </c>
      <c r="M1326" t="n">
        <v>0</v>
      </c>
      <c r="N1326" t="n">
        <v>0</v>
      </c>
      <c r="O1326" t="n">
        <v>0</v>
      </c>
      <c r="P1326" t="n">
        <v>0</v>
      </c>
      <c r="Q1326" t="n">
        <v>1</v>
      </c>
      <c r="R1326" s="2" t="inlineStr">
        <is>
          <t>Stuplav</t>
        </is>
      </c>
      <c r="S1326">
        <f>HYPERLINK("https://klasma.github.io/Logging_2305/artfynd/A 53280-2022 artfynd.xlsx", "A 53280-2022")</f>
        <v/>
      </c>
      <c r="T1326">
        <f>HYPERLINK("https://klasma.github.io/Logging_2305/kartor/A 53280-2022 karta.png", "A 53280-2022")</f>
        <v/>
      </c>
      <c r="V1326">
        <f>HYPERLINK("https://klasma.github.io/Logging_2305/klagomål/A 53280-2022 FSC-klagomål.docx", "A 53280-2022")</f>
        <v/>
      </c>
      <c r="W1326">
        <f>HYPERLINK("https://klasma.github.io/Logging_2305/klagomålsmail/A 53280-2022 FSC-klagomål mail.docx", "A 53280-2022")</f>
        <v/>
      </c>
      <c r="X1326">
        <f>HYPERLINK("https://klasma.github.io/Logging_2305/tillsyn/A 53280-2022 tillsynsbegäran.docx", "A 53280-2022")</f>
        <v/>
      </c>
      <c r="Y1326">
        <f>HYPERLINK("https://klasma.github.io/Logging_2305/tillsynsmail/A 53280-2022 tillsynsbegäran mail.docx", "A 53280-2022")</f>
        <v/>
      </c>
    </row>
    <row r="1327" ht="15" customHeight="1">
      <c r="A1327" t="inlineStr">
        <is>
          <t>A 56084-2022</t>
        </is>
      </c>
      <c r="B1327" s="1" t="n">
        <v>44886</v>
      </c>
      <c r="C1327" s="1" t="n">
        <v>45363</v>
      </c>
      <c r="D1327" t="inlineStr">
        <is>
          <t>JÄMTLANDS LÄN</t>
        </is>
      </c>
      <c r="E1327" t="inlineStr">
        <is>
          <t>HÄRJEDALEN</t>
        </is>
      </c>
      <c r="F1327" t="inlineStr">
        <is>
          <t>Övriga statliga verk och myndigheter</t>
        </is>
      </c>
      <c r="G1327" t="n">
        <v>18.6</v>
      </c>
      <c r="H1327" t="n">
        <v>0</v>
      </c>
      <c r="I1327" t="n">
        <v>0</v>
      </c>
      <c r="J1327" t="n">
        <v>1</v>
      </c>
      <c r="K1327" t="n">
        <v>0</v>
      </c>
      <c r="L1327" t="n">
        <v>0</v>
      </c>
      <c r="M1327" t="n">
        <v>0</v>
      </c>
      <c r="N1327" t="n">
        <v>0</v>
      </c>
      <c r="O1327" t="n">
        <v>1</v>
      </c>
      <c r="P1327" t="n">
        <v>0</v>
      </c>
      <c r="Q1327" t="n">
        <v>1</v>
      </c>
      <c r="R1327" s="2" t="inlineStr">
        <is>
          <t>Dvärgbägarlav</t>
        </is>
      </c>
      <c r="S1327">
        <f>HYPERLINK("https://klasma.github.io/Logging_2361/artfynd/A 56084-2022 artfynd.xlsx", "A 56084-2022")</f>
        <v/>
      </c>
      <c r="T1327">
        <f>HYPERLINK("https://klasma.github.io/Logging_2361/kartor/A 56084-2022 karta.png", "A 56084-2022")</f>
        <v/>
      </c>
      <c r="V1327">
        <f>HYPERLINK("https://klasma.github.io/Logging_2361/klagomål/A 56084-2022 FSC-klagomål.docx", "A 56084-2022")</f>
        <v/>
      </c>
      <c r="W1327">
        <f>HYPERLINK("https://klasma.github.io/Logging_2361/klagomålsmail/A 56084-2022 FSC-klagomål mail.docx", "A 56084-2022")</f>
        <v/>
      </c>
      <c r="X1327">
        <f>HYPERLINK("https://klasma.github.io/Logging_2361/tillsyn/A 56084-2022 tillsynsbegäran.docx", "A 56084-2022")</f>
        <v/>
      </c>
      <c r="Y1327">
        <f>HYPERLINK("https://klasma.github.io/Logging_2361/tillsynsmail/A 56084-2022 tillsynsbegäran mail.docx", "A 56084-2022")</f>
        <v/>
      </c>
    </row>
    <row r="1328" ht="15" customHeight="1">
      <c r="A1328" t="inlineStr">
        <is>
          <t>A 55530-2022</t>
        </is>
      </c>
      <c r="B1328" s="1" t="n">
        <v>44887</v>
      </c>
      <c r="C1328" s="1" t="n">
        <v>45363</v>
      </c>
      <c r="D1328" t="inlineStr">
        <is>
          <t>JÄMTLANDS LÄN</t>
        </is>
      </c>
      <c r="E1328" t="inlineStr">
        <is>
          <t>STRÖMSUND</t>
        </is>
      </c>
      <c r="F1328" t="inlineStr">
        <is>
          <t>SCA</t>
        </is>
      </c>
      <c r="G1328" t="n">
        <v>5.5</v>
      </c>
      <c r="H1328" t="n">
        <v>0</v>
      </c>
      <c r="I1328" t="n">
        <v>0</v>
      </c>
      <c r="J1328" t="n">
        <v>1</v>
      </c>
      <c r="K1328" t="n">
        <v>0</v>
      </c>
      <c r="L1328" t="n">
        <v>0</v>
      </c>
      <c r="M1328" t="n">
        <v>0</v>
      </c>
      <c r="N1328" t="n">
        <v>0</v>
      </c>
      <c r="O1328" t="n">
        <v>1</v>
      </c>
      <c r="P1328" t="n">
        <v>0</v>
      </c>
      <c r="Q1328" t="n">
        <v>1</v>
      </c>
      <c r="R1328" s="2" t="inlineStr">
        <is>
          <t>Lunglav</t>
        </is>
      </c>
      <c r="S1328">
        <f>HYPERLINK("https://klasma.github.io/Logging_2313/artfynd/A 55530-2022 artfynd.xlsx", "A 55530-2022")</f>
        <v/>
      </c>
      <c r="T1328">
        <f>HYPERLINK("https://klasma.github.io/Logging_2313/kartor/A 55530-2022 karta.png", "A 55530-2022")</f>
        <v/>
      </c>
      <c r="V1328">
        <f>HYPERLINK("https://klasma.github.io/Logging_2313/klagomål/A 55530-2022 FSC-klagomål.docx", "A 55530-2022")</f>
        <v/>
      </c>
      <c r="W1328">
        <f>HYPERLINK("https://klasma.github.io/Logging_2313/klagomålsmail/A 55530-2022 FSC-klagomål mail.docx", "A 55530-2022")</f>
        <v/>
      </c>
      <c r="X1328">
        <f>HYPERLINK("https://klasma.github.io/Logging_2313/tillsyn/A 55530-2022 tillsynsbegäran.docx", "A 55530-2022")</f>
        <v/>
      </c>
      <c r="Y1328">
        <f>HYPERLINK("https://klasma.github.io/Logging_2313/tillsynsmail/A 55530-2022 tillsynsbegäran mail.docx", "A 55530-2022")</f>
        <v/>
      </c>
    </row>
    <row r="1329" ht="15" customHeight="1">
      <c r="A1329" t="inlineStr">
        <is>
          <t>A 55805-2022</t>
        </is>
      </c>
      <c r="B1329" s="1" t="n">
        <v>44888</v>
      </c>
      <c r="C1329" s="1" t="n">
        <v>45363</v>
      </c>
      <c r="D1329" t="inlineStr">
        <is>
          <t>JÄMTLANDS LÄN</t>
        </is>
      </c>
      <c r="E1329" t="inlineStr">
        <is>
          <t>ÅRE</t>
        </is>
      </c>
      <c r="F1329" t="inlineStr">
        <is>
          <t>Övriga Aktiebolag</t>
        </is>
      </c>
      <c r="G1329" t="n">
        <v>17.7</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HYPERLINK("https://klasma.github.io/Logging_2321/artfynd/A 55805-2022 artfynd.xlsx", "A 55805-2022")</f>
        <v/>
      </c>
      <c r="T1329">
        <f>HYPERLINK("https://klasma.github.io/Logging_2321/kartor/A 55805-2022 karta.png", "A 55805-2022")</f>
        <v/>
      </c>
      <c r="V1329">
        <f>HYPERLINK("https://klasma.github.io/Logging_2321/klagomål/A 55805-2022 FSC-klagomål.docx", "A 55805-2022")</f>
        <v/>
      </c>
      <c r="W1329">
        <f>HYPERLINK("https://klasma.github.io/Logging_2321/klagomålsmail/A 55805-2022 FSC-klagomål mail.docx", "A 55805-2022")</f>
        <v/>
      </c>
      <c r="X1329">
        <f>HYPERLINK("https://klasma.github.io/Logging_2321/tillsyn/A 55805-2022 tillsynsbegäran.docx", "A 55805-2022")</f>
        <v/>
      </c>
      <c r="Y1329">
        <f>HYPERLINK("https://klasma.github.io/Logging_2321/tillsynsmail/A 55805-2022 tillsynsbegäran mail.docx", "A 55805-2022")</f>
        <v/>
      </c>
      <c r="Z1329">
        <f>HYPERLINK("https://klasma.github.io/Logging_2321/fåglar/A 55805-2022 prioriterade fågelarter.docx", "A 55805-2022")</f>
        <v/>
      </c>
    </row>
    <row r="1330" ht="15" customHeight="1">
      <c r="A1330" t="inlineStr">
        <is>
          <t>A 56245-2022</t>
        </is>
      </c>
      <c r="B1330" s="1" t="n">
        <v>44890</v>
      </c>
      <c r="C1330" s="1" t="n">
        <v>45363</v>
      </c>
      <c r="D1330" t="inlineStr">
        <is>
          <t>JÄMTLANDS LÄN</t>
        </is>
      </c>
      <c r="E1330" t="inlineStr">
        <is>
          <t>ÖSTERSUND</t>
        </is>
      </c>
      <c r="F1330" t="inlineStr">
        <is>
          <t>Övriga Aktiebolag</t>
        </is>
      </c>
      <c r="G1330" t="n">
        <v>10.6</v>
      </c>
      <c r="H1330" t="n">
        <v>0</v>
      </c>
      <c r="I1330" t="n">
        <v>0</v>
      </c>
      <c r="J1330" t="n">
        <v>1</v>
      </c>
      <c r="K1330" t="n">
        <v>0</v>
      </c>
      <c r="L1330" t="n">
        <v>0</v>
      </c>
      <c r="M1330" t="n">
        <v>0</v>
      </c>
      <c r="N1330" t="n">
        <v>0</v>
      </c>
      <c r="O1330" t="n">
        <v>1</v>
      </c>
      <c r="P1330" t="n">
        <v>0</v>
      </c>
      <c r="Q1330" t="n">
        <v>1</v>
      </c>
      <c r="R1330" s="2" t="inlineStr">
        <is>
          <t>Garnlav</t>
        </is>
      </c>
      <c r="S1330">
        <f>HYPERLINK("https://klasma.github.io/Logging_2380/artfynd/A 56245-2022 artfynd.xlsx", "A 56245-2022")</f>
        <v/>
      </c>
      <c r="T1330">
        <f>HYPERLINK("https://klasma.github.io/Logging_2380/kartor/A 56245-2022 karta.png", "A 56245-2022")</f>
        <v/>
      </c>
      <c r="V1330">
        <f>HYPERLINK("https://klasma.github.io/Logging_2380/klagomål/A 56245-2022 FSC-klagomål.docx", "A 56245-2022")</f>
        <v/>
      </c>
      <c r="W1330">
        <f>HYPERLINK("https://klasma.github.io/Logging_2380/klagomålsmail/A 56245-2022 FSC-klagomål mail.docx", "A 56245-2022")</f>
        <v/>
      </c>
      <c r="X1330">
        <f>HYPERLINK("https://klasma.github.io/Logging_2380/tillsyn/A 56245-2022 tillsynsbegäran.docx", "A 56245-2022")</f>
        <v/>
      </c>
      <c r="Y1330">
        <f>HYPERLINK("https://klasma.github.io/Logging_2380/tillsynsmail/A 56245-2022 tillsynsbegäran mail.docx", "A 56245-2022")</f>
        <v/>
      </c>
    </row>
    <row r="1331" ht="15" customHeight="1">
      <c r="A1331" t="inlineStr">
        <is>
          <t>A 56493-2022</t>
        </is>
      </c>
      <c r="B1331" s="1" t="n">
        <v>44893</v>
      </c>
      <c r="C1331" s="1" t="n">
        <v>45363</v>
      </c>
      <c r="D1331" t="inlineStr">
        <is>
          <t>JÄMTLANDS LÄN</t>
        </is>
      </c>
      <c r="E1331" t="inlineStr">
        <is>
          <t>ÅRE</t>
        </is>
      </c>
      <c r="F1331" t="inlineStr">
        <is>
          <t>Övriga Aktiebolag</t>
        </is>
      </c>
      <c r="G1331" t="n">
        <v>3</v>
      </c>
      <c r="H1331" t="n">
        <v>0</v>
      </c>
      <c r="I1331" t="n">
        <v>0</v>
      </c>
      <c r="J1331" t="n">
        <v>1</v>
      </c>
      <c r="K1331" t="n">
        <v>0</v>
      </c>
      <c r="L1331" t="n">
        <v>0</v>
      </c>
      <c r="M1331" t="n">
        <v>0</v>
      </c>
      <c r="N1331" t="n">
        <v>0</v>
      </c>
      <c r="O1331" t="n">
        <v>1</v>
      </c>
      <c r="P1331" t="n">
        <v>0</v>
      </c>
      <c r="Q1331" t="n">
        <v>1</v>
      </c>
      <c r="R1331" s="2" t="inlineStr">
        <is>
          <t>Garnlav</t>
        </is>
      </c>
      <c r="S1331">
        <f>HYPERLINK("https://klasma.github.io/Logging_2321/artfynd/A 56493-2022 artfynd.xlsx", "A 56493-2022")</f>
        <v/>
      </c>
      <c r="T1331">
        <f>HYPERLINK("https://klasma.github.io/Logging_2321/kartor/A 56493-2022 karta.png", "A 56493-2022")</f>
        <v/>
      </c>
      <c r="V1331">
        <f>HYPERLINK("https://klasma.github.io/Logging_2321/klagomål/A 56493-2022 FSC-klagomål.docx", "A 56493-2022")</f>
        <v/>
      </c>
      <c r="W1331">
        <f>HYPERLINK("https://klasma.github.io/Logging_2321/klagomålsmail/A 56493-2022 FSC-klagomål mail.docx", "A 56493-2022")</f>
        <v/>
      </c>
      <c r="X1331">
        <f>HYPERLINK("https://klasma.github.io/Logging_2321/tillsyn/A 56493-2022 tillsynsbegäran.docx", "A 56493-2022")</f>
        <v/>
      </c>
      <c r="Y1331">
        <f>HYPERLINK("https://klasma.github.io/Logging_2321/tillsynsmail/A 56493-2022 tillsynsbegäran mail.docx", "A 56493-2022")</f>
        <v/>
      </c>
    </row>
    <row r="1332" ht="15" customHeight="1">
      <c r="A1332" t="inlineStr">
        <is>
          <t>A 56603-2022</t>
        </is>
      </c>
      <c r="B1332" s="1" t="n">
        <v>44893</v>
      </c>
      <c r="C1332" s="1" t="n">
        <v>45363</v>
      </c>
      <c r="D1332" t="inlineStr">
        <is>
          <t>JÄMTLANDS LÄN</t>
        </is>
      </c>
      <c r="E1332" t="inlineStr">
        <is>
          <t>ÅRE</t>
        </is>
      </c>
      <c r="F1332" t="inlineStr">
        <is>
          <t>Övriga Aktiebolag</t>
        </is>
      </c>
      <c r="G1332" t="n">
        <v>14.3</v>
      </c>
      <c r="H1332" t="n">
        <v>1</v>
      </c>
      <c r="I1332" t="n">
        <v>0</v>
      </c>
      <c r="J1332" t="n">
        <v>1</v>
      </c>
      <c r="K1332" t="n">
        <v>0</v>
      </c>
      <c r="L1332" t="n">
        <v>0</v>
      </c>
      <c r="M1332" t="n">
        <v>0</v>
      </c>
      <c r="N1332" t="n">
        <v>0</v>
      </c>
      <c r="O1332" t="n">
        <v>1</v>
      </c>
      <c r="P1332" t="n">
        <v>0</v>
      </c>
      <c r="Q1332" t="n">
        <v>1</v>
      </c>
      <c r="R1332" s="2" t="inlineStr">
        <is>
          <t>Talltita</t>
        </is>
      </c>
      <c r="S1332">
        <f>HYPERLINK("https://klasma.github.io/Logging_2321/artfynd/A 56603-2022 artfynd.xlsx", "A 56603-2022")</f>
        <v/>
      </c>
      <c r="T1332">
        <f>HYPERLINK("https://klasma.github.io/Logging_2321/kartor/A 56603-2022 karta.png", "A 56603-2022")</f>
        <v/>
      </c>
      <c r="V1332">
        <f>HYPERLINK("https://klasma.github.io/Logging_2321/klagomål/A 56603-2022 FSC-klagomål.docx", "A 56603-2022")</f>
        <v/>
      </c>
      <c r="W1332">
        <f>HYPERLINK("https://klasma.github.io/Logging_2321/klagomålsmail/A 56603-2022 FSC-klagomål mail.docx", "A 56603-2022")</f>
        <v/>
      </c>
      <c r="X1332">
        <f>HYPERLINK("https://klasma.github.io/Logging_2321/tillsyn/A 56603-2022 tillsynsbegäran.docx", "A 56603-2022")</f>
        <v/>
      </c>
      <c r="Y1332">
        <f>HYPERLINK("https://klasma.github.io/Logging_2321/tillsynsmail/A 56603-2022 tillsynsbegäran mail.docx", "A 56603-2022")</f>
        <v/>
      </c>
      <c r="Z1332">
        <f>HYPERLINK("https://klasma.github.io/Logging_2321/fåglar/A 56603-2022 prioriterade fågelarter.docx", "A 56603-2022")</f>
        <v/>
      </c>
    </row>
    <row r="1333" ht="15" customHeight="1">
      <c r="A1333" t="inlineStr">
        <is>
          <t>A 56735-2022</t>
        </is>
      </c>
      <c r="B1333" s="1" t="n">
        <v>44893</v>
      </c>
      <c r="C1333" s="1" t="n">
        <v>45363</v>
      </c>
      <c r="D1333" t="inlineStr">
        <is>
          <t>JÄMTLANDS LÄN</t>
        </is>
      </c>
      <c r="E1333" t="inlineStr">
        <is>
          <t>STRÖMSUND</t>
        </is>
      </c>
      <c r="F1333" t="inlineStr">
        <is>
          <t>SCA</t>
        </is>
      </c>
      <c r="G1333" t="n">
        <v>1.4</v>
      </c>
      <c r="H1333" t="n">
        <v>0</v>
      </c>
      <c r="I1333" t="n">
        <v>0</v>
      </c>
      <c r="J1333" t="n">
        <v>1</v>
      </c>
      <c r="K1333" t="n">
        <v>0</v>
      </c>
      <c r="L1333" t="n">
        <v>0</v>
      </c>
      <c r="M1333" t="n">
        <v>0</v>
      </c>
      <c r="N1333" t="n">
        <v>0</v>
      </c>
      <c r="O1333" t="n">
        <v>1</v>
      </c>
      <c r="P1333" t="n">
        <v>0</v>
      </c>
      <c r="Q1333" t="n">
        <v>1</v>
      </c>
      <c r="R1333" s="2" t="inlineStr">
        <is>
          <t>Granticka</t>
        </is>
      </c>
      <c r="S1333">
        <f>HYPERLINK("https://klasma.github.io/Logging_2313/artfynd/A 56735-2022 artfynd.xlsx", "A 56735-2022")</f>
        <v/>
      </c>
      <c r="T1333">
        <f>HYPERLINK("https://klasma.github.io/Logging_2313/kartor/A 56735-2022 karta.png", "A 56735-2022")</f>
        <v/>
      </c>
      <c r="V1333">
        <f>HYPERLINK("https://klasma.github.io/Logging_2313/klagomål/A 56735-2022 FSC-klagomål.docx", "A 56735-2022")</f>
        <v/>
      </c>
      <c r="W1333">
        <f>HYPERLINK("https://klasma.github.io/Logging_2313/klagomålsmail/A 56735-2022 FSC-klagomål mail.docx", "A 56735-2022")</f>
        <v/>
      </c>
      <c r="X1333">
        <f>HYPERLINK("https://klasma.github.io/Logging_2313/tillsyn/A 56735-2022 tillsynsbegäran.docx", "A 56735-2022")</f>
        <v/>
      </c>
      <c r="Y1333">
        <f>HYPERLINK("https://klasma.github.io/Logging_2313/tillsynsmail/A 56735-2022 tillsynsbegäran mail.docx", "A 56735-2022")</f>
        <v/>
      </c>
    </row>
    <row r="1334" ht="15" customHeight="1">
      <c r="A1334" t="inlineStr">
        <is>
          <t>A 56883-2022</t>
        </is>
      </c>
      <c r="B1334" s="1" t="n">
        <v>44894</v>
      </c>
      <c r="C1334" s="1" t="n">
        <v>45363</v>
      </c>
      <c r="D1334" t="inlineStr">
        <is>
          <t>JÄMTLANDS LÄN</t>
        </is>
      </c>
      <c r="E1334" t="inlineStr">
        <is>
          <t>STRÖMSUND</t>
        </is>
      </c>
      <c r="F1334" t="inlineStr">
        <is>
          <t>Holmen skog AB</t>
        </is>
      </c>
      <c r="G1334" t="n">
        <v>3.1</v>
      </c>
      <c r="H1334" t="n">
        <v>1</v>
      </c>
      <c r="I1334" t="n">
        <v>0</v>
      </c>
      <c r="J1334" t="n">
        <v>0</v>
      </c>
      <c r="K1334" t="n">
        <v>1</v>
      </c>
      <c r="L1334" t="n">
        <v>0</v>
      </c>
      <c r="M1334" t="n">
        <v>0</v>
      </c>
      <c r="N1334" t="n">
        <v>0</v>
      </c>
      <c r="O1334" t="n">
        <v>1</v>
      </c>
      <c r="P1334" t="n">
        <v>1</v>
      </c>
      <c r="Q1334" t="n">
        <v>1</v>
      </c>
      <c r="R1334" s="2" t="inlineStr">
        <is>
          <t>Knärot</t>
        </is>
      </c>
      <c r="S1334">
        <f>HYPERLINK("https://klasma.github.io/Logging_2313/artfynd/A 56883-2022 artfynd.xlsx", "A 56883-2022")</f>
        <v/>
      </c>
      <c r="T1334">
        <f>HYPERLINK("https://klasma.github.io/Logging_2313/kartor/A 56883-2022 karta.png", "A 56883-2022")</f>
        <v/>
      </c>
      <c r="U1334">
        <f>HYPERLINK("https://klasma.github.io/Logging_2313/knärot/A 56883-2022 karta knärot.png", "A 56883-2022")</f>
        <v/>
      </c>
      <c r="V1334">
        <f>HYPERLINK("https://klasma.github.io/Logging_2313/klagomål/A 56883-2022 FSC-klagomål.docx", "A 56883-2022")</f>
        <v/>
      </c>
      <c r="W1334">
        <f>HYPERLINK("https://klasma.github.io/Logging_2313/klagomålsmail/A 56883-2022 FSC-klagomål mail.docx", "A 56883-2022")</f>
        <v/>
      </c>
      <c r="X1334">
        <f>HYPERLINK("https://klasma.github.io/Logging_2313/tillsyn/A 56883-2022 tillsynsbegäran.docx", "A 56883-2022")</f>
        <v/>
      </c>
      <c r="Y1334">
        <f>HYPERLINK("https://klasma.github.io/Logging_2313/tillsynsmail/A 56883-2022 tillsynsbegäran mail.docx", "A 56883-2022")</f>
        <v/>
      </c>
    </row>
    <row r="1335" ht="15" customHeight="1">
      <c r="A1335" t="inlineStr">
        <is>
          <t>A 57396-2022</t>
        </is>
      </c>
      <c r="B1335" s="1" t="n">
        <v>44896</v>
      </c>
      <c r="C1335" s="1" t="n">
        <v>45363</v>
      </c>
      <c r="D1335" t="inlineStr">
        <is>
          <t>JÄMTLANDS LÄN</t>
        </is>
      </c>
      <c r="E1335" t="inlineStr">
        <is>
          <t>ÅRE</t>
        </is>
      </c>
      <c r="G1335" t="n">
        <v>3.1</v>
      </c>
      <c r="H1335" t="n">
        <v>0</v>
      </c>
      <c r="I1335" t="n">
        <v>0</v>
      </c>
      <c r="J1335" t="n">
        <v>1</v>
      </c>
      <c r="K1335" t="n">
        <v>0</v>
      </c>
      <c r="L1335" t="n">
        <v>0</v>
      </c>
      <c r="M1335" t="n">
        <v>0</v>
      </c>
      <c r="N1335" t="n">
        <v>0</v>
      </c>
      <c r="O1335" t="n">
        <v>1</v>
      </c>
      <c r="P1335" t="n">
        <v>0</v>
      </c>
      <c r="Q1335" t="n">
        <v>1</v>
      </c>
      <c r="R1335" s="2" t="inlineStr">
        <is>
          <t>Granticka</t>
        </is>
      </c>
      <c r="S1335">
        <f>HYPERLINK("https://klasma.github.io/Logging_2321/artfynd/A 57396-2022 artfynd.xlsx", "A 57396-2022")</f>
        <v/>
      </c>
      <c r="T1335">
        <f>HYPERLINK("https://klasma.github.io/Logging_2321/kartor/A 57396-2022 karta.png", "A 57396-2022")</f>
        <v/>
      </c>
      <c r="V1335">
        <f>HYPERLINK("https://klasma.github.io/Logging_2321/klagomål/A 57396-2022 FSC-klagomål.docx", "A 57396-2022")</f>
        <v/>
      </c>
      <c r="W1335">
        <f>HYPERLINK("https://klasma.github.io/Logging_2321/klagomålsmail/A 57396-2022 FSC-klagomål mail.docx", "A 57396-2022")</f>
        <v/>
      </c>
      <c r="X1335">
        <f>HYPERLINK("https://klasma.github.io/Logging_2321/tillsyn/A 57396-2022 tillsynsbegäran.docx", "A 57396-2022")</f>
        <v/>
      </c>
      <c r="Y1335">
        <f>HYPERLINK("https://klasma.github.io/Logging_2321/tillsynsmail/A 57396-2022 tillsynsbegäran mail.docx", "A 57396-2022")</f>
        <v/>
      </c>
    </row>
    <row r="1336" ht="15" customHeight="1">
      <c r="A1336" t="inlineStr">
        <is>
          <t>A 58181-2022</t>
        </is>
      </c>
      <c r="B1336" s="1" t="n">
        <v>44900</v>
      </c>
      <c r="C1336" s="1" t="n">
        <v>45363</v>
      </c>
      <c r="D1336" t="inlineStr">
        <is>
          <t>JÄMTLANDS LÄN</t>
        </is>
      </c>
      <c r="E1336" t="inlineStr">
        <is>
          <t>ÖSTERSUND</t>
        </is>
      </c>
      <c r="G1336" t="n">
        <v>14.8</v>
      </c>
      <c r="H1336" t="n">
        <v>0</v>
      </c>
      <c r="I1336" t="n">
        <v>1</v>
      </c>
      <c r="J1336" t="n">
        <v>0</v>
      </c>
      <c r="K1336" t="n">
        <v>0</v>
      </c>
      <c r="L1336" t="n">
        <v>0</v>
      </c>
      <c r="M1336" t="n">
        <v>0</v>
      </c>
      <c r="N1336" t="n">
        <v>0</v>
      </c>
      <c r="O1336" t="n">
        <v>0</v>
      </c>
      <c r="P1336" t="n">
        <v>0</v>
      </c>
      <c r="Q1336" t="n">
        <v>1</v>
      </c>
      <c r="R1336" s="2" t="inlineStr">
        <is>
          <t>Finbräken</t>
        </is>
      </c>
      <c r="S1336">
        <f>HYPERLINK("https://klasma.github.io/Logging_2380/artfynd/A 58181-2022 artfynd.xlsx", "A 58181-2022")</f>
        <v/>
      </c>
      <c r="T1336">
        <f>HYPERLINK("https://klasma.github.io/Logging_2380/kartor/A 58181-2022 karta.png", "A 58181-2022")</f>
        <v/>
      </c>
      <c r="V1336">
        <f>HYPERLINK("https://klasma.github.io/Logging_2380/klagomål/A 58181-2022 FSC-klagomål.docx", "A 58181-2022")</f>
        <v/>
      </c>
      <c r="W1336">
        <f>HYPERLINK("https://klasma.github.io/Logging_2380/klagomålsmail/A 58181-2022 FSC-klagomål mail.docx", "A 58181-2022")</f>
        <v/>
      </c>
      <c r="X1336">
        <f>HYPERLINK("https://klasma.github.io/Logging_2380/tillsyn/A 58181-2022 tillsynsbegäran.docx", "A 58181-2022")</f>
        <v/>
      </c>
      <c r="Y1336">
        <f>HYPERLINK("https://klasma.github.io/Logging_2380/tillsynsmail/A 58181-2022 tillsynsbegäran mail.docx", "A 58181-2022")</f>
        <v/>
      </c>
    </row>
    <row r="1337" ht="15" customHeight="1">
      <c r="A1337" t="inlineStr">
        <is>
          <t>A 59823-2022</t>
        </is>
      </c>
      <c r="B1337" s="1" t="n">
        <v>44900</v>
      </c>
      <c r="C1337" s="1" t="n">
        <v>45363</v>
      </c>
      <c r="D1337" t="inlineStr">
        <is>
          <t>JÄMTLANDS LÄN</t>
        </is>
      </c>
      <c r="E1337" t="inlineStr">
        <is>
          <t>BERG</t>
        </is>
      </c>
      <c r="G1337" t="n">
        <v>14.8</v>
      </c>
      <c r="H1337" t="n">
        <v>0</v>
      </c>
      <c r="I1337" t="n">
        <v>0</v>
      </c>
      <c r="J1337" t="n">
        <v>1</v>
      </c>
      <c r="K1337" t="n">
        <v>0</v>
      </c>
      <c r="L1337" t="n">
        <v>0</v>
      </c>
      <c r="M1337" t="n">
        <v>0</v>
      </c>
      <c r="N1337" t="n">
        <v>0</v>
      </c>
      <c r="O1337" t="n">
        <v>1</v>
      </c>
      <c r="P1337" t="n">
        <v>0</v>
      </c>
      <c r="Q1337" t="n">
        <v>1</v>
      </c>
      <c r="R1337" s="2" t="inlineStr">
        <is>
          <t>Granticka</t>
        </is>
      </c>
      <c r="S1337">
        <f>HYPERLINK("https://klasma.github.io/Logging_2326/artfynd/A 59823-2022 artfynd.xlsx", "A 59823-2022")</f>
        <v/>
      </c>
      <c r="T1337">
        <f>HYPERLINK("https://klasma.github.io/Logging_2326/kartor/A 59823-2022 karta.png", "A 59823-2022")</f>
        <v/>
      </c>
      <c r="V1337">
        <f>HYPERLINK("https://klasma.github.io/Logging_2326/klagomål/A 59823-2022 FSC-klagomål.docx", "A 59823-2022")</f>
        <v/>
      </c>
      <c r="W1337">
        <f>HYPERLINK("https://klasma.github.io/Logging_2326/klagomålsmail/A 59823-2022 FSC-klagomål mail.docx", "A 59823-2022")</f>
        <v/>
      </c>
      <c r="X1337">
        <f>HYPERLINK("https://klasma.github.io/Logging_2326/tillsyn/A 59823-2022 tillsynsbegäran.docx", "A 59823-2022")</f>
        <v/>
      </c>
      <c r="Y1337">
        <f>HYPERLINK("https://klasma.github.io/Logging_2326/tillsynsmail/A 59823-2022 tillsynsbegäran mail.docx", "A 59823-2022")</f>
        <v/>
      </c>
    </row>
    <row r="1338" ht="15" customHeight="1">
      <c r="A1338" t="inlineStr">
        <is>
          <t>A 60544-2022</t>
        </is>
      </c>
      <c r="B1338" s="1" t="n">
        <v>44904</v>
      </c>
      <c r="C1338" s="1" t="n">
        <v>45363</v>
      </c>
      <c r="D1338" t="inlineStr">
        <is>
          <t>JÄMTLANDS LÄN</t>
        </is>
      </c>
      <c r="E1338" t="inlineStr">
        <is>
          <t>ÅRE</t>
        </is>
      </c>
      <c r="G1338" t="n">
        <v>1.2</v>
      </c>
      <c r="H1338" t="n">
        <v>1</v>
      </c>
      <c r="I1338" t="n">
        <v>0</v>
      </c>
      <c r="J1338" t="n">
        <v>1</v>
      </c>
      <c r="K1338" t="n">
        <v>0</v>
      </c>
      <c r="L1338" t="n">
        <v>0</v>
      </c>
      <c r="M1338" t="n">
        <v>0</v>
      </c>
      <c r="N1338" t="n">
        <v>0</v>
      </c>
      <c r="O1338" t="n">
        <v>1</v>
      </c>
      <c r="P1338" t="n">
        <v>0</v>
      </c>
      <c r="Q1338" t="n">
        <v>1</v>
      </c>
      <c r="R1338" s="2" t="inlineStr">
        <is>
          <t>Järpe</t>
        </is>
      </c>
      <c r="S1338">
        <f>HYPERLINK("https://klasma.github.io/Logging_2321/artfynd/A 60544-2022 artfynd.xlsx", "A 60544-2022")</f>
        <v/>
      </c>
      <c r="T1338">
        <f>HYPERLINK("https://klasma.github.io/Logging_2321/kartor/A 60544-2022 karta.png", "A 60544-2022")</f>
        <v/>
      </c>
      <c r="V1338">
        <f>HYPERLINK("https://klasma.github.io/Logging_2321/klagomål/A 60544-2022 FSC-klagomål.docx", "A 60544-2022")</f>
        <v/>
      </c>
      <c r="W1338">
        <f>HYPERLINK("https://klasma.github.io/Logging_2321/klagomålsmail/A 60544-2022 FSC-klagomål mail.docx", "A 60544-2022")</f>
        <v/>
      </c>
      <c r="X1338">
        <f>HYPERLINK("https://klasma.github.io/Logging_2321/tillsyn/A 60544-2022 tillsynsbegäran.docx", "A 60544-2022")</f>
        <v/>
      </c>
      <c r="Y1338">
        <f>HYPERLINK("https://klasma.github.io/Logging_2321/tillsynsmail/A 60544-2022 tillsynsbegäran mail.docx", "A 60544-2022")</f>
        <v/>
      </c>
      <c r="Z1338">
        <f>HYPERLINK("https://klasma.github.io/Logging_2321/fåglar/A 60544-2022 prioriterade fågelarter.docx", "A 60544-2022")</f>
        <v/>
      </c>
    </row>
    <row r="1339" ht="15" customHeight="1">
      <c r="A1339" t="inlineStr">
        <is>
          <t>A 59739-2022</t>
        </is>
      </c>
      <c r="B1339" s="1" t="n">
        <v>44908</v>
      </c>
      <c r="C1339" s="1" t="n">
        <v>45363</v>
      </c>
      <c r="D1339" t="inlineStr">
        <is>
          <t>JÄMTLANDS LÄN</t>
        </is>
      </c>
      <c r="E1339" t="inlineStr">
        <is>
          <t>ÖSTERSUND</t>
        </is>
      </c>
      <c r="F1339" t="inlineStr">
        <is>
          <t>Kommuner</t>
        </is>
      </c>
      <c r="G1339" t="n">
        <v>1.9</v>
      </c>
      <c r="H1339" t="n">
        <v>0</v>
      </c>
      <c r="I1339" t="n">
        <v>1</v>
      </c>
      <c r="J1339" t="n">
        <v>0</v>
      </c>
      <c r="K1339" t="n">
        <v>0</v>
      </c>
      <c r="L1339" t="n">
        <v>0</v>
      </c>
      <c r="M1339" t="n">
        <v>0</v>
      </c>
      <c r="N1339" t="n">
        <v>0</v>
      </c>
      <c r="O1339" t="n">
        <v>0</v>
      </c>
      <c r="P1339" t="n">
        <v>0</v>
      </c>
      <c r="Q1339" t="n">
        <v>1</v>
      </c>
      <c r="R1339" s="2" t="inlineStr">
        <is>
          <t>Vedticka</t>
        </is>
      </c>
      <c r="S1339">
        <f>HYPERLINK("https://klasma.github.io/Logging_2380/artfynd/A 59739-2022 artfynd.xlsx", "A 59739-2022")</f>
        <v/>
      </c>
      <c r="T1339">
        <f>HYPERLINK("https://klasma.github.io/Logging_2380/kartor/A 59739-2022 karta.png", "A 59739-2022")</f>
        <v/>
      </c>
      <c r="V1339">
        <f>HYPERLINK("https://klasma.github.io/Logging_2380/klagomål/A 59739-2022 FSC-klagomål.docx", "A 59739-2022")</f>
        <v/>
      </c>
      <c r="W1339">
        <f>HYPERLINK("https://klasma.github.io/Logging_2380/klagomålsmail/A 59739-2022 FSC-klagomål mail.docx", "A 59739-2022")</f>
        <v/>
      </c>
      <c r="X1339">
        <f>HYPERLINK("https://klasma.github.io/Logging_2380/tillsyn/A 59739-2022 tillsynsbegäran.docx", "A 59739-2022")</f>
        <v/>
      </c>
      <c r="Y1339">
        <f>HYPERLINK("https://klasma.github.io/Logging_2380/tillsynsmail/A 59739-2022 tillsynsbegäran mail.docx", "A 59739-2022")</f>
        <v/>
      </c>
    </row>
    <row r="1340" ht="15" customHeight="1">
      <c r="A1340" t="inlineStr">
        <is>
          <t>A 60435-2022</t>
        </is>
      </c>
      <c r="B1340" s="1" t="n">
        <v>44911</v>
      </c>
      <c r="C1340" s="1" t="n">
        <v>45363</v>
      </c>
      <c r="D1340" t="inlineStr">
        <is>
          <t>JÄMTLANDS LÄN</t>
        </is>
      </c>
      <c r="E1340" t="inlineStr">
        <is>
          <t>ÅRE</t>
        </is>
      </c>
      <c r="F1340" t="inlineStr">
        <is>
          <t>Övriga Aktiebolag</t>
        </is>
      </c>
      <c r="G1340" t="n">
        <v>7.9</v>
      </c>
      <c r="H1340" t="n">
        <v>0</v>
      </c>
      <c r="I1340" t="n">
        <v>1</v>
      </c>
      <c r="J1340" t="n">
        <v>0</v>
      </c>
      <c r="K1340" t="n">
        <v>0</v>
      </c>
      <c r="L1340" t="n">
        <v>0</v>
      </c>
      <c r="M1340" t="n">
        <v>0</v>
      </c>
      <c r="N1340" t="n">
        <v>0</v>
      </c>
      <c r="O1340" t="n">
        <v>0</v>
      </c>
      <c r="P1340" t="n">
        <v>0</v>
      </c>
      <c r="Q1340" t="n">
        <v>1</v>
      </c>
      <c r="R1340" s="2" t="inlineStr">
        <is>
          <t>Kransrams</t>
        </is>
      </c>
      <c r="S1340">
        <f>HYPERLINK("https://klasma.github.io/Logging_2321/artfynd/A 60435-2022 artfynd.xlsx", "A 60435-2022")</f>
        <v/>
      </c>
      <c r="T1340">
        <f>HYPERLINK("https://klasma.github.io/Logging_2321/kartor/A 60435-2022 karta.png", "A 60435-2022")</f>
        <v/>
      </c>
      <c r="V1340">
        <f>HYPERLINK("https://klasma.github.io/Logging_2321/klagomål/A 60435-2022 FSC-klagomål.docx", "A 60435-2022")</f>
        <v/>
      </c>
      <c r="W1340">
        <f>HYPERLINK("https://klasma.github.io/Logging_2321/klagomålsmail/A 60435-2022 FSC-klagomål mail.docx", "A 60435-2022")</f>
        <v/>
      </c>
      <c r="X1340">
        <f>HYPERLINK("https://klasma.github.io/Logging_2321/tillsyn/A 60435-2022 tillsynsbegäran.docx", "A 60435-2022")</f>
        <v/>
      </c>
      <c r="Y1340">
        <f>HYPERLINK("https://klasma.github.io/Logging_2321/tillsynsmail/A 60435-2022 tillsynsbegäran mail.docx", "A 60435-2022")</f>
        <v/>
      </c>
    </row>
    <row r="1341" ht="15" customHeight="1">
      <c r="A1341" t="inlineStr">
        <is>
          <t>A 61381-2022</t>
        </is>
      </c>
      <c r="B1341" s="1" t="n">
        <v>44915</v>
      </c>
      <c r="C1341" s="1" t="n">
        <v>45363</v>
      </c>
      <c r="D1341" t="inlineStr">
        <is>
          <t>JÄMTLANDS LÄN</t>
        </is>
      </c>
      <c r="E1341" t="inlineStr">
        <is>
          <t>STRÖMSUND</t>
        </is>
      </c>
      <c r="G1341" t="n">
        <v>8.1</v>
      </c>
      <c r="H1341" t="n">
        <v>0</v>
      </c>
      <c r="I1341" t="n">
        <v>0</v>
      </c>
      <c r="J1341" t="n">
        <v>1</v>
      </c>
      <c r="K1341" t="n">
        <v>0</v>
      </c>
      <c r="L1341" t="n">
        <v>0</v>
      </c>
      <c r="M1341" t="n">
        <v>0</v>
      </c>
      <c r="N1341" t="n">
        <v>0</v>
      </c>
      <c r="O1341" t="n">
        <v>1</v>
      </c>
      <c r="P1341" t="n">
        <v>0</v>
      </c>
      <c r="Q1341" t="n">
        <v>1</v>
      </c>
      <c r="R1341" s="2" t="inlineStr">
        <is>
          <t>Granticka</t>
        </is>
      </c>
      <c r="S1341">
        <f>HYPERLINK("https://klasma.github.io/Logging_2313/artfynd/A 61381-2022 artfynd.xlsx", "A 61381-2022")</f>
        <v/>
      </c>
      <c r="T1341">
        <f>HYPERLINK("https://klasma.github.io/Logging_2313/kartor/A 61381-2022 karta.png", "A 61381-2022")</f>
        <v/>
      </c>
      <c r="V1341">
        <f>HYPERLINK("https://klasma.github.io/Logging_2313/klagomål/A 61381-2022 FSC-klagomål.docx", "A 61381-2022")</f>
        <v/>
      </c>
      <c r="W1341">
        <f>HYPERLINK("https://klasma.github.io/Logging_2313/klagomålsmail/A 61381-2022 FSC-klagomål mail.docx", "A 61381-2022")</f>
        <v/>
      </c>
      <c r="X1341">
        <f>HYPERLINK("https://klasma.github.io/Logging_2313/tillsyn/A 61381-2022 tillsynsbegäran.docx", "A 61381-2022")</f>
        <v/>
      </c>
      <c r="Y1341">
        <f>HYPERLINK("https://klasma.github.io/Logging_2313/tillsynsmail/A 61381-2022 tillsynsbegäran mail.docx", "A 61381-2022")</f>
        <v/>
      </c>
    </row>
    <row r="1342" ht="15" customHeight="1">
      <c r="A1342" t="inlineStr">
        <is>
          <t>A 62079-2022</t>
        </is>
      </c>
      <c r="B1342" s="1" t="n">
        <v>44918</v>
      </c>
      <c r="C1342" s="1" t="n">
        <v>45363</v>
      </c>
      <c r="D1342" t="inlineStr">
        <is>
          <t>JÄMTLANDS LÄN</t>
        </is>
      </c>
      <c r="E1342" t="inlineStr">
        <is>
          <t>BRÄCKE</t>
        </is>
      </c>
      <c r="F1342" t="inlineStr">
        <is>
          <t>SCA</t>
        </is>
      </c>
      <c r="G1342" t="n">
        <v>3</v>
      </c>
      <c r="H1342" t="n">
        <v>0</v>
      </c>
      <c r="I1342" t="n">
        <v>0</v>
      </c>
      <c r="J1342" t="n">
        <v>1</v>
      </c>
      <c r="K1342" t="n">
        <v>0</v>
      </c>
      <c r="L1342" t="n">
        <v>0</v>
      </c>
      <c r="M1342" t="n">
        <v>0</v>
      </c>
      <c r="N1342" t="n">
        <v>0</v>
      </c>
      <c r="O1342" t="n">
        <v>1</v>
      </c>
      <c r="P1342" t="n">
        <v>0</v>
      </c>
      <c r="Q1342" t="n">
        <v>1</v>
      </c>
      <c r="R1342" s="2" t="inlineStr">
        <is>
          <t>Garnlav</t>
        </is>
      </c>
      <c r="S1342">
        <f>HYPERLINK("https://klasma.github.io/Logging_2305/artfynd/A 62079-2022 artfynd.xlsx", "A 62079-2022")</f>
        <v/>
      </c>
      <c r="T1342">
        <f>HYPERLINK("https://klasma.github.io/Logging_2305/kartor/A 62079-2022 karta.png", "A 62079-2022")</f>
        <v/>
      </c>
      <c r="V1342">
        <f>HYPERLINK("https://klasma.github.io/Logging_2305/klagomål/A 62079-2022 FSC-klagomål.docx", "A 62079-2022")</f>
        <v/>
      </c>
      <c r="W1342">
        <f>HYPERLINK("https://klasma.github.io/Logging_2305/klagomålsmail/A 62079-2022 FSC-klagomål mail.docx", "A 62079-2022")</f>
        <v/>
      </c>
      <c r="X1342">
        <f>HYPERLINK("https://klasma.github.io/Logging_2305/tillsyn/A 62079-2022 tillsynsbegäran.docx", "A 62079-2022")</f>
        <v/>
      </c>
      <c r="Y1342">
        <f>HYPERLINK("https://klasma.github.io/Logging_2305/tillsynsmail/A 62079-2022 tillsynsbegäran mail.docx", "A 62079-2022")</f>
        <v/>
      </c>
    </row>
    <row r="1343" ht="15" customHeight="1">
      <c r="A1343" t="inlineStr">
        <is>
          <t>A 27-2023</t>
        </is>
      </c>
      <c r="B1343" s="1" t="n">
        <v>44928</v>
      </c>
      <c r="C1343" s="1" t="n">
        <v>45363</v>
      </c>
      <c r="D1343" t="inlineStr">
        <is>
          <t>JÄMTLANDS LÄN</t>
        </is>
      </c>
      <c r="E1343" t="inlineStr">
        <is>
          <t>STRÖMSUND</t>
        </is>
      </c>
      <c r="F1343" t="inlineStr">
        <is>
          <t>Sveaskog</t>
        </is>
      </c>
      <c r="G1343" t="n">
        <v>4.3</v>
      </c>
      <c r="H1343" t="n">
        <v>0</v>
      </c>
      <c r="I1343" t="n">
        <v>0</v>
      </c>
      <c r="J1343" t="n">
        <v>1</v>
      </c>
      <c r="K1343" t="n">
        <v>0</v>
      </c>
      <c r="L1343" t="n">
        <v>0</v>
      </c>
      <c r="M1343" t="n">
        <v>0</v>
      </c>
      <c r="N1343" t="n">
        <v>0</v>
      </c>
      <c r="O1343" t="n">
        <v>1</v>
      </c>
      <c r="P1343" t="n">
        <v>0</v>
      </c>
      <c r="Q1343" t="n">
        <v>1</v>
      </c>
      <c r="R1343" s="2" t="inlineStr">
        <is>
          <t>Gränsticka</t>
        </is>
      </c>
      <c r="S1343">
        <f>HYPERLINK("https://klasma.github.io/Logging_2313/artfynd/A 27-2023 artfynd.xlsx", "A 27-2023")</f>
        <v/>
      </c>
      <c r="T1343">
        <f>HYPERLINK("https://klasma.github.io/Logging_2313/kartor/A 27-2023 karta.png", "A 27-2023")</f>
        <v/>
      </c>
      <c r="V1343">
        <f>HYPERLINK("https://klasma.github.io/Logging_2313/klagomål/A 27-2023 FSC-klagomål.docx", "A 27-2023")</f>
        <v/>
      </c>
      <c r="W1343">
        <f>HYPERLINK("https://klasma.github.io/Logging_2313/klagomålsmail/A 27-2023 FSC-klagomål mail.docx", "A 27-2023")</f>
        <v/>
      </c>
      <c r="X1343">
        <f>HYPERLINK("https://klasma.github.io/Logging_2313/tillsyn/A 27-2023 tillsynsbegäran.docx", "A 27-2023")</f>
        <v/>
      </c>
      <c r="Y1343">
        <f>HYPERLINK("https://klasma.github.io/Logging_2313/tillsynsmail/A 27-2023 tillsynsbegäran mail.docx", "A 27-2023")</f>
        <v/>
      </c>
    </row>
    <row r="1344" ht="15" customHeight="1">
      <c r="A1344" t="inlineStr">
        <is>
          <t>A 184-2023</t>
        </is>
      </c>
      <c r="B1344" s="1" t="n">
        <v>44928</v>
      </c>
      <c r="C1344" s="1" t="n">
        <v>45363</v>
      </c>
      <c r="D1344" t="inlineStr">
        <is>
          <t>JÄMTLANDS LÄN</t>
        </is>
      </c>
      <c r="E1344" t="inlineStr">
        <is>
          <t>HÄRJEDALEN</t>
        </is>
      </c>
      <c r="F1344" t="inlineStr">
        <is>
          <t>Holmen skog AB</t>
        </is>
      </c>
      <c r="G1344" t="n">
        <v>7.8</v>
      </c>
      <c r="H1344" t="n">
        <v>1</v>
      </c>
      <c r="I1344" t="n">
        <v>1</v>
      </c>
      <c r="J1344" t="n">
        <v>0</v>
      </c>
      <c r="K1344" t="n">
        <v>0</v>
      </c>
      <c r="L1344" t="n">
        <v>0</v>
      </c>
      <c r="M1344" t="n">
        <v>0</v>
      </c>
      <c r="N1344" t="n">
        <v>0</v>
      </c>
      <c r="O1344" t="n">
        <v>0</v>
      </c>
      <c r="P1344" t="n">
        <v>0</v>
      </c>
      <c r="Q1344" t="n">
        <v>1</v>
      </c>
      <c r="R1344" s="2" t="inlineStr">
        <is>
          <t>Spindelblomster</t>
        </is>
      </c>
      <c r="S1344">
        <f>HYPERLINK("https://klasma.github.io/Logging_2361/artfynd/A 184-2023 artfynd.xlsx", "A 184-2023")</f>
        <v/>
      </c>
      <c r="T1344">
        <f>HYPERLINK("https://klasma.github.io/Logging_2361/kartor/A 184-2023 karta.png", "A 184-2023")</f>
        <v/>
      </c>
      <c r="V1344">
        <f>HYPERLINK("https://klasma.github.io/Logging_2361/klagomål/A 184-2023 FSC-klagomål.docx", "A 184-2023")</f>
        <v/>
      </c>
      <c r="W1344">
        <f>HYPERLINK("https://klasma.github.io/Logging_2361/klagomålsmail/A 184-2023 FSC-klagomål mail.docx", "A 184-2023")</f>
        <v/>
      </c>
      <c r="X1344">
        <f>HYPERLINK("https://klasma.github.io/Logging_2361/tillsyn/A 184-2023 tillsynsbegäran.docx", "A 184-2023")</f>
        <v/>
      </c>
      <c r="Y1344">
        <f>HYPERLINK("https://klasma.github.io/Logging_2361/tillsynsmail/A 184-2023 tillsynsbegäran mail.docx", "A 184-2023")</f>
        <v/>
      </c>
    </row>
    <row r="1345" ht="15" customHeight="1">
      <c r="A1345" t="inlineStr">
        <is>
          <t>A 725-2023</t>
        </is>
      </c>
      <c r="B1345" s="1" t="n">
        <v>44930</v>
      </c>
      <c r="C1345" s="1" t="n">
        <v>45363</v>
      </c>
      <c r="D1345" t="inlineStr">
        <is>
          <t>JÄMTLANDS LÄN</t>
        </is>
      </c>
      <c r="E1345" t="inlineStr">
        <is>
          <t>BRÄCKE</t>
        </is>
      </c>
      <c r="F1345" t="inlineStr">
        <is>
          <t>SCA</t>
        </is>
      </c>
      <c r="G1345" t="n">
        <v>0.9</v>
      </c>
      <c r="H1345" t="n">
        <v>0</v>
      </c>
      <c r="I1345" t="n">
        <v>0</v>
      </c>
      <c r="J1345" t="n">
        <v>1</v>
      </c>
      <c r="K1345" t="n">
        <v>0</v>
      </c>
      <c r="L1345" t="n">
        <v>0</v>
      </c>
      <c r="M1345" t="n">
        <v>0</v>
      </c>
      <c r="N1345" t="n">
        <v>0</v>
      </c>
      <c r="O1345" t="n">
        <v>1</v>
      </c>
      <c r="P1345" t="n">
        <v>0</v>
      </c>
      <c r="Q1345" t="n">
        <v>1</v>
      </c>
      <c r="R1345" s="2" t="inlineStr">
        <is>
          <t>Kolflarnlav</t>
        </is>
      </c>
      <c r="S1345">
        <f>HYPERLINK("https://klasma.github.io/Logging_2305/artfynd/A 725-2023 artfynd.xlsx", "A 725-2023")</f>
        <v/>
      </c>
      <c r="T1345">
        <f>HYPERLINK("https://klasma.github.io/Logging_2305/kartor/A 725-2023 karta.png", "A 725-2023")</f>
        <v/>
      </c>
      <c r="V1345">
        <f>HYPERLINK("https://klasma.github.io/Logging_2305/klagomål/A 725-2023 FSC-klagomål.docx", "A 725-2023")</f>
        <v/>
      </c>
      <c r="W1345">
        <f>HYPERLINK("https://klasma.github.io/Logging_2305/klagomålsmail/A 725-2023 FSC-klagomål mail.docx", "A 725-2023")</f>
        <v/>
      </c>
      <c r="X1345">
        <f>HYPERLINK("https://klasma.github.io/Logging_2305/tillsyn/A 725-2023 tillsynsbegäran.docx", "A 725-2023")</f>
        <v/>
      </c>
      <c r="Y1345">
        <f>HYPERLINK("https://klasma.github.io/Logging_2305/tillsynsmail/A 725-2023 tillsynsbegäran mail.docx", "A 725-2023")</f>
        <v/>
      </c>
    </row>
    <row r="1346" ht="15" customHeight="1">
      <c r="A1346" t="inlineStr">
        <is>
          <t>A 5480-2023</t>
        </is>
      </c>
      <c r="B1346" s="1" t="n">
        <v>44957</v>
      </c>
      <c r="C1346" s="1" t="n">
        <v>45363</v>
      </c>
      <c r="D1346" t="inlineStr">
        <is>
          <t>JÄMTLANDS LÄN</t>
        </is>
      </c>
      <c r="E1346" t="inlineStr">
        <is>
          <t>ÅRE</t>
        </is>
      </c>
      <c r="G1346" t="n">
        <v>3.3</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HYPERLINK("https://klasma.github.io/Logging_2321/artfynd/A 5480-2023 artfynd.xlsx", "A 5480-2023")</f>
        <v/>
      </c>
      <c r="T1346">
        <f>HYPERLINK("https://klasma.github.io/Logging_2321/kartor/A 5480-2023 karta.png", "A 5480-2023")</f>
        <v/>
      </c>
      <c r="V1346">
        <f>HYPERLINK("https://klasma.github.io/Logging_2321/klagomål/A 5480-2023 FSC-klagomål.docx", "A 5480-2023")</f>
        <v/>
      </c>
      <c r="W1346">
        <f>HYPERLINK("https://klasma.github.io/Logging_2321/klagomålsmail/A 5480-2023 FSC-klagomål mail.docx", "A 5480-2023")</f>
        <v/>
      </c>
      <c r="X1346">
        <f>HYPERLINK("https://klasma.github.io/Logging_2321/tillsyn/A 5480-2023 tillsynsbegäran.docx", "A 5480-2023")</f>
        <v/>
      </c>
      <c r="Y1346">
        <f>HYPERLINK("https://klasma.github.io/Logging_2321/tillsynsmail/A 5480-2023 tillsynsbegäran mail.docx", "A 5480-2023")</f>
        <v/>
      </c>
      <c r="Z1346">
        <f>HYPERLINK("https://klasma.github.io/Logging_2321/fåglar/A 5480-2023 prioriterade fågelarter.docx", "A 5480-2023")</f>
        <v/>
      </c>
    </row>
    <row r="1347" ht="15" customHeight="1">
      <c r="A1347" t="inlineStr">
        <is>
          <t>A 10632-2023</t>
        </is>
      </c>
      <c r="B1347" s="1" t="n">
        <v>44984</v>
      </c>
      <c r="C1347" s="1" t="n">
        <v>45363</v>
      </c>
      <c r="D1347" t="inlineStr">
        <is>
          <t>JÄMTLANDS LÄN</t>
        </is>
      </c>
      <c r="E1347" t="inlineStr">
        <is>
          <t>ÅRE</t>
        </is>
      </c>
      <c r="G1347" t="n">
        <v>5.4</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HYPERLINK("https://klasma.github.io/Logging_2321/artfynd/A 10632-2023 artfynd.xlsx", "A 10632-2023")</f>
        <v/>
      </c>
      <c r="T1347">
        <f>HYPERLINK("https://klasma.github.io/Logging_2321/kartor/A 10632-2023 karta.png", "A 10632-2023")</f>
        <v/>
      </c>
      <c r="V1347">
        <f>HYPERLINK("https://klasma.github.io/Logging_2321/klagomål/A 10632-2023 FSC-klagomål.docx", "A 10632-2023")</f>
        <v/>
      </c>
      <c r="W1347">
        <f>HYPERLINK("https://klasma.github.io/Logging_2321/klagomålsmail/A 10632-2023 FSC-klagomål mail.docx", "A 10632-2023")</f>
        <v/>
      </c>
      <c r="X1347">
        <f>HYPERLINK("https://klasma.github.io/Logging_2321/tillsyn/A 10632-2023 tillsynsbegäran.docx", "A 10632-2023")</f>
        <v/>
      </c>
      <c r="Y1347">
        <f>HYPERLINK("https://klasma.github.io/Logging_2321/tillsynsmail/A 10632-2023 tillsynsbegäran mail.docx", "A 10632-2023")</f>
        <v/>
      </c>
      <c r="Z1347">
        <f>HYPERLINK("https://klasma.github.io/Logging_2321/fåglar/A 10632-2023 prioriterade fågelarter.docx", "A 10632-2023")</f>
        <v/>
      </c>
    </row>
    <row r="1348" ht="15" customHeight="1">
      <c r="A1348" t="inlineStr">
        <is>
          <t>A 10075-2023</t>
        </is>
      </c>
      <c r="B1348" s="1" t="n">
        <v>44985</v>
      </c>
      <c r="C1348" s="1" t="n">
        <v>45363</v>
      </c>
      <c r="D1348" t="inlineStr">
        <is>
          <t>JÄMTLANDS LÄN</t>
        </is>
      </c>
      <c r="E1348" t="inlineStr">
        <is>
          <t>STRÖMSUND</t>
        </is>
      </c>
      <c r="F1348" t="inlineStr">
        <is>
          <t>SCA</t>
        </is>
      </c>
      <c r="G1348" t="n">
        <v>13.4</v>
      </c>
      <c r="H1348" t="n">
        <v>0</v>
      </c>
      <c r="I1348" t="n">
        <v>0</v>
      </c>
      <c r="J1348" t="n">
        <v>1</v>
      </c>
      <c r="K1348" t="n">
        <v>0</v>
      </c>
      <c r="L1348" t="n">
        <v>0</v>
      </c>
      <c r="M1348" t="n">
        <v>0</v>
      </c>
      <c r="N1348" t="n">
        <v>0</v>
      </c>
      <c r="O1348" t="n">
        <v>1</v>
      </c>
      <c r="P1348" t="n">
        <v>0</v>
      </c>
      <c r="Q1348" t="n">
        <v>1</v>
      </c>
      <c r="R1348" s="2" t="inlineStr">
        <is>
          <t>Brunklöver</t>
        </is>
      </c>
      <c r="S1348">
        <f>HYPERLINK("https://klasma.github.io/Logging_2313/artfynd/A 10075-2023 artfynd.xlsx", "A 10075-2023")</f>
        <v/>
      </c>
      <c r="T1348">
        <f>HYPERLINK("https://klasma.github.io/Logging_2313/kartor/A 10075-2023 karta.png", "A 10075-2023")</f>
        <v/>
      </c>
      <c r="V1348">
        <f>HYPERLINK("https://klasma.github.io/Logging_2313/klagomål/A 10075-2023 FSC-klagomål.docx", "A 10075-2023")</f>
        <v/>
      </c>
      <c r="W1348">
        <f>HYPERLINK("https://klasma.github.io/Logging_2313/klagomålsmail/A 10075-2023 FSC-klagomål mail.docx", "A 10075-2023")</f>
        <v/>
      </c>
      <c r="X1348">
        <f>HYPERLINK("https://klasma.github.io/Logging_2313/tillsyn/A 10075-2023 tillsynsbegäran.docx", "A 10075-2023")</f>
        <v/>
      </c>
      <c r="Y1348">
        <f>HYPERLINK("https://klasma.github.io/Logging_2313/tillsynsmail/A 10075-2023 tillsynsbegäran mail.docx", "A 10075-2023")</f>
        <v/>
      </c>
    </row>
    <row r="1349" ht="15" customHeight="1">
      <c r="A1349" t="inlineStr">
        <is>
          <t>A 12062-2023</t>
        </is>
      </c>
      <c r="B1349" s="1" t="n">
        <v>44996</v>
      </c>
      <c r="C1349" s="1" t="n">
        <v>45363</v>
      </c>
      <c r="D1349" t="inlineStr">
        <is>
          <t>JÄMTLANDS LÄN</t>
        </is>
      </c>
      <c r="E1349" t="inlineStr">
        <is>
          <t>BRÄCKE</t>
        </is>
      </c>
      <c r="G1349" t="n">
        <v>5.4</v>
      </c>
      <c r="H1349" t="n">
        <v>0</v>
      </c>
      <c r="I1349" t="n">
        <v>0</v>
      </c>
      <c r="J1349" t="n">
        <v>1</v>
      </c>
      <c r="K1349" t="n">
        <v>0</v>
      </c>
      <c r="L1349" t="n">
        <v>0</v>
      </c>
      <c r="M1349" t="n">
        <v>0</v>
      </c>
      <c r="N1349" t="n">
        <v>0</v>
      </c>
      <c r="O1349" t="n">
        <v>1</v>
      </c>
      <c r="P1349" t="n">
        <v>0</v>
      </c>
      <c r="Q1349" t="n">
        <v>1</v>
      </c>
      <c r="R1349" s="2" t="inlineStr">
        <is>
          <t>Lunglav</t>
        </is>
      </c>
      <c r="S1349">
        <f>HYPERLINK("https://klasma.github.io/Logging_2305/artfynd/A 12062-2023 artfynd.xlsx", "A 12062-2023")</f>
        <v/>
      </c>
      <c r="T1349">
        <f>HYPERLINK("https://klasma.github.io/Logging_2305/kartor/A 12062-2023 karta.png", "A 12062-2023")</f>
        <v/>
      </c>
      <c r="V1349">
        <f>HYPERLINK("https://klasma.github.io/Logging_2305/klagomål/A 12062-2023 FSC-klagomål.docx", "A 12062-2023")</f>
        <v/>
      </c>
      <c r="W1349">
        <f>HYPERLINK("https://klasma.github.io/Logging_2305/klagomålsmail/A 12062-2023 FSC-klagomål mail.docx", "A 12062-2023")</f>
        <v/>
      </c>
      <c r="X1349">
        <f>HYPERLINK("https://klasma.github.io/Logging_2305/tillsyn/A 12062-2023 tillsynsbegäran.docx", "A 12062-2023")</f>
        <v/>
      </c>
      <c r="Y1349">
        <f>HYPERLINK("https://klasma.github.io/Logging_2305/tillsynsmail/A 12062-2023 tillsynsbegäran mail.docx", "A 12062-2023")</f>
        <v/>
      </c>
    </row>
    <row r="1350" ht="15" customHeight="1">
      <c r="A1350" t="inlineStr">
        <is>
          <t>A 12517-2023</t>
        </is>
      </c>
      <c r="B1350" s="1" t="n">
        <v>45000</v>
      </c>
      <c r="C1350" s="1" t="n">
        <v>45363</v>
      </c>
      <c r="D1350" t="inlineStr">
        <is>
          <t>JÄMTLANDS LÄN</t>
        </is>
      </c>
      <c r="E1350" t="inlineStr">
        <is>
          <t>BRÄCKE</t>
        </is>
      </c>
      <c r="G1350" t="n">
        <v>11</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12517-2023 artfynd.xlsx", "A 12517-2023")</f>
        <v/>
      </c>
      <c r="T1350">
        <f>HYPERLINK("https://klasma.github.io/Logging_2305/kartor/A 12517-2023 karta.png", "A 12517-2023")</f>
        <v/>
      </c>
      <c r="V1350">
        <f>HYPERLINK("https://klasma.github.io/Logging_2305/klagomål/A 12517-2023 FSC-klagomål.docx", "A 12517-2023")</f>
        <v/>
      </c>
      <c r="W1350">
        <f>HYPERLINK("https://klasma.github.io/Logging_2305/klagomålsmail/A 12517-2023 FSC-klagomål mail.docx", "A 12517-2023")</f>
        <v/>
      </c>
      <c r="X1350">
        <f>HYPERLINK("https://klasma.github.io/Logging_2305/tillsyn/A 12517-2023 tillsynsbegäran.docx", "A 12517-2023")</f>
        <v/>
      </c>
      <c r="Y1350">
        <f>HYPERLINK("https://klasma.github.io/Logging_2305/tillsynsmail/A 12517-2023 tillsynsbegäran mail.docx", "A 12517-2023")</f>
        <v/>
      </c>
    </row>
    <row r="1351" ht="15" customHeight="1">
      <c r="A1351" t="inlineStr">
        <is>
          <t>A 13897-2023</t>
        </is>
      </c>
      <c r="B1351" s="1" t="n">
        <v>45008</v>
      </c>
      <c r="C1351" s="1" t="n">
        <v>45363</v>
      </c>
      <c r="D1351" t="inlineStr">
        <is>
          <t>JÄMTLANDS LÄN</t>
        </is>
      </c>
      <c r="E1351" t="inlineStr">
        <is>
          <t>STRÖMSUND</t>
        </is>
      </c>
      <c r="F1351" t="inlineStr">
        <is>
          <t>Holmen skog AB</t>
        </is>
      </c>
      <c r="G1351" t="n">
        <v>2.6</v>
      </c>
      <c r="H1351" t="n">
        <v>0</v>
      </c>
      <c r="I1351" t="n">
        <v>0</v>
      </c>
      <c r="J1351" t="n">
        <v>1</v>
      </c>
      <c r="K1351" t="n">
        <v>0</v>
      </c>
      <c r="L1351" t="n">
        <v>0</v>
      </c>
      <c r="M1351" t="n">
        <v>0</v>
      </c>
      <c r="N1351" t="n">
        <v>0</v>
      </c>
      <c r="O1351" t="n">
        <v>1</v>
      </c>
      <c r="P1351" t="n">
        <v>0</v>
      </c>
      <c r="Q1351" t="n">
        <v>1</v>
      </c>
      <c r="R1351" s="2" t="inlineStr">
        <is>
          <t>Kolflarnlav</t>
        </is>
      </c>
      <c r="S1351">
        <f>HYPERLINK("https://klasma.github.io/Logging_2313/artfynd/A 13897-2023 artfynd.xlsx", "A 13897-2023")</f>
        <v/>
      </c>
      <c r="T1351">
        <f>HYPERLINK("https://klasma.github.io/Logging_2313/kartor/A 13897-2023 karta.png", "A 13897-2023")</f>
        <v/>
      </c>
      <c r="V1351">
        <f>HYPERLINK("https://klasma.github.io/Logging_2313/klagomål/A 13897-2023 FSC-klagomål.docx", "A 13897-2023")</f>
        <v/>
      </c>
      <c r="W1351">
        <f>HYPERLINK("https://klasma.github.io/Logging_2313/klagomålsmail/A 13897-2023 FSC-klagomål mail.docx", "A 13897-2023")</f>
        <v/>
      </c>
      <c r="X1351">
        <f>HYPERLINK("https://klasma.github.io/Logging_2313/tillsyn/A 13897-2023 tillsynsbegäran.docx", "A 13897-2023")</f>
        <v/>
      </c>
      <c r="Y1351">
        <f>HYPERLINK("https://klasma.github.io/Logging_2313/tillsynsmail/A 13897-2023 tillsynsbegäran mail.docx", "A 13897-2023")</f>
        <v/>
      </c>
    </row>
    <row r="1352" ht="15" customHeight="1">
      <c r="A1352" t="inlineStr">
        <is>
          <t>A 15430-2023</t>
        </is>
      </c>
      <c r="B1352" s="1" t="n">
        <v>45020</v>
      </c>
      <c r="C1352" s="1" t="n">
        <v>45363</v>
      </c>
      <c r="D1352" t="inlineStr">
        <is>
          <t>JÄMTLANDS LÄN</t>
        </is>
      </c>
      <c r="E1352" t="inlineStr">
        <is>
          <t>KROKOM</t>
        </is>
      </c>
      <c r="G1352" t="n">
        <v>31.8</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HYPERLINK("https://klasma.github.io/Logging_2309/artfynd/A 15430-2023 artfynd.xlsx", "A 15430-2023")</f>
        <v/>
      </c>
      <c r="T1352">
        <f>HYPERLINK("https://klasma.github.io/Logging_2309/kartor/A 15430-2023 karta.png", "A 15430-2023")</f>
        <v/>
      </c>
      <c r="V1352">
        <f>HYPERLINK("https://klasma.github.io/Logging_2309/klagomål/A 15430-2023 FSC-klagomål.docx", "A 15430-2023")</f>
        <v/>
      </c>
      <c r="W1352">
        <f>HYPERLINK("https://klasma.github.io/Logging_2309/klagomålsmail/A 15430-2023 FSC-klagomål mail.docx", "A 15430-2023")</f>
        <v/>
      </c>
      <c r="X1352">
        <f>HYPERLINK("https://klasma.github.io/Logging_2309/tillsyn/A 15430-2023 tillsynsbegäran.docx", "A 15430-2023")</f>
        <v/>
      </c>
      <c r="Y1352">
        <f>HYPERLINK("https://klasma.github.io/Logging_2309/tillsynsmail/A 15430-2023 tillsynsbegäran mail.docx", "A 15430-2023")</f>
        <v/>
      </c>
      <c r="Z1352">
        <f>HYPERLINK("https://klasma.github.io/Logging_2309/fåglar/A 15430-2023 prioriterade fågelarter.docx", "A 15430-2023")</f>
        <v/>
      </c>
    </row>
    <row r="1353" ht="15" customHeight="1">
      <c r="A1353" t="inlineStr">
        <is>
          <t>A 16366-2023</t>
        </is>
      </c>
      <c r="B1353" s="1" t="n">
        <v>45028</v>
      </c>
      <c r="C1353" s="1" t="n">
        <v>45363</v>
      </c>
      <c r="D1353" t="inlineStr">
        <is>
          <t>JÄMTLANDS LÄN</t>
        </is>
      </c>
      <c r="E1353" t="inlineStr">
        <is>
          <t>BRÄCKE</t>
        </is>
      </c>
      <c r="G1353" t="n">
        <v>9.1</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16366-2023 artfynd.xlsx", "A 16366-2023")</f>
        <v/>
      </c>
      <c r="T1353">
        <f>HYPERLINK("https://klasma.github.io/Logging_2305/kartor/A 16366-2023 karta.png", "A 16366-2023")</f>
        <v/>
      </c>
      <c r="V1353">
        <f>HYPERLINK("https://klasma.github.io/Logging_2305/klagomål/A 16366-2023 FSC-klagomål.docx", "A 16366-2023")</f>
        <v/>
      </c>
      <c r="W1353">
        <f>HYPERLINK("https://klasma.github.io/Logging_2305/klagomålsmail/A 16366-2023 FSC-klagomål mail.docx", "A 16366-2023")</f>
        <v/>
      </c>
      <c r="X1353">
        <f>HYPERLINK("https://klasma.github.io/Logging_2305/tillsyn/A 16366-2023 tillsynsbegäran.docx", "A 16366-2023")</f>
        <v/>
      </c>
      <c r="Y1353">
        <f>HYPERLINK("https://klasma.github.io/Logging_2305/tillsynsmail/A 16366-2023 tillsynsbegäran mail.docx", "A 16366-2023")</f>
        <v/>
      </c>
    </row>
    <row r="1354" ht="15" customHeight="1">
      <c r="A1354" t="inlineStr">
        <is>
          <t>A 16755-2023</t>
        </is>
      </c>
      <c r="B1354" s="1" t="n">
        <v>45031</v>
      </c>
      <c r="C1354" s="1" t="n">
        <v>45363</v>
      </c>
      <c r="D1354" t="inlineStr">
        <is>
          <t>JÄMTLANDS LÄN</t>
        </is>
      </c>
      <c r="E1354" t="inlineStr">
        <is>
          <t>BRÄCKE</t>
        </is>
      </c>
      <c r="F1354" t="inlineStr">
        <is>
          <t>SCA</t>
        </is>
      </c>
      <c r="G1354" t="n">
        <v>15.7</v>
      </c>
      <c r="H1354" t="n">
        <v>0</v>
      </c>
      <c r="I1354" t="n">
        <v>1</v>
      </c>
      <c r="J1354" t="n">
        <v>0</v>
      </c>
      <c r="K1354" t="n">
        <v>0</v>
      </c>
      <c r="L1354" t="n">
        <v>0</v>
      </c>
      <c r="M1354" t="n">
        <v>0</v>
      </c>
      <c r="N1354" t="n">
        <v>0</v>
      </c>
      <c r="O1354" t="n">
        <v>0</v>
      </c>
      <c r="P1354" t="n">
        <v>0</v>
      </c>
      <c r="Q1354" t="n">
        <v>1</v>
      </c>
      <c r="R1354" s="2" t="inlineStr">
        <is>
          <t>Tibast</t>
        </is>
      </c>
      <c r="S1354">
        <f>HYPERLINK("https://klasma.github.io/Logging_2305/artfynd/A 16755-2023 artfynd.xlsx", "A 16755-2023")</f>
        <v/>
      </c>
      <c r="T1354">
        <f>HYPERLINK("https://klasma.github.io/Logging_2305/kartor/A 16755-2023 karta.png", "A 16755-2023")</f>
        <v/>
      </c>
      <c r="V1354">
        <f>HYPERLINK("https://klasma.github.io/Logging_2305/klagomål/A 16755-2023 FSC-klagomål.docx", "A 16755-2023")</f>
        <v/>
      </c>
      <c r="W1354">
        <f>HYPERLINK("https://klasma.github.io/Logging_2305/klagomålsmail/A 16755-2023 FSC-klagomål mail.docx", "A 16755-2023")</f>
        <v/>
      </c>
      <c r="X1354">
        <f>HYPERLINK("https://klasma.github.io/Logging_2305/tillsyn/A 16755-2023 tillsynsbegäran.docx", "A 16755-2023")</f>
        <v/>
      </c>
      <c r="Y1354">
        <f>HYPERLINK("https://klasma.github.io/Logging_2305/tillsynsmail/A 16755-2023 tillsynsbegäran mail.docx", "A 16755-2023")</f>
        <v/>
      </c>
    </row>
    <row r="1355" ht="15" customHeight="1">
      <c r="A1355" t="inlineStr">
        <is>
          <t>A 17340-2023</t>
        </is>
      </c>
      <c r="B1355" s="1" t="n">
        <v>45033</v>
      </c>
      <c r="C1355" s="1" t="n">
        <v>45363</v>
      </c>
      <c r="D1355" t="inlineStr">
        <is>
          <t>JÄMTLANDS LÄN</t>
        </is>
      </c>
      <c r="E1355" t="inlineStr">
        <is>
          <t>RAGUNDA</t>
        </is>
      </c>
      <c r="G1355" t="n">
        <v>1.6</v>
      </c>
      <c r="H1355" t="n">
        <v>0</v>
      </c>
      <c r="I1355" t="n">
        <v>0</v>
      </c>
      <c r="J1355" t="n">
        <v>1</v>
      </c>
      <c r="K1355" t="n">
        <v>0</v>
      </c>
      <c r="L1355" t="n">
        <v>0</v>
      </c>
      <c r="M1355" t="n">
        <v>0</v>
      </c>
      <c r="N1355" t="n">
        <v>0</v>
      </c>
      <c r="O1355" t="n">
        <v>1</v>
      </c>
      <c r="P1355" t="n">
        <v>0</v>
      </c>
      <c r="Q1355" t="n">
        <v>1</v>
      </c>
      <c r="R1355" s="2" t="inlineStr">
        <is>
          <t>Vedtrappmossa</t>
        </is>
      </c>
      <c r="S1355">
        <f>HYPERLINK("https://klasma.github.io/Logging_2303/artfynd/A 17340-2023 artfynd.xlsx", "A 17340-2023")</f>
        <v/>
      </c>
      <c r="T1355">
        <f>HYPERLINK("https://klasma.github.io/Logging_2303/kartor/A 17340-2023 karta.png", "A 17340-2023")</f>
        <v/>
      </c>
      <c r="U1355">
        <f>HYPERLINK("https://klasma.github.io/Logging_2303/knärot/A 17340-2023 karta knärot.png", "A 17340-2023")</f>
        <v/>
      </c>
      <c r="V1355">
        <f>HYPERLINK("https://klasma.github.io/Logging_2303/klagomål/A 17340-2023 FSC-klagomål.docx", "A 17340-2023")</f>
        <v/>
      </c>
      <c r="W1355">
        <f>HYPERLINK("https://klasma.github.io/Logging_2303/klagomålsmail/A 17340-2023 FSC-klagomål mail.docx", "A 17340-2023")</f>
        <v/>
      </c>
      <c r="X1355">
        <f>HYPERLINK("https://klasma.github.io/Logging_2303/tillsyn/A 17340-2023 tillsynsbegäran.docx", "A 17340-2023")</f>
        <v/>
      </c>
      <c r="Y1355">
        <f>HYPERLINK("https://klasma.github.io/Logging_2303/tillsynsmail/A 17340-2023 tillsynsbegäran mail.docx", "A 17340-2023")</f>
        <v/>
      </c>
    </row>
    <row r="1356" ht="15" customHeight="1">
      <c r="A1356" t="inlineStr">
        <is>
          <t>A 18767-2023</t>
        </is>
      </c>
      <c r="B1356" s="1" t="n">
        <v>45043</v>
      </c>
      <c r="C1356" s="1" t="n">
        <v>45363</v>
      </c>
      <c r="D1356" t="inlineStr">
        <is>
          <t>JÄMTLANDS LÄN</t>
        </is>
      </c>
      <c r="E1356" t="inlineStr">
        <is>
          <t>STRÖMSUND</t>
        </is>
      </c>
      <c r="F1356" t="inlineStr">
        <is>
          <t>SCA</t>
        </is>
      </c>
      <c r="G1356" t="n">
        <v>7.5</v>
      </c>
      <c r="H1356" t="n">
        <v>0</v>
      </c>
      <c r="I1356" t="n">
        <v>0</v>
      </c>
      <c r="J1356" t="n">
        <v>1</v>
      </c>
      <c r="K1356" t="n">
        <v>0</v>
      </c>
      <c r="L1356" t="n">
        <v>0</v>
      </c>
      <c r="M1356" t="n">
        <v>0</v>
      </c>
      <c r="N1356" t="n">
        <v>0</v>
      </c>
      <c r="O1356" t="n">
        <v>1</v>
      </c>
      <c r="P1356" t="n">
        <v>0</v>
      </c>
      <c r="Q1356" t="n">
        <v>1</v>
      </c>
      <c r="R1356" s="2" t="inlineStr">
        <is>
          <t>Vedtrappmossa</t>
        </is>
      </c>
      <c r="S1356">
        <f>HYPERLINK("https://klasma.github.io/Logging_2313/artfynd/A 18767-2023 artfynd.xlsx", "A 18767-2023")</f>
        <v/>
      </c>
      <c r="T1356">
        <f>HYPERLINK("https://klasma.github.io/Logging_2313/kartor/A 18767-2023 karta.png", "A 18767-2023")</f>
        <v/>
      </c>
      <c r="V1356">
        <f>HYPERLINK("https://klasma.github.io/Logging_2313/klagomål/A 18767-2023 FSC-klagomål.docx", "A 18767-2023")</f>
        <v/>
      </c>
      <c r="W1356">
        <f>HYPERLINK("https://klasma.github.io/Logging_2313/klagomålsmail/A 18767-2023 FSC-klagomål mail.docx", "A 18767-2023")</f>
        <v/>
      </c>
      <c r="X1356">
        <f>HYPERLINK("https://klasma.github.io/Logging_2313/tillsyn/A 18767-2023 tillsynsbegäran.docx", "A 18767-2023")</f>
        <v/>
      </c>
      <c r="Y1356">
        <f>HYPERLINK("https://klasma.github.io/Logging_2313/tillsynsmail/A 18767-2023 tillsynsbegäran mail.docx", "A 18767-2023")</f>
        <v/>
      </c>
    </row>
    <row r="1357" ht="15" customHeight="1">
      <c r="A1357" t="inlineStr">
        <is>
          <t>A 18853-2023</t>
        </is>
      </c>
      <c r="B1357" s="1" t="n">
        <v>45043</v>
      </c>
      <c r="C1357" s="1" t="n">
        <v>45363</v>
      </c>
      <c r="D1357" t="inlineStr">
        <is>
          <t>JÄMTLANDS LÄN</t>
        </is>
      </c>
      <c r="E1357" t="inlineStr">
        <is>
          <t>STRÖMSUND</t>
        </is>
      </c>
      <c r="G1357" t="n">
        <v>11.9</v>
      </c>
      <c r="H1357" t="n">
        <v>0</v>
      </c>
      <c r="I1357" t="n">
        <v>0</v>
      </c>
      <c r="J1357" t="n">
        <v>1</v>
      </c>
      <c r="K1357" t="n">
        <v>0</v>
      </c>
      <c r="L1357" t="n">
        <v>0</v>
      </c>
      <c r="M1357" t="n">
        <v>0</v>
      </c>
      <c r="N1357" t="n">
        <v>0</v>
      </c>
      <c r="O1357" t="n">
        <v>1</v>
      </c>
      <c r="P1357" t="n">
        <v>0</v>
      </c>
      <c r="Q1357" t="n">
        <v>1</v>
      </c>
      <c r="R1357" s="2" t="inlineStr">
        <is>
          <t>Granticka</t>
        </is>
      </c>
      <c r="S1357">
        <f>HYPERLINK("https://klasma.github.io/Logging_2313/artfynd/A 18853-2023 artfynd.xlsx", "A 18853-2023")</f>
        <v/>
      </c>
      <c r="T1357">
        <f>HYPERLINK("https://klasma.github.io/Logging_2313/kartor/A 18853-2023 karta.png", "A 18853-2023")</f>
        <v/>
      </c>
      <c r="V1357">
        <f>HYPERLINK("https://klasma.github.io/Logging_2313/klagomål/A 18853-2023 FSC-klagomål.docx", "A 18853-2023")</f>
        <v/>
      </c>
      <c r="W1357">
        <f>HYPERLINK("https://klasma.github.io/Logging_2313/klagomålsmail/A 18853-2023 FSC-klagomål mail.docx", "A 18853-2023")</f>
        <v/>
      </c>
      <c r="X1357">
        <f>HYPERLINK("https://klasma.github.io/Logging_2313/tillsyn/A 18853-2023 tillsynsbegäran.docx", "A 18853-2023")</f>
        <v/>
      </c>
      <c r="Y1357">
        <f>HYPERLINK("https://klasma.github.io/Logging_2313/tillsynsmail/A 18853-2023 tillsynsbegäran mail.docx", "A 18853-2023")</f>
        <v/>
      </c>
    </row>
    <row r="1358" ht="15" customHeight="1">
      <c r="A1358" t="inlineStr">
        <is>
          <t>A 18985-2023</t>
        </is>
      </c>
      <c r="B1358" s="1" t="n">
        <v>45044</v>
      </c>
      <c r="C1358" s="1" t="n">
        <v>45363</v>
      </c>
      <c r="D1358" t="inlineStr">
        <is>
          <t>JÄMTLANDS LÄN</t>
        </is>
      </c>
      <c r="E1358" t="inlineStr">
        <is>
          <t>RAGUNDA</t>
        </is>
      </c>
      <c r="F1358" t="inlineStr">
        <is>
          <t>SCA</t>
        </is>
      </c>
      <c r="G1358" t="n">
        <v>2.6</v>
      </c>
      <c r="H1358" t="n">
        <v>0</v>
      </c>
      <c r="I1358" t="n">
        <v>0</v>
      </c>
      <c r="J1358" t="n">
        <v>1</v>
      </c>
      <c r="K1358" t="n">
        <v>0</v>
      </c>
      <c r="L1358" t="n">
        <v>0</v>
      </c>
      <c r="M1358" t="n">
        <v>0</v>
      </c>
      <c r="N1358" t="n">
        <v>0</v>
      </c>
      <c r="O1358" t="n">
        <v>1</v>
      </c>
      <c r="P1358" t="n">
        <v>0</v>
      </c>
      <c r="Q1358" t="n">
        <v>1</v>
      </c>
      <c r="R1358" s="2" t="inlineStr">
        <is>
          <t>Doftskinn</t>
        </is>
      </c>
      <c r="S1358">
        <f>HYPERLINK("https://klasma.github.io/Logging_2303/artfynd/A 18985-2023 artfynd.xlsx", "A 18985-2023")</f>
        <v/>
      </c>
      <c r="T1358">
        <f>HYPERLINK("https://klasma.github.io/Logging_2303/kartor/A 18985-2023 karta.png", "A 18985-2023")</f>
        <v/>
      </c>
      <c r="V1358">
        <f>HYPERLINK("https://klasma.github.io/Logging_2303/klagomål/A 18985-2023 FSC-klagomål.docx", "A 18985-2023")</f>
        <v/>
      </c>
      <c r="W1358">
        <f>HYPERLINK("https://klasma.github.io/Logging_2303/klagomålsmail/A 18985-2023 FSC-klagomål mail.docx", "A 18985-2023")</f>
        <v/>
      </c>
      <c r="X1358">
        <f>HYPERLINK("https://klasma.github.io/Logging_2303/tillsyn/A 18985-2023 tillsynsbegäran.docx", "A 18985-2023")</f>
        <v/>
      </c>
      <c r="Y1358">
        <f>HYPERLINK("https://klasma.github.io/Logging_2303/tillsynsmail/A 18985-2023 tillsynsbegäran mail.docx", "A 18985-2023")</f>
        <v/>
      </c>
    </row>
    <row r="1359" ht="15" customHeight="1">
      <c r="A1359" t="inlineStr">
        <is>
          <t>A 19435-2023</t>
        </is>
      </c>
      <c r="B1359" s="1" t="n">
        <v>45049</v>
      </c>
      <c r="C1359" s="1" t="n">
        <v>45363</v>
      </c>
      <c r="D1359" t="inlineStr">
        <is>
          <t>JÄMTLANDS LÄN</t>
        </is>
      </c>
      <c r="E1359" t="inlineStr">
        <is>
          <t>BRÄCKE</t>
        </is>
      </c>
      <c r="G1359" t="n">
        <v>2.7</v>
      </c>
      <c r="H1359" t="n">
        <v>0</v>
      </c>
      <c r="I1359" t="n">
        <v>0</v>
      </c>
      <c r="J1359" t="n">
        <v>1</v>
      </c>
      <c r="K1359" t="n">
        <v>0</v>
      </c>
      <c r="L1359" t="n">
        <v>0</v>
      </c>
      <c r="M1359" t="n">
        <v>0</v>
      </c>
      <c r="N1359" t="n">
        <v>0</v>
      </c>
      <c r="O1359" t="n">
        <v>1</v>
      </c>
      <c r="P1359" t="n">
        <v>0</v>
      </c>
      <c r="Q1359" t="n">
        <v>1</v>
      </c>
      <c r="R1359" s="2" t="inlineStr">
        <is>
          <t>Lunglav</t>
        </is>
      </c>
      <c r="S1359">
        <f>HYPERLINK("https://klasma.github.io/Logging_2305/artfynd/A 19435-2023 artfynd.xlsx", "A 19435-2023")</f>
        <v/>
      </c>
      <c r="T1359">
        <f>HYPERLINK("https://klasma.github.io/Logging_2305/kartor/A 19435-2023 karta.png", "A 19435-2023")</f>
        <v/>
      </c>
      <c r="V1359">
        <f>HYPERLINK("https://klasma.github.io/Logging_2305/klagomål/A 19435-2023 FSC-klagomål.docx", "A 19435-2023")</f>
        <v/>
      </c>
      <c r="W1359">
        <f>HYPERLINK("https://klasma.github.io/Logging_2305/klagomålsmail/A 19435-2023 FSC-klagomål mail.docx", "A 19435-2023")</f>
        <v/>
      </c>
      <c r="X1359">
        <f>HYPERLINK("https://klasma.github.io/Logging_2305/tillsyn/A 19435-2023 tillsynsbegäran.docx", "A 19435-2023")</f>
        <v/>
      </c>
      <c r="Y1359">
        <f>HYPERLINK("https://klasma.github.io/Logging_2305/tillsynsmail/A 19435-2023 tillsynsbegäran mail.docx", "A 19435-2023")</f>
        <v/>
      </c>
    </row>
    <row r="1360" ht="15" customHeight="1">
      <c r="A1360" t="inlineStr">
        <is>
          <t>A 19817-2023</t>
        </is>
      </c>
      <c r="B1360" s="1" t="n">
        <v>45051</v>
      </c>
      <c r="C1360" s="1" t="n">
        <v>45363</v>
      </c>
      <c r="D1360" t="inlineStr">
        <is>
          <t>JÄMTLANDS LÄN</t>
        </is>
      </c>
      <c r="E1360" t="inlineStr">
        <is>
          <t>BRÄCKE</t>
        </is>
      </c>
      <c r="F1360" t="inlineStr">
        <is>
          <t>SCA</t>
        </is>
      </c>
      <c r="G1360" t="n">
        <v>2.8</v>
      </c>
      <c r="H1360" t="n">
        <v>0</v>
      </c>
      <c r="I1360" t="n">
        <v>0</v>
      </c>
      <c r="J1360" t="n">
        <v>1</v>
      </c>
      <c r="K1360" t="n">
        <v>0</v>
      </c>
      <c r="L1360" t="n">
        <v>0</v>
      </c>
      <c r="M1360" t="n">
        <v>0</v>
      </c>
      <c r="N1360" t="n">
        <v>0</v>
      </c>
      <c r="O1360" t="n">
        <v>1</v>
      </c>
      <c r="P1360" t="n">
        <v>0</v>
      </c>
      <c r="Q1360" t="n">
        <v>1</v>
      </c>
      <c r="R1360" s="2" t="inlineStr">
        <is>
          <t>Lunglav</t>
        </is>
      </c>
      <c r="S1360">
        <f>HYPERLINK("https://klasma.github.io/Logging_2305/artfynd/A 19817-2023 artfynd.xlsx", "A 19817-2023")</f>
        <v/>
      </c>
      <c r="T1360">
        <f>HYPERLINK("https://klasma.github.io/Logging_2305/kartor/A 19817-2023 karta.png", "A 19817-2023")</f>
        <v/>
      </c>
      <c r="V1360">
        <f>HYPERLINK("https://klasma.github.io/Logging_2305/klagomål/A 19817-2023 FSC-klagomål.docx", "A 19817-2023")</f>
        <v/>
      </c>
      <c r="W1360">
        <f>HYPERLINK("https://klasma.github.io/Logging_2305/klagomålsmail/A 19817-2023 FSC-klagomål mail.docx", "A 19817-2023")</f>
        <v/>
      </c>
      <c r="X1360">
        <f>HYPERLINK("https://klasma.github.io/Logging_2305/tillsyn/A 19817-2023 tillsynsbegäran.docx", "A 19817-2023")</f>
        <v/>
      </c>
      <c r="Y1360">
        <f>HYPERLINK("https://klasma.github.io/Logging_2305/tillsynsmail/A 19817-2023 tillsynsbegäran mail.docx", "A 19817-2023")</f>
        <v/>
      </c>
    </row>
    <row r="1361" ht="15" customHeight="1">
      <c r="A1361" t="inlineStr">
        <is>
          <t>A 20604-2023</t>
        </is>
      </c>
      <c r="B1361" s="1" t="n">
        <v>45057</v>
      </c>
      <c r="C1361" s="1" t="n">
        <v>45363</v>
      </c>
      <c r="D1361" t="inlineStr">
        <is>
          <t>JÄMTLANDS LÄN</t>
        </is>
      </c>
      <c r="E1361" t="inlineStr">
        <is>
          <t>BRÄCKE</t>
        </is>
      </c>
      <c r="F1361" t="inlineStr">
        <is>
          <t>SCA</t>
        </is>
      </c>
      <c r="G1361" t="n">
        <v>2.9</v>
      </c>
      <c r="H1361" t="n">
        <v>0</v>
      </c>
      <c r="I1361" t="n">
        <v>1</v>
      </c>
      <c r="J1361" t="n">
        <v>0</v>
      </c>
      <c r="K1361" t="n">
        <v>0</v>
      </c>
      <c r="L1361" t="n">
        <v>0</v>
      </c>
      <c r="M1361" t="n">
        <v>0</v>
      </c>
      <c r="N1361" t="n">
        <v>0</v>
      </c>
      <c r="O1361" t="n">
        <v>0</v>
      </c>
      <c r="P1361" t="n">
        <v>0</v>
      </c>
      <c r="Q1361" t="n">
        <v>1</v>
      </c>
      <c r="R1361" s="2" t="inlineStr">
        <is>
          <t>Tallfingersvamp</t>
        </is>
      </c>
      <c r="S1361">
        <f>HYPERLINK("https://klasma.github.io/Logging_2305/artfynd/A 20604-2023 artfynd.xlsx", "A 20604-2023")</f>
        <v/>
      </c>
      <c r="T1361">
        <f>HYPERLINK("https://klasma.github.io/Logging_2305/kartor/A 20604-2023 karta.png", "A 20604-2023")</f>
        <v/>
      </c>
      <c r="V1361">
        <f>HYPERLINK("https://klasma.github.io/Logging_2305/klagomål/A 20604-2023 FSC-klagomål.docx", "A 20604-2023")</f>
        <v/>
      </c>
      <c r="W1361">
        <f>HYPERLINK("https://klasma.github.io/Logging_2305/klagomålsmail/A 20604-2023 FSC-klagomål mail.docx", "A 20604-2023")</f>
        <v/>
      </c>
      <c r="X1361">
        <f>HYPERLINK("https://klasma.github.io/Logging_2305/tillsyn/A 20604-2023 tillsynsbegäran.docx", "A 20604-2023")</f>
        <v/>
      </c>
      <c r="Y1361">
        <f>HYPERLINK("https://klasma.github.io/Logging_2305/tillsynsmail/A 20604-2023 tillsynsbegäran mail.docx", "A 20604-2023")</f>
        <v/>
      </c>
    </row>
    <row r="1362" ht="15" customHeight="1">
      <c r="A1362" t="inlineStr">
        <is>
          <t>A 20632-2023</t>
        </is>
      </c>
      <c r="B1362" s="1" t="n">
        <v>45057</v>
      </c>
      <c r="C1362" s="1" t="n">
        <v>45363</v>
      </c>
      <c r="D1362" t="inlineStr">
        <is>
          <t>JÄMTLANDS LÄN</t>
        </is>
      </c>
      <c r="E1362" t="inlineStr">
        <is>
          <t>STRÖMSUND</t>
        </is>
      </c>
      <c r="F1362" t="inlineStr">
        <is>
          <t>SCA</t>
        </is>
      </c>
      <c r="G1362" t="n">
        <v>6.3</v>
      </c>
      <c r="H1362" t="n">
        <v>0</v>
      </c>
      <c r="I1362" t="n">
        <v>0</v>
      </c>
      <c r="J1362" t="n">
        <v>1</v>
      </c>
      <c r="K1362" t="n">
        <v>0</v>
      </c>
      <c r="L1362" t="n">
        <v>0</v>
      </c>
      <c r="M1362" t="n">
        <v>0</v>
      </c>
      <c r="N1362" t="n">
        <v>0</v>
      </c>
      <c r="O1362" t="n">
        <v>1</v>
      </c>
      <c r="P1362" t="n">
        <v>0</v>
      </c>
      <c r="Q1362" t="n">
        <v>1</v>
      </c>
      <c r="R1362" s="2" t="inlineStr">
        <is>
          <t>Granticka</t>
        </is>
      </c>
      <c r="S1362">
        <f>HYPERLINK("https://klasma.github.io/Logging_2313/artfynd/A 20632-2023 artfynd.xlsx", "A 20632-2023")</f>
        <v/>
      </c>
      <c r="T1362">
        <f>HYPERLINK("https://klasma.github.io/Logging_2313/kartor/A 20632-2023 karta.png", "A 20632-2023")</f>
        <v/>
      </c>
      <c r="V1362">
        <f>HYPERLINK("https://klasma.github.io/Logging_2313/klagomål/A 20632-2023 FSC-klagomål.docx", "A 20632-2023")</f>
        <v/>
      </c>
      <c r="W1362">
        <f>HYPERLINK("https://klasma.github.io/Logging_2313/klagomålsmail/A 20632-2023 FSC-klagomål mail.docx", "A 20632-2023")</f>
        <v/>
      </c>
      <c r="X1362">
        <f>HYPERLINK("https://klasma.github.io/Logging_2313/tillsyn/A 20632-2023 tillsynsbegäran.docx", "A 20632-2023")</f>
        <v/>
      </c>
      <c r="Y1362">
        <f>HYPERLINK("https://klasma.github.io/Logging_2313/tillsynsmail/A 20632-2023 tillsynsbegäran mail.docx", "A 20632-2023")</f>
        <v/>
      </c>
    </row>
    <row r="1363" ht="15" customHeight="1">
      <c r="A1363" t="inlineStr">
        <is>
          <t>A 20871-2023</t>
        </is>
      </c>
      <c r="B1363" s="1" t="n">
        <v>45058</v>
      </c>
      <c r="C1363" s="1" t="n">
        <v>45363</v>
      </c>
      <c r="D1363" t="inlineStr">
        <is>
          <t>JÄMTLANDS LÄN</t>
        </is>
      </c>
      <c r="E1363" t="inlineStr">
        <is>
          <t>BRÄCKE</t>
        </is>
      </c>
      <c r="F1363" t="inlineStr">
        <is>
          <t>SCA</t>
        </is>
      </c>
      <c r="G1363" t="n">
        <v>6.7</v>
      </c>
      <c r="H1363" t="n">
        <v>0</v>
      </c>
      <c r="I1363" t="n">
        <v>0</v>
      </c>
      <c r="J1363" t="n">
        <v>1</v>
      </c>
      <c r="K1363" t="n">
        <v>0</v>
      </c>
      <c r="L1363" t="n">
        <v>0</v>
      </c>
      <c r="M1363" t="n">
        <v>0</v>
      </c>
      <c r="N1363" t="n">
        <v>0</v>
      </c>
      <c r="O1363" t="n">
        <v>1</v>
      </c>
      <c r="P1363" t="n">
        <v>0</v>
      </c>
      <c r="Q1363" t="n">
        <v>1</v>
      </c>
      <c r="R1363" s="2" t="inlineStr">
        <is>
          <t>Månlåsbräken</t>
        </is>
      </c>
      <c r="S1363">
        <f>HYPERLINK("https://klasma.github.io/Logging_2305/artfynd/A 20871-2023 artfynd.xlsx", "A 20871-2023")</f>
        <v/>
      </c>
      <c r="T1363">
        <f>HYPERLINK("https://klasma.github.io/Logging_2305/kartor/A 20871-2023 karta.png", "A 20871-2023")</f>
        <v/>
      </c>
      <c r="V1363">
        <f>HYPERLINK("https://klasma.github.io/Logging_2305/klagomål/A 20871-2023 FSC-klagomål.docx", "A 20871-2023")</f>
        <v/>
      </c>
      <c r="W1363">
        <f>HYPERLINK("https://klasma.github.io/Logging_2305/klagomålsmail/A 20871-2023 FSC-klagomål mail.docx", "A 20871-2023")</f>
        <v/>
      </c>
      <c r="X1363">
        <f>HYPERLINK("https://klasma.github.io/Logging_2305/tillsyn/A 20871-2023 tillsynsbegäran.docx", "A 20871-2023")</f>
        <v/>
      </c>
      <c r="Y1363">
        <f>HYPERLINK("https://klasma.github.io/Logging_2305/tillsynsmail/A 20871-2023 tillsynsbegäran mail.docx", "A 20871-2023")</f>
        <v/>
      </c>
    </row>
    <row r="1364" ht="15" customHeight="1">
      <c r="A1364" t="inlineStr">
        <is>
          <t>A 21112-2023</t>
        </is>
      </c>
      <c r="B1364" s="1" t="n">
        <v>45062</v>
      </c>
      <c r="C1364" s="1" t="n">
        <v>45363</v>
      </c>
      <c r="D1364" t="inlineStr">
        <is>
          <t>JÄMTLANDS LÄN</t>
        </is>
      </c>
      <c r="E1364" t="inlineStr">
        <is>
          <t>BRÄCKE</t>
        </is>
      </c>
      <c r="F1364" t="inlineStr">
        <is>
          <t>SCA</t>
        </is>
      </c>
      <c r="G1364" t="n">
        <v>5.1</v>
      </c>
      <c r="H1364" t="n">
        <v>1</v>
      </c>
      <c r="I1364" t="n">
        <v>0</v>
      </c>
      <c r="J1364" t="n">
        <v>1</v>
      </c>
      <c r="K1364" t="n">
        <v>0</v>
      </c>
      <c r="L1364" t="n">
        <v>0</v>
      </c>
      <c r="M1364" t="n">
        <v>0</v>
      </c>
      <c r="N1364" t="n">
        <v>0</v>
      </c>
      <c r="O1364" t="n">
        <v>1</v>
      </c>
      <c r="P1364" t="n">
        <v>0</v>
      </c>
      <c r="Q1364" t="n">
        <v>1</v>
      </c>
      <c r="R1364" s="2" t="inlineStr">
        <is>
          <t>Järpe</t>
        </is>
      </c>
      <c r="S1364">
        <f>HYPERLINK("https://klasma.github.io/Logging_2305/artfynd/A 21112-2023 artfynd.xlsx", "A 21112-2023")</f>
        <v/>
      </c>
      <c r="T1364">
        <f>HYPERLINK("https://klasma.github.io/Logging_2305/kartor/A 21112-2023 karta.png", "A 21112-2023")</f>
        <v/>
      </c>
      <c r="V1364">
        <f>HYPERLINK("https://klasma.github.io/Logging_2305/klagomål/A 21112-2023 FSC-klagomål.docx", "A 21112-2023")</f>
        <v/>
      </c>
      <c r="W1364">
        <f>HYPERLINK("https://klasma.github.io/Logging_2305/klagomålsmail/A 21112-2023 FSC-klagomål mail.docx", "A 21112-2023")</f>
        <v/>
      </c>
      <c r="X1364">
        <f>HYPERLINK("https://klasma.github.io/Logging_2305/tillsyn/A 21112-2023 tillsynsbegäran.docx", "A 21112-2023")</f>
        <v/>
      </c>
      <c r="Y1364">
        <f>HYPERLINK("https://klasma.github.io/Logging_2305/tillsynsmail/A 21112-2023 tillsynsbegäran mail.docx", "A 21112-2023")</f>
        <v/>
      </c>
      <c r="Z1364">
        <f>HYPERLINK("https://klasma.github.io/Logging_2305/fåglar/A 21112-2023 prioriterade fågelarter.docx", "A 21112-2023")</f>
        <v/>
      </c>
    </row>
    <row r="1365" ht="15" customHeight="1">
      <c r="A1365" t="inlineStr">
        <is>
          <t>A 21684-2023</t>
        </is>
      </c>
      <c r="B1365" s="1" t="n">
        <v>45064</v>
      </c>
      <c r="C1365" s="1" t="n">
        <v>45363</v>
      </c>
      <c r="D1365" t="inlineStr">
        <is>
          <t>JÄMTLANDS LÄN</t>
        </is>
      </c>
      <c r="E1365" t="inlineStr">
        <is>
          <t>BRÄCKE</t>
        </is>
      </c>
      <c r="F1365" t="inlineStr">
        <is>
          <t>SCA</t>
        </is>
      </c>
      <c r="G1365" t="n">
        <v>16.5</v>
      </c>
      <c r="H1365" t="n">
        <v>1</v>
      </c>
      <c r="I1365" t="n">
        <v>0</v>
      </c>
      <c r="J1365" t="n">
        <v>1</v>
      </c>
      <c r="K1365" t="n">
        <v>0</v>
      </c>
      <c r="L1365" t="n">
        <v>0</v>
      </c>
      <c r="M1365" t="n">
        <v>0</v>
      </c>
      <c r="N1365" t="n">
        <v>0</v>
      </c>
      <c r="O1365" t="n">
        <v>1</v>
      </c>
      <c r="P1365" t="n">
        <v>0</v>
      </c>
      <c r="Q1365" t="n">
        <v>1</v>
      </c>
      <c r="R1365" s="2" t="inlineStr">
        <is>
          <t>Järpe</t>
        </is>
      </c>
      <c r="S1365">
        <f>HYPERLINK("https://klasma.github.io/Logging_2305/artfynd/A 21684-2023 artfynd.xlsx", "A 21684-2023")</f>
        <v/>
      </c>
      <c r="T1365">
        <f>HYPERLINK("https://klasma.github.io/Logging_2305/kartor/A 21684-2023 karta.png", "A 21684-2023")</f>
        <v/>
      </c>
      <c r="V1365">
        <f>HYPERLINK("https://klasma.github.io/Logging_2305/klagomål/A 21684-2023 FSC-klagomål.docx", "A 21684-2023")</f>
        <v/>
      </c>
      <c r="W1365">
        <f>HYPERLINK("https://klasma.github.io/Logging_2305/klagomålsmail/A 21684-2023 FSC-klagomål mail.docx", "A 21684-2023")</f>
        <v/>
      </c>
      <c r="X1365">
        <f>HYPERLINK("https://klasma.github.io/Logging_2305/tillsyn/A 21684-2023 tillsynsbegäran.docx", "A 21684-2023")</f>
        <v/>
      </c>
      <c r="Y1365">
        <f>HYPERLINK("https://klasma.github.io/Logging_2305/tillsynsmail/A 21684-2023 tillsynsbegäran mail.docx", "A 21684-2023")</f>
        <v/>
      </c>
      <c r="Z1365">
        <f>HYPERLINK("https://klasma.github.io/Logging_2305/fåglar/A 21684-2023 prioriterade fågelarter.docx", "A 21684-2023")</f>
        <v/>
      </c>
    </row>
    <row r="1366" ht="15" customHeight="1">
      <c r="A1366" t="inlineStr">
        <is>
          <t>A 22233-2023</t>
        </is>
      </c>
      <c r="B1366" s="1" t="n">
        <v>45069</v>
      </c>
      <c r="C1366" s="1" t="n">
        <v>45363</v>
      </c>
      <c r="D1366" t="inlineStr">
        <is>
          <t>JÄMTLANDS LÄN</t>
        </is>
      </c>
      <c r="E1366" t="inlineStr">
        <is>
          <t>BRÄCKE</t>
        </is>
      </c>
      <c r="F1366" t="inlineStr">
        <is>
          <t>SCA</t>
        </is>
      </c>
      <c r="G1366" t="n">
        <v>28.4</v>
      </c>
      <c r="H1366" t="n">
        <v>0</v>
      </c>
      <c r="I1366" t="n">
        <v>0</v>
      </c>
      <c r="J1366" t="n">
        <v>1</v>
      </c>
      <c r="K1366" t="n">
        <v>0</v>
      </c>
      <c r="L1366" t="n">
        <v>0</v>
      </c>
      <c r="M1366" t="n">
        <v>0</v>
      </c>
      <c r="N1366" t="n">
        <v>0</v>
      </c>
      <c r="O1366" t="n">
        <v>1</v>
      </c>
      <c r="P1366" t="n">
        <v>0</v>
      </c>
      <c r="Q1366" t="n">
        <v>1</v>
      </c>
      <c r="R1366" s="2" t="inlineStr">
        <is>
          <t>Lunglav</t>
        </is>
      </c>
      <c r="S1366">
        <f>HYPERLINK("https://klasma.github.io/Logging_2305/artfynd/A 22233-2023 artfynd.xlsx", "A 22233-2023")</f>
        <v/>
      </c>
      <c r="T1366">
        <f>HYPERLINK("https://klasma.github.io/Logging_2305/kartor/A 22233-2023 karta.png", "A 22233-2023")</f>
        <v/>
      </c>
      <c r="V1366">
        <f>HYPERLINK("https://klasma.github.io/Logging_2305/klagomål/A 22233-2023 FSC-klagomål.docx", "A 22233-2023")</f>
        <v/>
      </c>
      <c r="W1366">
        <f>HYPERLINK("https://klasma.github.io/Logging_2305/klagomålsmail/A 22233-2023 FSC-klagomål mail.docx", "A 22233-2023")</f>
        <v/>
      </c>
      <c r="X1366">
        <f>HYPERLINK("https://klasma.github.io/Logging_2305/tillsyn/A 22233-2023 tillsynsbegäran.docx", "A 22233-2023")</f>
        <v/>
      </c>
      <c r="Y1366">
        <f>HYPERLINK("https://klasma.github.io/Logging_2305/tillsynsmail/A 22233-2023 tillsynsbegäran mail.docx", "A 22233-2023")</f>
        <v/>
      </c>
    </row>
    <row r="1367" ht="15" customHeight="1">
      <c r="A1367" t="inlineStr">
        <is>
          <t>A 22990-2023</t>
        </is>
      </c>
      <c r="B1367" s="1" t="n">
        <v>45072</v>
      </c>
      <c r="C1367" s="1" t="n">
        <v>45363</v>
      </c>
      <c r="D1367" t="inlineStr">
        <is>
          <t>JÄMTLANDS LÄN</t>
        </is>
      </c>
      <c r="E1367" t="inlineStr">
        <is>
          <t>BRÄCKE</t>
        </is>
      </c>
      <c r="F1367" t="inlineStr">
        <is>
          <t>SCA</t>
        </is>
      </c>
      <c r="G1367" t="n">
        <v>5.2</v>
      </c>
      <c r="H1367" t="n">
        <v>0</v>
      </c>
      <c r="I1367" t="n">
        <v>0</v>
      </c>
      <c r="J1367" t="n">
        <v>1</v>
      </c>
      <c r="K1367" t="n">
        <v>0</v>
      </c>
      <c r="L1367" t="n">
        <v>0</v>
      </c>
      <c r="M1367" t="n">
        <v>0</v>
      </c>
      <c r="N1367" t="n">
        <v>0</v>
      </c>
      <c r="O1367" t="n">
        <v>1</v>
      </c>
      <c r="P1367" t="n">
        <v>0</v>
      </c>
      <c r="Q1367" t="n">
        <v>1</v>
      </c>
      <c r="R1367" s="2" t="inlineStr">
        <is>
          <t>Rosenticka</t>
        </is>
      </c>
      <c r="S1367">
        <f>HYPERLINK("https://klasma.github.io/Logging_2305/artfynd/A 22990-2023 artfynd.xlsx", "A 22990-2023")</f>
        <v/>
      </c>
      <c r="T1367">
        <f>HYPERLINK("https://klasma.github.io/Logging_2305/kartor/A 22990-2023 karta.png", "A 22990-2023")</f>
        <v/>
      </c>
      <c r="V1367">
        <f>HYPERLINK("https://klasma.github.io/Logging_2305/klagomål/A 22990-2023 FSC-klagomål.docx", "A 22990-2023")</f>
        <v/>
      </c>
      <c r="W1367">
        <f>HYPERLINK("https://klasma.github.io/Logging_2305/klagomålsmail/A 22990-2023 FSC-klagomål mail.docx", "A 22990-2023")</f>
        <v/>
      </c>
      <c r="X1367">
        <f>HYPERLINK("https://klasma.github.io/Logging_2305/tillsyn/A 22990-2023 tillsynsbegäran.docx", "A 22990-2023")</f>
        <v/>
      </c>
      <c r="Y1367">
        <f>HYPERLINK("https://klasma.github.io/Logging_2305/tillsynsmail/A 22990-2023 tillsynsbegäran mail.docx", "A 22990-2023")</f>
        <v/>
      </c>
    </row>
    <row r="1368" ht="15" customHeight="1">
      <c r="A1368" t="inlineStr">
        <is>
          <t>A 24309-2023</t>
        </is>
      </c>
      <c r="B1368" s="1" t="n">
        <v>45079</v>
      </c>
      <c r="C1368" s="1" t="n">
        <v>45363</v>
      </c>
      <c r="D1368" t="inlineStr">
        <is>
          <t>JÄMTLANDS LÄN</t>
        </is>
      </c>
      <c r="E1368" t="inlineStr">
        <is>
          <t>BERG</t>
        </is>
      </c>
      <c r="F1368" t="inlineStr">
        <is>
          <t>SCA</t>
        </is>
      </c>
      <c r="G1368" t="n">
        <v>3.3</v>
      </c>
      <c r="H1368" t="n">
        <v>1</v>
      </c>
      <c r="I1368" t="n">
        <v>0</v>
      </c>
      <c r="J1368" t="n">
        <v>0</v>
      </c>
      <c r="K1368" t="n">
        <v>0</v>
      </c>
      <c r="L1368" t="n">
        <v>0</v>
      </c>
      <c r="M1368" t="n">
        <v>0</v>
      </c>
      <c r="N1368" t="n">
        <v>0</v>
      </c>
      <c r="O1368" t="n">
        <v>0</v>
      </c>
      <c r="P1368" t="n">
        <v>0</v>
      </c>
      <c r="Q1368" t="n">
        <v>1</v>
      </c>
      <c r="R1368" s="2" t="inlineStr">
        <is>
          <t>Vanlig groda</t>
        </is>
      </c>
      <c r="S1368">
        <f>HYPERLINK("https://klasma.github.io/Logging_2326/artfynd/A 24309-2023 artfynd.xlsx", "A 24309-2023")</f>
        <v/>
      </c>
      <c r="T1368">
        <f>HYPERLINK("https://klasma.github.io/Logging_2326/kartor/A 24309-2023 karta.png", "A 24309-2023")</f>
        <v/>
      </c>
      <c r="V1368">
        <f>HYPERLINK("https://klasma.github.io/Logging_2326/klagomål/A 24309-2023 FSC-klagomål.docx", "A 24309-2023")</f>
        <v/>
      </c>
      <c r="W1368">
        <f>HYPERLINK("https://klasma.github.io/Logging_2326/klagomålsmail/A 24309-2023 FSC-klagomål mail.docx", "A 24309-2023")</f>
        <v/>
      </c>
      <c r="X1368">
        <f>HYPERLINK("https://klasma.github.io/Logging_2326/tillsyn/A 24309-2023 tillsynsbegäran.docx", "A 24309-2023")</f>
        <v/>
      </c>
      <c r="Y1368">
        <f>HYPERLINK("https://klasma.github.io/Logging_2326/tillsynsmail/A 24309-2023 tillsynsbegäran mail.docx", "A 24309-2023")</f>
        <v/>
      </c>
    </row>
    <row r="1369" ht="15" customHeight="1">
      <c r="A1369" t="inlineStr">
        <is>
          <t>A 25285-2023</t>
        </is>
      </c>
      <c r="B1369" s="1" t="n">
        <v>45079</v>
      </c>
      <c r="C1369" s="1" t="n">
        <v>45363</v>
      </c>
      <c r="D1369" t="inlineStr">
        <is>
          <t>JÄMTLANDS LÄN</t>
        </is>
      </c>
      <c r="E1369" t="inlineStr">
        <is>
          <t>KROKOM</t>
        </is>
      </c>
      <c r="G1369" t="n">
        <v>14.9</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HYPERLINK("https://klasma.github.io/Logging_2309/artfynd/A 25285-2023 artfynd.xlsx", "A 25285-2023")</f>
        <v/>
      </c>
      <c r="T1369">
        <f>HYPERLINK("https://klasma.github.io/Logging_2309/kartor/A 25285-2023 karta.png", "A 25285-2023")</f>
        <v/>
      </c>
      <c r="V1369">
        <f>HYPERLINK("https://klasma.github.io/Logging_2309/klagomål/A 25285-2023 FSC-klagomål.docx", "A 25285-2023")</f>
        <v/>
      </c>
      <c r="W1369">
        <f>HYPERLINK("https://klasma.github.io/Logging_2309/klagomålsmail/A 25285-2023 FSC-klagomål mail.docx", "A 25285-2023")</f>
        <v/>
      </c>
      <c r="X1369">
        <f>HYPERLINK("https://klasma.github.io/Logging_2309/tillsyn/A 25285-2023 tillsynsbegäran.docx", "A 25285-2023")</f>
        <v/>
      </c>
      <c r="Y1369">
        <f>HYPERLINK("https://klasma.github.io/Logging_2309/tillsynsmail/A 25285-2023 tillsynsbegäran mail.docx", "A 25285-2023")</f>
        <v/>
      </c>
      <c r="Z1369">
        <f>HYPERLINK("https://klasma.github.io/Logging_2309/fåglar/A 25285-2023 prioriterade fågelarter.docx", "A 25285-2023")</f>
        <v/>
      </c>
    </row>
    <row r="1370" ht="15" customHeight="1">
      <c r="A1370" t="inlineStr">
        <is>
          <t>A 24825-2023</t>
        </is>
      </c>
      <c r="B1370" s="1" t="n">
        <v>45084</v>
      </c>
      <c r="C1370" s="1" t="n">
        <v>45363</v>
      </c>
      <c r="D1370" t="inlineStr">
        <is>
          <t>JÄMTLANDS LÄN</t>
        </is>
      </c>
      <c r="E1370" t="inlineStr">
        <is>
          <t>BRÄCKE</t>
        </is>
      </c>
      <c r="F1370" t="inlineStr">
        <is>
          <t>SCA</t>
        </is>
      </c>
      <c r="G1370" t="n">
        <v>7</v>
      </c>
      <c r="H1370" t="n">
        <v>0</v>
      </c>
      <c r="I1370" t="n">
        <v>0</v>
      </c>
      <c r="J1370" t="n">
        <v>1</v>
      </c>
      <c r="K1370" t="n">
        <v>0</v>
      </c>
      <c r="L1370" t="n">
        <v>0</v>
      </c>
      <c r="M1370" t="n">
        <v>0</v>
      </c>
      <c r="N1370" t="n">
        <v>0</v>
      </c>
      <c r="O1370" t="n">
        <v>1</v>
      </c>
      <c r="P1370" t="n">
        <v>0</v>
      </c>
      <c r="Q1370" t="n">
        <v>1</v>
      </c>
      <c r="R1370" s="2" t="inlineStr">
        <is>
          <t>Tallticka</t>
        </is>
      </c>
      <c r="S1370">
        <f>HYPERLINK("https://klasma.github.io/Logging_2305/artfynd/A 24825-2023 artfynd.xlsx", "A 24825-2023")</f>
        <v/>
      </c>
      <c r="T1370">
        <f>HYPERLINK("https://klasma.github.io/Logging_2305/kartor/A 24825-2023 karta.png", "A 24825-2023")</f>
        <v/>
      </c>
      <c r="V1370">
        <f>HYPERLINK("https://klasma.github.io/Logging_2305/klagomål/A 24825-2023 FSC-klagomål.docx", "A 24825-2023")</f>
        <v/>
      </c>
      <c r="W1370">
        <f>HYPERLINK("https://klasma.github.io/Logging_2305/klagomålsmail/A 24825-2023 FSC-klagomål mail.docx", "A 24825-2023")</f>
        <v/>
      </c>
      <c r="X1370">
        <f>HYPERLINK("https://klasma.github.io/Logging_2305/tillsyn/A 24825-2023 tillsynsbegäran.docx", "A 24825-2023")</f>
        <v/>
      </c>
      <c r="Y1370">
        <f>HYPERLINK("https://klasma.github.io/Logging_2305/tillsynsmail/A 24825-2023 tillsynsbegäran mail.docx", "A 24825-2023")</f>
        <v/>
      </c>
    </row>
    <row r="1371" ht="15" customHeight="1">
      <c r="A1371" t="inlineStr">
        <is>
          <t>A 24826-2023</t>
        </is>
      </c>
      <c r="B1371" s="1" t="n">
        <v>45084</v>
      </c>
      <c r="C1371" s="1" t="n">
        <v>45363</v>
      </c>
      <c r="D1371" t="inlineStr">
        <is>
          <t>JÄMTLANDS LÄN</t>
        </is>
      </c>
      <c r="E1371" t="inlineStr">
        <is>
          <t>BRÄCKE</t>
        </is>
      </c>
      <c r="F1371" t="inlineStr">
        <is>
          <t>SCA</t>
        </is>
      </c>
      <c r="G1371" t="n">
        <v>6.5</v>
      </c>
      <c r="H1371" t="n">
        <v>0</v>
      </c>
      <c r="I1371" t="n">
        <v>0</v>
      </c>
      <c r="J1371" t="n">
        <v>1</v>
      </c>
      <c r="K1371" t="n">
        <v>0</v>
      </c>
      <c r="L1371" t="n">
        <v>0</v>
      </c>
      <c r="M1371" t="n">
        <v>0</v>
      </c>
      <c r="N1371" t="n">
        <v>0</v>
      </c>
      <c r="O1371" t="n">
        <v>1</v>
      </c>
      <c r="P1371" t="n">
        <v>0</v>
      </c>
      <c r="Q1371" t="n">
        <v>1</v>
      </c>
      <c r="R1371" s="2" t="inlineStr">
        <is>
          <t>Rosenticka</t>
        </is>
      </c>
      <c r="S1371">
        <f>HYPERLINK("https://klasma.github.io/Logging_2305/artfynd/A 24826-2023 artfynd.xlsx", "A 24826-2023")</f>
        <v/>
      </c>
      <c r="T1371">
        <f>HYPERLINK("https://klasma.github.io/Logging_2305/kartor/A 24826-2023 karta.png", "A 24826-2023")</f>
        <v/>
      </c>
      <c r="V1371">
        <f>HYPERLINK("https://klasma.github.io/Logging_2305/klagomål/A 24826-2023 FSC-klagomål.docx", "A 24826-2023")</f>
        <v/>
      </c>
      <c r="W1371">
        <f>HYPERLINK("https://klasma.github.io/Logging_2305/klagomålsmail/A 24826-2023 FSC-klagomål mail.docx", "A 24826-2023")</f>
        <v/>
      </c>
      <c r="X1371">
        <f>HYPERLINK("https://klasma.github.io/Logging_2305/tillsyn/A 24826-2023 tillsynsbegäran.docx", "A 24826-2023")</f>
        <v/>
      </c>
      <c r="Y1371">
        <f>HYPERLINK("https://klasma.github.io/Logging_2305/tillsynsmail/A 24826-2023 tillsynsbegäran mail.docx", "A 24826-2023")</f>
        <v/>
      </c>
    </row>
    <row r="1372" ht="15" customHeight="1">
      <c r="A1372" t="inlineStr">
        <is>
          <t>A 24832-2023</t>
        </is>
      </c>
      <c r="B1372" s="1" t="n">
        <v>45084</v>
      </c>
      <c r="C1372" s="1" t="n">
        <v>45363</v>
      </c>
      <c r="D1372" t="inlineStr">
        <is>
          <t>JÄMTLANDS LÄN</t>
        </is>
      </c>
      <c r="E1372" t="inlineStr">
        <is>
          <t>STRÖMSUND</t>
        </is>
      </c>
      <c r="G1372" t="n">
        <v>9.6</v>
      </c>
      <c r="H1372" t="n">
        <v>0</v>
      </c>
      <c r="I1372" t="n">
        <v>0</v>
      </c>
      <c r="J1372" t="n">
        <v>1</v>
      </c>
      <c r="K1372" t="n">
        <v>0</v>
      </c>
      <c r="L1372" t="n">
        <v>0</v>
      </c>
      <c r="M1372" t="n">
        <v>0</v>
      </c>
      <c r="N1372" t="n">
        <v>0</v>
      </c>
      <c r="O1372" t="n">
        <v>1</v>
      </c>
      <c r="P1372" t="n">
        <v>0</v>
      </c>
      <c r="Q1372" t="n">
        <v>1</v>
      </c>
      <c r="R1372" s="2" t="inlineStr">
        <is>
          <t>Granticka</t>
        </is>
      </c>
      <c r="S1372">
        <f>HYPERLINK("https://klasma.github.io/Logging_2313/artfynd/A 24832-2023 artfynd.xlsx", "A 24832-2023")</f>
        <v/>
      </c>
      <c r="T1372">
        <f>HYPERLINK("https://klasma.github.io/Logging_2313/kartor/A 24832-2023 karta.png", "A 24832-2023")</f>
        <v/>
      </c>
      <c r="V1372">
        <f>HYPERLINK("https://klasma.github.io/Logging_2313/klagomål/A 24832-2023 FSC-klagomål.docx", "A 24832-2023")</f>
        <v/>
      </c>
      <c r="W1372">
        <f>HYPERLINK("https://klasma.github.io/Logging_2313/klagomålsmail/A 24832-2023 FSC-klagomål mail.docx", "A 24832-2023")</f>
        <v/>
      </c>
      <c r="X1372">
        <f>HYPERLINK("https://klasma.github.io/Logging_2313/tillsyn/A 24832-2023 tillsynsbegäran.docx", "A 24832-2023")</f>
        <v/>
      </c>
      <c r="Y1372">
        <f>HYPERLINK("https://klasma.github.io/Logging_2313/tillsynsmail/A 24832-2023 tillsynsbegäran mail.docx", "A 24832-2023")</f>
        <v/>
      </c>
    </row>
    <row r="1373" ht="15" customHeight="1">
      <c r="A1373" t="inlineStr">
        <is>
          <t>A 25672-2023</t>
        </is>
      </c>
      <c r="B1373" s="1" t="n">
        <v>45089</v>
      </c>
      <c r="C1373" s="1" t="n">
        <v>45363</v>
      </c>
      <c r="D1373" t="inlineStr">
        <is>
          <t>JÄMTLANDS LÄN</t>
        </is>
      </c>
      <c r="E1373" t="inlineStr">
        <is>
          <t>STRÖMSUND</t>
        </is>
      </c>
      <c r="F1373" t="inlineStr">
        <is>
          <t>SCA</t>
        </is>
      </c>
      <c r="G1373" t="n">
        <v>5.5</v>
      </c>
      <c r="H1373" t="n">
        <v>0</v>
      </c>
      <c r="I1373" t="n">
        <v>0</v>
      </c>
      <c r="J1373" t="n">
        <v>1</v>
      </c>
      <c r="K1373" t="n">
        <v>0</v>
      </c>
      <c r="L1373" t="n">
        <v>0</v>
      </c>
      <c r="M1373" t="n">
        <v>0</v>
      </c>
      <c r="N1373" t="n">
        <v>0</v>
      </c>
      <c r="O1373" t="n">
        <v>1</v>
      </c>
      <c r="P1373" t="n">
        <v>0</v>
      </c>
      <c r="Q1373" t="n">
        <v>1</v>
      </c>
      <c r="R1373" s="2" t="inlineStr">
        <is>
          <t>Kolflarnlav</t>
        </is>
      </c>
      <c r="S1373">
        <f>HYPERLINK("https://klasma.github.io/Logging_2313/artfynd/A 25672-2023 artfynd.xlsx", "A 25672-2023")</f>
        <v/>
      </c>
      <c r="T1373">
        <f>HYPERLINK("https://klasma.github.io/Logging_2313/kartor/A 25672-2023 karta.png", "A 25672-2023")</f>
        <v/>
      </c>
      <c r="V1373">
        <f>HYPERLINK("https://klasma.github.io/Logging_2313/klagomål/A 25672-2023 FSC-klagomål.docx", "A 25672-2023")</f>
        <v/>
      </c>
      <c r="W1373">
        <f>HYPERLINK("https://klasma.github.io/Logging_2313/klagomålsmail/A 25672-2023 FSC-klagomål mail.docx", "A 25672-2023")</f>
        <v/>
      </c>
      <c r="X1373">
        <f>HYPERLINK("https://klasma.github.io/Logging_2313/tillsyn/A 25672-2023 tillsynsbegäran.docx", "A 25672-2023")</f>
        <v/>
      </c>
      <c r="Y1373">
        <f>HYPERLINK("https://klasma.github.io/Logging_2313/tillsynsmail/A 25672-2023 tillsynsbegäran mail.docx", "A 25672-2023")</f>
        <v/>
      </c>
    </row>
    <row r="1374" ht="15" customHeight="1">
      <c r="A1374" t="inlineStr">
        <is>
          <t>A 26482-2023</t>
        </is>
      </c>
      <c r="B1374" s="1" t="n">
        <v>45089</v>
      </c>
      <c r="C1374" s="1" t="n">
        <v>45363</v>
      </c>
      <c r="D1374" t="inlineStr">
        <is>
          <t>JÄMTLANDS LÄN</t>
        </is>
      </c>
      <c r="E1374" t="inlineStr">
        <is>
          <t>RAGUNDA</t>
        </is>
      </c>
      <c r="G1374" t="n">
        <v>2</v>
      </c>
      <c r="H1374" t="n">
        <v>0</v>
      </c>
      <c r="I1374" t="n">
        <v>0</v>
      </c>
      <c r="J1374" t="n">
        <v>1</v>
      </c>
      <c r="K1374" t="n">
        <v>0</v>
      </c>
      <c r="L1374" t="n">
        <v>0</v>
      </c>
      <c r="M1374" t="n">
        <v>0</v>
      </c>
      <c r="N1374" t="n">
        <v>0</v>
      </c>
      <c r="O1374" t="n">
        <v>1</v>
      </c>
      <c r="P1374" t="n">
        <v>0</v>
      </c>
      <c r="Q1374" t="n">
        <v>1</v>
      </c>
      <c r="R1374" s="2" t="inlineStr">
        <is>
          <t>Ullticka</t>
        </is>
      </c>
      <c r="S1374">
        <f>HYPERLINK("https://klasma.github.io/Logging_2303/artfynd/A 26482-2023 artfynd.xlsx", "A 26482-2023")</f>
        <v/>
      </c>
      <c r="T1374">
        <f>HYPERLINK("https://klasma.github.io/Logging_2303/kartor/A 26482-2023 karta.png", "A 26482-2023")</f>
        <v/>
      </c>
      <c r="V1374">
        <f>HYPERLINK("https://klasma.github.io/Logging_2303/klagomål/A 26482-2023 FSC-klagomål.docx", "A 26482-2023")</f>
        <v/>
      </c>
      <c r="W1374">
        <f>HYPERLINK("https://klasma.github.io/Logging_2303/klagomålsmail/A 26482-2023 FSC-klagomål mail.docx", "A 26482-2023")</f>
        <v/>
      </c>
      <c r="X1374">
        <f>HYPERLINK("https://klasma.github.io/Logging_2303/tillsyn/A 26482-2023 tillsynsbegäran.docx", "A 26482-2023")</f>
        <v/>
      </c>
      <c r="Y1374">
        <f>HYPERLINK("https://klasma.github.io/Logging_2303/tillsynsmail/A 26482-2023 tillsynsbegäran mail.docx", "A 26482-2023")</f>
        <v/>
      </c>
    </row>
    <row r="1375" ht="15" customHeight="1">
      <c r="A1375" t="inlineStr">
        <is>
          <t>A 26344-2023</t>
        </is>
      </c>
      <c r="B1375" s="1" t="n">
        <v>45091</v>
      </c>
      <c r="C1375" s="1" t="n">
        <v>45363</v>
      </c>
      <c r="D1375" t="inlineStr">
        <is>
          <t>JÄMTLANDS LÄN</t>
        </is>
      </c>
      <c r="E1375" t="inlineStr">
        <is>
          <t>BRÄCKE</t>
        </is>
      </c>
      <c r="F1375" t="inlineStr">
        <is>
          <t>SCA</t>
        </is>
      </c>
      <c r="G1375" t="n">
        <v>15.8</v>
      </c>
      <c r="H1375" t="n">
        <v>1</v>
      </c>
      <c r="I1375" t="n">
        <v>0</v>
      </c>
      <c r="J1375" t="n">
        <v>0</v>
      </c>
      <c r="K1375" t="n">
        <v>1</v>
      </c>
      <c r="L1375" t="n">
        <v>0</v>
      </c>
      <c r="M1375" t="n">
        <v>0</v>
      </c>
      <c r="N1375" t="n">
        <v>0</v>
      </c>
      <c r="O1375" t="n">
        <v>1</v>
      </c>
      <c r="P1375" t="n">
        <v>1</v>
      </c>
      <c r="Q1375" t="n">
        <v>1</v>
      </c>
      <c r="R1375" s="2" t="inlineStr">
        <is>
          <t>Knärot</t>
        </is>
      </c>
      <c r="S1375">
        <f>HYPERLINK("https://klasma.github.io/Logging_2305/artfynd/A 26344-2023 artfynd.xlsx", "A 26344-2023")</f>
        <v/>
      </c>
      <c r="T1375">
        <f>HYPERLINK("https://klasma.github.io/Logging_2305/kartor/A 26344-2023 karta.png", "A 26344-2023")</f>
        <v/>
      </c>
      <c r="U1375">
        <f>HYPERLINK("https://klasma.github.io/Logging_2305/knärot/A 26344-2023 karta knärot.png", "A 26344-2023")</f>
        <v/>
      </c>
      <c r="V1375">
        <f>HYPERLINK("https://klasma.github.io/Logging_2305/klagomål/A 26344-2023 FSC-klagomål.docx", "A 26344-2023")</f>
        <v/>
      </c>
      <c r="W1375">
        <f>HYPERLINK("https://klasma.github.io/Logging_2305/klagomålsmail/A 26344-2023 FSC-klagomål mail.docx", "A 26344-2023")</f>
        <v/>
      </c>
      <c r="X1375">
        <f>HYPERLINK("https://klasma.github.io/Logging_2305/tillsyn/A 26344-2023 tillsynsbegäran.docx", "A 26344-2023")</f>
        <v/>
      </c>
      <c r="Y1375">
        <f>HYPERLINK("https://klasma.github.io/Logging_2305/tillsynsmail/A 26344-2023 tillsynsbegäran mail.docx", "A 26344-2023")</f>
        <v/>
      </c>
    </row>
    <row r="1376" ht="15" customHeight="1">
      <c r="A1376" t="inlineStr">
        <is>
          <t>A 26372-2023</t>
        </is>
      </c>
      <c r="B1376" s="1" t="n">
        <v>45091</v>
      </c>
      <c r="C1376" s="1" t="n">
        <v>45363</v>
      </c>
      <c r="D1376" t="inlineStr">
        <is>
          <t>JÄMTLANDS LÄN</t>
        </is>
      </c>
      <c r="E1376" t="inlineStr">
        <is>
          <t>STRÖMSUND</t>
        </is>
      </c>
      <c r="F1376" t="inlineStr">
        <is>
          <t>SCA</t>
        </is>
      </c>
      <c r="G1376" t="n">
        <v>3.1</v>
      </c>
      <c r="H1376" t="n">
        <v>0</v>
      </c>
      <c r="I1376" t="n">
        <v>0</v>
      </c>
      <c r="J1376" t="n">
        <v>1</v>
      </c>
      <c r="K1376" t="n">
        <v>0</v>
      </c>
      <c r="L1376" t="n">
        <v>0</v>
      </c>
      <c r="M1376" t="n">
        <v>0</v>
      </c>
      <c r="N1376" t="n">
        <v>0</v>
      </c>
      <c r="O1376" t="n">
        <v>1</v>
      </c>
      <c r="P1376" t="n">
        <v>0</v>
      </c>
      <c r="Q1376" t="n">
        <v>1</v>
      </c>
      <c r="R1376" s="2" t="inlineStr">
        <is>
          <t>Harticka</t>
        </is>
      </c>
      <c r="S1376">
        <f>HYPERLINK("https://klasma.github.io/Logging_2313/artfynd/A 26372-2023 artfynd.xlsx", "A 26372-2023")</f>
        <v/>
      </c>
      <c r="T1376">
        <f>HYPERLINK("https://klasma.github.io/Logging_2313/kartor/A 26372-2023 karta.png", "A 26372-2023")</f>
        <v/>
      </c>
      <c r="V1376">
        <f>HYPERLINK("https://klasma.github.io/Logging_2313/klagomål/A 26372-2023 FSC-klagomål.docx", "A 26372-2023")</f>
        <v/>
      </c>
      <c r="W1376">
        <f>HYPERLINK("https://klasma.github.io/Logging_2313/klagomålsmail/A 26372-2023 FSC-klagomål mail.docx", "A 26372-2023")</f>
        <v/>
      </c>
      <c r="X1376">
        <f>HYPERLINK("https://klasma.github.io/Logging_2313/tillsyn/A 26372-2023 tillsynsbegäran.docx", "A 26372-2023")</f>
        <v/>
      </c>
      <c r="Y1376">
        <f>HYPERLINK("https://klasma.github.io/Logging_2313/tillsynsmail/A 26372-2023 tillsynsbegäran mail.docx", "A 26372-2023")</f>
        <v/>
      </c>
    </row>
    <row r="1377" ht="15" customHeight="1">
      <c r="A1377" t="inlineStr">
        <is>
          <t>A 26647-2023</t>
        </is>
      </c>
      <c r="B1377" s="1" t="n">
        <v>45092</v>
      </c>
      <c r="C1377" s="1" t="n">
        <v>45363</v>
      </c>
      <c r="D1377" t="inlineStr">
        <is>
          <t>JÄMTLANDS LÄN</t>
        </is>
      </c>
      <c r="E1377" t="inlineStr">
        <is>
          <t>BRÄCKE</t>
        </is>
      </c>
      <c r="G1377" t="n">
        <v>1.3</v>
      </c>
      <c r="H1377" t="n">
        <v>0</v>
      </c>
      <c r="I1377" t="n">
        <v>0</v>
      </c>
      <c r="J1377" t="n">
        <v>1</v>
      </c>
      <c r="K1377" t="n">
        <v>0</v>
      </c>
      <c r="L1377" t="n">
        <v>0</v>
      </c>
      <c r="M1377" t="n">
        <v>0</v>
      </c>
      <c r="N1377" t="n">
        <v>0</v>
      </c>
      <c r="O1377" t="n">
        <v>1</v>
      </c>
      <c r="P1377" t="n">
        <v>0</v>
      </c>
      <c r="Q1377" t="n">
        <v>1</v>
      </c>
      <c r="R1377" s="2" t="inlineStr">
        <is>
          <t>Ullticka</t>
        </is>
      </c>
      <c r="S1377">
        <f>HYPERLINK("https://klasma.github.io/Logging_2305/artfynd/A 26647-2023 artfynd.xlsx", "A 26647-2023")</f>
        <v/>
      </c>
      <c r="T1377">
        <f>HYPERLINK("https://klasma.github.io/Logging_2305/kartor/A 26647-2023 karta.png", "A 26647-2023")</f>
        <v/>
      </c>
      <c r="V1377">
        <f>HYPERLINK("https://klasma.github.io/Logging_2305/klagomål/A 26647-2023 FSC-klagomål.docx", "A 26647-2023")</f>
        <v/>
      </c>
      <c r="W1377">
        <f>HYPERLINK("https://klasma.github.io/Logging_2305/klagomålsmail/A 26647-2023 FSC-klagomål mail.docx", "A 26647-2023")</f>
        <v/>
      </c>
      <c r="X1377">
        <f>HYPERLINK("https://klasma.github.io/Logging_2305/tillsyn/A 26647-2023 tillsynsbegäran.docx", "A 26647-2023")</f>
        <v/>
      </c>
      <c r="Y1377">
        <f>HYPERLINK("https://klasma.github.io/Logging_2305/tillsynsmail/A 26647-2023 tillsynsbegäran mail.docx", "A 26647-2023")</f>
        <v/>
      </c>
    </row>
    <row r="1378" ht="15" customHeight="1">
      <c r="A1378" t="inlineStr">
        <is>
          <t>A 28980-2023</t>
        </is>
      </c>
      <c r="B1378" s="1" t="n">
        <v>45096</v>
      </c>
      <c r="C1378" s="1" t="n">
        <v>45363</v>
      </c>
      <c r="D1378" t="inlineStr">
        <is>
          <t>JÄMTLANDS LÄN</t>
        </is>
      </c>
      <c r="E1378" t="inlineStr">
        <is>
          <t>ÖSTERSUND</t>
        </is>
      </c>
      <c r="G1378" t="n">
        <v>2.7</v>
      </c>
      <c r="H1378" t="n">
        <v>0</v>
      </c>
      <c r="I1378" t="n">
        <v>1</v>
      </c>
      <c r="J1378" t="n">
        <v>0</v>
      </c>
      <c r="K1378" t="n">
        <v>0</v>
      </c>
      <c r="L1378" t="n">
        <v>0</v>
      </c>
      <c r="M1378" t="n">
        <v>0</v>
      </c>
      <c r="N1378" t="n">
        <v>0</v>
      </c>
      <c r="O1378" t="n">
        <v>0</v>
      </c>
      <c r="P1378" t="n">
        <v>0</v>
      </c>
      <c r="Q1378" t="n">
        <v>1</v>
      </c>
      <c r="R1378" s="2" t="inlineStr">
        <is>
          <t>Finbräken</t>
        </is>
      </c>
      <c r="S1378">
        <f>HYPERLINK("https://klasma.github.io/Logging_2380/artfynd/A 28980-2023 artfynd.xlsx", "A 28980-2023")</f>
        <v/>
      </c>
      <c r="T1378">
        <f>HYPERLINK("https://klasma.github.io/Logging_2380/kartor/A 28980-2023 karta.png", "A 28980-2023")</f>
        <v/>
      </c>
      <c r="V1378">
        <f>HYPERLINK("https://klasma.github.io/Logging_2380/klagomål/A 28980-2023 FSC-klagomål.docx", "A 28980-2023")</f>
        <v/>
      </c>
      <c r="W1378">
        <f>HYPERLINK("https://klasma.github.io/Logging_2380/klagomålsmail/A 28980-2023 FSC-klagomål mail.docx", "A 28980-2023")</f>
        <v/>
      </c>
      <c r="X1378">
        <f>HYPERLINK("https://klasma.github.io/Logging_2380/tillsyn/A 28980-2023 tillsynsbegäran.docx", "A 28980-2023")</f>
        <v/>
      </c>
      <c r="Y1378">
        <f>HYPERLINK("https://klasma.github.io/Logging_2380/tillsynsmail/A 28980-2023 tillsynsbegäran mail.docx", "A 28980-2023")</f>
        <v/>
      </c>
    </row>
    <row r="1379" ht="15" customHeight="1">
      <c r="A1379" t="inlineStr">
        <is>
          <t>A 27683-2023</t>
        </is>
      </c>
      <c r="B1379" s="1" t="n">
        <v>45097</v>
      </c>
      <c r="C1379" s="1" t="n">
        <v>45363</v>
      </c>
      <c r="D1379" t="inlineStr">
        <is>
          <t>JÄMTLANDS LÄN</t>
        </is>
      </c>
      <c r="E1379" t="inlineStr">
        <is>
          <t>RAGUNDA</t>
        </is>
      </c>
      <c r="F1379" t="inlineStr">
        <is>
          <t>SCA</t>
        </is>
      </c>
      <c r="G1379" t="n">
        <v>7.3</v>
      </c>
      <c r="H1379" t="n">
        <v>0</v>
      </c>
      <c r="I1379" t="n">
        <v>0</v>
      </c>
      <c r="J1379" t="n">
        <v>1</v>
      </c>
      <c r="K1379" t="n">
        <v>0</v>
      </c>
      <c r="L1379" t="n">
        <v>0</v>
      </c>
      <c r="M1379" t="n">
        <v>0</v>
      </c>
      <c r="N1379" t="n">
        <v>0</v>
      </c>
      <c r="O1379" t="n">
        <v>1</v>
      </c>
      <c r="P1379" t="n">
        <v>0</v>
      </c>
      <c r="Q1379" t="n">
        <v>1</v>
      </c>
      <c r="R1379" s="2" t="inlineStr">
        <is>
          <t>Dvärgbägarlav</t>
        </is>
      </c>
      <c r="S1379">
        <f>HYPERLINK("https://klasma.github.io/Logging_2303/artfynd/A 27683-2023 artfynd.xlsx", "A 27683-2023")</f>
        <v/>
      </c>
      <c r="T1379">
        <f>HYPERLINK("https://klasma.github.io/Logging_2303/kartor/A 27683-2023 karta.png", "A 27683-2023")</f>
        <v/>
      </c>
      <c r="V1379">
        <f>HYPERLINK("https://klasma.github.io/Logging_2303/klagomål/A 27683-2023 FSC-klagomål.docx", "A 27683-2023")</f>
        <v/>
      </c>
      <c r="W1379">
        <f>HYPERLINK("https://klasma.github.io/Logging_2303/klagomålsmail/A 27683-2023 FSC-klagomål mail.docx", "A 27683-2023")</f>
        <v/>
      </c>
      <c r="X1379">
        <f>HYPERLINK("https://klasma.github.io/Logging_2303/tillsyn/A 27683-2023 tillsynsbegäran.docx", "A 27683-2023")</f>
        <v/>
      </c>
      <c r="Y1379">
        <f>HYPERLINK("https://klasma.github.io/Logging_2303/tillsynsmail/A 27683-2023 tillsynsbegäran mail.docx", "A 27683-2023")</f>
        <v/>
      </c>
    </row>
    <row r="1380" ht="15" customHeight="1">
      <c r="A1380" t="inlineStr">
        <is>
          <t>A 29324-2023</t>
        </is>
      </c>
      <c r="B1380" s="1" t="n">
        <v>45106</v>
      </c>
      <c r="C1380" s="1" t="n">
        <v>45363</v>
      </c>
      <c r="D1380" t="inlineStr">
        <is>
          <t>JÄMTLANDS LÄN</t>
        </is>
      </c>
      <c r="E1380" t="inlineStr">
        <is>
          <t>BRÄCKE</t>
        </is>
      </c>
      <c r="F1380" t="inlineStr">
        <is>
          <t>SCA</t>
        </is>
      </c>
      <c r="G1380" t="n">
        <v>2</v>
      </c>
      <c r="H1380" t="n">
        <v>1</v>
      </c>
      <c r="I1380" t="n">
        <v>0</v>
      </c>
      <c r="J1380" t="n">
        <v>0</v>
      </c>
      <c r="K1380" t="n">
        <v>0</v>
      </c>
      <c r="L1380" t="n">
        <v>0</v>
      </c>
      <c r="M1380" t="n">
        <v>0</v>
      </c>
      <c r="N1380" t="n">
        <v>0</v>
      </c>
      <c r="O1380" t="n">
        <v>0</v>
      </c>
      <c r="P1380" t="n">
        <v>0</v>
      </c>
      <c r="Q1380" t="n">
        <v>1</v>
      </c>
      <c r="R1380" s="2" t="inlineStr">
        <is>
          <t>Nattviol</t>
        </is>
      </c>
      <c r="S1380">
        <f>HYPERLINK("https://klasma.github.io/Logging_2305/artfynd/A 29324-2023 artfynd.xlsx", "A 29324-2023")</f>
        <v/>
      </c>
      <c r="T1380">
        <f>HYPERLINK("https://klasma.github.io/Logging_2305/kartor/A 29324-2023 karta.png", "A 29324-2023")</f>
        <v/>
      </c>
      <c r="V1380">
        <f>HYPERLINK("https://klasma.github.io/Logging_2305/klagomål/A 29324-2023 FSC-klagomål.docx", "A 29324-2023")</f>
        <v/>
      </c>
      <c r="W1380">
        <f>HYPERLINK("https://klasma.github.io/Logging_2305/klagomålsmail/A 29324-2023 FSC-klagomål mail.docx", "A 29324-2023")</f>
        <v/>
      </c>
      <c r="X1380">
        <f>HYPERLINK("https://klasma.github.io/Logging_2305/tillsyn/A 29324-2023 tillsynsbegäran.docx", "A 29324-2023")</f>
        <v/>
      </c>
      <c r="Y1380">
        <f>HYPERLINK("https://klasma.github.io/Logging_2305/tillsynsmail/A 29324-2023 tillsynsbegäran mail.docx", "A 29324-2023")</f>
        <v/>
      </c>
    </row>
    <row r="1381" ht="15" customHeight="1">
      <c r="A1381" t="inlineStr">
        <is>
          <t>A 29604-2023</t>
        </is>
      </c>
      <c r="B1381" s="1" t="n">
        <v>45106</v>
      </c>
      <c r="C1381" s="1" t="n">
        <v>45363</v>
      </c>
      <c r="D1381" t="inlineStr">
        <is>
          <t>JÄMTLANDS LÄN</t>
        </is>
      </c>
      <c r="E1381" t="inlineStr">
        <is>
          <t>STRÖMSUND</t>
        </is>
      </c>
      <c r="F1381" t="inlineStr">
        <is>
          <t>SCA</t>
        </is>
      </c>
      <c r="G1381" t="n">
        <v>1.9</v>
      </c>
      <c r="H1381" t="n">
        <v>0</v>
      </c>
      <c r="I1381" t="n">
        <v>0</v>
      </c>
      <c r="J1381" t="n">
        <v>1</v>
      </c>
      <c r="K1381" t="n">
        <v>0</v>
      </c>
      <c r="L1381" t="n">
        <v>0</v>
      </c>
      <c r="M1381" t="n">
        <v>0</v>
      </c>
      <c r="N1381" t="n">
        <v>0</v>
      </c>
      <c r="O1381" t="n">
        <v>1</v>
      </c>
      <c r="P1381" t="n">
        <v>0</v>
      </c>
      <c r="Q1381" t="n">
        <v>1</v>
      </c>
      <c r="R1381" s="2" t="inlineStr">
        <is>
          <t>Rosenticka</t>
        </is>
      </c>
      <c r="S1381">
        <f>HYPERLINK("https://klasma.github.io/Logging_2313/artfynd/A 29604-2023 artfynd.xlsx", "A 29604-2023")</f>
        <v/>
      </c>
      <c r="T1381">
        <f>HYPERLINK("https://klasma.github.io/Logging_2313/kartor/A 29604-2023 karta.png", "A 29604-2023")</f>
        <v/>
      </c>
      <c r="V1381">
        <f>HYPERLINK("https://klasma.github.io/Logging_2313/klagomål/A 29604-2023 FSC-klagomål.docx", "A 29604-2023")</f>
        <v/>
      </c>
      <c r="W1381">
        <f>HYPERLINK("https://klasma.github.io/Logging_2313/klagomålsmail/A 29604-2023 FSC-klagomål mail.docx", "A 29604-2023")</f>
        <v/>
      </c>
      <c r="X1381">
        <f>HYPERLINK("https://klasma.github.io/Logging_2313/tillsyn/A 29604-2023 tillsynsbegäran.docx", "A 29604-2023")</f>
        <v/>
      </c>
      <c r="Y1381">
        <f>HYPERLINK("https://klasma.github.io/Logging_2313/tillsynsmail/A 29604-2023 tillsynsbegäran mail.docx", "A 29604-2023")</f>
        <v/>
      </c>
    </row>
    <row r="1382" ht="15" customHeight="1">
      <c r="A1382" t="inlineStr">
        <is>
          <t>A 30330-2023</t>
        </is>
      </c>
      <c r="B1382" s="1" t="n">
        <v>45111</v>
      </c>
      <c r="C1382" s="1" t="n">
        <v>45363</v>
      </c>
      <c r="D1382" t="inlineStr">
        <is>
          <t>JÄMTLANDS LÄN</t>
        </is>
      </c>
      <c r="E1382" t="inlineStr">
        <is>
          <t>HÄRJEDALEN</t>
        </is>
      </c>
      <c r="F1382" t="inlineStr">
        <is>
          <t>Bergvik skog väst AB</t>
        </is>
      </c>
      <c r="G1382" t="n">
        <v>7.7</v>
      </c>
      <c r="H1382" t="n">
        <v>1</v>
      </c>
      <c r="I1382" t="n">
        <v>0</v>
      </c>
      <c r="J1382" t="n">
        <v>0</v>
      </c>
      <c r="K1382" t="n">
        <v>0</v>
      </c>
      <c r="L1382" t="n">
        <v>1</v>
      </c>
      <c r="M1382" t="n">
        <v>0</v>
      </c>
      <c r="N1382" t="n">
        <v>0</v>
      </c>
      <c r="O1382" t="n">
        <v>1</v>
      </c>
      <c r="P1382" t="n">
        <v>1</v>
      </c>
      <c r="Q1382" t="n">
        <v>1</v>
      </c>
      <c r="R1382" s="2" t="inlineStr">
        <is>
          <t>Mosippa</t>
        </is>
      </c>
      <c r="S1382">
        <f>HYPERLINK("https://klasma.github.io/Logging_2361/artfynd/A 30330-2023 artfynd.xlsx", "A 30330-2023")</f>
        <v/>
      </c>
      <c r="T1382">
        <f>HYPERLINK("https://klasma.github.io/Logging_2361/kartor/A 30330-2023 karta.png", "A 30330-2023")</f>
        <v/>
      </c>
      <c r="V1382">
        <f>HYPERLINK("https://klasma.github.io/Logging_2361/klagomål/A 30330-2023 FSC-klagomål.docx", "A 30330-2023")</f>
        <v/>
      </c>
      <c r="W1382">
        <f>HYPERLINK("https://klasma.github.io/Logging_2361/klagomålsmail/A 30330-2023 FSC-klagomål mail.docx", "A 30330-2023")</f>
        <v/>
      </c>
      <c r="X1382">
        <f>HYPERLINK("https://klasma.github.io/Logging_2361/tillsyn/A 30330-2023 tillsynsbegäran.docx", "A 30330-2023")</f>
        <v/>
      </c>
      <c r="Y1382">
        <f>HYPERLINK("https://klasma.github.io/Logging_2361/tillsynsmail/A 30330-2023 tillsynsbegäran mail.docx", "A 30330-2023")</f>
        <v/>
      </c>
    </row>
    <row r="1383" ht="15" customHeight="1">
      <c r="A1383" t="inlineStr">
        <is>
          <t>A 32551-2023</t>
        </is>
      </c>
      <c r="B1383" s="1" t="n">
        <v>45111</v>
      </c>
      <c r="C1383" s="1" t="n">
        <v>45363</v>
      </c>
      <c r="D1383" t="inlineStr">
        <is>
          <t>JÄMTLANDS LÄN</t>
        </is>
      </c>
      <c r="E1383" t="inlineStr">
        <is>
          <t>STRÖMSUND</t>
        </is>
      </c>
      <c r="F1383" t="inlineStr">
        <is>
          <t>Kommuner</t>
        </is>
      </c>
      <c r="G1383" t="n">
        <v>5.3</v>
      </c>
      <c r="H1383" t="n">
        <v>0</v>
      </c>
      <c r="I1383" t="n">
        <v>1</v>
      </c>
      <c r="J1383" t="n">
        <v>0</v>
      </c>
      <c r="K1383" t="n">
        <v>0</v>
      </c>
      <c r="L1383" t="n">
        <v>0</v>
      </c>
      <c r="M1383" t="n">
        <v>0</v>
      </c>
      <c r="N1383" t="n">
        <v>0</v>
      </c>
      <c r="O1383" t="n">
        <v>0</v>
      </c>
      <c r="P1383" t="n">
        <v>0</v>
      </c>
      <c r="Q1383" t="n">
        <v>1</v>
      </c>
      <c r="R1383" s="2" t="inlineStr">
        <is>
          <t>Skinnlav</t>
        </is>
      </c>
      <c r="S1383">
        <f>HYPERLINK("https://klasma.github.io/Logging_2313/artfynd/A 32551-2023 artfynd.xlsx", "A 32551-2023")</f>
        <v/>
      </c>
      <c r="T1383">
        <f>HYPERLINK("https://klasma.github.io/Logging_2313/kartor/A 32551-2023 karta.png", "A 32551-2023")</f>
        <v/>
      </c>
      <c r="V1383">
        <f>HYPERLINK("https://klasma.github.io/Logging_2313/klagomål/A 32551-2023 FSC-klagomål.docx", "A 32551-2023")</f>
        <v/>
      </c>
      <c r="W1383">
        <f>HYPERLINK("https://klasma.github.io/Logging_2313/klagomålsmail/A 32551-2023 FSC-klagomål mail.docx", "A 32551-2023")</f>
        <v/>
      </c>
      <c r="X1383">
        <f>HYPERLINK("https://klasma.github.io/Logging_2313/tillsyn/A 32551-2023 tillsynsbegäran.docx", "A 32551-2023")</f>
        <v/>
      </c>
      <c r="Y1383">
        <f>HYPERLINK("https://klasma.github.io/Logging_2313/tillsynsmail/A 32551-2023 tillsynsbegäran mail.docx", "A 32551-2023")</f>
        <v/>
      </c>
    </row>
    <row r="1384" ht="15" customHeight="1">
      <c r="A1384" t="inlineStr">
        <is>
          <t>A 30834-2023</t>
        </is>
      </c>
      <c r="B1384" s="1" t="n">
        <v>45112</v>
      </c>
      <c r="C1384" s="1" t="n">
        <v>45363</v>
      </c>
      <c r="D1384" t="inlineStr">
        <is>
          <t>JÄMTLANDS LÄN</t>
        </is>
      </c>
      <c r="E1384" t="inlineStr">
        <is>
          <t>BRÄCKE</t>
        </is>
      </c>
      <c r="F1384" t="inlineStr">
        <is>
          <t>SCA</t>
        </is>
      </c>
      <c r="G1384" t="n">
        <v>7.8</v>
      </c>
      <c r="H1384" t="n">
        <v>1</v>
      </c>
      <c r="I1384" t="n">
        <v>0</v>
      </c>
      <c r="J1384" t="n">
        <v>0</v>
      </c>
      <c r="K1384" t="n">
        <v>0</v>
      </c>
      <c r="L1384" t="n">
        <v>0</v>
      </c>
      <c r="M1384" t="n">
        <v>0</v>
      </c>
      <c r="N1384" t="n">
        <v>0</v>
      </c>
      <c r="O1384" t="n">
        <v>0</v>
      </c>
      <c r="P1384" t="n">
        <v>0</v>
      </c>
      <c r="Q1384" t="n">
        <v>1</v>
      </c>
      <c r="R1384" s="2" t="inlineStr">
        <is>
          <t>Fläcknycklar</t>
        </is>
      </c>
      <c r="S1384">
        <f>HYPERLINK("https://klasma.github.io/Logging_2305/artfynd/A 30834-2023 artfynd.xlsx", "A 30834-2023")</f>
        <v/>
      </c>
      <c r="T1384">
        <f>HYPERLINK("https://klasma.github.io/Logging_2305/kartor/A 30834-2023 karta.png", "A 30834-2023")</f>
        <v/>
      </c>
      <c r="V1384">
        <f>HYPERLINK("https://klasma.github.io/Logging_2305/klagomål/A 30834-2023 FSC-klagomål.docx", "A 30834-2023")</f>
        <v/>
      </c>
      <c r="W1384">
        <f>HYPERLINK("https://klasma.github.io/Logging_2305/klagomålsmail/A 30834-2023 FSC-klagomål mail.docx", "A 30834-2023")</f>
        <v/>
      </c>
      <c r="X1384">
        <f>HYPERLINK("https://klasma.github.io/Logging_2305/tillsyn/A 30834-2023 tillsynsbegäran.docx", "A 30834-2023")</f>
        <v/>
      </c>
      <c r="Y1384">
        <f>HYPERLINK("https://klasma.github.io/Logging_2305/tillsynsmail/A 30834-2023 tillsynsbegäran mail.docx", "A 30834-2023")</f>
        <v/>
      </c>
    </row>
    <row r="1385" ht="15" customHeight="1">
      <c r="A1385" t="inlineStr">
        <is>
          <t>A 30821-2023</t>
        </is>
      </c>
      <c r="B1385" s="1" t="n">
        <v>45112</v>
      </c>
      <c r="C1385" s="1" t="n">
        <v>45363</v>
      </c>
      <c r="D1385" t="inlineStr">
        <is>
          <t>JÄMTLANDS LÄN</t>
        </is>
      </c>
      <c r="E1385" t="inlineStr">
        <is>
          <t>STRÖMSUND</t>
        </is>
      </c>
      <c r="F1385" t="inlineStr">
        <is>
          <t>SCA</t>
        </is>
      </c>
      <c r="G1385" t="n">
        <v>5</v>
      </c>
      <c r="H1385" t="n">
        <v>0</v>
      </c>
      <c r="I1385" t="n">
        <v>0</v>
      </c>
      <c r="J1385" t="n">
        <v>1</v>
      </c>
      <c r="K1385" t="n">
        <v>0</v>
      </c>
      <c r="L1385" t="n">
        <v>0</v>
      </c>
      <c r="M1385" t="n">
        <v>0</v>
      </c>
      <c r="N1385" t="n">
        <v>0</v>
      </c>
      <c r="O1385" t="n">
        <v>1</v>
      </c>
      <c r="P1385" t="n">
        <v>0</v>
      </c>
      <c r="Q1385" t="n">
        <v>1</v>
      </c>
      <c r="R1385" s="2" t="inlineStr">
        <is>
          <t>Garnlav</t>
        </is>
      </c>
      <c r="S1385">
        <f>HYPERLINK("https://klasma.github.io/Logging_2313/artfynd/A 30821-2023 artfynd.xlsx", "A 30821-2023")</f>
        <v/>
      </c>
      <c r="T1385">
        <f>HYPERLINK("https://klasma.github.io/Logging_2313/kartor/A 30821-2023 karta.png", "A 30821-2023")</f>
        <v/>
      </c>
      <c r="V1385">
        <f>HYPERLINK("https://klasma.github.io/Logging_2313/klagomål/A 30821-2023 FSC-klagomål.docx", "A 30821-2023")</f>
        <v/>
      </c>
      <c r="W1385">
        <f>HYPERLINK("https://klasma.github.io/Logging_2313/klagomålsmail/A 30821-2023 FSC-klagomål mail.docx", "A 30821-2023")</f>
        <v/>
      </c>
      <c r="X1385">
        <f>HYPERLINK("https://klasma.github.io/Logging_2313/tillsyn/A 30821-2023 tillsynsbegäran.docx", "A 30821-2023")</f>
        <v/>
      </c>
      <c r="Y1385">
        <f>HYPERLINK("https://klasma.github.io/Logging_2313/tillsynsmail/A 30821-2023 tillsynsbegäran mail.docx", "A 30821-2023")</f>
        <v/>
      </c>
    </row>
    <row r="1386" ht="15" customHeight="1">
      <c r="A1386" t="inlineStr">
        <is>
          <t>A 30848-2023</t>
        </is>
      </c>
      <c r="B1386" s="1" t="n">
        <v>45112</v>
      </c>
      <c r="C1386" s="1" t="n">
        <v>45363</v>
      </c>
      <c r="D1386" t="inlineStr">
        <is>
          <t>JÄMTLANDS LÄN</t>
        </is>
      </c>
      <c r="E1386" t="inlineStr">
        <is>
          <t>STRÖMSUND</t>
        </is>
      </c>
      <c r="F1386" t="inlineStr">
        <is>
          <t>SCA</t>
        </is>
      </c>
      <c r="G1386" t="n">
        <v>12.3</v>
      </c>
      <c r="H1386" t="n">
        <v>0</v>
      </c>
      <c r="I1386" t="n">
        <v>0</v>
      </c>
      <c r="J1386" t="n">
        <v>1</v>
      </c>
      <c r="K1386" t="n">
        <v>0</v>
      </c>
      <c r="L1386" t="n">
        <v>0</v>
      </c>
      <c r="M1386" t="n">
        <v>0</v>
      </c>
      <c r="N1386" t="n">
        <v>0</v>
      </c>
      <c r="O1386" t="n">
        <v>1</v>
      </c>
      <c r="P1386" t="n">
        <v>0</v>
      </c>
      <c r="Q1386" t="n">
        <v>1</v>
      </c>
      <c r="R1386" s="2" t="inlineStr">
        <is>
          <t>Skrovellav</t>
        </is>
      </c>
      <c r="S1386">
        <f>HYPERLINK("https://klasma.github.io/Logging_2313/artfynd/A 30848-2023 artfynd.xlsx", "A 30848-2023")</f>
        <v/>
      </c>
      <c r="T1386">
        <f>HYPERLINK("https://klasma.github.io/Logging_2313/kartor/A 30848-2023 karta.png", "A 30848-2023")</f>
        <v/>
      </c>
      <c r="V1386">
        <f>HYPERLINK("https://klasma.github.io/Logging_2313/klagomål/A 30848-2023 FSC-klagomål.docx", "A 30848-2023")</f>
        <v/>
      </c>
      <c r="W1386">
        <f>HYPERLINK("https://klasma.github.io/Logging_2313/klagomålsmail/A 30848-2023 FSC-klagomål mail.docx", "A 30848-2023")</f>
        <v/>
      </c>
      <c r="X1386">
        <f>HYPERLINK("https://klasma.github.io/Logging_2313/tillsyn/A 30848-2023 tillsynsbegäran.docx", "A 30848-2023")</f>
        <v/>
      </c>
      <c r="Y1386">
        <f>HYPERLINK("https://klasma.github.io/Logging_2313/tillsynsmail/A 30848-2023 tillsynsbegäran mail.docx", "A 30848-2023")</f>
        <v/>
      </c>
    </row>
    <row r="1387" ht="15" customHeight="1">
      <c r="A1387" t="inlineStr">
        <is>
          <t>A 32411-2023</t>
        </is>
      </c>
      <c r="B1387" s="1" t="n">
        <v>45120</v>
      </c>
      <c r="C1387" s="1" t="n">
        <v>45363</v>
      </c>
      <c r="D1387" t="inlineStr">
        <is>
          <t>JÄMTLANDS LÄN</t>
        </is>
      </c>
      <c r="E1387" t="inlineStr">
        <is>
          <t>ÖSTERSUND</t>
        </is>
      </c>
      <c r="G1387" t="n">
        <v>8.5</v>
      </c>
      <c r="H1387" t="n">
        <v>1</v>
      </c>
      <c r="I1387" t="n">
        <v>1</v>
      </c>
      <c r="J1387" t="n">
        <v>0</v>
      </c>
      <c r="K1387" t="n">
        <v>0</v>
      </c>
      <c r="L1387" t="n">
        <v>0</v>
      </c>
      <c r="M1387" t="n">
        <v>0</v>
      </c>
      <c r="N1387" t="n">
        <v>0</v>
      </c>
      <c r="O1387" t="n">
        <v>0</v>
      </c>
      <c r="P1387" t="n">
        <v>0</v>
      </c>
      <c r="Q1387" t="n">
        <v>1</v>
      </c>
      <c r="R1387" s="2" t="inlineStr">
        <is>
          <t>Spindelblomster</t>
        </is>
      </c>
      <c r="S1387">
        <f>HYPERLINK("https://klasma.github.io/Logging_2380/artfynd/A 32411-2023 artfynd.xlsx", "A 32411-2023")</f>
        <v/>
      </c>
      <c r="T1387">
        <f>HYPERLINK("https://klasma.github.io/Logging_2380/kartor/A 32411-2023 karta.png", "A 32411-2023")</f>
        <v/>
      </c>
      <c r="V1387">
        <f>HYPERLINK("https://klasma.github.io/Logging_2380/klagomål/A 32411-2023 FSC-klagomål.docx", "A 32411-2023")</f>
        <v/>
      </c>
      <c r="W1387">
        <f>HYPERLINK("https://klasma.github.io/Logging_2380/klagomålsmail/A 32411-2023 FSC-klagomål mail.docx", "A 32411-2023")</f>
        <v/>
      </c>
      <c r="X1387">
        <f>HYPERLINK("https://klasma.github.io/Logging_2380/tillsyn/A 32411-2023 tillsynsbegäran.docx", "A 32411-2023")</f>
        <v/>
      </c>
      <c r="Y1387">
        <f>HYPERLINK("https://klasma.github.io/Logging_2380/tillsynsmail/A 32411-2023 tillsynsbegäran mail.docx", "A 32411-2023")</f>
        <v/>
      </c>
    </row>
    <row r="1388" ht="15" customHeight="1">
      <c r="A1388" t="inlineStr">
        <is>
          <t>A 32756-2023</t>
        </is>
      </c>
      <c r="B1388" s="1" t="n">
        <v>45123</v>
      </c>
      <c r="C1388" s="1" t="n">
        <v>45363</v>
      </c>
      <c r="D1388" t="inlineStr">
        <is>
          <t>JÄMTLANDS LÄN</t>
        </is>
      </c>
      <c r="E1388" t="inlineStr">
        <is>
          <t>KROKOM</t>
        </is>
      </c>
      <c r="F1388" t="inlineStr">
        <is>
          <t>Övriga Aktiebolag</t>
        </is>
      </c>
      <c r="G1388" t="n">
        <v>6.8</v>
      </c>
      <c r="H1388" t="n">
        <v>0</v>
      </c>
      <c r="I1388" t="n">
        <v>1</v>
      </c>
      <c r="J1388" t="n">
        <v>0</v>
      </c>
      <c r="K1388" t="n">
        <v>0</v>
      </c>
      <c r="L1388" t="n">
        <v>0</v>
      </c>
      <c r="M1388" t="n">
        <v>0</v>
      </c>
      <c r="N1388" t="n">
        <v>0</v>
      </c>
      <c r="O1388" t="n">
        <v>0</v>
      </c>
      <c r="P1388" t="n">
        <v>0</v>
      </c>
      <c r="Q1388" t="n">
        <v>1</v>
      </c>
      <c r="R1388" s="2" t="inlineStr">
        <is>
          <t>Kransrams</t>
        </is>
      </c>
      <c r="S1388">
        <f>HYPERLINK("https://klasma.github.io/Logging_2309/artfynd/A 32756-2023 artfynd.xlsx", "A 32756-2023")</f>
        <v/>
      </c>
      <c r="T1388">
        <f>HYPERLINK("https://klasma.github.io/Logging_2309/kartor/A 32756-2023 karta.png", "A 32756-2023")</f>
        <v/>
      </c>
      <c r="V1388">
        <f>HYPERLINK("https://klasma.github.io/Logging_2309/klagomål/A 32756-2023 FSC-klagomål.docx", "A 32756-2023")</f>
        <v/>
      </c>
      <c r="W1388">
        <f>HYPERLINK("https://klasma.github.io/Logging_2309/klagomålsmail/A 32756-2023 FSC-klagomål mail.docx", "A 32756-2023")</f>
        <v/>
      </c>
      <c r="X1388">
        <f>HYPERLINK("https://klasma.github.io/Logging_2309/tillsyn/A 32756-2023 tillsynsbegäran.docx", "A 32756-2023")</f>
        <v/>
      </c>
      <c r="Y1388">
        <f>HYPERLINK("https://klasma.github.io/Logging_2309/tillsynsmail/A 32756-2023 tillsynsbegäran mail.docx", "A 32756-2023")</f>
        <v/>
      </c>
    </row>
    <row r="1389" ht="15" customHeight="1">
      <c r="A1389" t="inlineStr">
        <is>
          <t>A 33124-2023</t>
        </is>
      </c>
      <c r="B1389" s="1" t="n">
        <v>45126</v>
      </c>
      <c r="C1389" s="1" t="n">
        <v>45363</v>
      </c>
      <c r="D1389" t="inlineStr">
        <is>
          <t>JÄMTLANDS LÄN</t>
        </is>
      </c>
      <c r="E1389" t="inlineStr">
        <is>
          <t>BERG</t>
        </is>
      </c>
      <c r="F1389" t="inlineStr">
        <is>
          <t>Sveaskog</t>
        </is>
      </c>
      <c r="G1389" t="n">
        <v>4.2</v>
      </c>
      <c r="H1389" t="n">
        <v>0</v>
      </c>
      <c r="I1389" t="n">
        <v>0</v>
      </c>
      <c r="J1389" t="n">
        <v>1</v>
      </c>
      <c r="K1389" t="n">
        <v>0</v>
      </c>
      <c r="L1389" t="n">
        <v>0</v>
      </c>
      <c r="M1389" t="n">
        <v>0</v>
      </c>
      <c r="N1389" t="n">
        <v>0</v>
      </c>
      <c r="O1389" t="n">
        <v>1</v>
      </c>
      <c r="P1389" t="n">
        <v>0</v>
      </c>
      <c r="Q1389" t="n">
        <v>1</v>
      </c>
      <c r="R1389" s="2" t="inlineStr">
        <is>
          <t>Lunglav</t>
        </is>
      </c>
      <c r="S1389">
        <f>HYPERLINK("https://klasma.github.io/Logging_2326/artfynd/A 33124-2023 artfynd.xlsx", "A 33124-2023")</f>
        <v/>
      </c>
      <c r="T1389">
        <f>HYPERLINK("https://klasma.github.io/Logging_2326/kartor/A 33124-2023 karta.png", "A 33124-2023")</f>
        <v/>
      </c>
      <c r="V1389">
        <f>HYPERLINK("https://klasma.github.io/Logging_2326/klagomål/A 33124-2023 FSC-klagomål.docx", "A 33124-2023")</f>
        <v/>
      </c>
      <c r="W1389">
        <f>HYPERLINK("https://klasma.github.io/Logging_2326/klagomålsmail/A 33124-2023 FSC-klagomål mail.docx", "A 33124-2023")</f>
        <v/>
      </c>
      <c r="X1389">
        <f>HYPERLINK("https://klasma.github.io/Logging_2326/tillsyn/A 33124-2023 tillsynsbegäran.docx", "A 33124-2023")</f>
        <v/>
      </c>
      <c r="Y1389">
        <f>HYPERLINK("https://klasma.github.io/Logging_2326/tillsynsmail/A 33124-2023 tillsynsbegäran mail.docx", "A 33124-2023")</f>
        <v/>
      </c>
    </row>
    <row r="1390" ht="15" customHeight="1">
      <c r="A1390" t="inlineStr">
        <is>
          <t>A 33874-2023</t>
        </is>
      </c>
      <c r="B1390" s="1" t="n">
        <v>45133</v>
      </c>
      <c r="C1390" s="1" t="n">
        <v>45363</v>
      </c>
      <c r="D1390" t="inlineStr">
        <is>
          <t>JÄMTLANDS LÄN</t>
        </is>
      </c>
      <c r="E1390" t="inlineStr">
        <is>
          <t>BRÄCKE</t>
        </is>
      </c>
      <c r="F1390" t="inlineStr">
        <is>
          <t>SCA</t>
        </is>
      </c>
      <c r="G1390" t="n">
        <v>5.8</v>
      </c>
      <c r="H1390" t="n">
        <v>0</v>
      </c>
      <c r="I1390" t="n">
        <v>0</v>
      </c>
      <c r="J1390" t="n">
        <v>1</v>
      </c>
      <c r="K1390" t="n">
        <v>0</v>
      </c>
      <c r="L1390" t="n">
        <v>0</v>
      </c>
      <c r="M1390" t="n">
        <v>0</v>
      </c>
      <c r="N1390" t="n">
        <v>0</v>
      </c>
      <c r="O1390" t="n">
        <v>1</v>
      </c>
      <c r="P1390" t="n">
        <v>0</v>
      </c>
      <c r="Q1390" t="n">
        <v>1</v>
      </c>
      <c r="R1390" s="2" t="inlineStr">
        <is>
          <t>Ullticka</t>
        </is>
      </c>
      <c r="S1390">
        <f>HYPERLINK("https://klasma.github.io/Logging_2305/artfynd/A 33874-2023 artfynd.xlsx", "A 33874-2023")</f>
        <v/>
      </c>
      <c r="T1390">
        <f>HYPERLINK("https://klasma.github.io/Logging_2305/kartor/A 33874-2023 karta.png", "A 33874-2023")</f>
        <v/>
      </c>
      <c r="V1390">
        <f>HYPERLINK("https://klasma.github.io/Logging_2305/klagomål/A 33874-2023 FSC-klagomål.docx", "A 33874-2023")</f>
        <v/>
      </c>
      <c r="W1390">
        <f>HYPERLINK("https://klasma.github.io/Logging_2305/klagomålsmail/A 33874-2023 FSC-klagomål mail.docx", "A 33874-2023")</f>
        <v/>
      </c>
      <c r="X1390">
        <f>HYPERLINK("https://klasma.github.io/Logging_2305/tillsyn/A 33874-2023 tillsynsbegäran.docx", "A 33874-2023")</f>
        <v/>
      </c>
      <c r="Y1390">
        <f>HYPERLINK("https://klasma.github.io/Logging_2305/tillsynsmail/A 33874-2023 tillsynsbegäran mail.docx", "A 33874-2023")</f>
        <v/>
      </c>
    </row>
    <row r="1391" ht="15" customHeight="1">
      <c r="A1391" t="inlineStr">
        <is>
          <t>A 34006-2023</t>
        </is>
      </c>
      <c r="B1391" s="1" t="n">
        <v>45134</v>
      </c>
      <c r="C1391" s="1" t="n">
        <v>45363</v>
      </c>
      <c r="D1391" t="inlineStr">
        <is>
          <t>JÄMTLANDS LÄN</t>
        </is>
      </c>
      <c r="E1391" t="inlineStr">
        <is>
          <t>STRÖMSUND</t>
        </is>
      </c>
      <c r="F1391" t="inlineStr">
        <is>
          <t>SCA</t>
        </is>
      </c>
      <c r="G1391" t="n">
        <v>4</v>
      </c>
      <c r="H1391" t="n">
        <v>1</v>
      </c>
      <c r="I1391" t="n">
        <v>0</v>
      </c>
      <c r="J1391" t="n">
        <v>1</v>
      </c>
      <c r="K1391" t="n">
        <v>0</v>
      </c>
      <c r="L1391" t="n">
        <v>0</v>
      </c>
      <c r="M1391" t="n">
        <v>0</v>
      </c>
      <c r="N1391" t="n">
        <v>0</v>
      </c>
      <c r="O1391" t="n">
        <v>1</v>
      </c>
      <c r="P1391" t="n">
        <v>0</v>
      </c>
      <c r="Q1391" t="n">
        <v>1</v>
      </c>
      <c r="R1391" s="2" t="inlineStr">
        <is>
          <t>Talltita</t>
        </is>
      </c>
      <c r="S1391">
        <f>HYPERLINK("https://klasma.github.io/Logging_2313/artfynd/A 34006-2023 artfynd.xlsx", "A 34006-2023")</f>
        <v/>
      </c>
      <c r="T1391">
        <f>HYPERLINK("https://klasma.github.io/Logging_2313/kartor/A 34006-2023 karta.png", "A 34006-2023")</f>
        <v/>
      </c>
      <c r="V1391">
        <f>HYPERLINK("https://klasma.github.io/Logging_2313/klagomål/A 34006-2023 FSC-klagomål.docx", "A 34006-2023")</f>
        <v/>
      </c>
      <c r="W1391">
        <f>HYPERLINK("https://klasma.github.io/Logging_2313/klagomålsmail/A 34006-2023 FSC-klagomål mail.docx", "A 34006-2023")</f>
        <v/>
      </c>
      <c r="X1391">
        <f>HYPERLINK("https://klasma.github.io/Logging_2313/tillsyn/A 34006-2023 tillsynsbegäran.docx", "A 34006-2023")</f>
        <v/>
      </c>
      <c r="Y1391">
        <f>HYPERLINK("https://klasma.github.io/Logging_2313/tillsynsmail/A 34006-2023 tillsynsbegäran mail.docx", "A 34006-2023")</f>
        <v/>
      </c>
      <c r="Z1391">
        <f>HYPERLINK("https://klasma.github.io/Logging_2313/fåglar/A 34006-2023 prioriterade fågelarter.docx", "A 34006-2023")</f>
        <v/>
      </c>
    </row>
    <row r="1392" ht="15" customHeight="1">
      <c r="A1392" t="inlineStr">
        <is>
          <t>A 34775-2023</t>
        </is>
      </c>
      <c r="B1392" s="1" t="n">
        <v>45140</v>
      </c>
      <c r="C1392" s="1" t="n">
        <v>45363</v>
      </c>
      <c r="D1392" t="inlineStr">
        <is>
          <t>JÄMTLANDS LÄN</t>
        </is>
      </c>
      <c r="E1392" t="inlineStr">
        <is>
          <t>STRÖMSUND</t>
        </is>
      </c>
      <c r="G1392" t="n">
        <v>9.199999999999999</v>
      </c>
      <c r="H1392" t="n">
        <v>1</v>
      </c>
      <c r="I1392" t="n">
        <v>0</v>
      </c>
      <c r="J1392" t="n">
        <v>1</v>
      </c>
      <c r="K1392" t="n">
        <v>0</v>
      </c>
      <c r="L1392" t="n">
        <v>0</v>
      </c>
      <c r="M1392" t="n">
        <v>0</v>
      </c>
      <c r="N1392" t="n">
        <v>0</v>
      </c>
      <c r="O1392" t="n">
        <v>1</v>
      </c>
      <c r="P1392" t="n">
        <v>0</v>
      </c>
      <c r="Q1392" t="n">
        <v>1</v>
      </c>
      <c r="R1392" s="2" t="inlineStr">
        <is>
          <t>Skogsfru</t>
        </is>
      </c>
      <c r="S1392">
        <f>HYPERLINK("https://klasma.github.io/Logging_2313/artfynd/A 34775-2023 artfynd.xlsx", "A 34775-2023")</f>
        <v/>
      </c>
      <c r="T1392">
        <f>HYPERLINK("https://klasma.github.io/Logging_2313/kartor/A 34775-2023 karta.png", "A 34775-2023")</f>
        <v/>
      </c>
      <c r="V1392">
        <f>HYPERLINK("https://klasma.github.io/Logging_2313/klagomål/A 34775-2023 FSC-klagomål.docx", "A 34775-2023")</f>
        <v/>
      </c>
      <c r="W1392">
        <f>HYPERLINK("https://klasma.github.io/Logging_2313/klagomålsmail/A 34775-2023 FSC-klagomål mail.docx", "A 34775-2023")</f>
        <v/>
      </c>
      <c r="X1392">
        <f>HYPERLINK("https://klasma.github.io/Logging_2313/tillsyn/A 34775-2023 tillsynsbegäran.docx", "A 34775-2023")</f>
        <v/>
      </c>
      <c r="Y1392">
        <f>HYPERLINK("https://klasma.github.io/Logging_2313/tillsynsmail/A 34775-2023 tillsynsbegäran mail.docx", "A 34775-2023")</f>
        <v/>
      </c>
    </row>
    <row r="1393" ht="15" customHeight="1">
      <c r="A1393" t="inlineStr">
        <is>
          <t>A 35275-2023</t>
        </is>
      </c>
      <c r="B1393" s="1" t="n">
        <v>45145</v>
      </c>
      <c r="C1393" s="1" t="n">
        <v>45363</v>
      </c>
      <c r="D1393" t="inlineStr">
        <is>
          <t>JÄMTLANDS LÄN</t>
        </is>
      </c>
      <c r="E1393" t="inlineStr">
        <is>
          <t>BERG</t>
        </is>
      </c>
      <c r="F1393" t="inlineStr">
        <is>
          <t>SCA</t>
        </is>
      </c>
      <c r="G1393" t="n">
        <v>8.5</v>
      </c>
      <c r="H1393" t="n">
        <v>0</v>
      </c>
      <c r="I1393" t="n">
        <v>0</v>
      </c>
      <c r="J1393" t="n">
        <v>1</v>
      </c>
      <c r="K1393" t="n">
        <v>0</v>
      </c>
      <c r="L1393" t="n">
        <v>0</v>
      </c>
      <c r="M1393" t="n">
        <v>0</v>
      </c>
      <c r="N1393" t="n">
        <v>0</v>
      </c>
      <c r="O1393" t="n">
        <v>1</v>
      </c>
      <c r="P1393" t="n">
        <v>0</v>
      </c>
      <c r="Q1393" t="n">
        <v>1</v>
      </c>
      <c r="R1393" s="2" t="inlineStr">
        <is>
          <t>Motaggsvamp</t>
        </is>
      </c>
      <c r="S1393">
        <f>HYPERLINK("https://klasma.github.io/Logging_2326/artfynd/A 35275-2023 artfynd.xlsx", "A 35275-2023")</f>
        <v/>
      </c>
      <c r="T1393">
        <f>HYPERLINK("https://klasma.github.io/Logging_2326/kartor/A 35275-2023 karta.png", "A 35275-2023")</f>
        <v/>
      </c>
      <c r="V1393">
        <f>HYPERLINK("https://klasma.github.io/Logging_2326/klagomål/A 35275-2023 FSC-klagomål.docx", "A 35275-2023")</f>
        <v/>
      </c>
      <c r="W1393">
        <f>HYPERLINK("https://klasma.github.io/Logging_2326/klagomålsmail/A 35275-2023 FSC-klagomål mail.docx", "A 35275-2023")</f>
        <v/>
      </c>
      <c r="X1393">
        <f>HYPERLINK("https://klasma.github.io/Logging_2326/tillsyn/A 35275-2023 tillsynsbegäran.docx", "A 35275-2023")</f>
        <v/>
      </c>
      <c r="Y1393">
        <f>HYPERLINK("https://klasma.github.io/Logging_2326/tillsynsmail/A 35275-2023 tillsynsbegäran mail.docx", "A 35275-2023")</f>
        <v/>
      </c>
    </row>
    <row r="1394" ht="15" customHeight="1">
      <c r="A1394" t="inlineStr">
        <is>
          <t>A 35750-2023</t>
        </is>
      </c>
      <c r="B1394" s="1" t="n">
        <v>45147</v>
      </c>
      <c r="C1394" s="1" t="n">
        <v>45363</v>
      </c>
      <c r="D1394" t="inlineStr">
        <is>
          <t>JÄMTLANDS LÄN</t>
        </is>
      </c>
      <c r="E1394" t="inlineStr">
        <is>
          <t>RAGUNDA</t>
        </is>
      </c>
      <c r="F1394" t="inlineStr">
        <is>
          <t>SCA</t>
        </is>
      </c>
      <c r="G1394" t="n">
        <v>4.8</v>
      </c>
      <c r="H1394" t="n">
        <v>0</v>
      </c>
      <c r="I1394" t="n">
        <v>0</v>
      </c>
      <c r="J1394" t="n">
        <v>1</v>
      </c>
      <c r="K1394" t="n">
        <v>0</v>
      </c>
      <c r="L1394" t="n">
        <v>0</v>
      </c>
      <c r="M1394" t="n">
        <v>0</v>
      </c>
      <c r="N1394" t="n">
        <v>0</v>
      </c>
      <c r="O1394" t="n">
        <v>1</v>
      </c>
      <c r="P1394" t="n">
        <v>0</v>
      </c>
      <c r="Q1394" t="n">
        <v>1</v>
      </c>
      <c r="R1394" s="2" t="inlineStr">
        <is>
          <t>Grantaggsvamp</t>
        </is>
      </c>
      <c r="S1394">
        <f>HYPERLINK("https://klasma.github.io/Logging_2303/artfynd/A 35750-2023 artfynd.xlsx", "A 35750-2023")</f>
        <v/>
      </c>
      <c r="T1394">
        <f>HYPERLINK("https://klasma.github.io/Logging_2303/kartor/A 35750-2023 karta.png", "A 35750-2023")</f>
        <v/>
      </c>
      <c r="V1394">
        <f>HYPERLINK("https://klasma.github.io/Logging_2303/klagomål/A 35750-2023 FSC-klagomål.docx", "A 35750-2023")</f>
        <v/>
      </c>
      <c r="W1394">
        <f>HYPERLINK("https://klasma.github.io/Logging_2303/klagomålsmail/A 35750-2023 FSC-klagomål mail.docx", "A 35750-2023")</f>
        <v/>
      </c>
      <c r="X1394">
        <f>HYPERLINK("https://klasma.github.io/Logging_2303/tillsyn/A 35750-2023 tillsynsbegäran.docx", "A 35750-2023")</f>
        <v/>
      </c>
      <c r="Y1394">
        <f>HYPERLINK("https://klasma.github.io/Logging_2303/tillsynsmail/A 35750-2023 tillsynsbegäran mail.docx", "A 35750-2023")</f>
        <v/>
      </c>
    </row>
    <row r="1395" ht="15" customHeight="1">
      <c r="A1395" t="inlineStr">
        <is>
          <t>A 36224-2023</t>
        </is>
      </c>
      <c r="B1395" s="1" t="n">
        <v>45149</v>
      </c>
      <c r="C1395" s="1" t="n">
        <v>45363</v>
      </c>
      <c r="D1395" t="inlineStr">
        <is>
          <t>JÄMTLANDS LÄN</t>
        </is>
      </c>
      <c r="E1395" t="inlineStr">
        <is>
          <t>RAGUNDA</t>
        </is>
      </c>
      <c r="F1395" t="inlineStr">
        <is>
          <t>SCA</t>
        </is>
      </c>
      <c r="G1395" t="n">
        <v>8.1</v>
      </c>
      <c r="H1395" t="n">
        <v>0</v>
      </c>
      <c r="I1395" t="n">
        <v>0</v>
      </c>
      <c r="J1395" t="n">
        <v>1</v>
      </c>
      <c r="K1395" t="n">
        <v>0</v>
      </c>
      <c r="L1395" t="n">
        <v>0</v>
      </c>
      <c r="M1395" t="n">
        <v>0</v>
      </c>
      <c r="N1395" t="n">
        <v>0</v>
      </c>
      <c r="O1395" t="n">
        <v>1</v>
      </c>
      <c r="P1395" t="n">
        <v>0</v>
      </c>
      <c r="Q1395" t="n">
        <v>1</v>
      </c>
      <c r="R1395" s="2" t="inlineStr">
        <is>
          <t>Garnlav</t>
        </is>
      </c>
      <c r="S1395">
        <f>HYPERLINK("https://klasma.github.io/Logging_2303/artfynd/A 36224-2023 artfynd.xlsx", "A 36224-2023")</f>
        <v/>
      </c>
      <c r="T1395">
        <f>HYPERLINK("https://klasma.github.io/Logging_2303/kartor/A 36224-2023 karta.png", "A 36224-2023")</f>
        <v/>
      </c>
      <c r="V1395">
        <f>HYPERLINK("https://klasma.github.io/Logging_2303/klagomål/A 36224-2023 FSC-klagomål.docx", "A 36224-2023")</f>
        <v/>
      </c>
      <c r="W1395">
        <f>HYPERLINK("https://klasma.github.io/Logging_2303/klagomålsmail/A 36224-2023 FSC-klagomål mail.docx", "A 36224-2023")</f>
        <v/>
      </c>
      <c r="X1395">
        <f>HYPERLINK("https://klasma.github.io/Logging_2303/tillsyn/A 36224-2023 tillsynsbegäran.docx", "A 36224-2023")</f>
        <v/>
      </c>
      <c r="Y1395">
        <f>HYPERLINK("https://klasma.github.io/Logging_2303/tillsynsmail/A 36224-2023 tillsynsbegäran mail.docx", "A 36224-2023")</f>
        <v/>
      </c>
    </row>
    <row r="1396" ht="15" customHeight="1">
      <c r="A1396" t="inlineStr">
        <is>
          <t>A 36204-2023</t>
        </is>
      </c>
      <c r="B1396" s="1" t="n">
        <v>45149</v>
      </c>
      <c r="C1396" s="1" t="n">
        <v>45363</v>
      </c>
      <c r="D1396" t="inlineStr">
        <is>
          <t>JÄMTLANDS LÄN</t>
        </is>
      </c>
      <c r="E1396" t="inlineStr">
        <is>
          <t>RAGUNDA</t>
        </is>
      </c>
      <c r="F1396" t="inlineStr">
        <is>
          <t>SCA</t>
        </is>
      </c>
      <c r="G1396" t="n">
        <v>5.1</v>
      </c>
      <c r="H1396" t="n">
        <v>0</v>
      </c>
      <c r="I1396" t="n">
        <v>0</v>
      </c>
      <c r="J1396" t="n">
        <v>1</v>
      </c>
      <c r="K1396" t="n">
        <v>0</v>
      </c>
      <c r="L1396" t="n">
        <v>0</v>
      </c>
      <c r="M1396" t="n">
        <v>0</v>
      </c>
      <c r="N1396" t="n">
        <v>0</v>
      </c>
      <c r="O1396" t="n">
        <v>1</v>
      </c>
      <c r="P1396" t="n">
        <v>0</v>
      </c>
      <c r="Q1396" t="n">
        <v>1</v>
      </c>
      <c r="R1396" s="2" t="inlineStr">
        <is>
          <t>Rosenticka</t>
        </is>
      </c>
      <c r="S1396">
        <f>HYPERLINK("https://klasma.github.io/Logging_2303/artfynd/A 36204-2023 artfynd.xlsx", "A 36204-2023")</f>
        <v/>
      </c>
      <c r="T1396">
        <f>HYPERLINK("https://klasma.github.io/Logging_2303/kartor/A 36204-2023 karta.png", "A 36204-2023")</f>
        <v/>
      </c>
      <c r="V1396">
        <f>HYPERLINK("https://klasma.github.io/Logging_2303/klagomål/A 36204-2023 FSC-klagomål.docx", "A 36204-2023")</f>
        <v/>
      </c>
      <c r="W1396">
        <f>HYPERLINK("https://klasma.github.io/Logging_2303/klagomålsmail/A 36204-2023 FSC-klagomål mail.docx", "A 36204-2023")</f>
        <v/>
      </c>
      <c r="X1396">
        <f>HYPERLINK("https://klasma.github.io/Logging_2303/tillsyn/A 36204-2023 tillsynsbegäran.docx", "A 36204-2023")</f>
        <v/>
      </c>
      <c r="Y1396">
        <f>HYPERLINK("https://klasma.github.io/Logging_2303/tillsynsmail/A 36204-2023 tillsynsbegäran mail.docx", "A 36204-2023")</f>
        <v/>
      </c>
    </row>
    <row r="1397" ht="15" customHeight="1">
      <c r="A1397" t="inlineStr">
        <is>
          <t>A 36225-2023</t>
        </is>
      </c>
      <c r="B1397" s="1" t="n">
        <v>45149</v>
      </c>
      <c r="C1397" s="1" t="n">
        <v>45363</v>
      </c>
      <c r="D1397" t="inlineStr">
        <is>
          <t>JÄMTLANDS LÄN</t>
        </is>
      </c>
      <c r="E1397" t="inlineStr">
        <is>
          <t>RAGUNDA</t>
        </is>
      </c>
      <c r="F1397" t="inlineStr">
        <is>
          <t>SCA</t>
        </is>
      </c>
      <c r="G1397" t="n">
        <v>3.9</v>
      </c>
      <c r="H1397" t="n">
        <v>0</v>
      </c>
      <c r="I1397" t="n">
        <v>0</v>
      </c>
      <c r="J1397" t="n">
        <v>1</v>
      </c>
      <c r="K1397" t="n">
        <v>0</v>
      </c>
      <c r="L1397" t="n">
        <v>0</v>
      </c>
      <c r="M1397" t="n">
        <v>0</v>
      </c>
      <c r="N1397" t="n">
        <v>0</v>
      </c>
      <c r="O1397" t="n">
        <v>1</v>
      </c>
      <c r="P1397" t="n">
        <v>0</v>
      </c>
      <c r="Q1397" t="n">
        <v>1</v>
      </c>
      <c r="R1397" s="2" t="inlineStr">
        <is>
          <t>Lunglav</t>
        </is>
      </c>
      <c r="S1397">
        <f>HYPERLINK("https://klasma.github.io/Logging_2303/artfynd/A 36225-2023 artfynd.xlsx", "A 36225-2023")</f>
        <v/>
      </c>
      <c r="T1397">
        <f>HYPERLINK("https://klasma.github.io/Logging_2303/kartor/A 36225-2023 karta.png", "A 36225-2023")</f>
        <v/>
      </c>
      <c r="V1397">
        <f>HYPERLINK("https://klasma.github.io/Logging_2303/klagomål/A 36225-2023 FSC-klagomål.docx", "A 36225-2023")</f>
        <v/>
      </c>
      <c r="W1397">
        <f>HYPERLINK("https://klasma.github.io/Logging_2303/klagomålsmail/A 36225-2023 FSC-klagomål mail.docx", "A 36225-2023")</f>
        <v/>
      </c>
      <c r="X1397">
        <f>HYPERLINK("https://klasma.github.io/Logging_2303/tillsyn/A 36225-2023 tillsynsbegäran.docx", "A 36225-2023")</f>
        <v/>
      </c>
      <c r="Y1397">
        <f>HYPERLINK("https://klasma.github.io/Logging_2303/tillsynsmail/A 36225-2023 tillsynsbegäran mail.docx", "A 36225-2023")</f>
        <v/>
      </c>
    </row>
    <row r="1398" ht="15" customHeight="1">
      <c r="A1398" t="inlineStr">
        <is>
          <t>A 36754-2023</t>
        </is>
      </c>
      <c r="B1398" s="1" t="n">
        <v>45153</v>
      </c>
      <c r="C1398" s="1" t="n">
        <v>45363</v>
      </c>
      <c r="D1398" t="inlineStr">
        <is>
          <t>JÄMTLANDS LÄN</t>
        </is>
      </c>
      <c r="E1398" t="inlineStr">
        <is>
          <t>STRÖMSUND</t>
        </is>
      </c>
      <c r="F1398" t="inlineStr">
        <is>
          <t>SCA</t>
        </is>
      </c>
      <c r="G1398" t="n">
        <v>2.7</v>
      </c>
      <c r="H1398" t="n">
        <v>1</v>
      </c>
      <c r="I1398" t="n">
        <v>1</v>
      </c>
      <c r="J1398" t="n">
        <v>0</v>
      </c>
      <c r="K1398" t="n">
        <v>0</v>
      </c>
      <c r="L1398" t="n">
        <v>0</v>
      </c>
      <c r="M1398" t="n">
        <v>0</v>
      </c>
      <c r="N1398" t="n">
        <v>0</v>
      </c>
      <c r="O1398" t="n">
        <v>0</v>
      </c>
      <c r="P1398" t="n">
        <v>0</v>
      </c>
      <c r="Q1398" t="n">
        <v>1</v>
      </c>
      <c r="R1398" s="2" t="inlineStr">
        <is>
          <t>Lappranunkel</t>
        </is>
      </c>
      <c r="S1398">
        <f>HYPERLINK("https://klasma.github.io/Logging_2313/artfynd/A 36754-2023 artfynd.xlsx", "A 36754-2023")</f>
        <v/>
      </c>
      <c r="T1398">
        <f>HYPERLINK("https://klasma.github.io/Logging_2313/kartor/A 36754-2023 karta.png", "A 36754-2023")</f>
        <v/>
      </c>
      <c r="V1398">
        <f>HYPERLINK("https://klasma.github.io/Logging_2313/klagomål/A 36754-2023 FSC-klagomål.docx", "A 36754-2023")</f>
        <v/>
      </c>
      <c r="W1398">
        <f>HYPERLINK("https://klasma.github.io/Logging_2313/klagomålsmail/A 36754-2023 FSC-klagomål mail.docx", "A 36754-2023")</f>
        <v/>
      </c>
      <c r="X1398">
        <f>HYPERLINK("https://klasma.github.io/Logging_2313/tillsyn/A 36754-2023 tillsynsbegäran.docx", "A 36754-2023")</f>
        <v/>
      </c>
      <c r="Y1398">
        <f>HYPERLINK("https://klasma.github.io/Logging_2313/tillsynsmail/A 36754-2023 tillsynsbegäran mail.docx", "A 36754-2023")</f>
        <v/>
      </c>
    </row>
    <row r="1399" ht="15" customHeight="1">
      <c r="A1399" t="inlineStr">
        <is>
          <t>A 36758-2023</t>
        </is>
      </c>
      <c r="B1399" s="1" t="n">
        <v>45153</v>
      </c>
      <c r="C1399" s="1" t="n">
        <v>45363</v>
      </c>
      <c r="D1399" t="inlineStr">
        <is>
          <t>JÄMTLANDS LÄN</t>
        </is>
      </c>
      <c r="E1399" t="inlineStr">
        <is>
          <t>RAGUNDA</t>
        </is>
      </c>
      <c r="G1399" t="n">
        <v>6</v>
      </c>
      <c r="H1399" t="n">
        <v>0</v>
      </c>
      <c r="I1399" t="n">
        <v>0</v>
      </c>
      <c r="J1399" t="n">
        <v>1</v>
      </c>
      <c r="K1399" t="n">
        <v>0</v>
      </c>
      <c r="L1399" t="n">
        <v>0</v>
      </c>
      <c r="M1399" t="n">
        <v>0</v>
      </c>
      <c r="N1399" t="n">
        <v>0</v>
      </c>
      <c r="O1399" t="n">
        <v>1</v>
      </c>
      <c r="P1399" t="n">
        <v>0</v>
      </c>
      <c r="Q1399" t="n">
        <v>1</v>
      </c>
      <c r="R1399" s="2" t="inlineStr">
        <is>
          <t>Lunglav</t>
        </is>
      </c>
      <c r="S1399">
        <f>HYPERLINK("https://klasma.github.io/Logging_2303/artfynd/A 36758-2023 artfynd.xlsx", "A 36758-2023")</f>
        <v/>
      </c>
      <c r="T1399">
        <f>HYPERLINK("https://klasma.github.io/Logging_2303/kartor/A 36758-2023 karta.png", "A 36758-2023")</f>
        <v/>
      </c>
      <c r="V1399">
        <f>HYPERLINK("https://klasma.github.io/Logging_2303/klagomål/A 36758-2023 FSC-klagomål.docx", "A 36758-2023")</f>
        <v/>
      </c>
      <c r="W1399">
        <f>HYPERLINK("https://klasma.github.io/Logging_2303/klagomålsmail/A 36758-2023 FSC-klagomål mail.docx", "A 36758-2023")</f>
        <v/>
      </c>
      <c r="X1399">
        <f>HYPERLINK("https://klasma.github.io/Logging_2303/tillsyn/A 36758-2023 tillsynsbegäran.docx", "A 36758-2023")</f>
        <v/>
      </c>
      <c r="Y1399">
        <f>HYPERLINK("https://klasma.github.io/Logging_2303/tillsynsmail/A 36758-2023 tillsynsbegäran mail.docx", "A 36758-2023")</f>
        <v/>
      </c>
    </row>
    <row r="1400" ht="15" customHeight="1">
      <c r="A1400" t="inlineStr">
        <is>
          <t>A 36639-2023</t>
        </is>
      </c>
      <c r="B1400" s="1" t="n">
        <v>45153</v>
      </c>
      <c r="C1400" s="1" t="n">
        <v>45363</v>
      </c>
      <c r="D1400" t="inlineStr">
        <is>
          <t>JÄMTLANDS LÄN</t>
        </is>
      </c>
      <c r="E1400" t="inlineStr">
        <is>
          <t>KROKOM</t>
        </is>
      </c>
      <c r="F1400" t="inlineStr">
        <is>
          <t>Övriga Aktiebolag</t>
        </is>
      </c>
      <c r="G1400" t="n">
        <v>5.5</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HYPERLINK("https://klasma.github.io/Logging_2309/artfynd/A 36639-2023 artfynd.xlsx", "A 36639-2023")</f>
        <v/>
      </c>
      <c r="T1400">
        <f>HYPERLINK("https://klasma.github.io/Logging_2309/kartor/A 36639-2023 karta.png", "A 36639-2023")</f>
        <v/>
      </c>
      <c r="V1400">
        <f>HYPERLINK("https://klasma.github.io/Logging_2309/klagomål/A 36639-2023 FSC-klagomål.docx", "A 36639-2023")</f>
        <v/>
      </c>
      <c r="W1400">
        <f>HYPERLINK("https://klasma.github.io/Logging_2309/klagomålsmail/A 36639-2023 FSC-klagomål mail.docx", "A 36639-2023")</f>
        <v/>
      </c>
      <c r="X1400">
        <f>HYPERLINK("https://klasma.github.io/Logging_2309/tillsyn/A 36639-2023 tillsynsbegäran.docx", "A 36639-2023")</f>
        <v/>
      </c>
      <c r="Y1400">
        <f>HYPERLINK("https://klasma.github.io/Logging_2309/tillsynsmail/A 36639-2023 tillsynsbegäran mail.docx", "A 36639-2023")</f>
        <v/>
      </c>
      <c r="Z1400">
        <f>HYPERLINK("https://klasma.github.io/Logging_2309/fåglar/A 36639-2023 prioriterade fågelarter.docx", "A 36639-2023")</f>
        <v/>
      </c>
    </row>
    <row r="1401" ht="15" customHeight="1">
      <c r="A1401" t="inlineStr">
        <is>
          <t>A 36757-2023</t>
        </is>
      </c>
      <c r="B1401" s="1" t="n">
        <v>45153</v>
      </c>
      <c r="C1401" s="1" t="n">
        <v>45363</v>
      </c>
      <c r="D1401" t="inlineStr">
        <is>
          <t>JÄMTLANDS LÄN</t>
        </is>
      </c>
      <c r="E1401" t="inlineStr">
        <is>
          <t>RAGUNDA</t>
        </is>
      </c>
      <c r="G1401" t="n">
        <v>0.7</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HYPERLINK("https://klasma.github.io/Logging_2303/artfynd/A 36757-2023 artfynd.xlsx", "A 36757-2023")</f>
        <v/>
      </c>
      <c r="T1401">
        <f>HYPERLINK("https://klasma.github.io/Logging_2303/kartor/A 36757-2023 karta.png", "A 36757-2023")</f>
        <v/>
      </c>
      <c r="V1401">
        <f>HYPERLINK("https://klasma.github.io/Logging_2303/klagomål/A 36757-2023 FSC-klagomål.docx", "A 36757-2023")</f>
        <v/>
      </c>
      <c r="W1401">
        <f>HYPERLINK("https://klasma.github.io/Logging_2303/klagomålsmail/A 36757-2023 FSC-klagomål mail.docx", "A 36757-2023")</f>
        <v/>
      </c>
      <c r="X1401">
        <f>HYPERLINK("https://klasma.github.io/Logging_2303/tillsyn/A 36757-2023 tillsynsbegäran.docx", "A 36757-2023")</f>
        <v/>
      </c>
      <c r="Y1401">
        <f>HYPERLINK("https://klasma.github.io/Logging_2303/tillsynsmail/A 36757-2023 tillsynsbegäran mail.docx", "A 36757-2023")</f>
        <v/>
      </c>
      <c r="Z1401">
        <f>HYPERLINK("https://klasma.github.io/Logging_2303/fåglar/A 36757-2023 prioriterade fågelarter.docx", "A 36757-2023")</f>
        <v/>
      </c>
    </row>
    <row r="1402" ht="15" customHeight="1">
      <c r="A1402" t="inlineStr">
        <is>
          <t>A 36854-2023</t>
        </is>
      </c>
      <c r="B1402" s="1" t="n">
        <v>45153</v>
      </c>
      <c r="C1402" s="1" t="n">
        <v>45363</v>
      </c>
      <c r="D1402" t="inlineStr">
        <is>
          <t>JÄMTLANDS LÄN</t>
        </is>
      </c>
      <c r="E1402" t="inlineStr">
        <is>
          <t>RAGUNDA</t>
        </is>
      </c>
      <c r="G1402" t="n">
        <v>4</v>
      </c>
      <c r="H1402" t="n">
        <v>1</v>
      </c>
      <c r="I1402" t="n">
        <v>0</v>
      </c>
      <c r="J1402" t="n">
        <v>1</v>
      </c>
      <c r="K1402" t="n">
        <v>0</v>
      </c>
      <c r="L1402" t="n">
        <v>0</v>
      </c>
      <c r="M1402" t="n">
        <v>0</v>
      </c>
      <c r="N1402" t="n">
        <v>0</v>
      </c>
      <c r="O1402" t="n">
        <v>1</v>
      </c>
      <c r="P1402" t="n">
        <v>0</v>
      </c>
      <c r="Q1402" t="n">
        <v>1</v>
      </c>
      <c r="R1402" s="2" t="inlineStr">
        <is>
          <t>Talltita</t>
        </is>
      </c>
      <c r="S1402">
        <f>HYPERLINK("https://klasma.github.io/Logging_2303/artfynd/A 36854-2023 artfynd.xlsx", "A 36854-2023")</f>
        <v/>
      </c>
      <c r="T1402">
        <f>HYPERLINK("https://klasma.github.io/Logging_2303/kartor/A 36854-2023 karta.png", "A 36854-2023")</f>
        <v/>
      </c>
      <c r="V1402">
        <f>HYPERLINK("https://klasma.github.io/Logging_2303/klagomål/A 36854-2023 FSC-klagomål.docx", "A 36854-2023")</f>
        <v/>
      </c>
      <c r="W1402">
        <f>HYPERLINK("https://klasma.github.io/Logging_2303/klagomålsmail/A 36854-2023 FSC-klagomål mail.docx", "A 36854-2023")</f>
        <v/>
      </c>
      <c r="X1402">
        <f>HYPERLINK("https://klasma.github.io/Logging_2303/tillsyn/A 36854-2023 tillsynsbegäran.docx", "A 36854-2023")</f>
        <v/>
      </c>
      <c r="Y1402">
        <f>HYPERLINK("https://klasma.github.io/Logging_2303/tillsynsmail/A 36854-2023 tillsynsbegäran mail.docx", "A 36854-2023")</f>
        <v/>
      </c>
      <c r="Z1402">
        <f>HYPERLINK("https://klasma.github.io/Logging_2303/fåglar/A 36854-2023 prioriterade fågelarter.docx", "A 36854-2023")</f>
        <v/>
      </c>
    </row>
    <row r="1403" ht="15" customHeight="1">
      <c r="A1403" t="inlineStr">
        <is>
          <t>A 36975-2023</t>
        </is>
      </c>
      <c r="B1403" s="1" t="n">
        <v>45154</v>
      </c>
      <c r="C1403" s="1" t="n">
        <v>45363</v>
      </c>
      <c r="D1403" t="inlineStr">
        <is>
          <t>JÄMTLANDS LÄN</t>
        </is>
      </c>
      <c r="E1403" t="inlineStr">
        <is>
          <t>RAGUNDA</t>
        </is>
      </c>
      <c r="F1403" t="inlineStr">
        <is>
          <t>SCA</t>
        </is>
      </c>
      <c r="G1403" t="n">
        <v>3.8</v>
      </c>
      <c r="H1403" t="n">
        <v>0</v>
      </c>
      <c r="I1403" t="n">
        <v>0</v>
      </c>
      <c r="J1403" t="n">
        <v>0</v>
      </c>
      <c r="K1403" t="n">
        <v>1</v>
      </c>
      <c r="L1403" t="n">
        <v>0</v>
      </c>
      <c r="M1403" t="n">
        <v>0</v>
      </c>
      <c r="N1403" t="n">
        <v>0</v>
      </c>
      <c r="O1403" t="n">
        <v>1</v>
      </c>
      <c r="P1403" t="n">
        <v>1</v>
      </c>
      <c r="Q1403" t="n">
        <v>1</v>
      </c>
      <c r="R1403" s="2" t="inlineStr">
        <is>
          <t>Gräddporing</t>
        </is>
      </c>
      <c r="S1403">
        <f>HYPERLINK("https://klasma.github.io/Logging_2303/artfynd/A 36975-2023 artfynd.xlsx", "A 36975-2023")</f>
        <v/>
      </c>
      <c r="T1403">
        <f>HYPERLINK("https://klasma.github.io/Logging_2303/kartor/A 36975-2023 karta.png", "A 36975-2023")</f>
        <v/>
      </c>
      <c r="V1403">
        <f>HYPERLINK("https://klasma.github.io/Logging_2303/klagomål/A 36975-2023 FSC-klagomål.docx", "A 36975-2023")</f>
        <v/>
      </c>
      <c r="W1403">
        <f>HYPERLINK("https://klasma.github.io/Logging_2303/klagomålsmail/A 36975-2023 FSC-klagomål mail.docx", "A 36975-2023")</f>
        <v/>
      </c>
      <c r="X1403">
        <f>HYPERLINK("https://klasma.github.io/Logging_2303/tillsyn/A 36975-2023 tillsynsbegäran.docx", "A 36975-2023")</f>
        <v/>
      </c>
      <c r="Y1403">
        <f>HYPERLINK("https://klasma.github.io/Logging_2303/tillsynsmail/A 36975-2023 tillsynsbegäran mail.docx", "A 36975-2023")</f>
        <v/>
      </c>
    </row>
    <row r="1404" ht="15" customHeight="1">
      <c r="A1404" t="inlineStr">
        <is>
          <t>A 37234-2023</t>
        </is>
      </c>
      <c r="B1404" s="1" t="n">
        <v>45155</v>
      </c>
      <c r="C1404" s="1" t="n">
        <v>45363</v>
      </c>
      <c r="D1404" t="inlineStr">
        <is>
          <t>JÄMTLANDS LÄN</t>
        </is>
      </c>
      <c r="E1404" t="inlineStr">
        <is>
          <t>RAGUNDA</t>
        </is>
      </c>
      <c r="F1404" t="inlineStr">
        <is>
          <t>SCA</t>
        </is>
      </c>
      <c r="G1404" t="n">
        <v>7.5</v>
      </c>
      <c r="H1404" t="n">
        <v>1</v>
      </c>
      <c r="I1404" t="n">
        <v>0</v>
      </c>
      <c r="J1404" t="n">
        <v>0</v>
      </c>
      <c r="K1404" t="n">
        <v>1</v>
      </c>
      <c r="L1404" t="n">
        <v>0</v>
      </c>
      <c r="M1404" t="n">
        <v>0</v>
      </c>
      <c r="N1404" t="n">
        <v>0</v>
      </c>
      <c r="O1404" t="n">
        <v>1</v>
      </c>
      <c r="P1404" t="n">
        <v>1</v>
      </c>
      <c r="Q1404" t="n">
        <v>1</v>
      </c>
      <c r="R1404" s="2" t="inlineStr">
        <is>
          <t>Knärot</t>
        </is>
      </c>
      <c r="S1404">
        <f>HYPERLINK("https://klasma.github.io/Logging_2303/artfynd/A 37234-2023 artfynd.xlsx", "A 37234-2023")</f>
        <v/>
      </c>
      <c r="T1404">
        <f>HYPERLINK("https://klasma.github.io/Logging_2303/kartor/A 37234-2023 karta.png", "A 37234-2023")</f>
        <v/>
      </c>
      <c r="U1404">
        <f>HYPERLINK("https://klasma.github.io/Logging_2303/knärot/A 37234-2023 karta knärot.png", "A 37234-2023")</f>
        <v/>
      </c>
      <c r="V1404">
        <f>HYPERLINK("https://klasma.github.io/Logging_2303/klagomål/A 37234-2023 FSC-klagomål.docx", "A 37234-2023")</f>
        <v/>
      </c>
      <c r="W1404">
        <f>HYPERLINK("https://klasma.github.io/Logging_2303/klagomålsmail/A 37234-2023 FSC-klagomål mail.docx", "A 37234-2023")</f>
        <v/>
      </c>
      <c r="X1404">
        <f>HYPERLINK("https://klasma.github.io/Logging_2303/tillsyn/A 37234-2023 tillsynsbegäran.docx", "A 37234-2023")</f>
        <v/>
      </c>
      <c r="Y1404">
        <f>HYPERLINK("https://klasma.github.io/Logging_2303/tillsynsmail/A 37234-2023 tillsynsbegäran mail.docx", "A 37234-2023")</f>
        <v/>
      </c>
    </row>
    <row r="1405" ht="15" customHeight="1">
      <c r="A1405" t="inlineStr">
        <is>
          <t>A 38099-2023</t>
        </is>
      </c>
      <c r="B1405" s="1" t="n">
        <v>45161</v>
      </c>
      <c r="C1405" s="1" t="n">
        <v>45363</v>
      </c>
      <c r="D1405" t="inlineStr">
        <is>
          <t>JÄMTLANDS LÄN</t>
        </is>
      </c>
      <c r="E1405" t="inlineStr">
        <is>
          <t>BRÄCKE</t>
        </is>
      </c>
      <c r="F1405" t="inlineStr">
        <is>
          <t>SCA</t>
        </is>
      </c>
      <c r="G1405" t="n">
        <v>1.5</v>
      </c>
      <c r="H1405" t="n">
        <v>1</v>
      </c>
      <c r="I1405" t="n">
        <v>0</v>
      </c>
      <c r="J1405" t="n">
        <v>1</v>
      </c>
      <c r="K1405" t="n">
        <v>0</v>
      </c>
      <c r="L1405" t="n">
        <v>0</v>
      </c>
      <c r="M1405" t="n">
        <v>0</v>
      </c>
      <c r="N1405" t="n">
        <v>0</v>
      </c>
      <c r="O1405" t="n">
        <v>1</v>
      </c>
      <c r="P1405" t="n">
        <v>0</v>
      </c>
      <c r="Q1405" t="n">
        <v>1</v>
      </c>
      <c r="R1405" s="2" t="inlineStr">
        <is>
          <t>Talltita</t>
        </is>
      </c>
      <c r="S1405">
        <f>HYPERLINK("https://klasma.github.io/Logging_2305/artfynd/A 38099-2023 artfynd.xlsx", "A 38099-2023")</f>
        <v/>
      </c>
      <c r="T1405">
        <f>HYPERLINK("https://klasma.github.io/Logging_2305/kartor/A 38099-2023 karta.png", "A 38099-2023")</f>
        <v/>
      </c>
      <c r="V1405">
        <f>HYPERLINK("https://klasma.github.io/Logging_2305/klagomål/A 38099-2023 FSC-klagomål.docx", "A 38099-2023")</f>
        <v/>
      </c>
      <c r="W1405">
        <f>HYPERLINK("https://klasma.github.io/Logging_2305/klagomålsmail/A 38099-2023 FSC-klagomål mail.docx", "A 38099-2023")</f>
        <v/>
      </c>
      <c r="X1405">
        <f>HYPERLINK("https://klasma.github.io/Logging_2305/tillsyn/A 38099-2023 tillsynsbegäran.docx", "A 38099-2023")</f>
        <v/>
      </c>
      <c r="Y1405">
        <f>HYPERLINK("https://klasma.github.io/Logging_2305/tillsynsmail/A 38099-2023 tillsynsbegäran mail.docx", "A 38099-2023")</f>
        <v/>
      </c>
      <c r="Z1405">
        <f>HYPERLINK("https://klasma.github.io/Logging_2305/fåglar/A 38099-2023 prioriterade fågelarter.docx", "A 38099-2023")</f>
        <v/>
      </c>
    </row>
    <row r="1406" ht="15" customHeight="1">
      <c r="A1406" t="inlineStr">
        <is>
          <t>A 39075-2023</t>
        </is>
      </c>
      <c r="B1406" s="1" t="n">
        <v>45163</v>
      </c>
      <c r="C1406" s="1" t="n">
        <v>45363</v>
      </c>
      <c r="D1406" t="inlineStr">
        <is>
          <t>JÄMTLANDS LÄN</t>
        </is>
      </c>
      <c r="E1406" t="inlineStr">
        <is>
          <t>STRÖMSUND</t>
        </is>
      </c>
      <c r="F1406" t="inlineStr">
        <is>
          <t>SCA</t>
        </is>
      </c>
      <c r="G1406" t="n">
        <v>2.1</v>
      </c>
      <c r="H1406" t="n">
        <v>0</v>
      </c>
      <c r="I1406" t="n">
        <v>0</v>
      </c>
      <c r="J1406" t="n">
        <v>1</v>
      </c>
      <c r="K1406" t="n">
        <v>0</v>
      </c>
      <c r="L1406" t="n">
        <v>0</v>
      </c>
      <c r="M1406" t="n">
        <v>0</v>
      </c>
      <c r="N1406" t="n">
        <v>0</v>
      </c>
      <c r="O1406" t="n">
        <v>1</v>
      </c>
      <c r="P1406" t="n">
        <v>0</v>
      </c>
      <c r="Q1406" t="n">
        <v>1</v>
      </c>
      <c r="R1406" s="2" t="inlineStr">
        <is>
          <t>Brunpudrad nållav</t>
        </is>
      </c>
      <c r="S1406">
        <f>HYPERLINK("https://klasma.github.io/Logging_2313/artfynd/A 39075-2023 artfynd.xlsx", "A 39075-2023")</f>
        <v/>
      </c>
      <c r="T1406">
        <f>HYPERLINK("https://klasma.github.io/Logging_2313/kartor/A 39075-2023 karta.png", "A 39075-2023")</f>
        <v/>
      </c>
      <c r="V1406">
        <f>HYPERLINK("https://klasma.github.io/Logging_2313/klagomål/A 39075-2023 FSC-klagomål.docx", "A 39075-2023")</f>
        <v/>
      </c>
      <c r="W1406">
        <f>HYPERLINK("https://klasma.github.io/Logging_2313/klagomålsmail/A 39075-2023 FSC-klagomål mail.docx", "A 39075-2023")</f>
        <v/>
      </c>
      <c r="X1406">
        <f>HYPERLINK("https://klasma.github.io/Logging_2313/tillsyn/A 39075-2023 tillsynsbegäran.docx", "A 39075-2023")</f>
        <v/>
      </c>
      <c r="Y1406">
        <f>HYPERLINK("https://klasma.github.io/Logging_2313/tillsynsmail/A 39075-2023 tillsynsbegäran mail.docx", "A 39075-2023")</f>
        <v/>
      </c>
    </row>
    <row r="1407" ht="15" customHeight="1">
      <c r="A1407" t="inlineStr">
        <is>
          <t>A 39511-2023</t>
        </is>
      </c>
      <c r="B1407" s="1" t="n">
        <v>45166</v>
      </c>
      <c r="C1407" s="1" t="n">
        <v>45363</v>
      </c>
      <c r="D1407" t="inlineStr">
        <is>
          <t>JÄMTLANDS LÄN</t>
        </is>
      </c>
      <c r="E1407" t="inlineStr">
        <is>
          <t>STRÖMSUND</t>
        </is>
      </c>
      <c r="F1407" t="inlineStr">
        <is>
          <t>SCA</t>
        </is>
      </c>
      <c r="G1407" t="n">
        <v>3.7</v>
      </c>
      <c r="H1407" t="n">
        <v>0</v>
      </c>
      <c r="I1407" t="n">
        <v>0</v>
      </c>
      <c r="J1407" t="n">
        <v>1</v>
      </c>
      <c r="K1407" t="n">
        <v>0</v>
      </c>
      <c r="L1407" t="n">
        <v>0</v>
      </c>
      <c r="M1407" t="n">
        <v>0</v>
      </c>
      <c r="N1407" t="n">
        <v>0</v>
      </c>
      <c r="O1407" t="n">
        <v>1</v>
      </c>
      <c r="P1407" t="n">
        <v>0</v>
      </c>
      <c r="Q1407" t="n">
        <v>1</v>
      </c>
      <c r="R1407" s="2" t="inlineStr">
        <is>
          <t>Rosenticka</t>
        </is>
      </c>
      <c r="S1407">
        <f>HYPERLINK("https://klasma.github.io/Logging_2313/artfynd/A 39511-2023 artfynd.xlsx", "A 39511-2023")</f>
        <v/>
      </c>
      <c r="T1407">
        <f>HYPERLINK("https://klasma.github.io/Logging_2313/kartor/A 39511-2023 karta.png", "A 39511-2023")</f>
        <v/>
      </c>
      <c r="V1407">
        <f>HYPERLINK("https://klasma.github.io/Logging_2313/klagomål/A 39511-2023 FSC-klagomål.docx", "A 39511-2023")</f>
        <v/>
      </c>
      <c r="W1407">
        <f>HYPERLINK("https://klasma.github.io/Logging_2313/klagomålsmail/A 39511-2023 FSC-klagomål mail.docx", "A 39511-2023")</f>
        <v/>
      </c>
      <c r="X1407">
        <f>HYPERLINK("https://klasma.github.io/Logging_2313/tillsyn/A 39511-2023 tillsynsbegäran.docx", "A 39511-2023")</f>
        <v/>
      </c>
      <c r="Y1407">
        <f>HYPERLINK("https://klasma.github.io/Logging_2313/tillsynsmail/A 39511-2023 tillsynsbegäran mail.docx", "A 39511-2023")</f>
        <v/>
      </c>
    </row>
    <row r="1408" ht="15" customHeight="1">
      <c r="A1408" t="inlineStr">
        <is>
          <t>A 39524-2023</t>
        </is>
      </c>
      <c r="B1408" s="1" t="n">
        <v>45167</v>
      </c>
      <c r="C1408" s="1" t="n">
        <v>45363</v>
      </c>
      <c r="D1408" t="inlineStr">
        <is>
          <t>JÄMTLANDS LÄN</t>
        </is>
      </c>
      <c r="E1408" t="inlineStr">
        <is>
          <t>HÄRJEDALEN</t>
        </is>
      </c>
      <c r="F1408" t="inlineStr">
        <is>
          <t>Bergvik skog väst AB</t>
        </is>
      </c>
      <c r="G1408" t="n">
        <v>4.1</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HYPERLINK("https://klasma.github.io/Logging_2361/artfynd/A 39524-2023 artfynd.xlsx", "A 39524-2023")</f>
        <v/>
      </c>
      <c r="T1408">
        <f>HYPERLINK("https://klasma.github.io/Logging_2361/kartor/A 39524-2023 karta.png", "A 39524-2023")</f>
        <v/>
      </c>
      <c r="V1408">
        <f>HYPERLINK("https://klasma.github.io/Logging_2361/klagomål/A 39524-2023 FSC-klagomål.docx", "A 39524-2023")</f>
        <v/>
      </c>
      <c r="W1408">
        <f>HYPERLINK("https://klasma.github.io/Logging_2361/klagomålsmail/A 39524-2023 FSC-klagomål mail.docx", "A 39524-2023")</f>
        <v/>
      </c>
      <c r="X1408">
        <f>HYPERLINK("https://klasma.github.io/Logging_2361/tillsyn/A 39524-2023 tillsynsbegäran.docx", "A 39524-2023")</f>
        <v/>
      </c>
      <c r="Y1408">
        <f>HYPERLINK("https://klasma.github.io/Logging_2361/tillsynsmail/A 39524-2023 tillsynsbegäran mail.docx", "A 39524-2023")</f>
        <v/>
      </c>
      <c r="Z1408">
        <f>HYPERLINK("https://klasma.github.io/Logging_2361/fåglar/A 39524-2023 prioriterade fågelarter.docx", "A 39524-2023")</f>
        <v/>
      </c>
    </row>
    <row r="1409" ht="15" customHeight="1">
      <c r="A1409" t="inlineStr">
        <is>
          <t>A 40100-2023</t>
        </is>
      </c>
      <c r="B1409" s="1" t="n">
        <v>45168</v>
      </c>
      <c r="C1409" s="1" t="n">
        <v>45363</v>
      </c>
      <c r="D1409" t="inlineStr">
        <is>
          <t>JÄMTLANDS LÄN</t>
        </is>
      </c>
      <c r="E1409" t="inlineStr">
        <is>
          <t>BRÄCKE</t>
        </is>
      </c>
      <c r="F1409" t="inlineStr">
        <is>
          <t>SCA</t>
        </is>
      </c>
      <c r="G1409" t="n">
        <v>2.2</v>
      </c>
      <c r="H1409" t="n">
        <v>1</v>
      </c>
      <c r="I1409" t="n">
        <v>0</v>
      </c>
      <c r="J1409" t="n">
        <v>0</v>
      </c>
      <c r="K1409" t="n">
        <v>1</v>
      </c>
      <c r="L1409" t="n">
        <v>0</v>
      </c>
      <c r="M1409" t="n">
        <v>0</v>
      </c>
      <c r="N1409" t="n">
        <v>0</v>
      </c>
      <c r="O1409" t="n">
        <v>1</v>
      </c>
      <c r="P1409" t="n">
        <v>1</v>
      </c>
      <c r="Q1409" t="n">
        <v>1</v>
      </c>
      <c r="R1409" s="2" t="inlineStr">
        <is>
          <t>Knärot</t>
        </is>
      </c>
      <c r="S1409">
        <f>HYPERLINK("https://klasma.github.io/Logging_2305/artfynd/A 40100-2023 artfynd.xlsx", "A 40100-2023")</f>
        <v/>
      </c>
      <c r="T1409">
        <f>HYPERLINK("https://klasma.github.io/Logging_2305/kartor/A 40100-2023 karta.png", "A 40100-2023")</f>
        <v/>
      </c>
      <c r="U1409">
        <f>HYPERLINK("https://klasma.github.io/Logging_2305/knärot/A 40100-2023 karta knärot.png", "A 40100-2023")</f>
        <v/>
      </c>
      <c r="V1409">
        <f>HYPERLINK("https://klasma.github.io/Logging_2305/klagomål/A 40100-2023 FSC-klagomål.docx", "A 40100-2023")</f>
        <v/>
      </c>
      <c r="W1409">
        <f>HYPERLINK("https://klasma.github.io/Logging_2305/klagomålsmail/A 40100-2023 FSC-klagomål mail.docx", "A 40100-2023")</f>
        <v/>
      </c>
      <c r="X1409">
        <f>HYPERLINK("https://klasma.github.io/Logging_2305/tillsyn/A 40100-2023 tillsynsbegäran.docx", "A 40100-2023")</f>
        <v/>
      </c>
      <c r="Y1409">
        <f>HYPERLINK("https://klasma.github.io/Logging_2305/tillsynsmail/A 40100-2023 tillsynsbegäran mail.docx", "A 40100-2023")</f>
        <v/>
      </c>
    </row>
    <row r="1410" ht="15" customHeight="1">
      <c r="A1410" t="inlineStr">
        <is>
          <t>A 40097-2023</t>
        </is>
      </c>
      <c r="B1410" s="1" t="n">
        <v>45168</v>
      </c>
      <c r="C1410" s="1" t="n">
        <v>45363</v>
      </c>
      <c r="D1410" t="inlineStr">
        <is>
          <t>JÄMTLANDS LÄN</t>
        </is>
      </c>
      <c r="E1410" t="inlineStr">
        <is>
          <t>BRÄCKE</t>
        </is>
      </c>
      <c r="F1410" t="inlineStr">
        <is>
          <t>SCA</t>
        </is>
      </c>
      <c r="G1410" t="n">
        <v>3.8</v>
      </c>
      <c r="H1410" t="n">
        <v>1</v>
      </c>
      <c r="I1410" t="n">
        <v>0</v>
      </c>
      <c r="J1410" t="n">
        <v>0</v>
      </c>
      <c r="K1410" t="n">
        <v>1</v>
      </c>
      <c r="L1410" t="n">
        <v>0</v>
      </c>
      <c r="M1410" t="n">
        <v>0</v>
      </c>
      <c r="N1410" t="n">
        <v>0</v>
      </c>
      <c r="O1410" t="n">
        <v>1</v>
      </c>
      <c r="P1410" t="n">
        <v>1</v>
      </c>
      <c r="Q1410" t="n">
        <v>1</v>
      </c>
      <c r="R1410" s="2" t="inlineStr">
        <is>
          <t>Knärot</t>
        </is>
      </c>
      <c r="S1410">
        <f>HYPERLINK("https://klasma.github.io/Logging_2305/artfynd/A 40097-2023 artfynd.xlsx", "A 40097-2023")</f>
        <v/>
      </c>
      <c r="T1410">
        <f>HYPERLINK("https://klasma.github.io/Logging_2305/kartor/A 40097-2023 karta.png", "A 40097-2023")</f>
        <v/>
      </c>
      <c r="U1410">
        <f>HYPERLINK("https://klasma.github.io/Logging_2305/knärot/A 40097-2023 karta knärot.png", "A 40097-2023")</f>
        <v/>
      </c>
      <c r="V1410">
        <f>HYPERLINK("https://klasma.github.io/Logging_2305/klagomål/A 40097-2023 FSC-klagomål.docx", "A 40097-2023")</f>
        <v/>
      </c>
      <c r="W1410">
        <f>HYPERLINK("https://klasma.github.io/Logging_2305/klagomålsmail/A 40097-2023 FSC-klagomål mail.docx", "A 40097-2023")</f>
        <v/>
      </c>
      <c r="X1410">
        <f>HYPERLINK("https://klasma.github.io/Logging_2305/tillsyn/A 40097-2023 tillsynsbegäran.docx", "A 40097-2023")</f>
        <v/>
      </c>
      <c r="Y1410">
        <f>HYPERLINK("https://klasma.github.io/Logging_2305/tillsynsmail/A 40097-2023 tillsynsbegäran mail.docx", "A 40097-2023")</f>
        <v/>
      </c>
    </row>
    <row r="1411" ht="15" customHeight="1">
      <c r="A1411" t="inlineStr">
        <is>
          <t>A 41405-2023</t>
        </is>
      </c>
      <c r="B1411" s="1" t="n">
        <v>45174</v>
      </c>
      <c r="C1411" s="1" t="n">
        <v>45363</v>
      </c>
      <c r="D1411" t="inlineStr">
        <is>
          <t>JÄMTLANDS LÄN</t>
        </is>
      </c>
      <c r="E1411" t="inlineStr">
        <is>
          <t>ÅRE</t>
        </is>
      </c>
      <c r="G1411" t="n">
        <v>4.1</v>
      </c>
      <c r="H1411" t="n">
        <v>0</v>
      </c>
      <c r="I1411" t="n">
        <v>1</v>
      </c>
      <c r="J1411" t="n">
        <v>0</v>
      </c>
      <c r="K1411" t="n">
        <v>0</v>
      </c>
      <c r="L1411" t="n">
        <v>0</v>
      </c>
      <c r="M1411" t="n">
        <v>0</v>
      </c>
      <c r="N1411" t="n">
        <v>0</v>
      </c>
      <c r="O1411" t="n">
        <v>0</v>
      </c>
      <c r="P1411" t="n">
        <v>0</v>
      </c>
      <c r="Q1411" t="n">
        <v>1</v>
      </c>
      <c r="R1411" s="2" t="inlineStr">
        <is>
          <t>Ögonpyrola</t>
        </is>
      </c>
      <c r="S1411">
        <f>HYPERLINK("https://klasma.github.io/Logging_2321/artfynd/A 41405-2023 artfynd.xlsx", "A 41405-2023")</f>
        <v/>
      </c>
      <c r="T1411">
        <f>HYPERLINK("https://klasma.github.io/Logging_2321/kartor/A 41405-2023 karta.png", "A 41405-2023")</f>
        <v/>
      </c>
      <c r="V1411">
        <f>HYPERLINK("https://klasma.github.io/Logging_2321/klagomål/A 41405-2023 FSC-klagomål.docx", "A 41405-2023")</f>
        <v/>
      </c>
      <c r="W1411">
        <f>HYPERLINK("https://klasma.github.io/Logging_2321/klagomålsmail/A 41405-2023 FSC-klagomål mail.docx", "A 41405-2023")</f>
        <v/>
      </c>
      <c r="X1411">
        <f>HYPERLINK("https://klasma.github.io/Logging_2321/tillsyn/A 41405-2023 tillsynsbegäran.docx", "A 41405-2023")</f>
        <v/>
      </c>
      <c r="Y1411">
        <f>HYPERLINK("https://klasma.github.io/Logging_2321/tillsynsmail/A 41405-2023 tillsynsbegäran mail.docx", "A 41405-2023")</f>
        <v/>
      </c>
    </row>
    <row r="1412" ht="15" customHeight="1">
      <c r="A1412" t="inlineStr">
        <is>
          <t>A 42156-2023</t>
        </is>
      </c>
      <c r="B1412" s="1" t="n">
        <v>45177</v>
      </c>
      <c r="C1412" s="1" t="n">
        <v>45363</v>
      </c>
      <c r="D1412" t="inlineStr">
        <is>
          <t>JÄMTLANDS LÄN</t>
        </is>
      </c>
      <c r="E1412" t="inlineStr">
        <is>
          <t>KROKOM</t>
        </is>
      </c>
      <c r="G1412" t="n">
        <v>1</v>
      </c>
      <c r="H1412" t="n">
        <v>0</v>
      </c>
      <c r="I1412" t="n">
        <v>0</v>
      </c>
      <c r="J1412" t="n">
        <v>1</v>
      </c>
      <c r="K1412" t="n">
        <v>0</v>
      </c>
      <c r="L1412" t="n">
        <v>0</v>
      </c>
      <c r="M1412" t="n">
        <v>0</v>
      </c>
      <c r="N1412" t="n">
        <v>0</v>
      </c>
      <c r="O1412" t="n">
        <v>1</v>
      </c>
      <c r="P1412" t="n">
        <v>0</v>
      </c>
      <c r="Q1412" t="n">
        <v>1</v>
      </c>
      <c r="R1412" s="2" t="inlineStr">
        <is>
          <t>Granticka</t>
        </is>
      </c>
      <c r="S1412">
        <f>HYPERLINK("https://klasma.github.io/Logging_2309/artfynd/A 42156-2023 artfynd.xlsx", "A 42156-2023")</f>
        <v/>
      </c>
      <c r="T1412">
        <f>HYPERLINK("https://klasma.github.io/Logging_2309/kartor/A 42156-2023 karta.png", "A 42156-2023")</f>
        <v/>
      </c>
      <c r="V1412">
        <f>HYPERLINK("https://klasma.github.io/Logging_2309/klagomål/A 42156-2023 FSC-klagomål.docx", "A 42156-2023")</f>
        <v/>
      </c>
      <c r="W1412">
        <f>HYPERLINK("https://klasma.github.io/Logging_2309/klagomålsmail/A 42156-2023 FSC-klagomål mail.docx", "A 42156-2023")</f>
        <v/>
      </c>
      <c r="X1412">
        <f>HYPERLINK("https://klasma.github.io/Logging_2309/tillsyn/A 42156-2023 tillsynsbegäran.docx", "A 42156-2023")</f>
        <v/>
      </c>
      <c r="Y1412">
        <f>HYPERLINK("https://klasma.github.io/Logging_2309/tillsynsmail/A 42156-2023 tillsynsbegäran mail.docx", "A 42156-2023")</f>
        <v/>
      </c>
    </row>
    <row r="1413" ht="15" customHeight="1">
      <c r="A1413" t="inlineStr">
        <is>
          <t>A 42258-2023</t>
        </is>
      </c>
      <c r="B1413" s="1" t="n">
        <v>45180</v>
      </c>
      <c r="C1413" s="1" t="n">
        <v>45363</v>
      </c>
      <c r="D1413" t="inlineStr">
        <is>
          <t>JÄMTLANDS LÄN</t>
        </is>
      </c>
      <c r="E1413" t="inlineStr">
        <is>
          <t>KROKOM</t>
        </is>
      </c>
      <c r="F1413" t="inlineStr">
        <is>
          <t>Övriga Aktiebolag</t>
        </is>
      </c>
      <c r="G1413" t="n">
        <v>0.2</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HYPERLINK("https://klasma.github.io/Logging_2309/artfynd/A 42258-2023 artfynd.xlsx", "A 42258-2023")</f>
        <v/>
      </c>
      <c r="T1413">
        <f>HYPERLINK("https://klasma.github.io/Logging_2309/kartor/A 42258-2023 karta.png", "A 42258-2023")</f>
        <v/>
      </c>
      <c r="V1413">
        <f>HYPERLINK("https://klasma.github.io/Logging_2309/klagomål/A 42258-2023 FSC-klagomål.docx", "A 42258-2023")</f>
        <v/>
      </c>
      <c r="W1413">
        <f>HYPERLINK("https://klasma.github.io/Logging_2309/klagomålsmail/A 42258-2023 FSC-klagomål mail.docx", "A 42258-2023")</f>
        <v/>
      </c>
      <c r="X1413">
        <f>HYPERLINK("https://klasma.github.io/Logging_2309/tillsyn/A 42258-2023 tillsynsbegäran.docx", "A 42258-2023")</f>
        <v/>
      </c>
      <c r="Y1413">
        <f>HYPERLINK("https://klasma.github.io/Logging_2309/tillsynsmail/A 42258-2023 tillsynsbegäran mail.docx", "A 42258-2023")</f>
        <v/>
      </c>
      <c r="Z1413">
        <f>HYPERLINK("https://klasma.github.io/Logging_2309/fåglar/A 42258-2023 prioriterade fågelarter.docx", "A 42258-2023")</f>
        <v/>
      </c>
    </row>
    <row r="1414" ht="15" customHeight="1">
      <c r="A1414" t="inlineStr">
        <is>
          <t>A 43105-2023</t>
        </is>
      </c>
      <c r="B1414" s="1" t="n">
        <v>45182</v>
      </c>
      <c r="C1414" s="1" t="n">
        <v>45363</v>
      </c>
      <c r="D1414" t="inlineStr">
        <is>
          <t>JÄMTLANDS LÄN</t>
        </is>
      </c>
      <c r="E1414" t="inlineStr">
        <is>
          <t>STRÖMSUND</t>
        </is>
      </c>
      <c r="F1414" t="inlineStr">
        <is>
          <t>SCA</t>
        </is>
      </c>
      <c r="G1414" t="n">
        <v>6.3</v>
      </c>
      <c r="H1414" t="n">
        <v>0</v>
      </c>
      <c r="I1414" t="n">
        <v>0</v>
      </c>
      <c r="J1414" t="n">
        <v>1</v>
      </c>
      <c r="K1414" t="n">
        <v>0</v>
      </c>
      <c r="L1414" t="n">
        <v>0</v>
      </c>
      <c r="M1414" t="n">
        <v>0</v>
      </c>
      <c r="N1414" t="n">
        <v>0</v>
      </c>
      <c r="O1414" t="n">
        <v>1</v>
      </c>
      <c r="P1414" t="n">
        <v>0</v>
      </c>
      <c r="Q1414" t="n">
        <v>1</v>
      </c>
      <c r="R1414" s="2" t="inlineStr">
        <is>
          <t>Gammelgransskål</t>
        </is>
      </c>
      <c r="S1414">
        <f>HYPERLINK("https://klasma.github.io/Logging_2313/artfynd/A 43105-2023 artfynd.xlsx", "A 43105-2023")</f>
        <v/>
      </c>
      <c r="T1414">
        <f>HYPERLINK("https://klasma.github.io/Logging_2313/kartor/A 43105-2023 karta.png", "A 43105-2023")</f>
        <v/>
      </c>
      <c r="V1414">
        <f>HYPERLINK("https://klasma.github.io/Logging_2313/klagomål/A 43105-2023 FSC-klagomål.docx", "A 43105-2023")</f>
        <v/>
      </c>
      <c r="W1414">
        <f>HYPERLINK("https://klasma.github.io/Logging_2313/klagomålsmail/A 43105-2023 FSC-klagomål mail.docx", "A 43105-2023")</f>
        <v/>
      </c>
      <c r="X1414">
        <f>HYPERLINK("https://klasma.github.io/Logging_2313/tillsyn/A 43105-2023 tillsynsbegäran.docx", "A 43105-2023")</f>
        <v/>
      </c>
      <c r="Y1414">
        <f>HYPERLINK("https://klasma.github.io/Logging_2313/tillsynsmail/A 43105-2023 tillsynsbegäran mail.docx", "A 43105-2023")</f>
        <v/>
      </c>
    </row>
    <row r="1415" ht="15" customHeight="1">
      <c r="A1415" t="inlineStr">
        <is>
          <t>A 43404-2023</t>
        </is>
      </c>
      <c r="B1415" s="1" t="n">
        <v>45183</v>
      </c>
      <c r="C1415" s="1" t="n">
        <v>45363</v>
      </c>
      <c r="D1415" t="inlineStr">
        <is>
          <t>JÄMTLANDS LÄN</t>
        </is>
      </c>
      <c r="E1415" t="inlineStr">
        <is>
          <t>RAGUNDA</t>
        </is>
      </c>
      <c r="F1415" t="inlineStr">
        <is>
          <t>SCA</t>
        </is>
      </c>
      <c r="G1415" t="n">
        <v>0.9</v>
      </c>
      <c r="H1415" t="n">
        <v>0</v>
      </c>
      <c r="I1415" t="n">
        <v>1</v>
      </c>
      <c r="J1415" t="n">
        <v>0</v>
      </c>
      <c r="K1415" t="n">
        <v>0</v>
      </c>
      <c r="L1415" t="n">
        <v>0</v>
      </c>
      <c r="M1415" t="n">
        <v>0</v>
      </c>
      <c r="N1415" t="n">
        <v>0</v>
      </c>
      <c r="O1415" t="n">
        <v>0</v>
      </c>
      <c r="P1415" t="n">
        <v>0</v>
      </c>
      <c r="Q1415" t="n">
        <v>1</v>
      </c>
      <c r="R1415" s="2" t="inlineStr">
        <is>
          <t>Kryddspindling</t>
        </is>
      </c>
      <c r="S1415">
        <f>HYPERLINK("https://klasma.github.io/Logging_2303/artfynd/A 43404-2023 artfynd.xlsx", "A 43404-2023")</f>
        <v/>
      </c>
      <c r="T1415">
        <f>HYPERLINK("https://klasma.github.io/Logging_2303/kartor/A 43404-2023 karta.png", "A 43404-2023")</f>
        <v/>
      </c>
      <c r="V1415">
        <f>HYPERLINK("https://klasma.github.io/Logging_2303/klagomål/A 43404-2023 FSC-klagomål.docx", "A 43404-2023")</f>
        <v/>
      </c>
      <c r="W1415">
        <f>HYPERLINK("https://klasma.github.io/Logging_2303/klagomålsmail/A 43404-2023 FSC-klagomål mail.docx", "A 43404-2023")</f>
        <v/>
      </c>
      <c r="X1415">
        <f>HYPERLINK("https://klasma.github.io/Logging_2303/tillsyn/A 43404-2023 tillsynsbegäran.docx", "A 43404-2023")</f>
        <v/>
      </c>
      <c r="Y1415">
        <f>HYPERLINK("https://klasma.github.io/Logging_2303/tillsynsmail/A 43404-2023 tillsynsbegäran mail.docx", "A 43404-2023")</f>
        <v/>
      </c>
    </row>
    <row r="1416" ht="15" customHeight="1">
      <c r="A1416" t="inlineStr">
        <is>
          <t>A 43406-2023</t>
        </is>
      </c>
      <c r="B1416" s="1" t="n">
        <v>45183</v>
      </c>
      <c r="C1416" s="1" t="n">
        <v>45363</v>
      </c>
      <c r="D1416" t="inlineStr">
        <is>
          <t>JÄMTLANDS LÄN</t>
        </is>
      </c>
      <c r="E1416" t="inlineStr">
        <is>
          <t>STRÖMSUND</t>
        </is>
      </c>
      <c r="F1416" t="inlineStr">
        <is>
          <t>SCA</t>
        </is>
      </c>
      <c r="G1416" t="n">
        <v>3.6</v>
      </c>
      <c r="H1416" t="n">
        <v>0</v>
      </c>
      <c r="I1416" t="n">
        <v>0</v>
      </c>
      <c r="J1416" t="n">
        <v>1</v>
      </c>
      <c r="K1416" t="n">
        <v>0</v>
      </c>
      <c r="L1416" t="n">
        <v>0</v>
      </c>
      <c r="M1416" t="n">
        <v>0</v>
      </c>
      <c r="N1416" t="n">
        <v>0</v>
      </c>
      <c r="O1416" t="n">
        <v>1</v>
      </c>
      <c r="P1416" t="n">
        <v>0</v>
      </c>
      <c r="Q1416" t="n">
        <v>1</v>
      </c>
      <c r="R1416" s="2" t="inlineStr">
        <is>
          <t>Lunglav</t>
        </is>
      </c>
      <c r="S1416">
        <f>HYPERLINK("https://klasma.github.io/Logging_2313/artfynd/A 43406-2023 artfynd.xlsx", "A 43406-2023")</f>
        <v/>
      </c>
      <c r="T1416">
        <f>HYPERLINK("https://klasma.github.io/Logging_2313/kartor/A 43406-2023 karta.png", "A 43406-2023")</f>
        <v/>
      </c>
      <c r="V1416">
        <f>HYPERLINK("https://klasma.github.io/Logging_2313/klagomål/A 43406-2023 FSC-klagomål.docx", "A 43406-2023")</f>
        <v/>
      </c>
      <c r="W1416">
        <f>HYPERLINK("https://klasma.github.io/Logging_2313/klagomålsmail/A 43406-2023 FSC-klagomål mail.docx", "A 43406-2023")</f>
        <v/>
      </c>
      <c r="X1416">
        <f>HYPERLINK("https://klasma.github.io/Logging_2313/tillsyn/A 43406-2023 tillsynsbegäran.docx", "A 43406-2023")</f>
        <v/>
      </c>
      <c r="Y1416">
        <f>HYPERLINK("https://klasma.github.io/Logging_2313/tillsynsmail/A 43406-2023 tillsynsbegäran mail.docx", "A 43406-2023")</f>
        <v/>
      </c>
    </row>
    <row r="1417" ht="15" customHeight="1">
      <c r="A1417" t="inlineStr">
        <is>
          <t>A 44323-2023</t>
        </is>
      </c>
      <c r="B1417" s="1" t="n">
        <v>45188</v>
      </c>
      <c r="C1417" s="1" t="n">
        <v>45363</v>
      </c>
      <c r="D1417" t="inlineStr">
        <is>
          <t>JÄMTLANDS LÄN</t>
        </is>
      </c>
      <c r="E1417" t="inlineStr">
        <is>
          <t>BRÄCKE</t>
        </is>
      </c>
      <c r="F1417" t="inlineStr">
        <is>
          <t>Sveaskog</t>
        </is>
      </c>
      <c r="G1417" t="n">
        <v>3.7</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44323-2023 artfynd.xlsx", "A 44323-2023")</f>
        <v/>
      </c>
      <c r="T1417">
        <f>HYPERLINK("https://klasma.github.io/Logging_2305/kartor/A 44323-2023 karta.png", "A 44323-2023")</f>
        <v/>
      </c>
      <c r="V1417">
        <f>HYPERLINK("https://klasma.github.io/Logging_2305/klagomål/A 44323-2023 FSC-klagomål.docx", "A 44323-2023")</f>
        <v/>
      </c>
      <c r="W1417">
        <f>HYPERLINK("https://klasma.github.io/Logging_2305/klagomålsmail/A 44323-2023 FSC-klagomål mail.docx", "A 44323-2023")</f>
        <v/>
      </c>
      <c r="X1417">
        <f>HYPERLINK("https://klasma.github.io/Logging_2305/tillsyn/A 44323-2023 tillsynsbegäran.docx", "A 44323-2023")</f>
        <v/>
      </c>
      <c r="Y1417">
        <f>HYPERLINK("https://klasma.github.io/Logging_2305/tillsynsmail/A 44323-2023 tillsynsbegäran mail.docx", "A 44323-2023")</f>
        <v/>
      </c>
    </row>
    <row r="1418" ht="15" customHeight="1">
      <c r="A1418" t="inlineStr">
        <is>
          <t>A 44386-2023</t>
        </is>
      </c>
      <c r="B1418" s="1" t="n">
        <v>45188</v>
      </c>
      <c r="C1418" s="1" t="n">
        <v>45363</v>
      </c>
      <c r="D1418" t="inlineStr">
        <is>
          <t>JÄMTLANDS LÄN</t>
        </is>
      </c>
      <c r="E1418" t="inlineStr">
        <is>
          <t>STRÖMSUND</t>
        </is>
      </c>
      <c r="F1418" t="inlineStr">
        <is>
          <t>SCA</t>
        </is>
      </c>
      <c r="G1418" t="n">
        <v>2.5</v>
      </c>
      <c r="H1418" t="n">
        <v>0</v>
      </c>
      <c r="I1418" t="n">
        <v>0</v>
      </c>
      <c r="J1418" t="n">
        <v>1</v>
      </c>
      <c r="K1418" t="n">
        <v>0</v>
      </c>
      <c r="L1418" t="n">
        <v>0</v>
      </c>
      <c r="M1418" t="n">
        <v>0</v>
      </c>
      <c r="N1418" t="n">
        <v>0</v>
      </c>
      <c r="O1418" t="n">
        <v>1</v>
      </c>
      <c r="P1418" t="n">
        <v>0</v>
      </c>
      <c r="Q1418" t="n">
        <v>1</v>
      </c>
      <c r="R1418" s="2" t="inlineStr">
        <is>
          <t>Stjärntagging</t>
        </is>
      </c>
      <c r="S1418">
        <f>HYPERLINK("https://klasma.github.io/Logging_2313/artfynd/A 44386-2023 artfynd.xlsx", "A 44386-2023")</f>
        <v/>
      </c>
      <c r="T1418">
        <f>HYPERLINK("https://klasma.github.io/Logging_2313/kartor/A 44386-2023 karta.png", "A 44386-2023")</f>
        <v/>
      </c>
      <c r="V1418">
        <f>HYPERLINK("https://klasma.github.io/Logging_2313/klagomål/A 44386-2023 FSC-klagomål.docx", "A 44386-2023")</f>
        <v/>
      </c>
      <c r="W1418">
        <f>HYPERLINK("https://klasma.github.io/Logging_2313/klagomålsmail/A 44386-2023 FSC-klagomål mail.docx", "A 44386-2023")</f>
        <v/>
      </c>
      <c r="X1418">
        <f>HYPERLINK("https://klasma.github.io/Logging_2313/tillsyn/A 44386-2023 tillsynsbegäran.docx", "A 44386-2023")</f>
        <v/>
      </c>
      <c r="Y1418">
        <f>HYPERLINK("https://klasma.github.io/Logging_2313/tillsynsmail/A 44386-2023 tillsynsbegäran mail.docx", "A 44386-2023")</f>
        <v/>
      </c>
    </row>
    <row r="1419" ht="15" customHeight="1">
      <c r="A1419" t="inlineStr">
        <is>
          <t>A 45011-2023</t>
        </is>
      </c>
      <c r="B1419" s="1" t="n">
        <v>45190</v>
      </c>
      <c r="C1419" s="1" t="n">
        <v>45363</v>
      </c>
      <c r="D1419" t="inlineStr">
        <is>
          <t>JÄMTLANDS LÄN</t>
        </is>
      </c>
      <c r="E1419" t="inlineStr">
        <is>
          <t>BRÄCKE</t>
        </is>
      </c>
      <c r="F1419" t="inlineStr">
        <is>
          <t>SCA</t>
        </is>
      </c>
      <c r="G1419" t="n">
        <v>1.4</v>
      </c>
      <c r="H1419" t="n">
        <v>0</v>
      </c>
      <c r="I1419" t="n">
        <v>0</v>
      </c>
      <c r="J1419" t="n">
        <v>1</v>
      </c>
      <c r="K1419" t="n">
        <v>0</v>
      </c>
      <c r="L1419" t="n">
        <v>0</v>
      </c>
      <c r="M1419" t="n">
        <v>0</v>
      </c>
      <c r="N1419" t="n">
        <v>0</v>
      </c>
      <c r="O1419" t="n">
        <v>1</v>
      </c>
      <c r="P1419" t="n">
        <v>0</v>
      </c>
      <c r="Q1419" t="n">
        <v>1</v>
      </c>
      <c r="R1419" s="2" t="inlineStr">
        <is>
          <t>Veckticka</t>
        </is>
      </c>
      <c r="S1419">
        <f>HYPERLINK("https://klasma.github.io/Logging_2305/artfynd/A 45011-2023 artfynd.xlsx", "A 45011-2023")</f>
        <v/>
      </c>
      <c r="T1419">
        <f>HYPERLINK("https://klasma.github.io/Logging_2305/kartor/A 45011-2023 karta.png", "A 45011-2023")</f>
        <v/>
      </c>
      <c r="V1419">
        <f>HYPERLINK("https://klasma.github.io/Logging_2305/klagomål/A 45011-2023 FSC-klagomål.docx", "A 45011-2023")</f>
        <v/>
      </c>
      <c r="W1419">
        <f>HYPERLINK("https://klasma.github.io/Logging_2305/klagomålsmail/A 45011-2023 FSC-klagomål mail.docx", "A 45011-2023")</f>
        <v/>
      </c>
      <c r="X1419">
        <f>HYPERLINK("https://klasma.github.io/Logging_2305/tillsyn/A 45011-2023 tillsynsbegäran.docx", "A 45011-2023")</f>
        <v/>
      </c>
      <c r="Y1419">
        <f>HYPERLINK("https://klasma.github.io/Logging_2305/tillsynsmail/A 45011-2023 tillsynsbegäran mail.docx", "A 45011-2023")</f>
        <v/>
      </c>
    </row>
    <row r="1420" ht="15" customHeight="1">
      <c r="A1420" t="inlineStr">
        <is>
          <t>A 47338-2023</t>
        </is>
      </c>
      <c r="B1420" s="1" t="n">
        <v>45196</v>
      </c>
      <c r="C1420" s="1" t="n">
        <v>45363</v>
      </c>
      <c r="D1420" t="inlineStr">
        <is>
          <t>JÄMTLANDS LÄN</t>
        </is>
      </c>
      <c r="E1420" t="inlineStr">
        <is>
          <t>KROKOM</t>
        </is>
      </c>
      <c r="G1420" t="n">
        <v>13</v>
      </c>
      <c r="H1420" t="n">
        <v>0</v>
      </c>
      <c r="I1420" t="n">
        <v>1</v>
      </c>
      <c r="J1420" t="n">
        <v>0</v>
      </c>
      <c r="K1420" t="n">
        <v>0</v>
      </c>
      <c r="L1420" t="n">
        <v>0</v>
      </c>
      <c r="M1420" t="n">
        <v>0</v>
      </c>
      <c r="N1420" t="n">
        <v>0</v>
      </c>
      <c r="O1420" t="n">
        <v>0</v>
      </c>
      <c r="P1420" t="n">
        <v>0</v>
      </c>
      <c r="Q1420" t="n">
        <v>1</v>
      </c>
      <c r="R1420" s="2" t="inlineStr">
        <is>
          <t>Skinnlav</t>
        </is>
      </c>
      <c r="S1420">
        <f>HYPERLINK("https://klasma.github.io/Logging_2309/artfynd/A 47338-2023 artfynd.xlsx", "A 47338-2023")</f>
        <v/>
      </c>
      <c r="T1420">
        <f>HYPERLINK("https://klasma.github.io/Logging_2309/kartor/A 47338-2023 karta.png", "A 47338-2023")</f>
        <v/>
      </c>
      <c r="V1420">
        <f>HYPERLINK("https://klasma.github.io/Logging_2309/klagomål/A 47338-2023 FSC-klagomål.docx", "A 47338-2023")</f>
        <v/>
      </c>
      <c r="W1420">
        <f>HYPERLINK("https://klasma.github.io/Logging_2309/klagomålsmail/A 47338-2023 FSC-klagomål mail.docx", "A 47338-2023")</f>
        <v/>
      </c>
      <c r="X1420">
        <f>HYPERLINK("https://klasma.github.io/Logging_2309/tillsyn/A 47338-2023 tillsynsbegäran.docx", "A 47338-2023")</f>
        <v/>
      </c>
      <c r="Y1420">
        <f>HYPERLINK("https://klasma.github.io/Logging_2309/tillsynsmail/A 47338-2023 tillsynsbegäran mail.docx", "A 47338-2023")</f>
        <v/>
      </c>
    </row>
    <row r="1421" ht="15" customHeight="1">
      <c r="A1421" t="inlineStr">
        <is>
          <t>A 46766-2023</t>
        </is>
      </c>
      <c r="B1421" s="1" t="n">
        <v>45198</v>
      </c>
      <c r="C1421" s="1" t="n">
        <v>45363</v>
      </c>
      <c r="D1421" t="inlineStr">
        <is>
          <t>JÄMTLANDS LÄN</t>
        </is>
      </c>
      <c r="E1421" t="inlineStr">
        <is>
          <t>STRÖMSUND</t>
        </is>
      </c>
      <c r="F1421" t="inlineStr">
        <is>
          <t>Sveaskog</t>
        </is>
      </c>
      <c r="G1421" t="n">
        <v>7.3</v>
      </c>
      <c r="H1421" t="n">
        <v>0</v>
      </c>
      <c r="I1421" t="n">
        <v>1</v>
      </c>
      <c r="J1421" t="n">
        <v>0</v>
      </c>
      <c r="K1421" t="n">
        <v>0</v>
      </c>
      <c r="L1421" t="n">
        <v>0</v>
      </c>
      <c r="M1421" t="n">
        <v>0</v>
      </c>
      <c r="N1421" t="n">
        <v>0</v>
      </c>
      <c r="O1421" t="n">
        <v>0</v>
      </c>
      <c r="P1421" t="n">
        <v>0</v>
      </c>
      <c r="Q1421" t="n">
        <v>1</v>
      </c>
      <c r="R1421" s="2" t="inlineStr">
        <is>
          <t>Svavelriska</t>
        </is>
      </c>
      <c r="S1421">
        <f>HYPERLINK("https://klasma.github.io/Logging_2313/artfynd/A 46766-2023 artfynd.xlsx", "A 46766-2023")</f>
        <v/>
      </c>
      <c r="T1421">
        <f>HYPERLINK("https://klasma.github.io/Logging_2313/kartor/A 46766-2023 karta.png", "A 46766-2023")</f>
        <v/>
      </c>
      <c r="V1421">
        <f>HYPERLINK("https://klasma.github.io/Logging_2313/klagomål/A 46766-2023 FSC-klagomål.docx", "A 46766-2023")</f>
        <v/>
      </c>
      <c r="W1421">
        <f>HYPERLINK("https://klasma.github.io/Logging_2313/klagomålsmail/A 46766-2023 FSC-klagomål mail.docx", "A 46766-2023")</f>
        <v/>
      </c>
      <c r="X1421">
        <f>HYPERLINK("https://klasma.github.io/Logging_2313/tillsyn/A 46766-2023 tillsynsbegäran.docx", "A 46766-2023")</f>
        <v/>
      </c>
      <c r="Y1421">
        <f>HYPERLINK("https://klasma.github.io/Logging_2313/tillsynsmail/A 46766-2023 tillsynsbegäran mail.docx", "A 46766-2023")</f>
        <v/>
      </c>
    </row>
    <row r="1422" ht="15" customHeight="1">
      <c r="A1422" t="inlineStr">
        <is>
          <t>A 46814-2023</t>
        </is>
      </c>
      <c r="B1422" s="1" t="n">
        <v>45198</v>
      </c>
      <c r="C1422" s="1" t="n">
        <v>45363</v>
      </c>
      <c r="D1422" t="inlineStr">
        <is>
          <t>JÄMTLANDS LÄN</t>
        </is>
      </c>
      <c r="E1422" t="inlineStr">
        <is>
          <t>STRÖMSUND</t>
        </is>
      </c>
      <c r="F1422" t="inlineStr">
        <is>
          <t>SCA</t>
        </is>
      </c>
      <c r="G1422" t="n">
        <v>9.5</v>
      </c>
      <c r="H1422" t="n">
        <v>0</v>
      </c>
      <c r="I1422" t="n">
        <v>0</v>
      </c>
      <c r="J1422" t="n">
        <v>0</v>
      </c>
      <c r="K1422" t="n">
        <v>0</v>
      </c>
      <c r="L1422" t="n">
        <v>0</v>
      </c>
      <c r="M1422" t="n">
        <v>0</v>
      </c>
      <c r="N1422" t="n">
        <v>0</v>
      </c>
      <c r="O1422" t="n">
        <v>1</v>
      </c>
      <c r="P1422" t="n">
        <v>0</v>
      </c>
      <c r="Q1422" t="n">
        <v>1</v>
      </c>
      <c r="R1422" s="2" t="inlineStr">
        <is>
          <t>Liten klubbdyna</t>
        </is>
      </c>
      <c r="S1422">
        <f>HYPERLINK("https://klasma.github.io/Logging_2313/artfynd/A 46814-2023 artfynd.xlsx", "A 46814-2023")</f>
        <v/>
      </c>
      <c r="T1422">
        <f>HYPERLINK("https://klasma.github.io/Logging_2313/kartor/A 46814-2023 karta.png", "A 46814-2023")</f>
        <v/>
      </c>
      <c r="V1422">
        <f>HYPERLINK("https://klasma.github.io/Logging_2313/klagomål/A 46814-2023 FSC-klagomål.docx", "A 46814-2023")</f>
        <v/>
      </c>
      <c r="W1422">
        <f>HYPERLINK("https://klasma.github.io/Logging_2313/klagomålsmail/A 46814-2023 FSC-klagomål mail.docx", "A 46814-2023")</f>
        <v/>
      </c>
      <c r="X1422">
        <f>HYPERLINK("https://klasma.github.io/Logging_2313/tillsyn/A 46814-2023 tillsynsbegäran.docx", "A 46814-2023")</f>
        <v/>
      </c>
      <c r="Y1422">
        <f>HYPERLINK("https://klasma.github.io/Logging_2313/tillsynsmail/A 46814-2023 tillsynsbegäran mail.docx", "A 46814-2023")</f>
        <v/>
      </c>
    </row>
    <row r="1423" ht="15" customHeight="1">
      <c r="A1423" t="inlineStr">
        <is>
          <t>A 48429-2023</t>
        </is>
      </c>
      <c r="B1423" s="1" t="n">
        <v>45205</v>
      </c>
      <c r="C1423" s="1" t="n">
        <v>45363</v>
      </c>
      <c r="D1423" t="inlineStr">
        <is>
          <t>JÄMTLANDS LÄN</t>
        </is>
      </c>
      <c r="E1423" t="inlineStr">
        <is>
          <t>RAGUNDA</t>
        </is>
      </c>
      <c r="F1423" t="inlineStr">
        <is>
          <t>SCA</t>
        </is>
      </c>
      <c r="G1423" t="n">
        <v>1.8</v>
      </c>
      <c r="H1423" t="n">
        <v>0</v>
      </c>
      <c r="I1423" t="n">
        <v>1</v>
      </c>
      <c r="J1423" t="n">
        <v>0</v>
      </c>
      <c r="K1423" t="n">
        <v>0</v>
      </c>
      <c r="L1423" t="n">
        <v>0</v>
      </c>
      <c r="M1423" t="n">
        <v>0</v>
      </c>
      <c r="N1423" t="n">
        <v>0</v>
      </c>
      <c r="O1423" t="n">
        <v>0</v>
      </c>
      <c r="P1423" t="n">
        <v>0</v>
      </c>
      <c r="Q1423" t="n">
        <v>1</v>
      </c>
      <c r="R1423" s="2" t="inlineStr">
        <is>
          <t>Dropptaggsvamp</t>
        </is>
      </c>
      <c r="S1423">
        <f>HYPERLINK("https://klasma.github.io/Logging_2303/artfynd/A 48429-2023 artfynd.xlsx", "A 48429-2023")</f>
        <v/>
      </c>
      <c r="T1423">
        <f>HYPERLINK("https://klasma.github.io/Logging_2303/kartor/A 48429-2023 karta.png", "A 48429-2023")</f>
        <v/>
      </c>
      <c r="V1423">
        <f>HYPERLINK("https://klasma.github.io/Logging_2303/klagomål/A 48429-2023 FSC-klagomål.docx", "A 48429-2023")</f>
        <v/>
      </c>
      <c r="W1423">
        <f>HYPERLINK("https://klasma.github.io/Logging_2303/klagomålsmail/A 48429-2023 FSC-klagomål mail.docx", "A 48429-2023")</f>
        <v/>
      </c>
      <c r="X1423">
        <f>HYPERLINK("https://klasma.github.io/Logging_2303/tillsyn/A 48429-2023 tillsynsbegäran.docx", "A 48429-2023")</f>
        <v/>
      </c>
      <c r="Y1423">
        <f>HYPERLINK("https://klasma.github.io/Logging_2303/tillsynsmail/A 48429-2023 tillsynsbegäran mail.docx", "A 48429-2023")</f>
        <v/>
      </c>
    </row>
    <row r="1424" ht="15" customHeight="1">
      <c r="A1424" t="inlineStr">
        <is>
          <t>A 48477-2023</t>
        </is>
      </c>
      <c r="B1424" s="1" t="n">
        <v>45206</v>
      </c>
      <c r="C1424" s="1" t="n">
        <v>45363</v>
      </c>
      <c r="D1424" t="inlineStr">
        <is>
          <t>JÄMTLANDS LÄN</t>
        </is>
      </c>
      <c r="E1424" t="inlineStr">
        <is>
          <t>RAGUNDA</t>
        </is>
      </c>
      <c r="F1424" t="inlineStr">
        <is>
          <t>SCA</t>
        </is>
      </c>
      <c r="G1424" t="n">
        <v>1.8</v>
      </c>
      <c r="H1424" t="n">
        <v>0</v>
      </c>
      <c r="I1424" t="n">
        <v>1</v>
      </c>
      <c r="J1424" t="n">
        <v>0</v>
      </c>
      <c r="K1424" t="n">
        <v>0</v>
      </c>
      <c r="L1424" t="n">
        <v>0</v>
      </c>
      <c r="M1424" t="n">
        <v>0</v>
      </c>
      <c r="N1424" t="n">
        <v>0</v>
      </c>
      <c r="O1424" t="n">
        <v>0</v>
      </c>
      <c r="P1424" t="n">
        <v>0</v>
      </c>
      <c r="Q1424" t="n">
        <v>1</v>
      </c>
      <c r="R1424" s="2" t="inlineStr">
        <is>
          <t>Dropptaggsvamp</t>
        </is>
      </c>
      <c r="S1424">
        <f>HYPERLINK("https://klasma.github.io/Logging_2303/artfynd/A 48477-2023 artfynd.xlsx", "A 48477-2023")</f>
        <v/>
      </c>
      <c r="T1424">
        <f>HYPERLINK("https://klasma.github.io/Logging_2303/kartor/A 48477-2023 karta.png", "A 48477-2023")</f>
        <v/>
      </c>
      <c r="V1424">
        <f>HYPERLINK("https://klasma.github.io/Logging_2303/klagomål/A 48477-2023 FSC-klagomål.docx", "A 48477-2023")</f>
        <v/>
      </c>
      <c r="W1424">
        <f>HYPERLINK("https://klasma.github.io/Logging_2303/klagomålsmail/A 48477-2023 FSC-klagomål mail.docx", "A 48477-2023")</f>
        <v/>
      </c>
      <c r="X1424">
        <f>HYPERLINK("https://klasma.github.io/Logging_2303/tillsyn/A 48477-2023 tillsynsbegäran.docx", "A 48477-2023")</f>
        <v/>
      </c>
      <c r="Y1424">
        <f>HYPERLINK("https://klasma.github.io/Logging_2303/tillsynsmail/A 48477-2023 tillsynsbegäran mail.docx", "A 48477-2023")</f>
        <v/>
      </c>
    </row>
    <row r="1425" ht="15" customHeight="1">
      <c r="A1425" t="inlineStr">
        <is>
          <t>A 50164-2023</t>
        </is>
      </c>
      <c r="B1425" s="1" t="n">
        <v>45208</v>
      </c>
      <c r="C1425" s="1" t="n">
        <v>45363</v>
      </c>
      <c r="D1425" t="inlineStr">
        <is>
          <t>JÄMTLANDS LÄN</t>
        </is>
      </c>
      <c r="E1425" t="inlineStr">
        <is>
          <t>RAGUNDA</t>
        </is>
      </c>
      <c r="G1425" t="n">
        <v>2.9</v>
      </c>
      <c r="H1425" t="n">
        <v>0</v>
      </c>
      <c r="I1425" t="n">
        <v>0</v>
      </c>
      <c r="J1425" t="n">
        <v>0</v>
      </c>
      <c r="K1425" t="n">
        <v>1</v>
      </c>
      <c r="L1425" t="n">
        <v>0</v>
      </c>
      <c r="M1425" t="n">
        <v>0</v>
      </c>
      <c r="N1425" t="n">
        <v>0</v>
      </c>
      <c r="O1425" t="n">
        <v>1</v>
      </c>
      <c r="P1425" t="n">
        <v>1</v>
      </c>
      <c r="Q1425" t="n">
        <v>1</v>
      </c>
      <c r="R1425" s="2" t="inlineStr">
        <is>
          <t>Mindre barkplattbagge</t>
        </is>
      </c>
      <c r="S1425">
        <f>HYPERLINK("https://klasma.github.io/Logging_2303/artfynd/A 50164-2023 artfynd.xlsx", "A 50164-2023")</f>
        <v/>
      </c>
      <c r="T1425">
        <f>HYPERLINK("https://klasma.github.io/Logging_2303/kartor/A 50164-2023 karta.png", "A 50164-2023")</f>
        <v/>
      </c>
      <c r="V1425">
        <f>HYPERLINK("https://klasma.github.io/Logging_2303/klagomål/A 50164-2023 FSC-klagomål.docx", "A 50164-2023")</f>
        <v/>
      </c>
      <c r="W1425">
        <f>HYPERLINK("https://klasma.github.io/Logging_2303/klagomålsmail/A 50164-2023 FSC-klagomål mail.docx", "A 50164-2023")</f>
        <v/>
      </c>
      <c r="X1425">
        <f>HYPERLINK("https://klasma.github.io/Logging_2303/tillsyn/A 50164-2023 tillsynsbegäran.docx", "A 50164-2023")</f>
        <v/>
      </c>
      <c r="Y1425">
        <f>HYPERLINK("https://klasma.github.io/Logging_2303/tillsynsmail/A 50164-2023 tillsynsbegäran mail.docx", "A 50164-2023")</f>
        <v/>
      </c>
    </row>
    <row r="1426" ht="15" customHeight="1">
      <c r="A1426" t="inlineStr">
        <is>
          <t>A 49040-2023</t>
        </is>
      </c>
      <c r="B1426" s="1" t="n">
        <v>45209</v>
      </c>
      <c r="C1426" s="1" t="n">
        <v>45363</v>
      </c>
      <c r="D1426" t="inlineStr">
        <is>
          <t>JÄMTLANDS LÄN</t>
        </is>
      </c>
      <c r="E1426" t="inlineStr">
        <is>
          <t>BRÄCKE</t>
        </is>
      </c>
      <c r="F1426" t="inlineStr">
        <is>
          <t>SCA</t>
        </is>
      </c>
      <c r="G1426" t="n">
        <v>4.2</v>
      </c>
      <c r="H1426" t="n">
        <v>0</v>
      </c>
      <c r="I1426" t="n">
        <v>0</v>
      </c>
      <c r="J1426" t="n">
        <v>1</v>
      </c>
      <c r="K1426" t="n">
        <v>0</v>
      </c>
      <c r="L1426" t="n">
        <v>0</v>
      </c>
      <c r="M1426" t="n">
        <v>0</v>
      </c>
      <c r="N1426" t="n">
        <v>0</v>
      </c>
      <c r="O1426" t="n">
        <v>1</v>
      </c>
      <c r="P1426" t="n">
        <v>0</v>
      </c>
      <c r="Q1426" t="n">
        <v>1</v>
      </c>
      <c r="R1426" s="2" t="inlineStr">
        <is>
          <t>Lunglav</t>
        </is>
      </c>
      <c r="S1426">
        <f>HYPERLINK("https://klasma.github.io/Logging_2305/artfynd/A 49040-2023 artfynd.xlsx", "A 49040-2023")</f>
        <v/>
      </c>
      <c r="T1426">
        <f>HYPERLINK("https://klasma.github.io/Logging_2305/kartor/A 49040-2023 karta.png", "A 49040-2023")</f>
        <v/>
      </c>
      <c r="V1426">
        <f>HYPERLINK("https://klasma.github.io/Logging_2305/klagomål/A 49040-2023 FSC-klagomål.docx", "A 49040-2023")</f>
        <v/>
      </c>
      <c r="W1426">
        <f>HYPERLINK("https://klasma.github.io/Logging_2305/klagomålsmail/A 49040-2023 FSC-klagomål mail.docx", "A 49040-2023")</f>
        <v/>
      </c>
      <c r="X1426">
        <f>HYPERLINK("https://klasma.github.io/Logging_2305/tillsyn/A 49040-2023 tillsynsbegäran.docx", "A 49040-2023")</f>
        <v/>
      </c>
      <c r="Y1426">
        <f>HYPERLINK("https://klasma.github.io/Logging_2305/tillsynsmail/A 49040-2023 tillsynsbegäran mail.docx", "A 49040-2023")</f>
        <v/>
      </c>
    </row>
    <row r="1427" ht="15" customHeight="1">
      <c r="A1427" t="inlineStr">
        <is>
          <t>A 49325-2023</t>
        </is>
      </c>
      <c r="B1427" s="1" t="n">
        <v>45210</v>
      </c>
      <c r="C1427" s="1" t="n">
        <v>45363</v>
      </c>
      <c r="D1427" t="inlineStr">
        <is>
          <t>JÄMTLANDS LÄN</t>
        </is>
      </c>
      <c r="E1427" t="inlineStr">
        <is>
          <t>BRÄCKE</t>
        </is>
      </c>
      <c r="F1427" t="inlineStr">
        <is>
          <t>SCA</t>
        </is>
      </c>
      <c r="G1427" t="n">
        <v>7</v>
      </c>
      <c r="H1427" t="n">
        <v>1</v>
      </c>
      <c r="I1427" t="n">
        <v>0</v>
      </c>
      <c r="J1427" t="n">
        <v>0</v>
      </c>
      <c r="K1427" t="n">
        <v>1</v>
      </c>
      <c r="L1427" t="n">
        <v>0</v>
      </c>
      <c r="M1427" t="n">
        <v>0</v>
      </c>
      <c r="N1427" t="n">
        <v>0</v>
      </c>
      <c r="O1427" t="n">
        <v>1</v>
      </c>
      <c r="P1427" t="n">
        <v>1</v>
      </c>
      <c r="Q1427" t="n">
        <v>1</v>
      </c>
      <c r="R1427" s="2" t="inlineStr">
        <is>
          <t>Doftticka</t>
        </is>
      </c>
      <c r="S1427">
        <f>HYPERLINK("https://klasma.github.io/Logging_2305/artfynd/A 49325-2023 artfynd.xlsx", "A 49325-2023")</f>
        <v/>
      </c>
      <c r="T1427">
        <f>HYPERLINK("https://klasma.github.io/Logging_2305/kartor/A 49325-2023 karta.png", "A 49325-2023")</f>
        <v/>
      </c>
      <c r="V1427">
        <f>HYPERLINK("https://klasma.github.io/Logging_2305/klagomål/A 49325-2023 FSC-klagomål.docx", "A 49325-2023")</f>
        <v/>
      </c>
      <c r="W1427">
        <f>HYPERLINK("https://klasma.github.io/Logging_2305/klagomålsmail/A 49325-2023 FSC-klagomål mail.docx", "A 49325-2023")</f>
        <v/>
      </c>
      <c r="X1427">
        <f>HYPERLINK("https://klasma.github.io/Logging_2305/tillsyn/A 49325-2023 tillsynsbegäran.docx", "A 49325-2023")</f>
        <v/>
      </c>
      <c r="Y1427">
        <f>HYPERLINK("https://klasma.github.io/Logging_2305/tillsynsmail/A 49325-2023 tillsynsbegäran mail.docx", "A 49325-2023")</f>
        <v/>
      </c>
    </row>
    <row r="1428" ht="15" customHeight="1">
      <c r="A1428" t="inlineStr">
        <is>
          <t>A 50543-2023</t>
        </is>
      </c>
      <c r="B1428" s="1" t="n">
        <v>45210</v>
      </c>
      <c r="C1428" s="1" t="n">
        <v>45363</v>
      </c>
      <c r="D1428" t="inlineStr">
        <is>
          <t>JÄMTLANDS LÄN</t>
        </is>
      </c>
      <c r="E1428" t="inlineStr">
        <is>
          <t>BERG</t>
        </is>
      </c>
      <c r="F1428" t="inlineStr">
        <is>
          <t>Övriga statliga verk och myndigheter</t>
        </is>
      </c>
      <c r="G1428" t="n">
        <v>9.699999999999999</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HYPERLINK("https://klasma.github.io/Logging_2326/artfynd/A 50543-2023 artfynd.xlsx", "A 50543-2023")</f>
        <v/>
      </c>
      <c r="T1428">
        <f>HYPERLINK("https://klasma.github.io/Logging_2326/kartor/A 50543-2023 karta.png", "A 50543-2023")</f>
        <v/>
      </c>
      <c r="V1428">
        <f>HYPERLINK("https://klasma.github.io/Logging_2326/klagomål/A 50543-2023 FSC-klagomål.docx", "A 50543-2023")</f>
        <v/>
      </c>
      <c r="W1428">
        <f>HYPERLINK("https://klasma.github.io/Logging_2326/klagomålsmail/A 50543-2023 FSC-klagomål mail.docx", "A 50543-2023")</f>
        <v/>
      </c>
      <c r="X1428">
        <f>HYPERLINK("https://klasma.github.io/Logging_2326/tillsyn/A 50543-2023 tillsynsbegäran.docx", "A 50543-2023")</f>
        <v/>
      </c>
      <c r="Y1428">
        <f>HYPERLINK("https://klasma.github.io/Logging_2326/tillsynsmail/A 50543-2023 tillsynsbegäran mail.docx", "A 50543-2023")</f>
        <v/>
      </c>
      <c r="Z1428">
        <f>HYPERLINK("https://klasma.github.io/Logging_2326/fåglar/A 50543-2023 prioriterade fågelarter.docx", "A 50543-2023")</f>
        <v/>
      </c>
    </row>
    <row r="1429" ht="15" customHeight="1">
      <c r="A1429" t="inlineStr">
        <is>
          <t>A 50765-2023</t>
        </is>
      </c>
      <c r="B1429" s="1" t="n">
        <v>45210</v>
      </c>
      <c r="C1429" s="1" t="n">
        <v>45363</v>
      </c>
      <c r="D1429" t="inlineStr">
        <is>
          <t>JÄMTLANDS LÄN</t>
        </is>
      </c>
      <c r="E1429" t="inlineStr">
        <is>
          <t>BERG</t>
        </is>
      </c>
      <c r="G1429" t="n">
        <v>9.4</v>
      </c>
      <c r="H1429" t="n">
        <v>0</v>
      </c>
      <c r="I1429" t="n">
        <v>0</v>
      </c>
      <c r="J1429" t="n">
        <v>1</v>
      </c>
      <c r="K1429" t="n">
        <v>0</v>
      </c>
      <c r="L1429" t="n">
        <v>0</v>
      </c>
      <c r="M1429" t="n">
        <v>0</v>
      </c>
      <c r="N1429" t="n">
        <v>0</v>
      </c>
      <c r="O1429" t="n">
        <v>1</v>
      </c>
      <c r="P1429" t="n">
        <v>0</v>
      </c>
      <c r="Q1429" t="n">
        <v>1</v>
      </c>
      <c r="R1429" s="2" t="inlineStr">
        <is>
          <t>Äggvaxskivling</t>
        </is>
      </c>
      <c r="S1429">
        <f>HYPERLINK("https://klasma.github.io/Logging_2326/artfynd/A 50765-2023 artfynd.xlsx", "A 50765-2023")</f>
        <v/>
      </c>
      <c r="T1429">
        <f>HYPERLINK("https://klasma.github.io/Logging_2326/kartor/A 50765-2023 karta.png", "A 50765-2023")</f>
        <v/>
      </c>
      <c r="V1429">
        <f>HYPERLINK("https://klasma.github.io/Logging_2326/klagomål/A 50765-2023 FSC-klagomål.docx", "A 50765-2023")</f>
        <v/>
      </c>
      <c r="W1429">
        <f>HYPERLINK("https://klasma.github.io/Logging_2326/klagomålsmail/A 50765-2023 FSC-klagomål mail.docx", "A 50765-2023")</f>
        <v/>
      </c>
      <c r="X1429">
        <f>HYPERLINK("https://klasma.github.io/Logging_2326/tillsyn/A 50765-2023 tillsynsbegäran.docx", "A 50765-2023")</f>
        <v/>
      </c>
      <c r="Y1429">
        <f>HYPERLINK("https://klasma.github.io/Logging_2326/tillsynsmail/A 50765-2023 tillsynsbegäran mail.docx", "A 50765-2023")</f>
        <v/>
      </c>
    </row>
    <row r="1430" ht="15" customHeight="1">
      <c r="A1430" t="inlineStr">
        <is>
          <t>A 53443-2023</t>
        </is>
      </c>
      <c r="B1430" s="1" t="n">
        <v>45210</v>
      </c>
      <c r="C1430" s="1" t="n">
        <v>45363</v>
      </c>
      <c r="D1430" t="inlineStr">
        <is>
          <t>JÄMTLANDS LÄN</t>
        </is>
      </c>
      <c r="E1430" t="inlineStr">
        <is>
          <t>BERG</t>
        </is>
      </c>
      <c r="F1430" t="inlineStr">
        <is>
          <t>Övriga statliga verk och myndigheter</t>
        </is>
      </c>
      <c r="G1430" t="n">
        <v>3.4</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HYPERLINK("https://klasma.github.io/Logging_2326/artfynd/A 53443-2023 artfynd.xlsx", "A 53443-2023")</f>
        <v/>
      </c>
      <c r="T1430">
        <f>HYPERLINK("https://klasma.github.io/Logging_2326/kartor/A 53443-2023 karta.png", "A 53443-2023")</f>
        <v/>
      </c>
      <c r="V1430">
        <f>HYPERLINK("https://klasma.github.io/Logging_2326/klagomål/A 53443-2023 FSC-klagomål.docx", "A 53443-2023")</f>
        <v/>
      </c>
      <c r="W1430">
        <f>HYPERLINK("https://klasma.github.io/Logging_2326/klagomålsmail/A 53443-2023 FSC-klagomål mail.docx", "A 53443-2023")</f>
        <v/>
      </c>
      <c r="X1430">
        <f>HYPERLINK("https://klasma.github.io/Logging_2326/tillsyn/A 53443-2023 tillsynsbegäran.docx", "A 53443-2023")</f>
        <v/>
      </c>
      <c r="Y1430">
        <f>HYPERLINK("https://klasma.github.io/Logging_2326/tillsynsmail/A 53443-2023 tillsynsbegäran mail.docx", "A 53443-2023")</f>
        <v/>
      </c>
      <c r="Z1430">
        <f>HYPERLINK("https://klasma.github.io/Logging_2326/fåglar/A 53443-2023 prioriterade fågelarter.docx", "A 53443-2023")</f>
        <v/>
      </c>
    </row>
    <row r="1431" ht="15" customHeight="1">
      <c r="A1431" t="inlineStr">
        <is>
          <t>A 50225-2023</t>
        </is>
      </c>
      <c r="B1431" s="1" t="n">
        <v>45215</v>
      </c>
      <c r="C1431" s="1" t="n">
        <v>45363</v>
      </c>
      <c r="D1431" t="inlineStr">
        <is>
          <t>JÄMTLANDS LÄN</t>
        </is>
      </c>
      <c r="E1431" t="inlineStr">
        <is>
          <t>BERG</t>
        </is>
      </c>
      <c r="F1431" t="inlineStr">
        <is>
          <t>SCA</t>
        </is>
      </c>
      <c r="G1431" t="n">
        <v>4.3</v>
      </c>
      <c r="H1431" t="n">
        <v>0</v>
      </c>
      <c r="I1431" t="n">
        <v>0</v>
      </c>
      <c r="J1431" t="n">
        <v>0</v>
      </c>
      <c r="K1431" t="n">
        <v>1</v>
      </c>
      <c r="L1431" t="n">
        <v>0</v>
      </c>
      <c r="M1431" t="n">
        <v>0</v>
      </c>
      <c r="N1431" t="n">
        <v>0</v>
      </c>
      <c r="O1431" t="n">
        <v>1</v>
      </c>
      <c r="P1431" t="n">
        <v>1</v>
      </c>
      <c r="Q1431" t="n">
        <v>1</v>
      </c>
      <c r="R1431" s="2" t="inlineStr">
        <is>
          <t>Rynkskinn</t>
        </is>
      </c>
      <c r="S1431">
        <f>HYPERLINK("https://klasma.github.io/Logging_2326/artfynd/A 50225-2023 artfynd.xlsx", "A 50225-2023")</f>
        <v/>
      </c>
      <c r="T1431">
        <f>HYPERLINK("https://klasma.github.io/Logging_2326/kartor/A 50225-2023 karta.png", "A 50225-2023")</f>
        <v/>
      </c>
      <c r="V1431">
        <f>HYPERLINK("https://klasma.github.io/Logging_2326/klagomål/A 50225-2023 FSC-klagomål.docx", "A 50225-2023")</f>
        <v/>
      </c>
      <c r="W1431">
        <f>HYPERLINK("https://klasma.github.io/Logging_2326/klagomålsmail/A 50225-2023 FSC-klagomål mail.docx", "A 50225-2023")</f>
        <v/>
      </c>
      <c r="X1431">
        <f>HYPERLINK("https://klasma.github.io/Logging_2326/tillsyn/A 50225-2023 tillsynsbegäran.docx", "A 50225-2023")</f>
        <v/>
      </c>
      <c r="Y1431">
        <f>HYPERLINK("https://klasma.github.io/Logging_2326/tillsynsmail/A 50225-2023 tillsynsbegäran mail.docx", "A 50225-2023")</f>
        <v/>
      </c>
    </row>
    <row r="1432" ht="15" customHeight="1">
      <c r="A1432" t="inlineStr">
        <is>
          <t>A 50224-2023</t>
        </is>
      </c>
      <c r="B1432" s="1" t="n">
        <v>45215</v>
      </c>
      <c r="C1432" s="1" t="n">
        <v>45363</v>
      </c>
      <c r="D1432" t="inlineStr">
        <is>
          <t>JÄMTLANDS LÄN</t>
        </is>
      </c>
      <c r="E1432" t="inlineStr">
        <is>
          <t>BERG</t>
        </is>
      </c>
      <c r="F1432" t="inlineStr">
        <is>
          <t>SCA</t>
        </is>
      </c>
      <c r="G1432" t="n">
        <v>10.3</v>
      </c>
      <c r="H1432" t="n">
        <v>0</v>
      </c>
      <c r="I1432" t="n">
        <v>0</v>
      </c>
      <c r="J1432" t="n">
        <v>1</v>
      </c>
      <c r="K1432" t="n">
        <v>0</v>
      </c>
      <c r="L1432" t="n">
        <v>0</v>
      </c>
      <c r="M1432" t="n">
        <v>0</v>
      </c>
      <c r="N1432" t="n">
        <v>0</v>
      </c>
      <c r="O1432" t="n">
        <v>1</v>
      </c>
      <c r="P1432" t="n">
        <v>0</v>
      </c>
      <c r="Q1432" t="n">
        <v>1</v>
      </c>
      <c r="R1432" s="2" t="inlineStr">
        <is>
          <t>Kolflarnlav</t>
        </is>
      </c>
      <c r="S1432">
        <f>HYPERLINK("https://klasma.github.io/Logging_2326/artfynd/A 50224-2023 artfynd.xlsx", "A 50224-2023")</f>
        <v/>
      </c>
      <c r="T1432">
        <f>HYPERLINK("https://klasma.github.io/Logging_2326/kartor/A 50224-2023 karta.png", "A 50224-2023")</f>
        <v/>
      </c>
      <c r="V1432">
        <f>HYPERLINK("https://klasma.github.io/Logging_2326/klagomål/A 50224-2023 FSC-klagomål.docx", "A 50224-2023")</f>
        <v/>
      </c>
      <c r="W1432">
        <f>HYPERLINK("https://klasma.github.io/Logging_2326/klagomålsmail/A 50224-2023 FSC-klagomål mail.docx", "A 50224-2023")</f>
        <v/>
      </c>
      <c r="X1432">
        <f>HYPERLINK("https://klasma.github.io/Logging_2326/tillsyn/A 50224-2023 tillsynsbegäran.docx", "A 50224-2023")</f>
        <v/>
      </c>
      <c r="Y1432">
        <f>HYPERLINK("https://klasma.github.io/Logging_2326/tillsynsmail/A 50224-2023 tillsynsbegäran mail.docx", "A 50224-2023")</f>
        <v/>
      </c>
    </row>
    <row r="1433" ht="15" customHeight="1">
      <c r="A1433" t="inlineStr">
        <is>
          <t>A 50519-2023</t>
        </is>
      </c>
      <c r="B1433" s="1" t="n">
        <v>45217</v>
      </c>
      <c r="C1433" s="1" t="n">
        <v>45363</v>
      </c>
      <c r="D1433" t="inlineStr">
        <is>
          <t>JÄMTLANDS LÄN</t>
        </is>
      </c>
      <c r="E1433" t="inlineStr">
        <is>
          <t>BERG</t>
        </is>
      </c>
      <c r="F1433" t="inlineStr">
        <is>
          <t>SCA</t>
        </is>
      </c>
      <c r="G1433" t="n">
        <v>0.8</v>
      </c>
      <c r="H1433" t="n">
        <v>0</v>
      </c>
      <c r="I1433" t="n">
        <v>1</v>
      </c>
      <c r="J1433" t="n">
        <v>0</v>
      </c>
      <c r="K1433" t="n">
        <v>0</v>
      </c>
      <c r="L1433" t="n">
        <v>0</v>
      </c>
      <c r="M1433" t="n">
        <v>0</v>
      </c>
      <c r="N1433" t="n">
        <v>0</v>
      </c>
      <c r="O1433" t="n">
        <v>0</v>
      </c>
      <c r="P1433" t="n">
        <v>0</v>
      </c>
      <c r="Q1433" t="n">
        <v>1</v>
      </c>
      <c r="R1433" s="2" t="inlineStr">
        <is>
          <t>Norrlandslav</t>
        </is>
      </c>
      <c r="S1433">
        <f>HYPERLINK("https://klasma.github.io/Logging_2326/artfynd/A 50519-2023 artfynd.xlsx", "A 50519-2023")</f>
        <v/>
      </c>
      <c r="T1433">
        <f>HYPERLINK("https://klasma.github.io/Logging_2326/kartor/A 50519-2023 karta.png", "A 50519-2023")</f>
        <v/>
      </c>
      <c r="V1433">
        <f>HYPERLINK("https://klasma.github.io/Logging_2326/klagomål/A 50519-2023 FSC-klagomål.docx", "A 50519-2023")</f>
        <v/>
      </c>
      <c r="W1433">
        <f>HYPERLINK("https://klasma.github.io/Logging_2326/klagomålsmail/A 50519-2023 FSC-klagomål mail.docx", "A 50519-2023")</f>
        <v/>
      </c>
      <c r="X1433">
        <f>HYPERLINK("https://klasma.github.io/Logging_2326/tillsyn/A 50519-2023 tillsynsbegäran.docx", "A 50519-2023")</f>
        <v/>
      </c>
      <c r="Y1433">
        <f>HYPERLINK("https://klasma.github.io/Logging_2326/tillsynsmail/A 50519-2023 tillsynsbegäran mail.docx", "A 50519-2023")</f>
        <v/>
      </c>
    </row>
    <row r="1434" ht="15" customHeight="1">
      <c r="A1434" t="inlineStr">
        <is>
          <t>A 50470-2023</t>
        </is>
      </c>
      <c r="B1434" s="1" t="n">
        <v>45216</v>
      </c>
      <c r="C1434" s="1" t="n">
        <v>45363</v>
      </c>
      <c r="D1434" t="inlineStr">
        <is>
          <t>JÄMTLANDS LÄN</t>
        </is>
      </c>
      <c r="E1434" t="inlineStr">
        <is>
          <t>HÄRJEDALEN</t>
        </is>
      </c>
      <c r="F1434" t="inlineStr">
        <is>
          <t>Sveaskog</t>
        </is>
      </c>
      <c r="G1434" t="n">
        <v>3.5</v>
      </c>
      <c r="H1434" t="n">
        <v>0</v>
      </c>
      <c r="I1434" t="n">
        <v>0</v>
      </c>
      <c r="J1434" t="n">
        <v>0</v>
      </c>
      <c r="K1434" t="n">
        <v>1</v>
      </c>
      <c r="L1434" t="n">
        <v>0</v>
      </c>
      <c r="M1434" t="n">
        <v>0</v>
      </c>
      <c r="N1434" t="n">
        <v>0</v>
      </c>
      <c r="O1434" t="n">
        <v>1</v>
      </c>
      <c r="P1434" t="n">
        <v>1</v>
      </c>
      <c r="Q1434" t="n">
        <v>1</v>
      </c>
      <c r="R1434" s="2" t="inlineStr">
        <is>
          <t>Gräddporing</t>
        </is>
      </c>
      <c r="S1434">
        <f>HYPERLINK("https://klasma.github.io/Logging_2361/artfynd/A 50470-2023 artfynd.xlsx", "A 50470-2023")</f>
        <v/>
      </c>
      <c r="T1434">
        <f>HYPERLINK("https://klasma.github.io/Logging_2361/kartor/A 50470-2023 karta.png", "A 50470-2023")</f>
        <v/>
      </c>
      <c r="V1434">
        <f>HYPERLINK("https://klasma.github.io/Logging_2361/klagomål/A 50470-2023 FSC-klagomål.docx", "A 50470-2023")</f>
        <v/>
      </c>
      <c r="W1434">
        <f>HYPERLINK("https://klasma.github.io/Logging_2361/klagomålsmail/A 50470-2023 FSC-klagomål mail.docx", "A 50470-2023")</f>
        <v/>
      </c>
      <c r="X1434">
        <f>HYPERLINK("https://klasma.github.io/Logging_2361/tillsyn/A 50470-2023 tillsynsbegäran.docx", "A 50470-2023")</f>
        <v/>
      </c>
      <c r="Y1434">
        <f>HYPERLINK("https://klasma.github.io/Logging_2361/tillsynsmail/A 50470-2023 tillsynsbegäran mail.docx", "A 50470-2023")</f>
        <v/>
      </c>
    </row>
    <row r="1435" ht="15" customHeight="1">
      <c r="A1435" t="inlineStr">
        <is>
          <t>A 50825-2023</t>
        </is>
      </c>
      <c r="B1435" s="1" t="n">
        <v>45217</v>
      </c>
      <c r="C1435" s="1" t="n">
        <v>45363</v>
      </c>
      <c r="D1435" t="inlineStr">
        <is>
          <t>JÄMTLANDS LÄN</t>
        </is>
      </c>
      <c r="E1435" t="inlineStr">
        <is>
          <t>ÖSTERSUND</t>
        </is>
      </c>
      <c r="G1435" t="n">
        <v>24.3</v>
      </c>
      <c r="H1435" t="n">
        <v>0</v>
      </c>
      <c r="I1435" t="n">
        <v>0</v>
      </c>
      <c r="J1435" t="n">
        <v>1</v>
      </c>
      <c r="K1435" t="n">
        <v>0</v>
      </c>
      <c r="L1435" t="n">
        <v>0</v>
      </c>
      <c r="M1435" t="n">
        <v>0</v>
      </c>
      <c r="N1435" t="n">
        <v>0</v>
      </c>
      <c r="O1435" t="n">
        <v>1</v>
      </c>
      <c r="P1435" t="n">
        <v>0</v>
      </c>
      <c r="Q1435" t="n">
        <v>1</v>
      </c>
      <c r="R1435" s="2" t="inlineStr">
        <is>
          <t>Granticka</t>
        </is>
      </c>
      <c r="S1435">
        <f>HYPERLINK("https://klasma.github.io/Logging_2380/artfynd/A 50825-2023 artfynd.xlsx", "A 50825-2023")</f>
        <v/>
      </c>
      <c r="T1435">
        <f>HYPERLINK("https://klasma.github.io/Logging_2380/kartor/A 50825-2023 karta.png", "A 50825-2023")</f>
        <v/>
      </c>
      <c r="V1435">
        <f>HYPERLINK("https://klasma.github.io/Logging_2380/klagomål/A 50825-2023 FSC-klagomål.docx", "A 50825-2023")</f>
        <v/>
      </c>
      <c r="W1435">
        <f>HYPERLINK("https://klasma.github.io/Logging_2380/klagomålsmail/A 50825-2023 FSC-klagomål mail.docx", "A 50825-2023")</f>
        <v/>
      </c>
      <c r="X1435">
        <f>HYPERLINK("https://klasma.github.io/Logging_2380/tillsyn/A 50825-2023 tillsynsbegäran.docx", "A 50825-2023")</f>
        <v/>
      </c>
      <c r="Y1435">
        <f>HYPERLINK("https://klasma.github.io/Logging_2380/tillsynsmail/A 50825-2023 tillsynsbegäran mail.docx", "A 50825-2023")</f>
        <v/>
      </c>
    </row>
    <row r="1436" ht="15" customHeight="1">
      <c r="A1436" t="inlineStr">
        <is>
          <t>A 51024-2023</t>
        </is>
      </c>
      <c r="B1436" s="1" t="n">
        <v>45218</v>
      </c>
      <c r="C1436" s="1" t="n">
        <v>45363</v>
      </c>
      <c r="D1436" t="inlineStr">
        <is>
          <t>JÄMTLANDS LÄN</t>
        </is>
      </c>
      <c r="E1436" t="inlineStr">
        <is>
          <t>STRÖMSUND</t>
        </is>
      </c>
      <c r="G1436" t="n">
        <v>5.6</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HYPERLINK("https://klasma.github.io/Logging_2313/artfynd/A 51024-2023 artfynd.xlsx", "A 51024-2023")</f>
        <v/>
      </c>
      <c r="T1436">
        <f>HYPERLINK("https://klasma.github.io/Logging_2313/kartor/A 51024-2023 karta.png", "A 51024-2023")</f>
        <v/>
      </c>
      <c r="V1436">
        <f>HYPERLINK("https://klasma.github.io/Logging_2313/klagomål/A 51024-2023 FSC-klagomål.docx", "A 51024-2023")</f>
        <v/>
      </c>
      <c r="W1436">
        <f>HYPERLINK("https://klasma.github.io/Logging_2313/klagomålsmail/A 51024-2023 FSC-klagomål mail.docx", "A 51024-2023")</f>
        <v/>
      </c>
      <c r="X1436">
        <f>HYPERLINK("https://klasma.github.io/Logging_2313/tillsyn/A 51024-2023 tillsynsbegäran.docx", "A 51024-2023")</f>
        <v/>
      </c>
      <c r="Y1436">
        <f>HYPERLINK("https://klasma.github.io/Logging_2313/tillsynsmail/A 51024-2023 tillsynsbegäran mail.docx", "A 51024-2023")</f>
        <v/>
      </c>
      <c r="Z1436">
        <f>HYPERLINK("https://klasma.github.io/Logging_2313/fåglar/A 51024-2023 prioriterade fågelarter.docx", "A 51024-2023")</f>
        <v/>
      </c>
    </row>
    <row r="1437" ht="15" customHeight="1">
      <c r="A1437" t="inlineStr">
        <is>
          <t>A 51414-2023</t>
        </is>
      </c>
      <c r="B1437" s="1" t="n">
        <v>45219</v>
      </c>
      <c r="C1437" s="1" t="n">
        <v>45363</v>
      </c>
      <c r="D1437" t="inlineStr">
        <is>
          <t>JÄMTLANDS LÄN</t>
        </is>
      </c>
      <c r="E1437" t="inlineStr">
        <is>
          <t>HÄRJEDALEN</t>
        </is>
      </c>
      <c r="F1437" t="inlineStr">
        <is>
          <t>Sveaskog</t>
        </is>
      </c>
      <c r="G1437" t="n">
        <v>3.9</v>
      </c>
      <c r="H1437" t="n">
        <v>0</v>
      </c>
      <c r="I1437" t="n">
        <v>0</v>
      </c>
      <c r="J1437" t="n">
        <v>1</v>
      </c>
      <c r="K1437" t="n">
        <v>0</v>
      </c>
      <c r="L1437" t="n">
        <v>0</v>
      </c>
      <c r="M1437" t="n">
        <v>0</v>
      </c>
      <c r="N1437" t="n">
        <v>0</v>
      </c>
      <c r="O1437" t="n">
        <v>1</v>
      </c>
      <c r="P1437" t="n">
        <v>0</v>
      </c>
      <c r="Q1437" t="n">
        <v>1</v>
      </c>
      <c r="R1437" s="2" t="inlineStr">
        <is>
          <t>Lunglav</t>
        </is>
      </c>
      <c r="S1437">
        <f>HYPERLINK("https://klasma.github.io/Logging_2361/artfynd/A 51414-2023 artfynd.xlsx", "A 51414-2023")</f>
        <v/>
      </c>
      <c r="T1437">
        <f>HYPERLINK("https://klasma.github.io/Logging_2361/kartor/A 51414-2023 karta.png", "A 51414-2023")</f>
        <v/>
      </c>
      <c r="V1437">
        <f>HYPERLINK("https://klasma.github.io/Logging_2361/klagomål/A 51414-2023 FSC-klagomål.docx", "A 51414-2023")</f>
        <v/>
      </c>
      <c r="W1437">
        <f>HYPERLINK("https://klasma.github.io/Logging_2361/klagomålsmail/A 51414-2023 FSC-klagomål mail.docx", "A 51414-2023")</f>
        <v/>
      </c>
      <c r="X1437">
        <f>HYPERLINK("https://klasma.github.io/Logging_2361/tillsyn/A 51414-2023 tillsynsbegäran.docx", "A 51414-2023")</f>
        <v/>
      </c>
      <c r="Y1437">
        <f>HYPERLINK("https://klasma.github.io/Logging_2361/tillsynsmail/A 51414-2023 tillsynsbegäran mail.docx", "A 51414-2023")</f>
        <v/>
      </c>
    </row>
    <row r="1438" ht="15" customHeight="1">
      <c r="A1438" t="inlineStr">
        <is>
          <t>A 51811-2023</t>
        </is>
      </c>
      <c r="B1438" s="1" t="n">
        <v>45222</v>
      </c>
      <c r="C1438" s="1" t="n">
        <v>45363</v>
      </c>
      <c r="D1438" t="inlineStr">
        <is>
          <t>JÄMTLANDS LÄN</t>
        </is>
      </c>
      <c r="E1438" t="inlineStr">
        <is>
          <t>BERG</t>
        </is>
      </c>
      <c r="F1438" t="inlineStr">
        <is>
          <t>SCA</t>
        </is>
      </c>
      <c r="G1438" t="n">
        <v>7.9</v>
      </c>
      <c r="H1438" t="n">
        <v>0</v>
      </c>
      <c r="I1438" t="n">
        <v>0</v>
      </c>
      <c r="J1438" t="n">
        <v>0</v>
      </c>
      <c r="K1438" t="n">
        <v>1</v>
      </c>
      <c r="L1438" t="n">
        <v>0</v>
      </c>
      <c r="M1438" t="n">
        <v>0</v>
      </c>
      <c r="N1438" t="n">
        <v>0</v>
      </c>
      <c r="O1438" t="n">
        <v>1</v>
      </c>
      <c r="P1438" t="n">
        <v>1</v>
      </c>
      <c r="Q1438" t="n">
        <v>1</v>
      </c>
      <c r="R1438" s="2" t="inlineStr">
        <is>
          <t>Gräddporing</t>
        </is>
      </c>
      <c r="S1438">
        <f>HYPERLINK("https://klasma.github.io/Logging_2326/artfynd/A 51811-2023 artfynd.xlsx", "A 51811-2023")</f>
        <v/>
      </c>
      <c r="T1438">
        <f>HYPERLINK("https://klasma.github.io/Logging_2326/kartor/A 51811-2023 karta.png", "A 51811-2023")</f>
        <v/>
      </c>
      <c r="V1438">
        <f>HYPERLINK("https://klasma.github.io/Logging_2326/klagomål/A 51811-2023 FSC-klagomål.docx", "A 51811-2023")</f>
        <v/>
      </c>
      <c r="W1438">
        <f>HYPERLINK("https://klasma.github.io/Logging_2326/klagomålsmail/A 51811-2023 FSC-klagomål mail.docx", "A 51811-2023")</f>
        <v/>
      </c>
      <c r="X1438">
        <f>HYPERLINK("https://klasma.github.io/Logging_2326/tillsyn/A 51811-2023 tillsynsbegäran.docx", "A 51811-2023")</f>
        <v/>
      </c>
      <c r="Y1438">
        <f>HYPERLINK("https://klasma.github.io/Logging_2326/tillsynsmail/A 51811-2023 tillsynsbegäran mail.docx", "A 51811-2023")</f>
        <v/>
      </c>
    </row>
    <row r="1439" ht="15" customHeight="1">
      <c r="A1439" t="inlineStr">
        <is>
          <t>A 53056-2023</t>
        </is>
      </c>
      <c r="B1439" s="1" t="n">
        <v>45226</v>
      </c>
      <c r="C1439" s="1" t="n">
        <v>45363</v>
      </c>
      <c r="D1439" t="inlineStr">
        <is>
          <t>JÄMTLANDS LÄN</t>
        </is>
      </c>
      <c r="E1439" t="inlineStr">
        <is>
          <t>BRÄCKE</t>
        </is>
      </c>
      <c r="F1439" t="inlineStr">
        <is>
          <t>SCA</t>
        </is>
      </c>
      <c r="G1439" t="n">
        <v>6.5</v>
      </c>
      <c r="H1439" t="n">
        <v>1</v>
      </c>
      <c r="I1439" t="n">
        <v>0</v>
      </c>
      <c r="J1439" t="n">
        <v>0</v>
      </c>
      <c r="K1439" t="n">
        <v>1</v>
      </c>
      <c r="L1439" t="n">
        <v>0</v>
      </c>
      <c r="M1439" t="n">
        <v>0</v>
      </c>
      <c r="N1439" t="n">
        <v>0</v>
      </c>
      <c r="O1439" t="n">
        <v>1</v>
      </c>
      <c r="P1439" t="n">
        <v>1</v>
      </c>
      <c r="Q1439" t="n">
        <v>1</v>
      </c>
      <c r="R1439" s="2" t="inlineStr">
        <is>
          <t>Doftticka</t>
        </is>
      </c>
      <c r="S1439">
        <f>HYPERLINK("https://klasma.github.io/Logging_2305/artfynd/A 53056-2023 artfynd.xlsx", "A 53056-2023")</f>
        <v/>
      </c>
      <c r="T1439">
        <f>HYPERLINK("https://klasma.github.io/Logging_2305/kartor/A 53056-2023 karta.png", "A 53056-2023")</f>
        <v/>
      </c>
      <c r="V1439">
        <f>HYPERLINK("https://klasma.github.io/Logging_2305/klagomål/A 53056-2023 FSC-klagomål.docx", "A 53056-2023")</f>
        <v/>
      </c>
      <c r="W1439">
        <f>HYPERLINK("https://klasma.github.io/Logging_2305/klagomålsmail/A 53056-2023 FSC-klagomål mail.docx", "A 53056-2023")</f>
        <v/>
      </c>
      <c r="X1439">
        <f>HYPERLINK("https://klasma.github.io/Logging_2305/tillsyn/A 53056-2023 tillsynsbegäran.docx", "A 53056-2023")</f>
        <v/>
      </c>
      <c r="Y1439">
        <f>HYPERLINK("https://klasma.github.io/Logging_2305/tillsynsmail/A 53056-2023 tillsynsbegäran mail.docx", "A 53056-2023")</f>
        <v/>
      </c>
    </row>
    <row r="1440" ht="15" customHeight="1">
      <c r="A1440" t="inlineStr">
        <is>
          <t>A 53447-2023</t>
        </is>
      </c>
      <c r="B1440" s="1" t="n">
        <v>45229</v>
      </c>
      <c r="C1440" s="1" t="n">
        <v>45363</v>
      </c>
      <c r="D1440" t="inlineStr">
        <is>
          <t>JÄMTLANDS LÄN</t>
        </is>
      </c>
      <c r="E1440" t="inlineStr">
        <is>
          <t>STRÖMSUND</t>
        </is>
      </c>
      <c r="F1440" t="inlineStr">
        <is>
          <t>SCA</t>
        </is>
      </c>
      <c r="G1440" t="n">
        <v>3.4</v>
      </c>
      <c r="H1440" t="n">
        <v>0</v>
      </c>
      <c r="I1440" t="n">
        <v>0</v>
      </c>
      <c r="J1440" t="n">
        <v>1</v>
      </c>
      <c r="K1440" t="n">
        <v>0</v>
      </c>
      <c r="L1440" t="n">
        <v>0</v>
      </c>
      <c r="M1440" t="n">
        <v>0</v>
      </c>
      <c r="N1440" t="n">
        <v>0</v>
      </c>
      <c r="O1440" t="n">
        <v>1</v>
      </c>
      <c r="P1440" t="n">
        <v>0</v>
      </c>
      <c r="Q1440" t="n">
        <v>1</v>
      </c>
      <c r="R1440" s="2" t="inlineStr">
        <is>
          <t>Harticka</t>
        </is>
      </c>
      <c r="S1440">
        <f>HYPERLINK("https://klasma.github.io/Logging_2313/artfynd/A 53447-2023 artfynd.xlsx", "A 53447-2023")</f>
        <v/>
      </c>
      <c r="T1440">
        <f>HYPERLINK("https://klasma.github.io/Logging_2313/kartor/A 53447-2023 karta.png", "A 53447-2023")</f>
        <v/>
      </c>
      <c r="V1440">
        <f>HYPERLINK("https://klasma.github.io/Logging_2313/klagomål/A 53447-2023 FSC-klagomål.docx", "A 53447-2023")</f>
        <v/>
      </c>
      <c r="W1440">
        <f>HYPERLINK("https://klasma.github.io/Logging_2313/klagomålsmail/A 53447-2023 FSC-klagomål mail.docx", "A 53447-2023")</f>
        <v/>
      </c>
      <c r="X1440">
        <f>HYPERLINK("https://klasma.github.io/Logging_2313/tillsyn/A 53447-2023 tillsynsbegäran.docx", "A 53447-2023")</f>
        <v/>
      </c>
      <c r="Y1440">
        <f>HYPERLINK("https://klasma.github.io/Logging_2313/tillsynsmail/A 53447-2023 tillsynsbegäran mail.docx", "A 53447-2023")</f>
        <v/>
      </c>
    </row>
    <row r="1441" ht="15" customHeight="1">
      <c r="A1441" t="inlineStr">
        <is>
          <t>A 54064-2023</t>
        </is>
      </c>
      <c r="B1441" s="1" t="n">
        <v>45231</v>
      </c>
      <c r="C1441" s="1" t="n">
        <v>45363</v>
      </c>
      <c r="D1441" t="inlineStr">
        <is>
          <t>JÄMTLANDS LÄN</t>
        </is>
      </c>
      <c r="E1441" t="inlineStr">
        <is>
          <t>STRÖMSUND</t>
        </is>
      </c>
      <c r="F1441" t="inlineStr">
        <is>
          <t>SCA</t>
        </is>
      </c>
      <c r="G1441" t="n">
        <v>14.1</v>
      </c>
      <c r="H1441" t="n">
        <v>0</v>
      </c>
      <c r="I1441" t="n">
        <v>0</v>
      </c>
      <c r="J1441" t="n">
        <v>1</v>
      </c>
      <c r="K1441" t="n">
        <v>0</v>
      </c>
      <c r="L1441" t="n">
        <v>0</v>
      </c>
      <c r="M1441" t="n">
        <v>0</v>
      </c>
      <c r="N1441" t="n">
        <v>0</v>
      </c>
      <c r="O1441" t="n">
        <v>1</v>
      </c>
      <c r="P1441" t="n">
        <v>0</v>
      </c>
      <c r="Q1441" t="n">
        <v>1</v>
      </c>
      <c r="R1441" s="2" t="inlineStr">
        <is>
          <t>Skrovellav</t>
        </is>
      </c>
      <c r="S1441">
        <f>HYPERLINK("https://klasma.github.io/Logging_2313/artfynd/A 54064-2023 artfynd.xlsx", "A 54064-2023")</f>
        <v/>
      </c>
      <c r="T1441">
        <f>HYPERLINK("https://klasma.github.io/Logging_2313/kartor/A 54064-2023 karta.png", "A 54064-2023")</f>
        <v/>
      </c>
      <c r="V1441">
        <f>HYPERLINK("https://klasma.github.io/Logging_2313/klagomål/A 54064-2023 FSC-klagomål.docx", "A 54064-2023")</f>
        <v/>
      </c>
      <c r="W1441">
        <f>HYPERLINK("https://klasma.github.io/Logging_2313/klagomålsmail/A 54064-2023 FSC-klagomål mail.docx", "A 54064-2023")</f>
        <v/>
      </c>
      <c r="X1441">
        <f>HYPERLINK("https://klasma.github.io/Logging_2313/tillsyn/A 54064-2023 tillsynsbegäran.docx", "A 54064-2023")</f>
        <v/>
      </c>
      <c r="Y1441">
        <f>HYPERLINK("https://klasma.github.io/Logging_2313/tillsynsmail/A 54064-2023 tillsynsbegäran mail.docx", "A 54064-2023")</f>
        <v/>
      </c>
    </row>
    <row r="1442" ht="15" customHeight="1">
      <c r="A1442" t="inlineStr">
        <is>
          <t>A 54337-2023</t>
        </is>
      </c>
      <c r="B1442" s="1" t="n">
        <v>45233</v>
      </c>
      <c r="C1442" s="1" t="n">
        <v>45363</v>
      </c>
      <c r="D1442" t="inlineStr">
        <is>
          <t>JÄMTLANDS LÄN</t>
        </is>
      </c>
      <c r="E1442" t="inlineStr">
        <is>
          <t>BERG</t>
        </is>
      </c>
      <c r="F1442" t="inlineStr">
        <is>
          <t>SCA</t>
        </is>
      </c>
      <c r="G1442" t="n">
        <v>18.7</v>
      </c>
      <c r="H1442" t="n">
        <v>0</v>
      </c>
      <c r="I1442" t="n">
        <v>1</v>
      </c>
      <c r="J1442" t="n">
        <v>0</v>
      </c>
      <c r="K1442" t="n">
        <v>0</v>
      </c>
      <c r="L1442" t="n">
        <v>0</v>
      </c>
      <c r="M1442" t="n">
        <v>0</v>
      </c>
      <c r="N1442" t="n">
        <v>0</v>
      </c>
      <c r="O1442" t="n">
        <v>0</v>
      </c>
      <c r="P1442" t="n">
        <v>0</v>
      </c>
      <c r="Q1442" t="n">
        <v>1</v>
      </c>
      <c r="R1442" s="2" t="inlineStr">
        <is>
          <t>Dropptaggsvamp</t>
        </is>
      </c>
      <c r="S1442">
        <f>HYPERLINK("https://klasma.github.io/Logging_2326/artfynd/A 54337-2023 artfynd.xlsx", "A 54337-2023")</f>
        <v/>
      </c>
      <c r="T1442">
        <f>HYPERLINK("https://klasma.github.io/Logging_2326/kartor/A 54337-2023 karta.png", "A 54337-2023")</f>
        <v/>
      </c>
      <c r="V1442">
        <f>HYPERLINK("https://klasma.github.io/Logging_2326/klagomål/A 54337-2023 FSC-klagomål.docx", "A 54337-2023")</f>
        <v/>
      </c>
      <c r="W1442">
        <f>HYPERLINK("https://klasma.github.io/Logging_2326/klagomålsmail/A 54337-2023 FSC-klagomål mail.docx", "A 54337-2023")</f>
        <v/>
      </c>
      <c r="X1442">
        <f>HYPERLINK("https://klasma.github.io/Logging_2326/tillsyn/A 54337-2023 tillsynsbegäran.docx", "A 54337-2023")</f>
        <v/>
      </c>
      <c r="Y1442">
        <f>HYPERLINK("https://klasma.github.io/Logging_2326/tillsynsmail/A 54337-2023 tillsynsbegäran mail.docx", "A 54337-2023")</f>
        <v/>
      </c>
    </row>
    <row r="1443" ht="15" customHeight="1">
      <c r="A1443" t="inlineStr">
        <is>
          <t>A 54347-2023</t>
        </is>
      </c>
      <c r="B1443" s="1" t="n">
        <v>45233</v>
      </c>
      <c r="C1443" s="1" t="n">
        <v>45363</v>
      </c>
      <c r="D1443" t="inlineStr">
        <is>
          <t>JÄMTLANDS LÄN</t>
        </is>
      </c>
      <c r="E1443" t="inlineStr">
        <is>
          <t>BERG</t>
        </is>
      </c>
      <c r="F1443" t="inlineStr">
        <is>
          <t>SCA</t>
        </is>
      </c>
      <c r="G1443" t="n">
        <v>13.4</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HYPERLINK("https://klasma.github.io/Logging_2326/artfynd/A 54347-2023 artfynd.xlsx", "A 54347-2023")</f>
        <v/>
      </c>
      <c r="T1443">
        <f>HYPERLINK("https://klasma.github.io/Logging_2326/kartor/A 54347-2023 karta.png", "A 54347-2023")</f>
        <v/>
      </c>
      <c r="V1443">
        <f>HYPERLINK("https://klasma.github.io/Logging_2326/klagomål/A 54347-2023 FSC-klagomål.docx", "A 54347-2023")</f>
        <v/>
      </c>
      <c r="W1443">
        <f>HYPERLINK("https://klasma.github.io/Logging_2326/klagomålsmail/A 54347-2023 FSC-klagomål mail.docx", "A 54347-2023")</f>
        <v/>
      </c>
      <c r="X1443">
        <f>HYPERLINK("https://klasma.github.io/Logging_2326/tillsyn/A 54347-2023 tillsynsbegäran.docx", "A 54347-2023")</f>
        <v/>
      </c>
      <c r="Y1443">
        <f>HYPERLINK("https://klasma.github.io/Logging_2326/tillsynsmail/A 54347-2023 tillsynsbegäran mail.docx", "A 54347-2023")</f>
        <v/>
      </c>
    </row>
    <row r="1444" ht="15" customHeight="1">
      <c r="A1444" t="inlineStr">
        <is>
          <t>A 56025-2023</t>
        </is>
      </c>
      <c r="B1444" s="1" t="n">
        <v>45233</v>
      </c>
      <c r="C1444" s="1" t="n">
        <v>45363</v>
      </c>
      <c r="D1444" t="inlineStr">
        <is>
          <t>JÄMTLANDS LÄN</t>
        </is>
      </c>
      <c r="E1444" t="inlineStr">
        <is>
          <t>ÖSTERSUND</t>
        </is>
      </c>
      <c r="G1444" t="n">
        <v>3.9</v>
      </c>
      <c r="H1444" t="n">
        <v>1</v>
      </c>
      <c r="I1444" t="n">
        <v>0</v>
      </c>
      <c r="J1444" t="n">
        <v>1</v>
      </c>
      <c r="K1444" t="n">
        <v>0</v>
      </c>
      <c r="L1444" t="n">
        <v>0</v>
      </c>
      <c r="M1444" t="n">
        <v>0</v>
      </c>
      <c r="N1444" t="n">
        <v>0</v>
      </c>
      <c r="O1444" t="n">
        <v>1</v>
      </c>
      <c r="P1444" t="n">
        <v>0</v>
      </c>
      <c r="Q1444" t="n">
        <v>1</v>
      </c>
      <c r="R1444" s="2" t="inlineStr">
        <is>
          <t>Jämtlandsmaskros</t>
        </is>
      </c>
      <c r="S1444">
        <f>HYPERLINK("https://klasma.github.io/Logging_2380/artfynd/A 56025-2023 artfynd.xlsx", "A 56025-2023")</f>
        <v/>
      </c>
      <c r="T1444">
        <f>HYPERLINK("https://klasma.github.io/Logging_2380/kartor/A 56025-2023 karta.png", "A 56025-2023")</f>
        <v/>
      </c>
      <c r="V1444">
        <f>HYPERLINK("https://klasma.github.io/Logging_2380/klagomål/A 56025-2023 FSC-klagomål.docx", "A 56025-2023")</f>
        <v/>
      </c>
      <c r="W1444">
        <f>HYPERLINK("https://klasma.github.io/Logging_2380/klagomålsmail/A 56025-2023 FSC-klagomål mail.docx", "A 56025-2023")</f>
        <v/>
      </c>
      <c r="X1444">
        <f>HYPERLINK("https://klasma.github.io/Logging_2380/tillsyn/A 56025-2023 tillsynsbegäran.docx", "A 56025-2023")</f>
        <v/>
      </c>
      <c r="Y1444">
        <f>HYPERLINK("https://klasma.github.io/Logging_2380/tillsynsmail/A 56025-2023 tillsynsbegäran mail.docx", "A 56025-2023")</f>
        <v/>
      </c>
    </row>
    <row r="1445" ht="15" customHeight="1">
      <c r="A1445" t="inlineStr">
        <is>
          <t>A 55000-2023</t>
        </is>
      </c>
      <c r="B1445" s="1" t="n">
        <v>45237</v>
      </c>
      <c r="C1445" s="1" t="n">
        <v>45363</v>
      </c>
      <c r="D1445" t="inlineStr">
        <is>
          <t>JÄMTLANDS LÄN</t>
        </is>
      </c>
      <c r="E1445" t="inlineStr">
        <is>
          <t>BERG</t>
        </is>
      </c>
      <c r="F1445" t="inlineStr">
        <is>
          <t>SCA</t>
        </is>
      </c>
      <c r="G1445" t="n">
        <v>1.2</v>
      </c>
      <c r="H1445" t="n">
        <v>0</v>
      </c>
      <c r="I1445" t="n">
        <v>0</v>
      </c>
      <c r="J1445" t="n">
        <v>1</v>
      </c>
      <c r="K1445" t="n">
        <v>0</v>
      </c>
      <c r="L1445" t="n">
        <v>0</v>
      </c>
      <c r="M1445" t="n">
        <v>0</v>
      </c>
      <c r="N1445" t="n">
        <v>0</v>
      </c>
      <c r="O1445" t="n">
        <v>1</v>
      </c>
      <c r="P1445" t="n">
        <v>0</v>
      </c>
      <c r="Q1445" t="n">
        <v>1</v>
      </c>
      <c r="R1445" s="2" t="inlineStr">
        <is>
          <t>Blå taggsvamp</t>
        </is>
      </c>
      <c r="S1445">
        <f>HYPERLINK("https://klasma.github.io/Logging_2326/artfynd/A 55000-2023 artfynd.xlsx", "A 55000-2023")</f>
        <v/>
      </c>
      <c r="T1445">
        <f>HYPERLINK("https://klasma.github.io/Logging_2326/kartor/A 55000-2023 karta.png", "A 55000-2023")</f>
        <v/>
      </c>
      <c r="V1445">
        <f>HYPERLINK("https://klasma.github.io/Logging_2326/klagomål/A 55000-2023 FSC-klagomål.docx", "A 55000-2023")</f>
        <v/>
      </c>
      <c r="W1445">
        <f>HYPERLINK("https://klasma.github.io/Logging_2326/klagomålsmail/A 55000-2023 FSC-klagomål mail.docx", "A 55000-2023")</f>
        <v/>
      </c>
      <c r="X1445">
        <f>HYPERLINK("https://klasma.github.io/Logging_2326/tillsyn/A 55000-2023 tillsynsbegäran.docx", "A 55000-2023")</f>
        <v/>
      </c>
      <c r="Y1445">
        <f>HYPERLINK("https://klasma.github.io/Logging_2326/tillsynsmail/A 55000-2023 tillsynsbegäran mail.docx", "A 55000-2023")</f>
        <v/>
      </c>
    </row>
    <row r="1446" ht="15" customHeight="1">
      <c r="A1446" t="inlineStr">
        <is>
          <t>A 55105-2023</t>
        </is>
      </c>
      <c r="B1446" s="1" t="n">
        <v>45237</v>
      </c>
      <c r="C1446" s="1" t="n">
        <v>45363</v>
      </c>
      <c r="D1446" t="inlineStr">
        <is>
          <t>JÄMTLANDS LÄN</t>
        </is>
      </c>
      <c r="E1446" t="inlineStr">
        <is>
          <t>ÅRE</t>
        </is>
      </c>
      <c r="G1446" t="n">
        <v>15.8</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HYPERLINK("https://klasma.github.io/Logging_2321/artfynd/A 55105-2023 artfynd.xlsx", "A 55105-2023")</f>
        <v/>
      </c>
      <c r="T1446">
        <f>HYPERLINK("https://klasma.github.io/Logging_2321/kartor/A 55105-2023 karta.png", "A 55105-2023")</f>
        <v/>
      </c>
      <c r="V1446">
        <f>HYPERLINK("https://klasma.github.io/Logging_2321/klagomål/A 55105-2023 FSC-klagomål.docx", "A 55105-2023")</f>
        <v/>
      </c>
      <c r="W1446">
        <f>HYPERLINK("https://klasma.github.io/Logging_2321/klagomålsmail/A 55105-2023 FSC-klagomål mail.docx", "A 55105-2023")</f>
        <v/>
      </c>
      <c r="X1446">
        <f>HYPERLINK("https://klasma.github.io/Logging_2321/tillsyn/A 55105-2023 tillsynsbegäran.docx", "A 55105-2023")</f>
        <v/>
      </c>
      <c r="Y1446">
        <f>HYPERLINK("https://klasma.github.io/Logging_2321/tillsynsmail/A 55105-2023 tillsynsbegäran mail.docx", "A 55105-2023")</f>
        <v/>
      </c>
      <c r="Z1446">
        <f>HYPERLINK("https://klasma.github.io/Logging_2321/fåglar/A 55105-2023 prioriterade fågelarter.docx", "A 55105-2023")</f>
        <v/>
      </c>
    </row>
    <row r="1447" ht="15" customHeight="1">
      <c r="A1447" t="inlineStr">
        <is>
          <t>A 55931-2023</t>
        </is>
      </c>
      <c r="B1447" s="1" t="n">
        <v>45239</v>
      </c>
      <c r="C1447" s="1" t="n">
        <v>45363</v>
      </c>
      <c r="D1447" t="inlineStr">
        <is>
          <t>JÄMTLANDS LÄN</t>
        </is>
      </c>
      <c r="E1447" t="inlineStr">
        <is>
          <t>BRÄCKE</t>
        </is>
      </c>
      <c r="F1447" t="inlineStr">
        <is>
          <t>Kyrkan</t>
        </is>
      </c>
      <c r="G1447" t="n">
        <v>1.2</v>
      </c>
      <c r="H1447" t="n">
        <v>0</v>
      </c>
      <c r="I1447" t="n">
        <v>0</v>
      </c>
      <c r="J1447" t="n">
        <v>1</v>
      </c>
      <c r="K1447" t="n">
        <v>0</v>
      </c>
      <c r="L1447" t="n">
        <v>0</v>
      </c>
      <c r="M1447" t="n">
        <v>0</v>
      </c>
      <c r="N1447" t="n">
        <v>0</v>
      </c>
      <c r="O1447" t="n">
        <v>1</v>
      </c>
      <c r="P1447" t="n">
        <v>0</v>
      </c>
      <c r="Q1447" t="n">
        <v>1</v>
      </c>
      <c r="R1447" s="2" t="inlineStr">
        <is>
          <t>Harticka</t>
        </is>
      </c>
      <c r="S1447">
        <f>HYPERLINK("https://klasma.github.io/Logging_2305/artfynd/A 55931-2023 artfynd.xlsx", "A 55931-2023")</f>
        <v/>
      </c>
      <c r="T1447">
        <f>HYPERLINK("https://klasma.github.io/Logging_2305/kartor/A 55931-2023 karta.png", "A 55931-2023")</f>
        <v/>
      </c>
      <c r="V1447">
        <f>HYPERLINK("https://klasma.github.io/Logging_2305/klagomål/A 55931-2023 FSC-klagomål.docx", "A 55931-2023")</f>
        <v/>
      </c>
      <c r="W1447">
        <f>HYPERLINK("https://klasma.github.io/Logging_2305/klagomålsmail/A 55931-2023 FSC-klagomål mail.docx", "A 55931-2023")</f>
        <v/>
      </c>
      <c r="X1447">
        <f>HYPERLINK("https://klasma.github.io/Logging_2305/tillsyn/A 55931-2023 tillsynsbegäran.docx", "A 55931-2023")</f>
        <v/>
      </c>
      <c r="Y1447">
        <f>HYPERLINK("https://klasma.github.io/Logging_2305/tillsynsmail/A 55931-2023 tillsynsbegäran mail.docx", "A 55931-2023")</f>
        <v/>
      </c>
    </row>
    <row r="1448" ht="15" customHeight="1">
      <c r="A1448" t="inlineStr">
        <is>
          <t>A 56283-2023</t>
        </is>
      </c>
      <c r="B1448" s="1" t="n">
        <v>45241</v>
      </c>
      <c r="C1448" s="1" t="n">
        <v>45363</v>
      </c>
      <c r="D1448" t="inlineStr">
        <is>
          <t>JÄMTLANDS LÄN</t>
        </is>
      </c>
      <c r="E1448" t="inlineStr">
        <is>
          <t>RAGUNDA</t>
        </is>
      </c>
      <c r="F1448" t="inlineStr">
        <is>
          <t>SCA</t>
        </is>
      </c>
      <c r="G1448" t="n">
        <v>7.4</v>
      </c>
      <c r="H1448" t="n">
        <v>1</v>
      </c>
      <c r="I1448" t="n">
        <v>0</v>
      </c>
      <c r="J1448" t="n">
        <v>0</v>
      </c>
      <c r="K1448" t="n">
        <v>1</v>
      </c>
      <c r="L1448" t="n">
        <v>0</v>
      </c>
      <c r="M1448" t="n">
        <v>0</v>
      </c>
      <c r="N1448" t="n">
        <v>0</v>
      </c>
      <c r="O1448" t="n">
        <v>1</v>
      </c>
      <c r="P1448" t="n">
        <v>1</v>
      </c>
      <c r="Q1448" t="n">
        <v>1</v>
      </c>
      <c r="R1448" s="2" t="inlineStr">
        <is>
          <t>Doftticka</t>
        </is>
      </c>
      <c r="S1448">
        <f>HYPERLINK("https://klasma.github.io/Logging_2303/artfynd/A 56283-2023 artfynd.xlsx", "A 56283-2023")</f>
        <v/>
      </c>
      <c r="T1448">
        <f>HYPERLINK("https://klasma.github.io/Logging_2303/kartor/A 56283-2023 karta.png", "A 56283-2023")</f>
        <v/>
      </c>
      <c r="V1448">
        <f>HYPERLINK("https://klasma.github.io/Logging_2303/klagomål/A 56283-2023 FSC-klagomål.docx", "A 56283-2023")</f>
        <v/>
      </c>
      <c r="W1448">
        <f>HYPERLINK("https://klasma.github.io/Logging_2303/klagomålsmail/A 56283-2023 FSC-klagomål mail.docx", "A 56283-2023")</f>
        <v/>
      </c>
      <c r="X1448">
        <f>HYPERLINK("https://klasma.github.io/Logging_2303/tillsyn/A 56283-2023 tillsynsbegäran.docx", "A 56283-2023")</f>
        <v/>
      </c>
      <c r="Y1448">
        <f>HYPERLINK("https://klasma.github.io/Logging_2303/tillsynsmail/A 56283-2023 tillsynsbegäran mail.docx", "A 56283-2023")</f>
        <v/>
      </c>
    </row>
    <row r="1449" ht="15" customHeight="1">
      <c r="A1449" t="inlineStr">
        <is>
          <t>A 56572-2023</t>
        </is>
      </c>
      <c r="B1449" s="1" t="n">
        <v>45243</v>
      </c>
      <c r="C1449" s="1" t="n">
        <v>45363</v>
      </c>
      <c r="D1449" t="inlineStr">
        <is>
          <t>JÄMTLANDS LÄN</t>
        </is>
      </c>
      <c r="E1449" t="inlineStr">
        <is>
          <t>KROKOM</t>
        </is>
      </c>
      <c r="F1449" t="inlineStr">
        <is>
          <t>Övriga Aktiebolag</t>
        </is>
      </c>
      <c r="G1449" t="n">
        <v>0.8</v>
      </c>
      <c r="H1449" t="n">
        <v>1</v>
      </c>
      <c r="I1449" t="n">
        <v>0</v>
      </c>
      <c r="J1449" t="n">
        <v>0</v>
      </c>
      <c r="K1449" t="n">
        <v>0</v>
      </c>
      <c r="L1449" t="n">
        <v>0</v>
      </c>
      <c r="M1449" t="n">
        <v>0</v>
      </c>
      <c r="N1449" t="n">
        <v>0</v>
      </c>
      <c r="O1449" t="n">
        <v>0</v>
      </c>
      <c r="P1449" t="n">
        <v>0</v>
      </c>
      <c r="Q1449" t="n">
        <v>1</v>
      </c>
      <c r="R1449" s="2" t="inlineStr">
        <is>
          <t>Vanlig groda</t>
        </is>
      </c>
      <c r="S1449">
        <f>HYPERLINK("https://klasma.github.io/Logging_2309/artfynd/A 56572-2023 artfynd.xlsx", "A 56572-2023")</f>
        <v/>
      </c>
      <c r="T1449">
        <f>HYPERLINK("https://klasma.github.io/Logging_2309/kartor/A 56572-2023 karta.png", "A 56572-2023")</f>
        <v/>
      </c>
      <c r="V1449">
        <f>HYPERLINK("https://klasma.github.io/Logging_2309/klagomål/A 56572-2023 FSC-klagomål.docx", "A 56572-2023")</f>
        <v/>
      </c>
      <c r="W1449">
        <f>HYPERLINK("https://klasma.github.io/Logging_2309/klagomålsmail/A 56572-2023 FSC-klagomål mail.docx", "A 56572-2023")</f>
        <v/>
      </c>
      <c r="X1449">
        <f>HYPERLINK("https://klasma.github.io/Logging_2309/tillsyn/A 56572-2023 tillsynsbegäran.docx", "A 56572-2023")</f>
        <v/>
      </c>
      <c r="Y1449">
        <f>HYPERLINK("https://klasma.github.io/Logging_2309/tillsynsmail/A 56572-2023 tillsynsbegäran mail.docx", "A 56572-2023")</f>
        <v/>
      </c>
    </row>
    <row r="1450" ht="15" customHeight="1">
      <c r="A1450" t="inlineStr">
        <is>
          <t>A 56628-2023</t>
        </is>
      </c>
      <c r="B1450" s="1" t="n">
        <v>45243</v>
      </c>
      <c r="C1450" s="1" t="n">
        <v>45363</v>
      </c>
      <c r="D1450" t="inlineStr">
        <is>
          <t>JÄMTLANDS LÄN</t>
        </is>
      </c>
      <c r="E1450" t="inlineStr">
        <is>
          <t>KROKOM</t>
        </is>
      </c>
      <c r="G1450" t="n">
        <v>17.8</v>
      </c>
      <c r="H1450" t="n">
        <v>1</v>
      </c>
      <c r="I1450" t="n">
        <v>0</v>
      </c>
      <c r="J1450" t="n">
        <v>0</v>
      </c>
      <c r="K1450" t="n">
        <v>0</v>
      </c>
      <c r="L1450" t="n">
        <v>0</v>
      </c>
      <c r="M1450" t="n">
        <v>0</v>
      </c>
      <c r="N1450" t="n">
        <v>0</v>
      </c>
      <c r="O1450" t="n">
        <v>0</v>
      </c>
      <c r="P1450" t="n">
        <v>0</v>
      </c>
      <c r="Q1450" t="n">
        <v>1</v>
      </c>
      <c r="R1450" s="2" t="inlineStr">
        <is>
          <t>Blåsippa</t>
        </is>
      </c>
      <c r="S1450">
        <f>HYPERLINK("https://klasma.github.io/Logging_2309/artfynd/A 56628-2023 artfynd.xlsx", "A 56628-2023")</f>
        <v/>
      </c>
      <c r="T1450">
        <f>HYPERLINK("https://klasma.github.io/Logging_2309/kartor/A 56628-2023 karta.png", "A 56628-2023")</f>
        <v/>
      </c>
      <c r="V1450">
        <f>HYPERLINK("https://klasma.github.io/Logging_2309/klagomål/A 56628-2023 FSC-klagomål.docx", "A 56628-2023")</f>
        <v/>
      </c>
      <c r="W1450">
        <f>HYPERLINK("https://klasma.github.io/Logging_2309/klagomålsmail/A 56628-2023 FSC-klagomål mail.docx", "A 56628-2023")</f>
        <v/>
      </c>
      <c r="X1450">
        <f>HYPERLINK("https://klasma.github.io/Logging_2309/tillsyn/A 56628-2023 tillsynsbegäran.docx", "A 56628-2023")</f>
        <v/>
      </c>
      <c r="Y1450">
        <f>HYPERLINK("https://klasma.github.io/Logging_2309/tillsynsmail/A 56628-2023 tillsynsbegäran mail.docx", "A 56628-2023")</f>
        <v/>
      </c>
    </row>
    <row r="1451" ht="15" customHeight="1">
      <c r="A1451" t="inlineStr">
        <is>
          <t>A 56689-2023</t>
        </is>
      </c>
      <c r="B1451" s="1" t="n">
        <v>45243</v>
      </c>
      <c r="C1451" s="1" t="n">
        <v>45363</v>
      </c>
      <c r="D1451" t="inlineStr">
        <is>
          <t>JÄMTLANDS LÄN</t>
        </is>
      </c>
      <c r="E1451" t="inlineStr">
        <is>
          <t>STRÖMSUND</t>
        </is>
      </c>
      <c r="F1451" t="inlineStr">
        <is>
          <t>SCA</t>
        </is>
      </c>
      <c r="G1451" t="n">
        <v>1.3</v>
      </c>
      <c r="H1451" t="n">
        <v>0</v>
      </c>
      <c r="I1451" t="n">
        <v>0</v>
      </c>
      <c r="J1451" t="n">
        <v>1</v>
      </c>
      <c r="K1451" t="n">
        <v>0</v>
      </c>
      <c r="L1451" t="n">
        <v>0</v>
      </c>
      <c r="M1451" t="n">
        <v>0</v>
      </c>
      <c r="N1451" t="n">
        <v>0</v>
      </c>
      <c r="O1451" t="n">
        <v>1</v>
      </c>
      <c r="P1451" t="n">
        <v>0</v>
      </c>
      <c r="Q1451" t="n">
        <v>1</v>
      </c>
      <c r="R1451" s="2" t="inlineStr">
        <is>
          <t>Garnlav</t>
        </is>
      </c>
      <c r="S1451">
        <f>HYPERLINK("https://klasma.github.io/Logging_2313/artfynd/A 56689-2023 artfynd.xlsx", "A 56689-2023")</f>
        <v/>
      </c>
      <c r="T1451">
        <f>HYPERLINK("https://klasma.github.io/Logging_2313/kartor/A 56689-2023 karta.png", "A 56689-2023")</f>
        <v/>
      </c>
      <c r="V1451">
        <f>HYPERLINK("https://klasma.github.io/Logging_2313/klagomål/A 56689-2023 FSC-klagomål.docx", "A 56689-2023")</f>
        <v/>
      </c>
      <c r="W1451">
        <f>HYPERLINK("https://klasma.github.io/Logging_2313/klagomålsmail/A 56689-2023 FSC-klagomål mail.docx", "A 56689-2023")</f>
        <v/>
      </c>
      <c r="X1451">
        <f>HYPERLINK("https://klasma.github.io/Logging_2313/tillsyn/A 56689-2023 tillsynsbegäran.docx", "A 56689-2023")</f>
        <v/>
      </c>
      <c r="Y1451">
        <f>HYPERLINK("https://klasma.github.io/Logging_2313/tillsynsmail/A 56689-2023 tillsynsbegäran mail.docx", "A 56689-2023")</f>
        <v/>
      </c>
    </row>
    <row r="1452" ht="15" customHeight="1">
      <c r="A1452" t="inlineStr">
        <is>
          <t>A 57619-2023</t>
        </is>
      </c>
      <c r="B1452" s="1" t="n">
        <v>45243</v>
      </c>
      <c r="C1452" s="1" t="n">
        <v>45363</v>
      </c>
      <c r="D1452" t="inlineStr">
        <is>
          <t>JÄMTLANDS LÄN</t>
        </is>
      </c>
      <c r="E1452" t="inlineStr">
        <is>
          <t>STRÖMSUND</t>
        </is>
      </c>
      <c r="F1452" t="inlineStr">
        <is>
          <t>SCA</t>
        </is>
      </c>
      <c r="G1452" t="n">
        <v>17</v>
      </c>
      <c r="H1452" t="n">
        <v>0</v>
      </c>
      <c r="I1452" t="n">
        <v>0</v>
      </c>
      <c r="J1452" t="n">
        <v>1</v>
      </c>
      <c r="K1452" t="n">
        <v>0</v>
      </c>
      <c r="L1452" t="n">
        <v>0</v>
      </c>
      <c r="M1452" t="n">
        <v>0</v>
      </c>
      <c r="N1452" t="n">
        <v>0</v>
      </c>
      <c r="O1452" t="n">
        <v>1</v>
      </c>
      <c r="P1452" t="n">
        <v>0</v>
      </c>
      <c r="Q1452" t="n">
        <v>1</v>
      </c>
      <c r="R1452" s="2" t="inlineStr">
        <is>
          <t>Harticka</t>
        </is>
      </c>
      <c r="S1452">
        <f>HYPERLINK("https://klasma.github.io/Logging_2313/artfynd/A 57619-2023 artfynd.xlsx", "A 57619-2023")</f>
        <v/>
      </c>
      <c r="T1452">
        <f>HYPERLINK("https://klasma.github.io/Logging_2313/kartor/A 57619-2023 karta.png", "A 57619-2023")</f>
        <v/>
      </c>
      <c r="V1452">
        <f>HYPERLINK("https://klasma.github.io/Logging_2313/klagomål/A 57619-2023 FSC-klagomål.docx", "A 57619-2023")</f>
        <v/>
      </c>
      <c r="W1452">
        <f>HYPERLINK("https://klasma.github.io/Logging_2313/klagomålsmail/A 57619-2023 FSC-klagomål mail.docx", "A 57619-2023")</f>
        <v/>
      </c>
      <c r="X1452">
        <f>HYPERLINK("https://klasma.github.io/Logging_2313/tillsyn/A 57619-2023 tillsynsbegäran.docx", "A 57619-2023")</f>
        <v/>
      </c>
      <c r="Y1452">
        <f>HYPERLINK("https://klasma.github.io/Logging_2313/tillsynsmail/A 57619-2023 tillsynsbegäran mail.docx", "A 57619-2023")</f>
        <v/>
      </c>
    </row>
    <row r="1453" ht="15" customHeight="1">
      <c r="A1453" t="inlineStr">
        <is>
          <t>A 57664-2023</t>
        </is>
      </c>
      <c r="B1453" s="1" t="n">
        <v>45243</v>
      </c>
      <c r="C1453" s="1" t="n">
        <v>45363</v>
      </c>
      <c r="D1453" t="inlineStr">
        <is>
          <t>JÄMTLANDS LÄN</t>
        </is>
      </c>
      <c r="E1453" t="inlineStr">
        <is>
          <t>STRÖMSUND</t>
        </is>
      </c>
      <c r="F1453" t="inlineStr">
        <is>
          <t>SCA</t>
        </is>
      </c>
      <c r="G1453" t="n">
        <v>6.2</v>
      </c>
      <c r="H1453" t="n">
        <v>0</v>
      </c>
      <c r="I1453" t="n">
        <v>0</v>
      </c>
      <c r="J1453" t="n">
        <v>0</v>
      </c>
      <c r="K1453" t="n">
        <v>1</v>
      </c>
      <c r="L1453" t="n">
        <v>0</v>
      </c>
      <c r="M1453" t="n">
        <v>0</v>
      </c>
      <c r="N1453" t="n">
        <v>0</v>
      </c>
      <c r="O1453" t="n">
        <v>1</v>
      </c>
      <c r="P1453" t="n">
        <v>1</v>
      </c>
      <c r="Q1453" t="n">
        <v>1</v>
      </c>
      <c r="R1453" s="2" t="inlineStr">
        <is>
          <t>Norsk näverlav</t>
        </is>
      </c>
      <c r="S1453">
        <f>HYPERLINK("https://klasma.github.io/Logging_2313/artfynd/A 57664-2023 artfynd.xlsx", "A 57664-2023")</f>
        <v/>
      </c>
      <c r="T1453">
        <f>HYPERLINK("https://klasma.github.io/Logging_2313/kartor/A 57664-2023 karta.png", "A 57664-2023")</f>
        <v/>
      </c>
      <c r="V1453">
        <f>HYPERLINK("https://klasma.github.io/Logging_2313/klagomål/A 57664-2023 FSC-klagomål.docx", "A 57664-2023")</f>
        <v/>
      </c>
      <c r="W1453">
        <f>HYPERLINK("https://klasma.github.io/Logging_2313/klagomålsmail/A 57664-2023 FSC-klagomål mail.docx", "A 57664-2023")</f>
        <v/>
      </c>
      <c r="X1453">
        <f>HYPERLINK("https://klasma.github.io/Logging_2313/tillsyn/A 57664-2023 tillsynsbegäran.docx", "A 57664-2023")</f>
        <v/>
      </c>
      <c r="Y1453">
        <f>HYPERLINK("https://klasma.github.io/Logging_2313/tillsynsmail/A 57664-2023 tillsynsbegäran mail.docx", "A 57664-2023")</f>
        <v/>
      </c>
    </row>
    <row r="1454" ht="15" customHeight="1">
      <c r="A1454" t="inlineStr">
        <is>
          <t>A 57864-2023</t>
        </is>
      </c>
      <c r="B1454" s="1" t="n">
        <v>45244</v>
      </c>
      <c r="C1454" s="1" t="n">
        <v>45363</v>
      </c>
      <c r="D1454" t="inlineStr">
        <is>
          <t>JÄMTLANDS LÄN</t>
        </is>
      </c>
      <c r="E1454" t="inlineStr">
        <is>
          <t>ÖSTERSUND</t>
        </is>
      </c>
      <c r="G1454" t="n">
        <v>3.1</v>
      </c>
      <c r="H1454" t="n">
        <v>1</v>
      </c>
      <c r="I1454" t="n">
        <v>0</v>
      </c>
      <c r="J1454" t="n">
        <v>0</v>
      </c>
      <c r="K1454" t="n">
        <v>0</v>
      </c>
      <c r="L1454" t="n">
        <v>0</v>
      </c>
      <c r="M1454" t="n">
        <v>0</v>
      </c>
      <c r="N1454" t="n">
        <v>0</v>
      </c>
      <c r="O1454" t="n">
        <v>0</v>
      </c>
      <c r="P1454" t="n">
        <v>0</v>
      </c>
      <c r="Q1454" t="n">
        <v>1</v>
      </c>
      <c r="R1454" s="2" t="inlineStr">
        <is>
          <t>Mattlummer</t>
        </is>
      </c>
      <c r="S1454">
        <f>HYPERLINK("https://klasma.github.io/Logging_2380/artfynd/A 57864-2023 artfynd.xlsx", "A 57864-2023")</f>
        <v/>
      </c>
      <c r="T1454">
        <f>HYPERLINK("https://klasma.github.io/Logging_2380/kartor/A 57864-2023 karta.png", "A 57864-2023")</f>
        <v/>
      </c>
      <c r="V1454">
        <f>HYPERLINK("https://klasma.github.io/Logging_2380/klagomål/A 57864-2023 FSC-klagomål.docx", "A 57864-2023")</f>
        <v/>
      </c>
      <c r="W1454">
        <f>HYPERLINK("https://klasma.github.io/Logging_2380/klagomålsmail/A 57864-2023 FSC-klagomål mail.docx", "A 57864-2023")</f>
        <v/>
      </c>
      <c r="X1454">
        <f>HYPERLINK("https://klasma.github.io/Logging_2380/tillsyn/A 57864-2023 tillsynsbegäran.docx", "A 57864-2023")</f>
        <v/>
      </c>
      <c r="Y1454">
        <f>HYPERLINK("https://klasma.github.io/Logging_2380/tillsynsmail/A 57864-2023 tillsynsbegäran mail.docx", "A 57864-2023")</f>
        <v/>
      </c>
    </row>
    <row r="1455" ht="15" customHeight="1">
      <c r="A1455" t="inlineStr">
        <is>
          <t>A 57075-2023</t>
        </is>
      </c>
      <c r="B1455" s="1" t="n">
        <v>45245</v>
      </c>
      <c r="C1455" s="1" t="n">
        <v>45363</v>
      </c>
      <c r="D1455" t="inlineStr">
        <is>
          <t>JÄMTLANDS LÄN</t>
        </is>
      </c>
      <c r="E1455" t="inlineStr">
        <is>
          <t>BRÄCKE</t>
        </is>
      </c>
      <c r="F1455" t="inlineStr">
        <is>
          <t>SCA</t>
        </is>
      </c>
      <c r="G1455" t="n">
        <v>7.5</v>
      </c>
      <c r="H1455" t="n">
        <v>0</v>
      </c>
      <c r="I1455" t="n">
        <v>1</v>
      </c>
      <c r="J1455" t="n">
        <v>0</v>
      </c>
      <c r="K1455" t="n">
        <v>0</v>
      </c>
      <c r="L1455" t="n">
        <v>0</v>
      </c>
      <c r="M1455" t="n">
        <v>0</v>
      </c>
      <c r="N1455" t="n">
        <v>0</v>
      </c>
      <c r="O1455" t="n">
        <v>0</v>
      </c>
      <c r="P1455" t="n">
        <v>0</v>
      </c>
      <c r="Q1455" t="n">
        <v>1</v>
      </c>
      <c r="R1455" s="2" t="inlineStr">
        <is>
          <t>Stor aspticka</t>
        </is>
      </c>
      <c r="S1455">
        <f>HYPERLINK("https://klasma.github.io/Logging_2305/artfynd/A 57075-2023 artfynd.xlsx", "A 57075-2023")</f>
        <v/>
      </c>
      <c r="T1455">
        <f>HYPERLINK("https://klasma.github.io/Logging_2305/kartor/A 57075-2023 karta.png", "A 57075-2023")</f>
        <v/>
      </c>
      <c r="V1455">
        <f>HYPERLINK("https://klasma.github.io/Logging_2305/klagomål/A 57075-2023 FSC-klagomål.docx", "A 57075-2023")</f>
        <v/>
      </c>
      <c r="W1455">
        <f>HYPERLINK("https://klasma.github.io/Logging_2305/klagomålsmail/A 57075-2023 FSC-klagomål mail.docx", "A 57075-2023")</f>
        <v/>
      </c>
      <c r="X1455">
        <f>HYPERLINK("https://klasma.github.io/Logging_2305/tillsyn/A 57075-2023 tillsynsbegäran.docx", "A 57075-2023")</f>
        <v/>
      </c>
      <c r="Y1455">
        <f>HYPERLINK("https://klasma.github.io/Logging_2305/tillsynsmail/A 57075-2023 tillsynsbegäran mail.docx", "A 57075-2023")</f>
        <v/>
      </c>
    </row>
    <row r="1456" ht="15" customHeight="1">
      <c r="A1456" t="inlineStr">
        <is>
          <t>A 57390-2023</t>
        </is>
      </c>
      <c r="B1456" s="1" t="n">
        <v>45245</v>
      </c>
      <c r="C1456" s="1" t="n">
        <v>45363</v>
      </c>
      <c r="D1456" t="inlineStr">
        <is>
          <t>JÄMTLANDS LÄN</t>
        </is>
      </c>
      <c r="E1456" t="inlineStr">
        <is>
          <t>STRÖMSUND</t>
        </is>
      </c>
      <c r="G1456" t="n">
        <v>4.8</v>
      </c>
      <c r="H1456" t="n">
        <v>0</v>
      </c>
      <c r="I1456" t="n">
        <v>1</v>
      </c>
      <c r="J1456" t="n">
        <v>0</v>
      </c>
      <c r="K1456" t="n">
        <v>0</v>
      </c>
      <c r="L1456" t="n">
        <v>0</v>
      </c>
      <c r="M1456" t="n">
        <v>0</v>
      </c>
      <c r="N1456" t="n">
        <v>0</v>
      </c>
      <c r="O1456" t="n">
        <v>0</v>
      </c>
      <c r="P1456" t="n">
        <v>0</v>
      </c>
      <c r="Q1456" t="n">
        <v>1</v>
      </c>
      <c r="R1456" s="2" t="inlineStr">
        <is>
          <t>Svart trolldruva</t>
        </is>
      </c>
      <c r="S1456">
        <f>HYPERLINK("https://klasma.github.io/Logging_2313/artfynd/A 57390-2023 artfynd.xlsx", "A 57390-2023")</f>
        <v/>
      </c>
      <c r="T1456">
        <f>HYPERLINK("https://klasma.github.io/Logging_2313/kartor/A 57390-2023 karta.png", "A 57390-2023")</f>
        <v/>
      </c>
      <c r="V1456">
        <f>HYPERLINK("https://klasma.github.io/Logging_2313/klagomål/A 57390-2023 FSC-klagomål.docx", "A 57390-2023")</f>
        <v/>
      </c>
      <c r="W1456">
        <f>HYPERLINK("https://klasma.github.io/Logging_2313/klagomålsmail/A 57390-2023 FSC-klagomål mail.docx", "A 57390-2023")</f>
        <v/>
      </c>
      <c r="X1456">
        <f>HYPERLINK("https://klasma.github.io/Logging_2313/tillsyn/A 57390-2023 tillsynsbegäran.docx", "A 57390-2023")</f>
        <v/>
      </c>
      <c r="Y1456">
        <f>HYPERLINK("https://klasma.github.io/Logging_2313/tillsynsmail/A 57390-2023 tillsynsbegäran mail.docx", "A 57390-2023")</f>
        <v/>
      </c>
    </row>
    <row r="1457" ht="15" customHeight="1">
      <c r="A1457" t="inlineStr">
        <is>
          <t>A 57409-2023</t>
        </is>
      </c>
      <c r="B1457" s="1" t="n">
        <v>45245</v>
      </c>
      <c r="C1457" s="1" t="n">
        <v>45363</v>
      </c>
      <c r="D1457" t="inlineStr">
        <is>
          <t>JÄMTLANDS LÄN</t>
        </is>
      </c>
      <c r="E1457" t="inlineStr">
        <is>
          <t>BRÄCKE</t>
        </is>
      </c>
      <c r="F1457" t="inlineStr">
        <is>
          <t>SCA</t>
        </is>
      </c>
      <c r="G1457" t="n">
        <v>2.8</v>
      </c>
      <c r="H1457" t="n">
        <v>1</v>
      </c>
      <c r="I1457" t="n">
        <v>1</v>
      </c>
      <c r="J1457" t="n">
        <v>0</v>
      </c>
      <c r="K1457" t="n">
        <v>0</v>
      </c>
      <c r="L1457" t="n">
        <v>0</v>
      </c>
      <c r="M1457" t="n">
        <v>0</v>
      </c>
      <c r="N1457" t="n">
        <v>0</v>
      </c>
      <c r="O1457" t="n">
        <v>0</v>
      </c>
      <c r="P1457" t="n">
        <v>0</v>
      </c>
      <c r="Q1457" t="n">
        <v>1</v>
      </c>
      <c r="R1457" s="2" t="inlineStr">
        <is>
          <t>Spindelblomster</t>
        </is>
      </c>
      <c r="S1457">
        <f>HYPERLINK("https://klasma.github.io/Logging_2305/artfynd/A 57409-2023 artfynd.xlsx", "A 57409-2023")</f>
        <v/>
      </c>
      <c r="T1457">
        <f>HYPERLINK("https://klasma.github.io/Logging_2305/kartor/A 57409-2023 karta.png", "A 57409-2023")</f>
        <v/>
      </c>
      <c r="V1457">
        <f>HYPERLINK("https://klasma.github.io/Logging_2305/klagomål/A 57409-2023 FSC-klagomål.docx", "A 57409-2023")</f>
        <v/>
      </c>
      <c r="W1457">
        <f>HYPERLINK("https://klasma.github.io/Logging_2305/klagomålsmail/A 57409-2023 FSC-klagomål mail.docx", "A 57409-2023")</f>
        <v/>
      </c>
      <c r="X1457">
        <f>HYPERLINK("https://klasma.github.io/Logging_2305/tillsyn/A 57409-2023 tillsynsbegäran.docx", "A 57409-2023")</f>
        <v/>
      </c>
      <c r="Y1457">
        <f>HYPERLINK("https://klasma.github.io/Logging_2305/tillsynsmail/A 57409-2023 tillsynsbegäran mail.docx", "A 57409-2023")</f>
        <v/>
      </c>
    </row>
    <row r="1458" ht="15" customHeight="1">
      <c r="A1458" t="inlineStr">
        <is>
          <t>A 57421-2023</t>
        </is>
      </c>
      <c r="B1458" s="1" t="n">
        <v>45245</v>
      </c>
      <c r="C1458" s="1" t="n">
        <v>45363</v>
      </c>
      <c r="D1458" t="inlineStr">
        <is>
          <t>JÄMTLANDS LÄN</t>
        </is>
      </c>
      <c r="E1458" t="inlineStr">
        <is>
          <t>BERG</t>
        </is>
      </c>
      <c r="F1458" t="inlineStr">
        <is>
          <t>SCA</t>
        </is>
      </c>
      <c r="G1458" t="n">
        <v>5.4</v>
      </c>
      <c r="H1458" t="n">
        <v>0</v>
      </c>
      <c r="I1458" t="n">
        <v>0</v>
      </c>
      <c r="J1458" t="n">
        <v>0</v>
      </c>
      <c r="K1458" t="n">
        <v>1</v>
      </c>
      <c r="L1458" t="n">
        <v>0</v>
      </c>
      <c r="M1458" t="n">
        <v>0</v>
      </c>
      <c r="N1458" t="n">
        <v>0</v>
      </c>
      <c r="O1458" t="n">
        <v>1</v>
      </c>
      <c r="P1458" t="n">
        <v>1</v>
      </c>
      <c r="Q1458" t="n">
        <v>1</v>
      </c>
      <c r="R1458" s="2" t="inlineStr">
        <is>
          <t>Gräddporing</t>
        </is>
      </c>
      <c r="S1458">
        <f>HYPERLINK("https://klasma.github.io/Logging_2326/artfynd/A 57421-2023 artfynd.xlsx", "A 57421-2023")</f>
        <v/>
      </c>
      <c r="T1458">
        <f>HYPERLINK("https://klasma.github.io/Logging_2326/kartor/A 57421-2023 karta.png", "A 57421-2023")</f>
        <v/>
      </c>
      <c r="V1458">
        <f>HYPERLINK("https://klasma.github.io/Logging_2326/klagomål/A 57421-2023 FSC-klagomål.docx", "A 57421-2023")</f>
        <v/>
      </c>
      <c r="W1458">
        <f>HYPERLINK("https://klasma.github.io/Logging_2326/klagomålsmail/A 57421-2023 FSC-klagomål mail.docx", "A 57421-2023")</f>
        <v/>
      </c>
      <c r="X1458">
        <f>HYPERLINK("https://klasma.github.io/Logging_2326/tillsyn/A 57421-2023 tillsynsbegäran.docx", "A 57421-2023")</f>
        <v/>
      </c>
      <c r="Y1458">
        <f>HYPERLINK("https://klasma.github.io/Logging_2326/tillsynsmail/A 57421-2023 tillsynsbegäran mail.docx", "A 57421-2023")</f>
        <v/>
      </c>
    </row>
    <row r="1459" ht="15" customHeight="1">
      <c r="A1459" t="inlineStr">
        <is>
          <t>A 57508-2023</t>
        </is>
      </c>
      <c r="B1459" s="1" t="n">
        <v>45246</v>
      </c>
      <c r="C1459" s="1" t="n">
        <v>45363</v>
      </c>
      <c r="D1459" t="inlineStr">
        <is>
          <t>JÄMTLANDS LÄN</t>
        </is>
      </c>
      <c r="E1459" t="inlineStr">
        <is>
          <t>STRÖMSUND</t>
        </is>
      </c>
      <c r="F1459" t="inlineStr">
        <is>
          <t>Holmen skog AB</t>
        </is>
      </c>
      <c r="G1459" t="n">
        <v>6.4</v>
      </c>
      <c r="H1459" t="n">
        <v>0</v>
      </c>
      <c r="I1459" t="n">
        <v>0</v>
      </c>
      <c r="J1459" t="n">
        <v>1</v>
      </c>
      <c r="K1459" t="n">
        <v>0</v>
      </c>
      <c r="L1459" t="n">
        <v>0</v>
      </c>
      <c r="M1459" t="n">
        <v>0</v>
      </c>
      <c r="N1459" t="n">
        <v>0</v>
      </c>
      <c r="O1459" t="n">
        <v>1</v>
      </c>
      <c r="P1459" t="n">
        <v>0</v>
      </c>
      <c r="Q1459" t="n">
        <v>1</v>
      </c>
      <c r="R1459" s="2" t="inlineStr">
        <is>
          <t>Lunglav</t>
        </is>
      </c>
      <c r="S1459">
        <f>HYPERLINK("https://klasma.github.io/Logging_2313/artfynd/A 57508-2023 artfynd.xlsx", "A 57508-2023")</f>
        <v/>
      </c>
      <c r="T1459">
        <f>HYPERLINK("https://klasma.github.io/Logging_2313/kartor/A 57508-2023 karta.png", "A 57508-2023")</f>
        <v/>
      </c>
      <c r="V1459">
        <f>HYPERLINK("https://klasma.github.io/Logging_2313/klagomål/A 57508-2023 FSC-klagomål.docx", "A 57508-2023")</f>
        <v/>
      </c>
      <c r="W1459">
        <f>HYPERLINK("https://klasma.github.io/Logging_2313/klagomålsmail/A 57508-2023 FSC-klagomål mail.docx", "A 57508-2023")</f>
        <v/>
      </c>
      <c r="X1459">
        <f>HYPERLINK("https://klasma.github.io/Logging_2313/tillsyn/A 57508-2023 tillsynsbegäran.docx", "A 57508-2023")</f>
        <v/>
      </c>
      <c r="Y1459">
        <f>HYPERLINK("https://klasma.github.io/Logging_2313/tillsynsmail/A 57508-2023 tillsynsbegäran mail.docx", "A 57508-2023")</f>
        <v/>
      </c>
    </row>
    <row r="1460" ht="15" customHeight="1">
      <c r="A1460" t="inlineStr">
        <is>
          <t>A 57797-2023</t>
        </is>
      </c>
      <c r="B1460" s="1" t="n">
        <v>45247</v>
      </c>
      <c r="C1460" s="1" t="n">
        <v>45363</v>
      </c>
      <c r="D1460" t="inlineStr">
        <is>
          <t>JÄMTLANDS LÄN</t>
        </is>
      </c>
      <c r="E1460" t="inlineStr">
        <is>
          <t>BRÄCKE</t>
        </is>
      </c>
      <c r="F1460" t="inlineStr">
        <is>
          <t>SCA</t>
        </is>
      </c>
      <c r="G1460" t="n">
        <v>2.7</v>
      </c>
      <c r="H1460" t="n">
        <v>0</v>
      </c>
      <c r="I1460" t="n">
        <v>1</v>
      </c>
      <c r="J1460" t="n">
        <v>0</v>
      </c>
      <c r="K1460" t="n">
        <v>0</v>
      </c>
      <c r="L1460" t="n">
        <v>0</v>
      </c>
      <c r="M1460" t="n">
        <v>0</v>
      </c>
      <c r="N1460" t="n">
        <v>0</v>
      </c>
      <c r="O1460" t="n">
        <v>0</v>
      </c>
      <c r="P1460" t="n">
        <v>0</v>
      </c>
      <c r="Q1460" t="n">
        <v>1</v>
      </c>
      <c r="R1460" s="2" t="inlineStr">
        <is>
          <t>Korallblylav</t>
        </is>
      </c>
      <c r="S1460">
        <f>HYPERLINK("https://klasma.github.io/Logging_2305/artfynd/A 57797-2023 artfynd.xlsx", "A 57797-2023")</f>
        <v/>
      </c>
      <c r="T1460">
        <f>HYPERLINK("https://klasma.github.io/Logging_2305/kartor/A 57797-2023 karta.png", "A 57797-2023")</f>
        <v/>
      </c>
      <c r="V1460">
        <f>HYPERLINK("https://klasma.github.io/Logging_2305/klagomål/A 57797-2023 FSC-klagomål.docx", "A 57797-2023")</f>
        <v/>
      </c>
      <c r="W1460">
        <f>HYPERLINK("https://klasma.github.io/Logging_2305/klagomålsmail/A 57797-2023 FSC-klagomål mail.docx", "A 57797-2023")</f>
        <v/>
      </c>
      <c r="X1460">
        <f>HYPERLINK("https://klasma.github.io/Logging_2305/tillsyn/A 57797-2023 tillsynsbegäran.docx", "A 57797-2023")</f>
        <v/>
      </c>
      <c r="Y1460">
        <f>HYPERLINK("https://klasma.github.io/Logging_2305/tillsynsmail/A 57797-2023 tillsynsbegäran mail.docx", "A 57797-2023")</f>
        <v/>
      </c>
    </row>
    <row r="1461" ht="15" customHeight="1">
      <c r="A1461" t="inlineStr">
        <is>
          <t>A 59104-2023</t>
        </is>
      </c>
      <c r="B1461" s="1" t="n">
        <v>45253</v>
      </c>
      <c r="C1461" s="1" t="n">
        <v>45363</v>
      </c>
      <c r="D1461" t="inlineStr">
        <is>
          <t>JÄMTLANDS LÄN</t>
        </is>
      </c>
      <c r="E1461" t="inlineStr">
        <is>
          <t>RAGUNDA</t>
        </is>
      </c>
      <c r="F1461" t="inlineStr">
        <is>
          <t>SCA</t>
        </is>
      </c>
      <c r="G1461" t="n">
        <v>4.2</v>
      </c>
      <c r="H1461" t="n">
        <v>0</v>
      </c>
      <c r="I1461" t="n">
        <v>0</v>
      </c>
      <c r="J1461" t="n">
        <v>1</v>
      </c>
      <c r="K1461" t="n">
        <v>0</v>
      </c>
      <c r="L1461" t="n">
        <v>0</v>
      </c>
      <c r="M1461" t="n">
        <v>0</v>
      </c>
      <c r="N1461" t="n">
        <v>0</v>
      </c>
      <c r="O1461" t="n">
        <v>1</v>
      </c>
      <c r="P1461" t="n">
        <v>0</v>
      </c>
      <c r="Q1461" t="n">
        <v>1</v>
      </c>
      <c r="R1461" s="2" t="inlineStr">
        <is>
          <t>Ullticka</t>
        </is>
      </c>
      <c r="S1461">
        <f>HYPERLINK("https://klasma.github.io/Logging_2303/artfynd/A 59104-2023 artfynd.xlsx", "A 59104-2023")</f>
        <v/>
      </c>
      <c r="T1461">
        <f>HYPERLINK("https://klasma.github.io/Logging_2303/kartor/A 59104-2023 karta.png", "A 59104-2023")</f>
        <v/>
      </c>
      <c r="V1461">
        <f>HYPERLINK("https://klasma.github.io/Logging_2303/klagomål/A 59104-2023 FSC-klagomål.docx", "A 59104-2023")</f>
        <v/>
      </c>
      <c r="W1461">
        <f>HYPERLINK("https://klasma.github.io/Logging_2303/klagomålsmail/A 59104-2023 FSC-klagomål mail.docx", "A 59104-2023")</f>
        <v/>
      </c>
      <c r="X1461">
        <f>HYPERLINK("https://klasma.github.io/Logging_2303/tillsyn/A 59104-2023 tillsynsbegäran.docx", "A 59104-2023")</f>
        <v/>
      </c>
      <c r="Y1461">
        <f>HYPERLINK("https://klasma.github.io/Logging_2303/tillsynsmail/A 59104-2023 tillsynsbegäran mail.docx", "A 59104-2023")</f>
        <v/>
      </c>
    </row>
    <row r="1462" ht="15" customHeight="1">
      <c r="A1462" t="inlineStr">
        <is>
          <t>A 59402-2023</t>
        </is>
      </c>
      <c r="B1462" s="1" t="n">
        <v>45253</v>
      </c>
      <c r="C1462" s="1" t="n">
        <v>45363</v>
      </c>
      <c r="D1462" t="inlineStr">
        <is>
          <t>JÄMTLANDS LÄN</t>
        </is>
      </c>
      <c r="E1462" t="inlineStr">
        <is>
          <t>ÅRE</t>
        </is>
      </c>
      <c r="G1462" t="n">
        <v>2.3</v>
      </c>
      <c r="H1462" t="n">
        <v>0</v>
      </c>
      <c r="I1462" t="n">
        <v>0</v>
      </c>
      <c r="J1462" t="n">
        <v>1</v>
      </c>
      <c r="K1462" t="n">
        <v>0</v>
      </c>
      <c r="L1462" t="n">
        <v>0</v>
      </c>
      <c r="M1462" t="n">
        <v>0</v>
      </c>
      <c r="N1462" t="n">
        <v>0</v>
      </c>
      <c r="O1462" t="n">
        <v>1</v>
      </c>
      <c r="P1462" t="n">
        <v>0</v>
      </c>
      <c r="Q1462" t="n">
        <v>1</v>
      </c>
      <c r="R1462" s="2" t="inlineStr">
        <is>
          <t>Garnlav</t>
        </is>
      </c>
      <c r="S1462">
        <f>HYPERLINK("https://klasma.github.io/Logging_2321/artfynd/A 59402-2023 artfynd.xlsx", "A 59402-2023")</f>
        <v/>
      </c>
      <c r="T1462">
        <f>HYPERLINK("https://klasma.github.io/Logging_2321/kartor/A 59402-2023 karta.png", "A 59402-2023")</f>
        <v/>
      </c>
      <c r="V1462">
        <f>HYPERLINK("https://klasma.github.io/Logging_2321/klagomål/A 59402-2023 FSC-klagomål.docx", "A 59402-2023")</f>
        <v/>
      </c>
      <c r="W1462">
        <f>HYPERLINK("https://klasma.github.io/Logging_2321/klagomålsmail/A 59402-2023 FSC-klagomål mail.docx", "A 59402-2023")</f>
        <v/>
      </c>
      <c r="X1462">
        <f>HYPERLINK("https://klasma.github.io/Logging_2321/tillsyn/A 59402-2023 tillsynsbegäran.docx", "A 59402-2023")</f>
        <v/>
      </c>
      <c r="Y1462">
        <f>HYPERLINK("https://klasma.github.io/Logging_2321/tillsynsmail/A 59402-2023 tillsynsbegäran mail.docx", "A 59402-2023")</f>
        <v/>
      </c>
    </row>
    <row r="1463" ht="15" customHeight="1">
      <c r="A1463" t="inlineStr">
        <is>
          <t>A 59726-2023</t>
        </is>
      </c>
      <c r="B1463" s="1" t="n">
        <v>45257</v>
      </c>
      <c r="C1463" s="1" t="n">
        <v>45363</v>
      </c>
      <c r="D1463" t="inlineStr">
        <is>
          <t>JÄMTLANDS LÄN</t>
        </is>
      </c>
      <c r="E1463" t="inlineStr">
        <is>
          <t>STRÖMSUND</t>
        </is>
      </c>
      <c r="F1463" t="inlineStr">
        <is>
          <t>Sveaskog</t>
        </is>
      </c>
      <c r="G1463" t="n">
        <v>7.3</v>
      </c>
      <c r="H1463" t="n">
        <v>0</v>
      </c>
      <c r="I1463" t="n">
        <v>1</v>
      </c>
      <c r="J1463" t="n">
        <v>0</v>
      </c>
      <c r="K1463" t="n">
        <v>0</v>
      </c>
      <c r="L1463" t="n">
        <v>0</v>
      </c>
      <c r="M1463" t="n">
        <v>0</v>
      </c>
      <c r="N1463" t="n">
        <v>0</v>
      </c>
      <c r="O1463" t="n">
        <v>0</v>
      </c>
      <c r="P1463" t="n">
        <v>0</v>
      </c>
      <c r="Q1463" t="n">
        <v>1</v>
      </c>
      <c r="R1463" s="2" t="inlineStr">
        <is>
          <t>Svavelriska</t>
        </is>
      </c>
      <c r="S1463">
        <f>HYPERLINK("https://klasma.github.io/Logging_2313/artfynd/A 59726-2023 artfynd.xlsx", "A 59726-2023")</f>
        <v/>
      </c>
      <c r="T1463">
        <f>HYPERLINK("https://klasma.github.io/Logging_2313/kartor/A 59726-2023 karta.png", "A 59726-2023")</f>
        <v/>
      </c>
      <c r="V1463">
        <f>HYPERLINK("https://klasma.github.io/Logging_2313/klagomål/A 59726-2023 FSC-klagomål.docx", "A 59726-2023")</f>
        <v/>
      </c>
      <c r="W1463">
        <f>HYPERLINK("https://klasma.github.io/Logging_2313/klagomålsmail/A 59726-2023 FSC-klagomål mail.docx", "A 59726-2023")</f>
        <v/>
      </c>
      <c r="X1463">
        <f>HYPERLINK("https://klasma.github.io/Logging_2313/tillsyn/A 59726-2023 tillsynsbegäran.docx", "A 59726-2023")</f>
        <v/>
      </c>
      <c r="Y1463">
        <f>HYPERLINK("https://klasma.github.io/Logging_2313/tillsynsmail/A 59726-2023 tillsynsbegäran mail.docx", "A 59726-2023")</f>
        <v/>
      </c>
    </row>
    <row r="1464" ht="15" customHeight="1">
      <c r="A1464" t="inlineStr">
        <is>
          <t>A 60828-2023</t>
        </is>
      </c>
      <c r="B1464" s="1" t="n">
        <v>45258</v>
      </c>
      <c r="C1464" s="1" t="n">
        <v>45363</v>
      </c>
      <c r="D1464" t="inlineStr">
        <is>
          <t>JÄMTLANDS LÄN</t>
        </is>
      </c>
      <c r="E1464" t="inlineStr">
        <is>
          <t>STRÖMSUND</t>
        </is>
      </c>
      <c r="G1464" t="n">
        <v>6.7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HYPERLINK("https://klasma.github.io/Logging_2313/artfynd/A 60828-2023 artfynd.xlsx", "A 60828-2023")</f>
        <v/>
      </c>
      <c r="T1464">
        <f>HYPERLINK("https://klasma.github.io/Logging_2313/kartor/A 60828-2023 karta.png", "A 60828-2023")</f>
        <v/>
      </c>
      <c r="V1464">
        <f>HYPERLINK("https://klasma.github.io/Logging_2313/klagomål/A 60828-2023 FSC-klagomål.docx", "A 60828-2023")</f>
        <v/>
      </c>
      <c r="W1464">
        <f>HYPERLINK("https://klasma.github.io/Logging_2313/klagomålsmail/A 60828-2023 FSC-klagomål mail.docx", "A 60828-2023")</f>
        <v/>
      </c>
      <c r="X1464">
        <f>HYPERLINK("https://klasma.github.io/Logging_2313/tillsyn/A 60828-2023 tillsynsbegäran.docx", "A 60828-2023")</f>
        <v/>
      </c>
      <c r="Y1464">
        <f>HYPERLINK("https://klasma.github.io/Logging_2313/tillsynsmail/A 60828-2023 tillsynsbegäran mail.docx", "A 60828-2023")</f>
        <v/>
      </c>
      <c r="Z1464">
        <f>HYPERLINK("https://klasma.github.io/Logging_2313/fåglar/A 60828-2023 prioriterade fågelarter.docx", "A 60828-2023")</f>
        <v/>
      </c>
    </row>
    <row r="1465" ht="15" customHeight="1">
      <c r="A1465" t="inlineStr">
        <is>
          <t>A 61505-2023</t>
        </is>
      </c>
      <c r="B1465" s="1" t="n">
        <v>45264</v>
      </c>
      <c r="C1465" s="1" t="n">
        <v>45363</v>
      </c>
      <c r="D1465" t="inlineStr">
        <is>
          <t>JÄMTLANDS LÄN</t>
        </is>
      </c>
      <c r="E1465" t="inlineStr">
        <is>
          <t>RAGUNDA</t>
        </is>
      </c>
      <c r="F1465" t="inlineStr">
        <is>
          <t>SCA</t>
        </is>
      </c>
      <c r="G1465" t="n">
        <v>38.3</v>
      </c>
      <c r="H1465" t="n">
        <v>1</v>
      </c>
      <c r="I1465" t="n">
        <v>0</v>
      </c>
      <c r="J1465" t="n">
        <v>1</v>
      </c>
      <c r="K1465" t="n">
        <v>0</v>
      </c>
      <c r="L1465" t="n">
        <v>0</v>
      </c>
      <c r="M1465" t="n">
        <v>0</v>
      </c>
      <c r="N1465" t="n">
        <v>0</v>
      </c>
      <c r="O1465" t="n">
        <v>1</v>
      </c>
      <c r="P1465" t="n">
        <v>0</v>
      </c>
      <c r="Q1465" t="n">
        <v>1</v>
      </c>
      <c r="R1465" s="2" t="inlineStr">
        <is>
          <t>Järpe</t>
        </is>
      </c>
      <c r="S1465">
        <f>HYPERLINK("https://klasma.github.io/Logging_2303/artfynd/A 61505-2023 artfynd.xlsx", "A 61505-2023")</f>
        <v/>
      </c>
      <c r="T1465">
        <f>HYPERLINK("https://klasma.github.io/Logging_2303/kartor/A 61505-2023 karta.png", "A 61505-2023")</f>
        <v/>
      </c>
      <c r="V1465">
        <f>HYPERLINK("https://klasma.github.io/Logging_2303/klagomål/A 61505-2023 FSC-klagomål.docx", "A 61505-2023")</f>
        <v/>
      </c>
      <c r="W1465">
        <f>HYPERLINK("https://klasma.github.io/Logging_2303/klagomålsmail/A 61505-2023 FSC-klagomål mail.docx", "A 61505-2023")</f>
        <v/>
      </c>
      <c r="X1465">
        <f>HYPERLINK("https://klasma.github.io/Logging_2303/tillsyn/A 61505-2023 tillsynsbegäran.docx", "A 61505-2023")</f>
        <v/>
      </c>
      <c r="Y1465">
        <f>HYPERLINK("https://klasma.github.io/Logging_2303/tillsynsmail/A 61505-2023 tillsynsbegäran mail.docx", "A 61505-2023")</f>
        <v/>
      </c>
      <c r="Z1465">
        <f>HYPERLINK("https://klasma.github.io/Logging_2303/fåglar/A 61505-2023 prioriterade fågelarter.docx", "A 61505-2023")</f>
        <v/>
      </c>
    </row>
    <row r="1466" ht="15" customHeight="1">
      <c r="A1466" t="inlineStr">
        <is>
          <t>A 61471-2023</t>
        </is>
      </c>
      <c r="B1466" s="1" t="n">
        <v>45264</v>
      </c>
      <c r="C1466" s="1" t="n">
        <v>45363</v>
      </c>
      <c r="D1466" t="inlineStr">
        <is>
          <t>JÄMTLANDS LÄN</t>
        </is>
      </c>
      <c r="E1466" t="inlineStr">
        <is>
          <t>ÅRE</t>
        </is>
      </c>
      <c r="G1466" t="n">
        <v>1</v>
      </c>
      <c r="H1466" t="n">
        <v>0</v>
      </c>
      <c r="I1466" t="n">
        <v>0</v>
      </c>
      <c r="J1466" t="n">
        <v>1</v>
      </c>
      <c r="K1466" t="n">
        <v>0</v>
      </c>
      <c r="L1466" t="n">
        <v>0</v>
      </c>
      <c r="M1466" t="n">
        <v>0</v>
      </c>
      <c r="N1466" t="n">
        <v>0</v>
      </c>
      <c r="O1466" t="n">
        <v>1</v>
      </c>
      <c r="P1466" t="n">
        <v>0</v>
      </c>
      <c r="Q1466" t="n">
        <v>1</v>
      </c>
      <c r="R1466" s="2" t="inlineStr">
        <is>
          <t>Skrovellav</t>
        </is>
      </c>
      <c r="S1466">
        <f>HYPERLINK("https://klasma.github.io/Logging_2321/artfynd/A 61471-2023 artfynd.xlsx", "A 61471-2023")</f>
        <v/>
      </c>
      <c r="T1466">
        <f>HYPERLINK("https://klasma.github.io/Logging_2321/kartor/A 61471-2023 karta.png", "A 61471-2023")</f>
        <v/>
      </c>
      <c r="V1466">
        <f>HYPERLINK("https://klasma.github.io/Logging_2321/klagomål/A 61471-2023 FSC-klagomål.docx", "A 61471-2023")</f>
        <v/>
      </c>
      <c r="W1466">
        <f>HYPERLINK("https://klasma.github.io/Logging_2321/klagomålsmail/A 61471-2023 FSC-klagomål mail.docx", "A 61471-2023")</f>
        <v/>
      </c>
      <c r="X1466">
        <f>HYPERLINK("https://klasma.github.io/Logging_2321/tillsyn/A 61471-2023 tillsynsbegäran.docx", "A 61471-2023")</f>
        <v/>
      </c>
      <c r="Y1466">
        <f>HYPERLINK("https://klasma.github.io/Logging_2321/tillsynsmail/A 61471-2023 tillsynsbegäran mail.docx", "A 61471-2023")</f>
        <v/>
      </c>
    </row>
    <row r="1467" ht="15" customHeight="1">
      <c r="A1467" t="inlineStr">
        <is>
          <t>A 62072-2023</t>
        </is>
      </c>
      <c r="B1467" s="1" t="n">
        <v>45266</v>
      </c>
      <c r="C1467" s="1" t="n">
        <v>45363</v>
      </c>
      <c r="D1467" t="inlineStr">
        <is>
          <t>JÄMTLANDS LÄN</t>
        </is>
      </c>
      <c r="E1467" t="inlineStr">
        <is>
          <t>RAGUNDA</t>
        </is>
      </c>
      <c r="G1467" t="n">
        <v>4.5</v>
      </c>
      <c r="H1467" t="n">
        <v>1</v>
      </c>
      <c r="I1467" t="n">
        <v>0</v>
      </c>
      <c r="J1467" t="n">
        <v>0</v>
      </c>
      <c r="K1467" t="n">
        <v>1</v>
      </c>
      <c r="L1467" t="n">
        <v>0</v>
      </c>
      <c r="M1467" t="n">
        <v>0</v>
      </c>
      <c r="N1467" t="n">
        <v>0</v>
      </c>
      <c r="O1467" t="n">
        <v>1</v>
      </c>
      <c r="P1467" t="n">
        <v>1</v>
      </c>
      <c r="Q1467" t="n">
        <v>1</v>
      </c>
      <c r="R1467" s="2" t="inlineStr">
        <is>
          <t>Lappuggla</t>
        </is>
      </c>
      <c r="S1467">
        <f>HYPERLINK("https://klasma.github.io/Logging_2303/artfynd/A 62072-2023 artfynd.xlsx", "A 62072-2023")</f>
        <v/>
      </c>
      <c r="T1467">
        <f>HYPERLINK("https://klasma.github.io/Logging_2303/kartor/A 62072-2023 karta.png", "A 62072-2023")</f>
        <v/>
      </c>
      <c r="V1467">
        <f>HYPERLINK("https://klasma.github.io/Logging_2303/klagomål/A 62072-2023 FSC-klagomål.docx", "A 62072-2023")</f>
        <v/>
      </c>
      <c r="W1467">
        <f>HYPERLINK("https://klasma.github.io/Logging_2303/klagomålsmail/A 62072-2023 FSC-klagomål mail.docx", "A 62072-2023")</f>
        <v/>
      </c>
      <c r="X1467">
        <f>HYPERLINK("https://klasma.github.io/Logging_2303/tillsyn/A 62072-2023 tillsynsbegäran.docx", "A 62072-2023")</f>
        <v/>
      </c>
      <c r="Y1467">
        <f>HYPERLINK("https://klasma.github.io/Logging_2303/tillsynsmail/A 62072-2023 tillsynsbegäran mail.docx", "A 62072-2023")</f>
        <v/>
      </c>
      <c r="Z1467">
        <f>HYPERLINK("https://klasma.github.io/Logging_2303/fåglar/A 62072-2023 prioriterade fågelarter.docx", "A 62072-2023")</f>
        <v/>
      </c>
    </row>
    <row r="1468" ht="15" customHeight="1">
      <c r="A1468" t="inlineStr">
        <is>
          <t>A 62539-2023</t>
        </is>
      </c>
      <c r="B1468" s="1" t="n">
        <v>45268</v>
      </c>
      <c r="C1468" s="1" t="n">
        <v>45363</v>
      </c>
      <c r="D1468" t="inlineStr">
        <is>
          <t>JÄMTLANDS LÄN</t>
        </is>
      </c>
      <c r="E1468" t="inlineStr">
        <is>
          <t>HÄRJEDALEN</t>
        </is>
      </c>
      <c r="G1468" t="n">
        <v>7.6</v>
      </c>
      <c r="H1468" t="n">
        <v>1</v>
      </c>
      <c r="I1468" t="n">
        <v>0</v>
      </c>
      <c r="J1468" t="n">
        <v>1</v>
      </c>
      <c r="K1468" t="n">
        <v>0</v>
      </c>
      <c r="L1468" t="n">
        <v>0</v>
      </c>
      <c r="M1468" t="n">
        <v>0</v>
      </c>
      <c r="N1468" t="n">
        <v>0</v>
      </c>
      <c r="O1468" t="n">
        <v>1</v>
      </c>
      <c r="P1468" t="n">
        <v>0</v>
      </c>
      <c r="Q1468" t="n">
        <v>1</v>
      </c>
      <c r="R1468" s="2" t="inlineStr">
        <is>
          <t>Talltita</t>
        </is>
      </c>
      <c r="S1468">
        <f>HYPERLINK("https://klasma.github.io/Logging_2361/artfynd/A 62539-2023 artfynd.xlsx", "A 62539-2023")</f>
        <v/>
      </c>
      <c r="T1468">
        <f>HYPERLINK("https://klasma.github.io/Logging_2361/kartor/A 62539-2023 karta.png", "A 62539-2023")</f>
        <v/>
      </c>
      <c r="V1468">
        <f>HYPERLINK("https://klasma.github.io/Logging_2361/klagomål/A 62539-2023 FSC-klagomål.docx", "A 62539-2023")</f>
        <v/>
      </c>
      <c r="W1468">
        <f>HYPERLINK("https://klasma.github.io/Logging_2361/klagomålsmail/A 62539-2023 FSC-klagomål mail.docx", "A 62539-2023")</f>
        <v/>
      </c>
      <c r="X1468">
        <f>HYPERLINK("https://klasma.github.io/Logging_2361/tillsyn/A 62539-2023 tillsynsbegäran.docx", "A 62539-2023")</f>
        <v/>
      </c>
      <c r="Y1468">
        <f>HYPERLINK("https://klasma.github.io/Logging_2361/tillsynsmail/A 62539-2023 tillsynsbegäran mail.docx", "A 62539-2023")</f>
        <v/>
      </c>
      <c r="Z1468">
        <f>HYPERLINK("https://klasma.github.io/Logging_2361/fåglar/A 62539-2023 prioriterade fågelarter.docx", "A 62539-2023")</f>
        <v/>
      </c>
    </row>
    <row r="1469" ht="15" customHeight="1">
      <c r="A1469" t="inlineStr">
        <is>
          <t>A 62936-2023</t>
        </is>
      </c>
      <c r="B1469" s="1" t="n">
        <v>45271</v>
      </c>
      <c r="C1469" s="1" t="n">
        <v>45363</v>
      </c>
      <c r="D1469" t="inlineStr">
        <is>
          <t>JÄMTLANDS LÄN</t>
        </is>
      </c>
      <c r="E1469" t="inlineStr">
        <is>
          <t>KROKOM</t>
        </is>
      </c>
      <c r="G1469" t="n">
        <v>46.4</v>
      </c>
      <c r="H1469" t="n">
        <v>0</v>
      </c>
      <c r="I1469" t="n">
        <v>1</v>
      </c>
      <c r="J1469" t="n">
        <v>0</v>
      </c>
      <c r="K1469" t="n">
        <v>0</v>
      </c>
      <c r="L1469" t="n">
        <v>0</v>
      </c>
      <c r="M1469" t="n">
        <v>0</v>
      </c>
      <c r="N1469" t="n">
        <v>0</v>
      </c>
      <c r="O1469" t="n">
        <v>0</v>
      </c>
      <c r="P1469" t="n">
        <v>0</v>
      </c>
      <c r="Q1469" t="n">
        <v>1</v>
      </c>
      <c r="R1469" s="2" t="inlineStr">
        <is>
          <t>Stuplav</t>
        </is>
      </c>
      <c r="S1469">
        <f>HYPERLINK("https://klasma.github.io/Logging_2309/artfynd/A 62936-2023 artfynd.xlsx", "A 62936-2023")</f>
        <v/>
      </c>
      <c r="T1469">
        <f>HYPERLINK("https://klasma.github.io/Logging_2309/kartor/A 62936-2023 karta.png", "A 62936-2023")</f>
        <v/>
      </c>
      <c r="V1469">
        <f>HYPERLINK("https://klasma.github.io/Logging_2309/klagomål/A 62936-2023 FSC-klagomål.docx", "A 62936-2023")</f>
        <v/>
      </c>
      <c r="W1469">
        <f>HYPERLINK("https://klasma.github.io/Logging_2309/klagomålsmail/A 62936-2023 FSC-klagomål mail.docx", "A 62936-2023")</f>
        <v/>
      </c>
      <c r="X1469">
        <f>HYPERLINK("https://klasma.github.io/Logging_2309/tillsyn/A 62936-2023 tillsynsbegäran.docx", "A 62936-2023")</f>
        <v/>
      </c>
      <c r="Y1469">
        <f>HYPERLINK("https://klasma.github.io/Logging_2309/tillsynsmail/A 62936-2023 tillsynsbegäran mail.docx", "A 62936-2023")</f>
        <v/>
      </c>
    </row>
    <row r="1470" ht="15" customHeight="1">
      <c r="A1470" t="inlineStr">
        <is>
          <t>A 63659-2023</t>
        </is>
      </c>
      <c r="B1470" s="1" t="n">
        <v>45275</v>
      </c>
      <c r="C1470" s="1" t="n">
        <v>45363</v>
      </c>
      <c r="D1470" t="inlineStr">
        <is>
          <t>JÄMTLANDS LÄN</t>
        </is>
      </c>
      <c r="E1470" t="inlineStr">
        <is>
          <t>HÄRJEDALEN</t>
        </is>
      </c>
      <c r="G1470" t="n">
        <v>11.7</v>
      </c>
      <c r="H1470" t="n">
        <v>0</v>
      </c>
      <c r="I1470" t="n">
        <v>0</v>
      </c>
      <c r="J1470" t="n">
        <v>1</v>
      </c>
      <c r="K1470" t="n">
        <v>0</v>
      </c>
      <c r="L1470" t="n">
        <v>0</v>
      </c>
      <c r="M1470" t="n">
        <v>0</v>
      </c>
      <c r="N1470" t="n">
        <v>0</v>
      </c>
      <c r="O1470" t="n">
        <v>1</v>
      </c>
      <c r="P1470" t="n">
        <v>0</v>
      </c>
      <c r="Q1470" t="n">
        <v>1</v>
      </c>
      <c r="R1470" s="2" t="inlineStr">
        <is>
          <t>Lunglav</t>
        </is>
      </c>
      <c r="S1470">
        <f>HYPERLINK("https://klasma.github.io/Logging_2361/artfynd/A 63659-2023 artfynd.xlsx", "A 63659-2023")</f>
        <v/>
      </c>
      <c r="T1470">
        <f>HYPERLINK("https://klasma.github.io/Logging_2361/kartor/A 63659-2023 karta.png", "A 63659-2023")</f>
        <v/>
      </c>
      <c r="V1470">
        <f>HYPERLINK("https://klasma.github.io/Logging_2361/klagomål/A 63659-2023 FSC-klagomål.docx", "A 63659-2023")</f>
        <v/>
      </c>
      <c r="W1470">
        <f>HYPERLINK("https://klasma.github.io/Logging_2361/klagomålsmail/A 63659-2023 FSC-klagomål mail.docx", "A 63659-2023")</f>
        <v/>
      </c>
      <c r="X1470">
        <f>HYPERLINK("https://klasma.github.io/Logging_2361/tillsyn/A 63659-2023 tillsynsbegäran.docx", "A 63659-2023")</f>
        <v/>
      </c>
      <c r="Y1470">
        <f>HYPERLINK("https://klasma.github.io/Logging_2361/tillsynsmail/A 63659-2023 tillsynsbegäran mail.docx", "A 63659-2023")</f>
        <v/>
      </c>
    </row>
    <row r="1471" ht="15" customHeight="1">
      <c r="A1471" t="inlineStr">
        <is>
          <t>A 63860-2023</t>
        </is>
      </c>
      <c r="B1471" s="1" t="n">
        <v>45278</v>
      </c>
      <c r="C1471" s="1" t="n">
        <v>45363</v>
      </c>
      <c r="D1471" t="inlineStr">
        <is>
          <t>JÄMTLANDS LÄN</t>
        </is>
      </c>
      <c r="E1471" t="inlineStr">
        <is>
          <t>STRÖMSUND</t>
        </is>
      </c>
      <c r="G1471" t="n">
        <v>2.9</v>
      </c>
      <c r="H1471" t="n">
        <v>0</v>
      </c>
      <c r="I1471" t="n">
        <v>1</v>
      </c>
      <c r="J1471" t="n">
        <v>0</v>
      </c>
      <c r="K1471" t="n">
        <v>0</v>
      </c>
      <c r="L1471" t="n">
        <v>0</v>
      </c>
      <c r="M1471" t="n">
        <v>0</v>
      </c>
      <c r="N1471" t="n">
        <v>0</v>
      </c>
      <c r="O1471" t="n">
        <v>0</v>
      </c>
      <c r="P1471" t="n">
        <v>0</v>
      </c>
      <c r="Q1471" t="n">
        <v>1</v>
      </c>
      <c r="R1471" s="2" t="inlineStr">
        <is>
          <t>Kransrams</t>
        </is>
      </c>
      <c r="S1471">
        <f>HYPERLINK("https://klasma.github.io/Logging_2313/artfynd/A 63860-2023 artfynd.xlsx", "A 63860-2023")</f>
        <v/>
      </c>
      <c r="T1471">
        <f>HYPERLINK("https://klasma.github.io/Logging_2313/kartor/A 63860-2023 karta.png", "A 63860-2023")</f>
        <v/>
      </c>
      <c r="V1471">
        <f>HYPERLINK("https://klasma.github.io/Logging_2313/klagomål/A 63860-2023 FSC-klagomål.docx", "A 63860-2023")</f>
        <v/>
      </c>
      <c r="W1471">
        <f>HYPERLINK("https://klasma.github.io/Logging_2313/klagomålsmail/A 63860-2023 FSC-klagomål mail.docx", "A 63860-2023")</f>
        <v/>
      </c>
      <c r="X1471">
        <f>HYPERLINK("https://klasma.github.io/Logging_2313/tillsyn/A 63860-2023 tillsynsbegäran.docx", "A 63860-2023")</f>
        <v/>
      </c>
      <c r="Y1471">
        <f>HYPERLINK("https://klasma.github.io/Logging_2313/tillsynsmail/A 63860-2023 tillsynsbegäran mail.docx", "A 63860-2023")</f>
        <v/>
      </c>
    </row>
    <row r="1472" ht="15" customHeight="1">
      <c r="A1472" t="inlineStr">
        <is>
          <t>A 64026-2023</t>
        </is>
      </c>
      <c r="B1472" s="1" t="n">
        <v>45278</v>
      </c>
      <c r="C1472" s="1" t="n">
        <v>45363</v>
      </c>
      <c r="D1472" t="inlineStr">
        <is>
          <t>JÄMTLANDS LÄN</t>
        </is>
      </c>
      <c r="E1472" t="inlineStr">
        <is>
          <t>ÅRE</t>
        </is>
      </c>
      <c r="F1472" t="inlineStr">
        <is>
          <t>Övriga Aktiebolag</t>
        </is>
      </c>
      <c r="G1472" t="n">
        <v>9.800000000000001</v>
      </c>
      <c r="H1472" t="n">
        <v>0</v>
      </c>
      <c r="I1472" t="n">
        <v>1</v>
      </c>
      <c r="J1472" t="n">
        <v>0</v>
      </c>
      <c r="K1472" t="n">
        <v>0</v>
      </c>
      <c r="L1472" t="n">
        <v>0</v>
      </c>
      <c r="M1472" t="n">
        <v>0</v>
      </c>
      <c r="N1472" t="n">
        <v>0</v>
      </c>
      <c r="O1472" t="n">
        <v>0</v>
      </c>
      <c r="P1472" t="n">
        <v>0</v>
      </c>
      <c r="Q1472" t="n">
        <v>1</v>
      </c>
      <c r="R1472" s="2" t="inlineStr">
        <is>
          <t>Svavelriska</t>
        </is>
      </c>
      <c r="S1472">
        <f>HYPERLINK("https://klasma.github.io/Logging_2321/artfynd/A 64026-2023 artfynd.xlsx", "A 64026-2023")</f>
        <v/>
      </c>
      <c r="T1472">
        <f>HYPERLINK("https://klasma.github.io/Logging_2321/kartor/A 64026-2023 karta.png", "A 64026-2023")</f>
        <v/>
      </c>
      <c r="V1472">
        <f>HYPERLINK("https://klasma.github.io/Logging_2321/klagomål/A 64026-2023 FSC-klagomål.docx", "A 64026-2023")</f>
        <v/>
      </c>
      <c r="W1472">
        <f>HYPERLINK("https://klasma.github.io/Logging_2321/klagomålsmail/A 64026-2023 FSC-klagomål mail.docx", "A 64026-2023")</f>
        <v/>
      </c>
      <c r="X1472">
        <f>HYPERLINK("https://klasma.github.io/Logging_2321/tillsyn/A 64026-2023 tillsynsbegäran.docx", "A 64026-2023")</f>
        <v/>
      </c>
      <c r="Y1472">
        <f>HYPERLINK("https://klasma.github.io/Logging_2321/tillsynsmail/A 64026-2023 tillsynsbegäran mail.docx", "A 64026-2023")</f>
        <v/>
      </c>
    </row>
    <row r="1473" ht="15" customHeight="1">
      <c r="A1473" t="inlineStr">
        <is>
          <t>A 64270-2023</t>
        </is>
      </c>
      <c r="B1473" s="1" t="n">
        <v>45279</v>
      </c>
      <c r="C1473" s="1" t="n">
        <v>45363</v>
      </c>
      <c r="D1473" t="inlineStr">
        <is>
          <t>JÄMTLANDS LÄN</t>
        </is>
      </c>
      <c r="E1473" t="inlineStr">
        <is>
          <t>ÖSTERSUND</t>
        </is>
      </c>
      <c r="F1473" t="inlineStr">
        <is>
          <t>SCA</t>
        </is>
      </c>
      <c r="G1473" t="n">
        <v>0.7</v>
      </c>
      <c r="H1473" t="n">
        <v>1</v>
      </c>
      <c r="I1473" t="n">
        <v>0</v>
      </c>
      <c r="J1473" t="n">
        <v>1</v>
      </c>
      <c r="K1473" t="n">
        <v>0</v>
      </c>
      <c r="L1473" t="n">
        <v>0</v>
      </c>
      <c r="M1473" t="n">
        <v>0</v>
      </c>
      <c r="N1473" t="n">
        <v>0</v>
      </c>
      <c r="O1473" t="n">
        <v>1</v>
      </c>
      <c r="P1473" t="n">
        <v>0</v>
      </c>
      <c r="Q1473" t="n">
        <v>1</v>
      </c>
      <c r="R1473" s="2" t="inlineStr">
        <is>
          <t>Talltita</t>
        </is>
      </c>
      <c r="S1473">
        <f>HYPERLINK("https://klasma.github.io/Logging_2380/artfynd/A 64270-2023 artfynd.xlsx", "A 64270-2023")</f>
        <v/>
      </c>
      <c r="T1473">
        <f>HYPERLINK("https://klasma.github.io/Logging_2380/kartor/A 64270-2023 karta.png", "A 64270-2023")</f>
        <v/>
      </c>
      <c r="V1473">
        <f>HYPERLINK("https://klasma.github.io/Logging_2380/klagomål/A 64270-2023 FSC-klagomål.docx", "A 64270-2023")</f>
        <v/>
      </c>
      <c r="W1473">
        <f>HYPERLINK("https://klasma.github.io/Logging_2380/klagomålsmail/A 64270-2023 FSC-klagomål mail.docx", "A 64270-2023")</f>
        <v/>
      </c>
      <c r="X1473">
        <f>HYPERLINK("https://klasma.github.io/Logging_2380/tillsyn/A 64270-2023 tillsynsbegäran.docx", "A 64270-2023")</f>
        <v/>
      </c>
      <c r="Y1473">
        <f>HYPERLINK("https://klasma.github.io/Logging_2380/tillsynsmail/A 64270-2023 tillsynsbegäran mail.docx", "A 64270-2023")</f>
        <v/>
      </c>
      <c r="Z1473">
        <f>HYPERLINK("https://klasma.github.io/Logging_2380/fåglar/A 64270-2023 prioriterade fågelarter.docx", "A 64270-2023")</f>
        <v/>
      </c>
    </row>
    <row r="1474" ht="15" customHeight="1">
      <c r="A1474" t="inlineStr">
        <is>
          <t>A 64380-2023</t>
        </is>
      </c>
      <c r="B1474" s="1" t="n">
        <v>45280</v>
      </c>
      <c r="C1474" s="1" t="n">
        <v>45363</v>
      </c>
      <c r="D1474" t="inlineStr">
        <is>
          <t>JÄMTLANDS LÄN</t>
        </is>
      </c>
      <c r="E1474" t="inlineStr">
        <is>
          <t>ÖSTERSUND</t>
        </is>
      </c>
      <c r="G1474" t="n">
        <v>12.4</v>
      </c>
      <c r="H1474" t="n">
        <v>0</v>
      </c>
      <c r="I1474" t="n">
        <v>0</v>
      </c>
      <c r="J1474" t="n">
        <v>1</v>
      </c>
      <c r="K1474" t="n">
        <v>0</v>
      </c>
      <c r="L1474" t="n">
        <v>0</v>
      </c>
      <c r="M1474" t="n">
        <v>0</v>
      </c>
      <c r="N1474" t="n">
        <v>0</v>
      </c>
      <c r="O1474" t="n">
        <v>1</v>
      </c>
      <c r="P1474" t="n">
        <v>0</v>
      </c>
      <c r="Q1474" t="n">
        <v>1</v>
      </c>
      <c r="R1474" s="2" t="inlineStr">
        <is>
          <t>Luddfingersvamp</t>
        </is>
      </c>
      <c r="S1474">
        <f>HYPERLINK("https://klasma.github.io/Logging_2380/artfynd/A 64380-2023 artfynd.xlsx", "A 64380-2023")</f>
        <v/>
      </c>
      <c r="T1474">
        <f>HYPERLINK("https://klasma.github.io/Logging_2380/kartor/A 64380-2023 karta.png", "A 64380-2023")</f>
        <v/>
      </c>
      <c r="V1474">
        <f>HYPERLINK("https://klasma.github.io/Logging_2380/klagomål/A 64380-2023 FSC-klagomål.docx", "A 64380-2023")</f>
        <v/>
      </c>
      <c r="W1474">
        <f>HYPERLINK("https://klasma.github.io/Logging_2380/klagomålsmail/A 64380-2023 FSC-klagomål mail.docx", "A 64380-2023")</f>
        <v/>
      </c>
      <c r="X1474">
        <f>HYPERLINK("https://klasma.github.io/Logging_2380/tillsyn/A 64380-2023 tillsynsbegäran.docx", "A 64380-2023")</f>
        <v/>
      </c>
      <c r="Y1474">
        <f>HYPERLINK("https://klasma.github.io/Logging_2380/tillsynsmail/A 64380-2023 tillsynsbegäran mail.docx", "A 64380-2023")</f>
        <v/>
      </c>
    </row>
    <row r="1475" ht="15" customHeight="1">
      <c r="A1475" t="inlineStr">
        <is>
          <t>A 978-2024</t>
        </is>
      </c>
      <c r="B1475" s="1" t="n">
        <v>45301</v>
      </c>
      <c r="C1475" s="1" t="n">
        <v>45363</v>
      </c>
      <c r="D1475" t="inlineStr">
        <is>
          <t>JÄMTLANDS LÄN</t>
        </is>
      </c>
      <c r="E1475" t="inlineStr">
        <is>
          <t>RAGUNDA</t>
        </is>
      </c>
      <c r="G1475" t="n">
        <v>3.1</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HYPERLINK("https://klasma.github.io/Logging_2303/artfynd/A 978-2024 artfynd.xlsx", "A 978-2024")</f>
        <v/>
      </c>
      <c r="T1475">
        <f>HYPERLINK("https://klasma.github.io/Logging_2303/kartor/A 978-2024 karta.png", "A 978-2024")</f>
        <v/>
      </c>
      <c r="V1475">
        <f>HYPERLINK("https://klasma.github.io/Logging_2303/klagomål/A 978-2024 FSC-klagomål.docx", "A 978-2024")</f>
        <v/>
      </c>
      <c r="W1475">
        <f>HYPERLINK("https://klasma.github.io/Logging_2303/klagomålsmail/A 978-2024 FSC-klagomål mail.docx", "A 978-2024")</f>
        <v/>
      </c>
      <c r="X1475">
        <f>HYPERLINK("https://klasma.github.io/Logging_2303/tillsyn/A 978-2024 tillsynsbegäran.docx", "A 978-2024")</f>
        <v/>
      </c>
      <c r="Y1475">
        <f>HYPERLINK("https://klasma.github.io/Logging_2303/tillsynsmail/A 978-2024 tillsynsbegäran mail.docx", "A 978-2024")</f>
        <v/>
      </c>
      <c r="Z1475">
        <f>HYPERLINK("https://klasma.github.io/Logging_2303/fåglar/A 978-2024 prioriterade fågelarter.docx", "A 978-2024")</f>
        <v/>
      </c>
    </row>
    <row r="1476" ht="15" customHeight="1">
      <c r="A1476" t="inlineStr">
        <is>
          <t>A 1057-2024</t>
        </is>
      </c>
      <c r="B1476" s="1" t="n">
        <v>45301</v>
      </c>
      <c r="C1476" s="1" t="n">
        <v>45363</v>
      </c>
      <c r="D1476" t="inlineStr">
        <is>
          <t>JÄMTLANDS LÄN</t>
        </is>
      </c>
      <c r="E1476" t="inlineStr">
        <is>
          <t>RAGUNDA</t>
        </is>
      </c>
      <c r="F1476" t="inlineStr">
        <is>
          <t>SCA</t>
        </is>
      </c>
      <c r="G1476" t="n">
        <v>6.8</v>
      </c>
      <c r="H1476" t="n">
        <v>0</v>
      </c>
      <c r="I1476" t="n">
        <v>1</v>
      </c>
      <c r="J1476" t="n">
        <v>0</v>
      </c>
      <c r="K1476" t="n">
        <v>0</v>
      </c>
      <c r="L1476" t="n">
        <v>0</v>
      </c>
      <c r="M1476" t="n">
        <v>0</v>
      </c>
      <c r="N1476" t="n">
        <v>0</v>
      </c>
      <c r="O1476" t="n">
        <v>0</v>
      </c>
      <c r="P1476" t="n">
        <v>0</v>
      </c>
      <c r="Q1476" t="n">
        <v>1</v>
      </c>
      <c r="R1476" s="2" t="inlineStr">
        <is>
          <t>Stor aspticka</t>
        </is>
      </c>
      <c r="S1476">
        <f>HYPERLINK("https://klasma.github.io/Logging_2303/artfynd/A 1057-2024 artfynd.xlsx", "A 1057-2024")</f>
        <v/>
      </c>
      <c r="T1476">
        <f>HYPERLINK("https://klasma.github.io/Logging_2303/kartor/A 1057-2024 karta.png", "A 1057-2024")</f>
        <v/>
      </c>
      <c r="V1476">
        <f>HYPERLINK("https://klasma.github.io/Logging_2303/klagomål/A 1057-2024 FSC-klagomål.docx", "A 1057-2024")</f>
        <v/>
      </c>
      <c r="W1476">
        <f>HYPERLINK("https://klasma.github.io/Logging_2303/klagomålsmail/A 1057-2024 FSC-klagomål mail.docx", "A 1057-2024")</f>
        <v/>
      </c>
      <c r="X1476">
        <f>HYPERLINK("https://klasma.github.io/Logging_2303/tillsyn/A 1057-2024 tillsynsbegäran.docx", "A 1057-2024")</f>
        <v/>
      </c>
      <c r="Y1476">
        <f>HYPERLINK("https://klasma.github.io/Logging_2303/tillsynsmail/A 1057-2024 tillsynsbegäran mail.docx", "A 1057-2024")</f>
        <v/>
      </c>
    </row>
    <row r="1477" ht="15" customHeight="1">
      <c r="A1477" t="inlineStr">
        <is>
          <t>A 2063-2024</t>
        </is>
      </c>
      <c r="B1477" s="1" t="n">
        <v>45308</v>
      </c>
      <c r="C1477" s="1" t="n">
        <v>45363</v>
      </c>
      <c r="D1477" t="inlineStr">
        <is>
          <t>JÄMTLANDS LÄN</t>
        </is>
      </c>
      <c r="E1477" t="inlineStr">
        <is>
          <t>BRÄCKE</t>
        </is>
      </c>
      <c r="F1477" t="inlineStr">
        <is>
          <t>SCA</t>
        </is>
      </c>
      <c r="G1477" t="n">
        <v>5.7</v>
      </c>
      <c r="H1477" t="n">
        <v>0</v>
      </c>
      <c r="I1477" t="n">
        <v>0</v>
      </c>
      <c r="J1477" t="n">
        <v>0</v>
      </c>
      <c r="K1477" t="n">
        <v>1</v>
      </c>
      <c r="L1477" t="n">
        <v>0</v>
      </c>
      <c r="M1477" t="n">
        <v>0</v>
      </c>
      <c r="N1477" t="n">
        <v>0</v>
      </c>
      <c r="O1477" t="n">
        <v>1</v>
      </c>
      <c r="P1477" t="n">
        <v>1</v>
      </c>
      <c r="Q1477" t="n">
        <v>1</v>
      </c>
      <c r="R1477" s="2" t="inlineStr">
        <is>
          <t>Gräddporing</t>
        </is>
      </c>
      <c r="S1477">
        <f>HYPERLINK("https://klasma.github.io/Logging_2305/artfynd/A 2063-2024 artfynd.xlsx", "A 2063-2024")</f>
        <v/>
      </c>
      <c r="T1477">
        <f>HYPERLINK("https://klasma.github.io/Logging_2305/kartor/A 2063-2024 karta.png", "A 2063-2024")</f>
        <v/>
      </c>
      <c r="V1477">
        <f>HYPERLINK("https://klasma.github.io/Logging_2305/klagomål/A 2063-2024 FSC-klagomål.docx", "A 2063-2024")</f>
        <v/>
      </c>
      <c r="W1477">
        <f>HYPERLINK("https://klasma.github.io/Logging_2305/klagomålsmail/A 2063-2024 FSC-klagomål mail.docx", "A 2063-2024")</f>
        <v/>
      </c>
      <c r="X1477">
        <f>HYPERLINK("https://klasma.github.io/Logging_2305/tillsyn/A 2063-2024 tillsynsbegäran.docx", "A 2063-2024")</f>
        <v/>
      </c>
      <c r="Y1477">
        <f>HYPERLINK("https://klasma.github.io/Logging_2305/tillsynsmail/A 2063-2024 tillsynsbegäran mail.docx", "A 2063-2024")</f>
        <v/>
      </c>
    </row>
    <row r="1478" ht="15" customHeight="1">
      <c r="A1478" t="inlineStr">
        <is>
          <t>A 2246-2024</t>
        </is>
      </c>
      <c r="B1478" s="1" t="n">
        <v>45309</v>
      </c>
      <c r="C1478" s="1" t="n">
        <v>45363</v>
      </c>
      <c r="D1478" t="inlineStr">
        <is>
          <t>JÄMTLANDS LÄN</t>
        </is>
      </c>
      <c r="E1478" t="inlineStr">
        <is>
          <t>RAGUNDA</t>
        </is>
      </c>
      <c r="G1478" t="n">
        <v>3.8</v>
      </c>
      <c r="H1478" t="n">
        <v>0</v>
      </c>
      <c r="I1478" t="n">
        <v>1</v>
      </c>
      <c r="J1478" t="n">
        <v>0</v>
      </c>
      <c r="K1478" t="n">
        <v>0</v>
      </c>
      <c r="L1478" t="n">
        <v>0</v>
      </c>
      <c r="M1478" t="n">
        <v>0</v>
      </c>
      <c r="N1478" t="n">
        <v>0</v>
      </c>
      <c r="O1478" t="n">
        <v>0</v>
      </c>
      <c r="P1478" t="n">
        <v>0</v>
      </c>
      <c r="Q1478" t="n">
        <v>1</v>
      </c>
      <c r="R1478" s="2" t="inlineStr">
        <is>
          <t>Dropptaggsvamp</t>
        </is>
      </c>
      <c r="S1478">
        <f>HYPERLINK("https://klasma.github.io/Logging_2303/artfynd/A 2246-2024 artfynd.xlsx", "A 2246-2024")</f>
        <v/>
      </c>
      <c r="T1478">
        <f>HYPERLINK("https://klasma.github.io/Logging_2303/kartor/A 2246-2024 karta.png", "A 2246-2024")</f>
        <v/>
      </c>
      <c r="V1478">
        <f>HYPERLINK("https://klasma.github.io/Logging_2303/klagomål/A 2246-2024 FSC-klagomål.docx", "A 2246-2024")</f>
        <v/>
      </c>
      <c r="W1478">
        <f>HYPERLINK("https://klasma.github.io/Logging_2303/klagomålsmail/A 2246-2024 FSC-klagomål mail.docx", "A 2246-2024")</f>
        <v/>
      </c>
      <c r="X1478">
        <f>HYPERLINK("https://klasma.github.io/Logging_2303/tillsyn/A 2246-2024 tillsynsbegäran.docx", "A 2246-2024")</f>
        <v/>
      </c>
      <c r="Y1478">
        <f>HYPERLINK("https://klasma.github.io/Logging_2303/tillsynsmail/A 2246-2024 tillsynsbegäran mail.docx", "A 2246-2024")</f>
        <v/>
      </c>
    </row>
    <row r="1479" ht="15" customHeight="1">
      <c r="A1479" t="inlineStr">
        <is>
          <t>A 2929-2024</t>
        </is>
      </c>
      <c r="B1479" s="1" t="n">
        <v>45315</v>
      </c>
      <c r="C1479" s="1" t="n">
        <v>45363</v>
      </c>
      <c r="D1479" t="inlineStr">
        <is>
          <t>JÄMTLANDS LÄN</t>
        </is>
      </c>
      <c r="E1479" t="inlineStr">
        <is>
          <t>RAGUNDA</t>
        </is>
      </c>
      <c r="G1479" t="n">
        <v>1</v>
      </c>
      <c r="H1479" t="n">
        <v>0</v>
      </c>
      <c r="I1479" t="n">
        <v>0</v>
      </c>
      <c r="J1479" t="n">
        <v>1</v>
      </c>
      <c r="K1479" t="n">
        <v>0</v>
      </c>
      <c r="L1479" t="n">
        <v>0</v>
      </c>
      <c r="M1479" t="n">
        <v>0</v>
      </c>
      <c r="N1479" t="n">
        <v>0</v>
      </c>
      <c r="O1479" t="n">
        <v>1</v>
      </c>
      <c r="P1479" t="n">
        <v>0</v>
      </c>
      <c r="Q1479" t="n">
        <v>1</v>
      </c>
      <c r="R1479" s="2" t="inlineStr">
        <is>
          <t>Klådris</t>
        </is>
      </c>
      <c r="S1479">
        <f>HYPERLINK("https://klasma.github.io/Logging_2303/artfynd/A 2929-2024 artfynd.xlsx", "A 2929-2024")</f>
        <v/>
      </c>
      <c r="T1479">
        <f>HYPERLINK("https://klasma.github.io/Logging_2303/kartor/A 2929-2024 karta.png", "A 2929-2024")</f>
        <v/>
      </c>
      <c r="V1479">
        <f>HYPERLINK("https://klasma.github.io/Logging_2303/klagomål/A 2929-2024 FSC-klagomål.docx", "A 2929-2024")</f>
        <v/>
      </c>
      <c r="W1479">
        <f>HYPERLINK("https://klasma.github.io/Logging_2303/klagomålsmail/A 2929-2024 FSC-klagomål mail.docx", "A 2929-2024")</f>
        <v/>
      </c>
      <c r="X1479">
        <f>HYPERLINK("https://klasma.github.io/Logging_2303/tillsyn/A 2929-2024 tillsynsbegäran.docx", "A 2929-2024")</f>
        <v/>
      </c>
      <c r="Y1479">
        <f>HYPERLINK("https://klasma.github.io/Logging_2303/tillsynsmail/A 2929-2024 tillsynsbegäran mail.docx", "A 2929-2024")</f>
        <v/>
      </c>
    </row>
    <row r="1480" ht="15" customHeight="1">
      <c r="A1480" t="inlineStr">
        <is>
          <t>A 3272-2024</t>
        </is>
      </c>
      <c r="B1480" s="1" t="n">
        <v>45316</v>
      </c>
      <c r="C1480" s="1" t="n">
        <v>45363</v>
      </c>
      <c r="D1480" t="inlineStr">
        <is>
          <t>JÄMTLANDS LÄN</t>
        </is>
      </c>
      <c r="E1480" t="inlineStr">
        <is>
          <t>ÖSTERSUND</t>
        </is>
      </c>
      <c r="G1480" t="n">
        <v>5.6</v>
      </c>
      <c r="H1480" t="n">
        <v>1</v>
      </c>
      <c r="I1480" t="n">
        <v>1</v>
      </c>
      <c r="J1480" t="n">
        <v>0</v>
      </c>
      <c r="K1480" t="n">
        <v>0</v>
      </c>
      <c r="L1480" t="n">
        <v>0</v>
      </c>
      <c r="M1480" t="n">
        <v>0</v>
      </c>
      <c r="N1480" t="n">
        <v>0</v>
      </c>
      <c r="O1480" t="n">
        <v>0</v>
      </c>
      <c r="P1480" t="n">
        <v>0</v>
      </c>
      <c r="Q1480" t="n">
        <v>1</v>
      </c>
      <c r="R1480" s="2" t="inlineStr">
        <is>
          <t>Korallrot</t>
        </is>
      </c>
      <c r="S1480">
        <f>HYPERLINK("https://klasma.github.io/Logging_2380/artfynd/A 3272-2024 artfynd.xlsx", "A 3272-2024")</f>
        <v/>
      </c>
      <c r="T1480">
        <f>HYPERLINK("https://klasma.github.io/Logging_2380/kartor/A 3272-2024 karta.png", "A 3272-2024")</f>
        <v/>
      </c>
      <c r="V1480">
        <f>HYPERLINK("https://klasma.github.io/Logging_2380/klagomål/A 3272-2024 FSC-klagomål.docx", "A 3272-2024")</f>
        <v/>
      </c>
      <c r="W1480">
        <f>HYPERLINK("https://klasma.github.io/Logging_2380/klagomålsmail/A 3272-2024 FSC-klagomål mail.docx", "A 3272-2024")</f>
        <v/>
      </c>
      <c r="X1480">
        <f>HYPERLINK("https://klasma.github.io/Logging_2380/tillsyn/A 3272-2024 tillsynsbegäran.docx", "A 3272-2024")</f>
        <v/>
      </c>
      <c r="Y1480">
        <f>HYPERLINK("https://klasma.github.io/Logging_2380/tillsynsmail/A 3272-2024 tillsynsbegäran mail.docx", "A 3272-2024")</f>
        <v/>
      </c>
    </row>
    <row r="1481" ht="15" customHeight="1">
      <c r="A1481" t="inlineStr">
        <is>
          <t>A 3593-2024</t>
        </is>
      </c>
      <c r="B1481" s="1" t="n">
        <v>45320</v>
      </c>
      <c r="C1481" s="1" t="n">
        <v>45363</v>
      </c>
      <c r="D1481" t="inlineStr">
        <is>
          <t>JÄMTLANDS LÄN</t>
        </is>
      </c>
      <c r="E1481" t="inlineStr">
        <is>
          <t>HÄRJEDALEN</t>
        </is>
      </c>
      <c r="G1481" t="n">
        <v>15.1</v>
      </c>
      <c r="H1481" t="n">
        <v>0</v>
      </c>
      <c r="I1481" t="n">
        <v>0</v>
      </c>
      <c r="J1481" t="n">
        <v>1</v>
      </c>
      <c r="K1481" t="n">
        <v>0</v>
      </c>
      <c r="L1481" t="n">
        <v>0</v>
      </c>
      <c r="M1481" t="n">
        <v>0</v>
      </c>
      <c r="N1481" t="n">
        <v>0</v>
      </c>
      <c r="O1481" t="n">
        <v>1</v>
      </c>
      <c r="P1481" t="n">
        <v>0</v>
      </c>
      <c r="Q1481" t="n">
        <v>1</v>
      </c>
      <c r="R1481" s="2" t="inlineStr">
        <is>
          <t>Nordtagging</t>
        </is>
      </c>
      <c r="S1481">
        <f>HYPERLINK("https://klasma.github.io/Logging_2361/artfynd/A 3593-2024 artfynd.xlsx", "A 3593-2024")</f>
        <v/>
      </c>
      <c r="T1481">
        <f>HYPERLINK("https://klasma.github.io/Logging_2361/kartor/A 3593-2024 karta.png", "A 3593-2024")</f>
        <v/>
      </c>
      <c r="V1481">
        <f>HYPERLINK("https://klasma.github.io/Logging_2361/klagomål/A 3593-2024 FSC-klagomål.docx", "A 3593-2024")</f>
        <v/>
      </c>
      <c r="W1481">
        <f>HYPERLINK("https://klasma.github.io/Logging_2361/klagomålsmail/A 3593-2024 FSC-klagomål mail.docx", "A 3593-2024")</f>
        <v/>
      </c>
      <c r="X1481">
        <f>HYPERLINK("https://klasma.github.io/Logging_2361/tillsyn/A 3593-2024 tillsynsbegäran.docx", "A 3593-2024")</f>
        <v/>
      </c>
      <c r="Y1481">
        <f>HYPERLINK("https://klasma.github.io/Logging_2361/tillsynsmail/A 3593-2024 tillsynsbegäran mail.docx", "A 3593-2024")</f>
        <v/>
      </c>
    </row>
    <row r="1482" ht="15" customHeight="1">
      <c r="A1482" t="inlineStr">
        <is>
          <t>A 3988-2024</t>
        </is>
      </c>
      <c r="B1482" s="1" t="n">
        <v>45322</v>
      </c>
      <c r="C1482" s="1" t="n">
        <v>45363</v>
      </c>
      <c r="D1482" t="inlineStr">
        <is>
          <t>JÄMTLANDS LÄN</t>
        </is>
      </c>
      <c r="E1482" t="inlineStr">
        <is>
          <t>STRÖMSUND</t>
        </is>
      </c>
      <c r="F1482" t="inlineStr">
        <is>
          <t>SCA</t>
        </is>
      </c>
      <c r="G1482" t="n">
        <v>16</v>
      </c>
      <c r="H1482" t="n">
        <v>1</v>
      </c>
      <c r="I1482" t="n">
        <v>0</v>
      </c>
      <c r="J1482" t="n">
        <v>1</v>
      </c>
      <c r="K1482" t="n">
        <v>0</v>
      </c>
      <c r="L1482" t="n">
        <v>0</v>
      </c>
      <c r="M1482" t="n">
        <v>0</v>
      </c>
      <c r="N1482" t="n">
        <v>0</v>
      </c>
      <c r="O1482" t="n">
        <v>1</v>
      </c>
      <c r="P1482" t="n">
        <v>0</v>
      </c>
      <c r="Q1482" t="n">
        <v>1</v>
      </c>
      <c r="R1482" s="2" t="inlineStr">
        <is>
          <t>Järpe</t>
        </is>
      </c>
      <c r="S1482">
        <f>HYPERLINK("https://klasma.github.io/Logging_2313/artfynd/A 3988-2024 artfynd.xlsx", "A 3988-2024")</f>
        <v/>
      </c>
      <c r="T1482">
        <f>HYPERLINK("https://klasma.github.io/Logging_2313/kartor/A 3988-2024 karta.png", "A 3988-2024")</f>
        <v/>
      </c>
      <c r="V1482">
        <f>HYPERLINK("https://klasma.github.io/Logging_2313/klagomål/A 3988-2024 FSC-klagomål.docx", "A 3988-2024")</f>
        <v/>
      </c>
      <c r="W1482">
        <f>HYPERLINK("https://klasma.github.io/Logging_2313/klagomålsmail/A 3988-2024 FSC-klagomål mail.docx", "A 3988-2024")</f>
        <v/>
      </c>
      <c r="X1482">
        <f>HYPERLINK("https://klasma.github.io/Logging_2313/tillsyn/A 3988-2024 tillsynsbegäran.docx", "A 3988-2024")</f>
        <v/>
      </c>
      <c r="Y1482">
        <f>HYPERLINK("https://klasma.github.io/Logging_2313/tillsynsmail/A 3988-2024 tillsynsbegäran mail.docx", "A 3988-2024")</f>
        <v/>
      </c>
      <c r="Z1482">
        <f>HYPERLINK("https://klasma.github.io/Logging_2313/fåglar/A 3988-2024 prioriterade fågelarter.docx", "A 3988-2024")</f>
        <v/>
      </c>
    </row>
    <row r="1483" ht="15" customHeight="1">
      <c r="A1483" t="inlineStr">
        <is>
          <t>A 4824-2024</t>
        </is>
      </c>
      <c r="B1483" s="1" t="n">
        <v>45328</v>
      </c>
      <c r="C1483" s="1" t="n">
        <v>45363</v>
      </c>
      <c r="D1483" t="inlineStr">
        <is>
          <t>JÄMTLANDS LÄN</t>
        </is>
      </c>
      <c r="E1483" t="inlineStr">
        <is>
          <t>STRÖMSUND</t>
        </is>
      </c>
      <c r="F1483" t="inlineStr">
        <is>
          <t>SCA</t>
        </is>
      </c>
      <c r="G1483" t="n">
        <v>10.2</v>
      </c>
      <c r="H1483" t="n">
        <v>0</v>
      </c>
      <c r="I1483" t="n">
        <v>0</v>
      </c>
      <c r="J1483" t="n">
        <v>1</v>
      </c>
      <c r="K1483" t="n">
        <v>0</v>
      </c>
      <c r="L1483" t="n">
        <v>0</v>
      </c>
      <c r="M1483" t="n">
        <v>0</v>
      </c>
      <c r="N1483" t="n">
        <v>0</v>
      </c>
      <c r="O1483" t="n">
        <v>1</v>
      </c>
      <c r="P1483" t="n">
        <v>0</v>
      </c>
      <c r="Q1483" t="n">
        <v>1</v>
      </c>
      <c r="R1483" s="2" t="inlineStr">
        <is>
          <t>Lunglav</t>
        </is>
      </c>
      <c r="S1483">
        <f>HYPERLINK("https://klasma.github.io/Logging_2313/artfynd/A 4824-2024 artfynd.xlsx", "A 4824-2024")</f>
        <v/>
      </c>
      <c r="T1483">
        <f>HYPERLINK("https://klasma.github.io/Logging_2313/kartor/A 4824-2024 karta.png", "A 4824-2024")</f>
        <v/>
      </c>
      <c r="V1483">
        <f>HYPERLINK("https://klasma.github.io/Logging_2313/klagomål/A 4824-2024 FSC-klagomål.docx", "A 4824-2024")</f>
        <v/>
      </c>
      <c r="W1483">
        <f>HYPERLINK("https://klasma.github.io/Logging_2313/klagomålsmail/A 4824-2024 FSC-klagomål mail.docx", "A 4824-2024")</f>
        <v/>
      </c>
      <c r="X1483">
        <f>HYPERLINK("https://klasma.github.io/Logging_2313/tillsyn/A 4824-2024 tillsynsbegäran.docx", "A 4824-2024")</f>
        <v/>
      </c>
      <c r="Y1483">
        <f>HYPERLINK("https://klasma.github.io/Logging_2313/tillsynsmail/A 4824-2024 tillsynsbegäran mail.docx", "A 4824-2024")</f>
        <v/>
      </c>
    </row>
    <row r="1484" ht="15" customHeight="1">
      <c r="A1484" t="inlineStr">
        <is>
          <t>A 6703-2024</t>
        </is>
      </c>
      <c r="B1484" s="1" t="n">
        <v>45341</v>
      </c>
      <c r="C1484" s="1" t="n">
        <v>45363</v>
      </c>
      <c r="D1484" t="inlineStr">
        <is>
          <t>JÄMTLANDS LÄN</t>
        </is>
      </c>
      <c r="E1484" t="inlineStr">
        <is>
          <t>RAGUNDA</t>
        </is>
      </c>
      <c r="F1484" t="inlineStr">
        <is>
          <t>SCA</t>
        </is>
      </c>
      <c r="G1484" t="n">
        <v>2.4</v>
      </c>
      <c r="H1484" t="n">
        <v>0</v>
      </c>
      <c r="I1484" t="n">
        <v>0</v>
      </c>
      <c r="J1484" t="n">
        <v>1</v>
      </c>
      <c r="K1484" t="n">
        <v>0</v>
      </c>
      <c r="L1484" t="n">
        <v>0</v>
      </c>
      <c r="M1484" t="n">
        <v>0</v>
      </c>
      <c r="N1484" t="n">
        <v>0</v>
      </c>
      <c r="O1484" t="n">
        <v>1</v>
      </c>
      <c r="P1484" t="n">
        <v>0</v>
      </c>
      <c r="Q1484" t="n">
        <v>1</v>
      </c>
      <c r="R1484" s="2" t="inlineStr">
        <is>
          <t>Vitgrynig nållav</t>
        </is>
      </c>
      <c r="S1484">
        <f>HYPERLINK("https://klasma.github.io/Logging_2303/artfynd/A 6703-2024 artfynd.xlsx", "A 6703-2024")</f>
        <v/>
      </c>
      <c r="T1484">
        <f>HYPERLINK("https://klasma.github.io/Logging_2303/kartor/A 6703-2024 karta.png", "A 6703-2024")</f>
        <v/>
      </c>
      <c r="V1484">
        <f>HYPERLINK("https://klasma.github.io/Logging_2303/klagomål/A 6703-2024 FSC-klagomål.docx", "A 6703-2024")</f>
        <v/>
      </c>
      <c r="W1484">
        <f>HYPERLINK("https://klasma.github.io/Logging_2303/klagomålsmail/A 6703-2024 FSC-klagomål mail.docx", "A 6703-2024")</f>
        <v/>
      </c>
      <c r="X1484">
        <f>HYPERLINK("https://klasma.github.io/Logging_2303/tillsyn/A 6703-2024 tillsynsbegäran.docx", "A 6703-2024")</f>
        <v/>
      </c>
      <c r="Y1484">
        <f>HYPERLINK("https://klasma.github.io/Logging_2303/tillsynsmail/A 6703-2024 tillsynsbegäran mail.docx", "A 6703-2024")</f>
        <v/>
      </c>
    </row>
    <row r="1485" ht="15" customHeight="1">
      <c r="A1485" t="inlineStr">
        <is>
          <t>A 7327-2024</t>
        </is>
      </c>
      <c r="B1485" s="1" t="n">
        <v>45345</v>
      </c>
      <c r="C1485" s="1" t="n">
        <v>45363</v>
      </c>
      <c r="D1485" t="inlineStr">
        <is>
          <t>JÄMTLANDS LÄN</t>
        </is>
      </c>
      <c r="E1485" t="inlineStr">
        <is>
          <t>HÄRJEDALEN</t>
        </is>
      </c>
      <c r="F1485" t="inlineStr">
        <is>
          <t>Sveaskog</t>
        </is>
      </c>
      <c r="G1485" t="n">
        <v>0.3</v>
      </c>
      <c r="H1485" t="n">
        <v>0</v>
      </c>
      <c r="I1485" t="n">
        <v>0</v>
      </c>
      <c r="J1485" t="n">
        <v>1</v>
      </c>
      <c r="K1485" t="n">
        <v>0</v>
      </c>
      <c r="L1485" t="n">
        <v>0</v>
      </c>
      <c r="M1485" t="n">
        <v>0</v>
      </c>
      <c r="N1485" t="n">
        <v>0</v>
      </c>
      <c r="O1485" t="n">
        <v>1</v>
      </c>
      <c r="P1485" t="n">
        <v>0</v>
      </c>
      <c r="Q1485" t="n">
        <v>1</v>
      </c>
      <c r="R1485" s="2" t="inlineStr">
        <is>
          <t>Kolflarnlav</t>
        </is>
      </c>
      <c r="S1485">
        <f>HYPERLINK("https://klasma.github.io/Logging_2361/artfynd/A 7327-2024 artfynd.xlsx", "A 7327-2024")</f>
        <v/>
      </c>
      <c r="T1485">
        <f>HYPERLINK("https://klasma.github.io/Logging_2361/kartor/A 7327-2024 karta.png", "A 7327-2024")</f>
        <v/>
      </c>
      <c r="V1485">
        <f>HYPERLINK("https://klasma.github.io/Logging_2361/klagomål/A 7327-2024 FSC-klagomål.docx", "A 7327-2024")</f>
        <v/>
      </c>
      <c r="W1485">
        <f>HYPERLINK("https://klasma.github.io/Logging_2361/klagomålsmail/A 7327-2024 FSC-klagomål mail.docx", "A 7327-2024")</f>
        <v/>
      </c>
      <c r="X1485">
        <f>HYPERLINK("https://klasma.github.io/Logging_2361/tillsyn/A 7327-2024 tillsynsbegäran.docx", "A 7327-2024")</f>
        <v/>
      </c>
      <c r="Y1485">
        <f>HYPERLINK("https://klasma.github.io/Logging_2361/tillsynsmail/A 7327-2024 tillsynsbegäran mail.docx", "A 7327-2024")</f>
        <v/>
      </c>
    </row>
    <row r="1486" ht="15" customHeight="1">
      <c r="A1486" t="inlineStr">
        <is>
          <t>A 7710-2024</t>
        </is>
      </c>
      <c r="B1486" s="1" t="n">
        <v>45349</v>
      </c>
      <c r="C1486" s="1" t="n">
        <v>45363</v>
      </c>
      <c r="D1486" t="inlineStr">
        <is>
          <t>JÄMTLANDS LÄN</t>
        </is>
      </c>
      <c r="E1486" t="inlineStr">
        <is>
          <t>ÖSTERSUND</t>
        </is>
      </c>
      <c r="F1486" t="inlineStr">
        <is>
          <t>Övriga Aktiebolag</t>
        </is>
      </c>
      <c r="G1486" t="n">
        <v>0.7</v>
      </c>
      <c r="H1486" t="n">
        <v>0</v>
      </c>
      <c r="I1486" t="n">
        <v>0</v>
      </c>
      <c r="J1486" t="n">
        <v>1</v>
      </c>
      <c r="K1486" t="n">
        <v>0</v>
      </c>
      <c r="L1486" t="n">
        <v>0</v>
      </c>
      <c r="M1486" t="n">
        <v>0</v>
      </c>
      <c r="N1486" t="n">
        <v>0</v>
      </c>
      <c r="O1486" t="n">
        <v>1</v>
      </c>
      <c r="P1486" t="n">
        <v>0</v>
      </c>
      <c r="Q1486" t="n">
        <v>1</v>
      </c>
      <c r="R1486" s="2" t="inlineStr">
        <is>
          <t>Garnlav</t>
        </is>
      </c>
      <c r="S1486">
        <f>HYPERLINK("https://klasma.github.io/Logging_2380/artfynd/A 7710-2024 artfynd.xlsx", "A 7710-2024")</f>
        <v/>
      </c>
      <c r="T1486">
        <f>HYPERLINK("https://klasma.github.io/Logging_2380/kartor/A 7710-2024 karta.png", "A 7710-2024")</f>
        <v/>
      </c>
      <c r="V1486">
        <f>HYPERLINK("https://klasma.github.io/Logging_2380/klagomål/A 7710-2024 FSC-klagomål.docx", "A 7710-2024")</f>
        <v/>
      </c>
      <c r="W1486">
        <f>HYPERLINK("https://klasma.github.io/Logging_2380/klagomålsmail/A 7710-2024 FSC-klagomål mail.docx", "A 7710-2024")</f>
        <v/>
      </c>
      <c r="X1486">
        <f>HYPERLINK("https://klasma.github.io/Logging_2380/tillsyn/A 7710-2024 tillsynsbegäran.docx", "A 7710-2024")</f>
        <v/>
      </c>
      <c r="Y1486">
        <f>HYPERLINK("https://klasma.github.io/Logging_2380/tillsynsmail/A 7710-2024 tillsynsbegäran mail.docx", "A 7710-2024")</f>
        <v/>
      </c>
    </row>
    <row r="1487" ht="15" customHeight="1">
      <c r="A1487" t="inlineStr">
        <is>
          <t>A 7698-2024</t>
        </is>
      </c>
      <c r="B1487" s="1" t="n">
        <v>45349</v>
      </c>
      <c r="C1487" s="1" t="n">
        <v>45363</v>
      </c>
      <c r="D1487" t="inlineStr">
        <is>
          <t>JÄMTLANDS LÄN</t>
        </is>
      </c>
      <c r="E1487" t="inlineStr">
        <is>
          <t>ÖSTERSUND</t>
        </is>
      </c>
      <c r="F1487" t="inlineStr">
        <is>
          <t>Övriga Aktiebolag</t>
        </is>
      </c>
      <c r="G1487" t="n">
        <v>4.5</v>
      </c>
      <c r="H1487" t="n">
        <v>1</v>
      </c>
      <c r="I1487" t="n">
        <v>1</v>
      </c>
      <c r="J1487" t="n">
        <v>0</v>
      </c>
      <c r="K1487" t="n">
        <v>0</v>
      </c>
      <c r="L1487" t="n">
        <v>0</v>
      </c>
      <c r="M1487" t="n">
        <v>0</v>
      </c>
      <c r="N1487" t="n">
        <v>0</v>
      </c>
      <c r="O1487" t="n">
        <v>0</v>
      </c>
      <c r="P1487" t="n">
        <v>0</v>
      </c>
      <c r="Q1487" t="n">
        <v>1</v>
      </c>
      <c r="R1487" s="2" t="inlineStr">
        <is>
          <t>Tvåblad</t>
        </is>
      </c>
      <c r="S1487">
        <f>HYPERLINK("https://klasma.github.io/Logging_2380/artfynd/A 7698-2024 artfynd.xlsx", "A 7698-2024")</f>
        <v/>
      </c>
      <c r="T1487">
        <f>HYPERLINK("https://klasma.github.io/Logging_2380/kartor/A 7698-2024 karta.png", "A 7698-2024")</f>
        <v/>
      </c>
      <c r="V1487">
        <f>HYPERLINK("https://klasma.github.io/Logging_2380/klagomål/A 7698-2024 FSC-klagomål.docx", "A 7698-2024")</f>
        <v/>
      </c>
      <c r="W1487">
        <f>HYPERLINK("https://klasma.github.io/Logging_2380/klagomålsmail/A 7698-2024 FSC-klagomål mail.docx", "A 7698-2024")</f>
        <v/>
      </c>
      <c r="X1487">
        <f>HYPERLINK("https://klasma.github.io/Logging_2380/tillsyn/A 7698-2024 tillsynsbegäran.docx", "A 7698-2024")</f>
        <v/>
      </c>
      <c r="Y1487">
        <f>HYPERLINK("https://klasma.github.io/Logging_2380/tillsynsmail/A 7698-2024 tillsynsbegäran mail.docx", "A 7698-2024")</f>
        <v/>
      </c>
    </row>
    <row r="1488" ht="15" customHeight="1">
      <c r="A1488" t="inlineStr">
        <is>
          <t>A 7717-2024</t>
        </is>
      </c>
      <c r="B1488" s="1" t="n">
        <v>45349</v>
      </c>
      <c r="C1488" s="1" t="n">
        <v>45363</v>
      </c>
      <c r="D1488" t="inlineStr">
        <is>
          <t>JÄMTLANDS LÄN</t>
        </is>
      </c>
      <c r="E1488" t="inlineStr">
        <is>
          <t>ÖSTERSUND</t>
        </is>
      </c>
      <c r="F1488" t="inlineStr">
        <is>
          <t>Övriga Aktiebolag</t>
        </is>
      </c>
      <c r="G1488" t="n">
        <v>2.5</v>
      </c>
      <c r="H1488" t="n">
        <v>0</v>
      </c>
      <c r="I1488" t="n">
        <v>0</v>
      </c>
      <c r="J1488" t="n">
        <v>1</v>
      </c>
      <c r="K1488" t="n">
        <v>0</v>
      </c>
      <c r="L1488" t="n">
        <v>0</v>
      </c>
      <c r="M1488" t="n">
        <v>0</v>
      </c>
      <c r="N1488" t="n">
        <v>0</v>
      </c>
      <c r="O1488" t="n">
        <v>1</v>
      </c>
      <c r="P1488" t="n">
        <v>0</v>
      </c>
      <c r="Q1488" t="n">
        <v>1</v>
      </c>
      <c r="R1488" s="2" t="inlineStr">
        <is>
          <t>Garnlav</t>
        </is>
      </c>
      <c r="S1488">
        <f>HYPERLINK("https://klasma.github.io/Logging_2380/artfynd/A 7717-2024 artfynd.xlsx", "A 7717-2024")</f>
        <v/>
      </c>
      <c r="T1488">
        <f>HYPERLINK("https://klasma.github.io/Logging_2380/kartor/A 7717-2024 karta.png", "A 7717-2024")</f>
        <v/>
      </c>
      <c r="V1488">
        <f>HYPERLINK("https://klasma.github.io/Logging_2380/klagomål/A 7717-2024 FSC-klagomål.docx", "A 7717-2024")</f>
        <v/>
      </c>
      <c r="W1488">
        <f>HYPERLINK("https://klasma.github.io/Logging_2380/klagomålsmail/A 7717-2024 FSC-klagomål mail.docx", "A 7717-2024")</f>
        <v/>
      </c>
      <c r="X1488">
        <f>HYPERLINK("https://klasma.github.io/Logging_2380/tillsyn/A 7717-2024 tillsynsbegäran.docx", "A 7717-2024")</f>
        <v/>
      </c>
      <c r="Y1488">
        <f>HYPERLINK("https://klasma.github.io/Logging_2380/tillsynsmail/A 7717-2024 tillsynsbegäran mail.docx", "A 7717-2024")</f>
        <v/>
      </c>
    </row>
    <row r="1489" ht="15" customHeight="1">
      <c r="A1489" t="inlineStr">
        <is>
          <t>A 33963-2018</t>
        </is>
      </c>
      <c r="B1489" s="1" t="n">
        <v>43314</v>
      </c>
      <c r="C1489" s="1" t="n">
        <v>45363</v>
      </c>
      <c r="D1489" t="inlineStr">
        <is>
          <t>JÄMTLANDS LÄN</t>
        </is>
      </c>
      <c r="E1489" t="inlineStr">
        <is>
          <t>ÖSTERSUND</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33971-2018</t>
        </is>
      </c>
      <c r="B1490" s="1" t="n">
        <v>43314</v>
      </c>
      <c r="C1490" s="1" t="n">
        <v>45363</v>
      </c>
      <c r="D1490" t="inlineStr">
        <is>
          <t>JÄMTLANDS LÄN</t>
        </is>
      </c>
      <c r="E1490" t="inlineStr">
        <is>
          <t>ÖSTERSUND</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34942-2018</t>
        </is>
      </c>
      <c r="B1491" s="1" t="n">
        <v>43321</v>
      </c>
      <c r="C1491" s="1" t="n">
        <v>45363</v>
      </c>
      <c r="D1491" t="inlineStr">
        <is>
          <t>JÄMTLANDS LÄN</t>
        </is>
      </c>
      <c r="E1491" t="inlineStr">
        <is>
          <t>ÖSTERSUND</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35331-2018</t>
        </is>
      </c>
      <c r="B1492" s="1" t="n">
        <v>43321</v>
      </c>
      <c r="C1492" s="1" t="n">
        <v>45363</v>
      </c>
      <c r="D1492" t="inlineStr">
        <is>
          <t>JÄMTLANDS LÄN</t>
        </is>
      </c>
      <c r="E1492" t="inlineStr">
        <is>
          <t>RAGUNDA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34944-2018</t>
        </is>
      </c>
      <c r="B1493" s="1" t="n">
        <v>43321</v>
      </c>
      <c r="C1493" s="1" t="n">
        <v>45363</v>
      </c>
      <c r="D1493" t="inlineStr">
        <is>
          <t>JÄMTLANDS LÄN</t>
        </is>
      </c>
      <c r="E1493" t="inlineStr">
        <is>
          <t>ÖSTERSUND</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35216-2018</t>
        </is>
      </c>
      <c r="B1494" s="1" t="n">
        <v>43322</v>
      </c>
      <c r="C1494" s="1" t="n">
        <v>45363</v>
      </c>
      <c r="D1494" t="inlineStr">
        <is>
          <t>JÄMTLANDS LÄN</t>
        </is>
      </c>
      <c r="E1494" t="inlineStr">
        <is>
          <t>RAGUNDA</t>
        </is>
      </c>
      <c r="F1494" t="inlineStr">
        <is>
          <t>SCA</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35651-2018</t>
        </is>
      </c>
      <c r="B1495" s="1" t="n">
        <v>43325</v>
      </c>
      <c r="C1495" s="1" t="n">
        <v>45363</v>
      </c>
      <c r="D1495" t="inlineStr">
        <is>
          <t>JÄMTLANDS LÄN</t>
        </is>
      </c>
      <c r="E1495" t="inlineStr">
        <is>
          <t>BRÄCKE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35741-2018</t>
        </is>
      </c>
      <c r="B1496" s="1" t="n">
        <v>43326</v>
      </c>
      <c r="C1496" s="1" t="n">
        <v>45363</v>
      </c>
      <c r="D1496" t="inlineStr">
        <is>
          <t>JÄMTLANDS LÄN</t>
        </is>
      </c>
      <c r="E1496" t="inlineStr">
        <is>
          <t>RAGUNDA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36231-2018</t>
        </is>
      </c>
      <c r="B1497" s="1" t="n">
        <v>43328</v>
      </c>
      <c r="C1497" s="1" t="n">
        <v>45363</v>
      </c>
      <c r="D1497" t="inlineStr">
        <is>
          <t>JÄMTLANDS LÄN</t>
        </is>
      </c>
      <c r="E1497" t="inlineStr">
        <is>
          <t>ÅRE</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36530-2018</t>
        </is>
      </c>
      <c r="B1498" s="1" t="n">
        <v>43328</v>
      </c>
      <c r="C1498" s="1" t="n">
        <v>45363</v>
      </c>
      <c r="D1498" t="inlineStr">
        <is>
          <t>JÄMTLANDS LÄN</t>
        </is>
      </c>
      <c r="E1498" t="inlineStr">
        <is>
          <t>KROKOM</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37265-2018</t>
        </is>
      </c>
      <c r="B1499" s="1" t="n">
        <v>43332</v>
      </c>
      <c r="C1499" s="1" t="n">
        <v>45363</v>
      </c>
      <c r="D1499" t="inlineStr">
        <is>
          <t>JÄMTLANDS LÄN</t>
        </is>
      </c>
      <c r="E1499" t="inlineStr">
        <is>
          <t>ÖSTERSUND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36734-2018</t>
        </is>
      </c>
      <c r="B1500" s="1" t="n">
        <v>43332</v>
      </c>
      <c r="C1500" s="1" t="n">
        <v>45363</v>
      </c>
      <c r="D1500" t="inlineStr">
        <is>
          <t>JÄMTLANDS LÄN</t>
        </is>
      </c>
      <c r="E1500" t="inlineStr">
        <is>
          <t>STRÖMSUND</t>
        </is>
      </c>
      <c r="F1500" t="inlineStr">
        <is>
          <t>Övriga Aktiebolag</t>
        </is>
      </c>
      <c r="G1500" t="n">
        <v>18.2</v>
      </c>
      <c r="H1500" t="n">
        <v>0</v>
      </c>
      <c r="I1500" t="n">
        <v>0</v>
      </c>
      <c r="J1500" t="n">
        <v>0</v>
      </c>
      <c r="K1500" t="n">
        <v>0</v>
      </c>
      <c r="L1500" t="n">
        <v>0</v>
      </c>
      <c r="M1500" t="n">
        <v>0</v>
      </c>
      <c r="N1500" t="n">
        <v>0</v>
      </c>
      <c r="O1500" t="n">
        <v>0</v>
      </c>
      <c r="P1500" t="n">
        <v>0</v>
      </c>
      <c r="Q1500" t="n">
        <v>0</v>
      </c>
      <c r="R1500" s="2" t="inlineStr"/>
    </row>
    <row r="1501" ht="15" customHeight="1">
      <c r="A1501" t="inlineStr">
        <is>
          <t>A 37199-2018</t>
        </is>
      </c>
      <c r="B1501" s="1" t="n">
        <v>43333</v>
      </c>
      <c r="C1501" s="1" t="n">
        <v>45363</v>
      </c>
      <c r="D1501" t="inlineStr">
        <is>
          <t>JÄMTLANDS LÄN</t>
        </is>
      </c>
      <c r="E1501" t="inlineStr">
        <is>
          <t>ÖSTERSUND</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37463-2018</t>
        </is>
      </c>
      <c r="B1502" s="1" t="n">
        <v>43334</v>
      </c>
      <c r="C1502" s="1" t="n">
        <v>45363</v>
      </c>
      <c r="D1502" t="inlineStr">
        <is>
          <t>JÄMTLANDS LÄN</t>
        </is>
      </c>
      <c r="E1502" t="inlineStr">
        <is>
          <t>BERG</t>
        </is>
      </c>
      <c r="G1502" t="n">
        <v>64.8</v>
      </c>
      <c r="H1502" t="n">
        <v>0</v>
      </c>
      <c r="I1502" t="n">
        <v>0</v>
      </c>
      <c r="J1502" t="n">
        <v>0</v>
      </c>
      <c r="K1502" t="n">
        <v>0</v>
      </c>
      <c r="L1502" t="n">
        <v>0</v>
      </c>
      <c r="M1502" t="n">
        <v>0</v>
      </c>
      <c r="N1502" t="n">
        <v>0</v>
      </c>
      <c r="O1502" t="n">
        <v>0</v>
      </c>
      <c r="P1502" t="n">
        <v>0</v>
      </c>
      <c r="Q1502" t="n">
        <v>0</v>
      </c>
      <c r="R1502" s="2" t="inlineStr"/>
    </row>
    <row r="1503" ht="15" customHeight="1">
      <c r="A1503" t="inlineStr">
        <is>
          <t>A 37954-2018</t>
        </is>
      </c>
      <c r="B1503" s="1" t="n">
        <v>43334</v>
      </c>
      <c r="C1503" s="1" t="n">
        <v>45363</v>
      </c>
      <c r="D1503" t="inlineStr">
        <is>
          <t>JÄMTLANDS LÄN</t>
        </is>
      </c>
      <c r="E1503" t="inlineStr">
        <is>
          <t>KROKOM</t>
        </is>
      </c>
      <c r="F1503" t="inlineStr">
        <is>
          <t>Kyrkan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37698-2018</t>
        </is>
      </c>
      <c r="B1504" s="1" t="n">
        <v>43335</v>
      </c>
      <c r="C1504" s="1" t="n">
        <v>45363</v>
      </c>
      <c r="D1504" t="inlineStr">
        <is>
          <t>JÄMTLANDS LÄN</t>
        </is>
      </c>
      <c r="E1504" t="inlineStr">
        <is>
          <t>KROKOM</t>
        </is>
      </c>
      <c r="F1504" t="inlineStr">
        <is>
          <t>Övriga Aktiebolag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37779-2018</t>
        </is>
      </c>
      <c r="B1505" s="1" t="n">
        <v>43335</v>
      </c>
      <c r="C1505" s="1" t="n">
        <v>45363</v>
      </c>
      <c r="D1505" t="inlineStr">
        <is>
          <t>JÄMTLANDS LÄN</t>
        </is>
      </c>
      <c r="E1505" t="inlineStr">
        <is>
          <t>KROKOM</t>
        </is>
      </c>
      <c r="F1505" t="inlineStr">
        <is>
          <t>Övriga Aktiebolag</t>
        </is>
      </c>
      <c r="G1505" t="n">
        <v>32.2</v>
      </c>
      <c r="H1505" t="n">
        <v>0</v>
      </c>
      <c r="I1505" t="n">
        <v>0</v>
      </c>
      <c r="J1505" t="n">
        <v>0</v>
      </c>
      <c r="K1505" t="n">
        <v>0</v>
      </c>
      <c r="L1505" t="n">
        <v>0</v>
      </c>
      <c r="M1505" t="n">
        <v>0</v>
      </c>
      <c r="N1505" t="n">
        <v>0</v>
      </c>
      <c r="O1505" t="n">
        <v>0</v>
      </c>
      <c r="P1505" t="n">
        <v>0</v>
      </c>
      <c r="Q1505" t="n">
        <v>0</v>
      </c>
      <c r="R1505" s="2" t="inlineStr"/>
    </row>
    <row r="1506" ht="15" customHeight="1">
      <c r="A1506" t="inlineStr">
        <is>
          <t>A 38170-2018</t>
        </is>
      </c>
      <c r="B1506" s="1" t="n">
        <v>43336</v>
      </c>
      <c r="C1506" s="1" t="n">
        <v>45363</v>
      </c>
      <c r="D1506" t="inlineStr">
        <is>
          <t>JÄMTLANDS LÄN</t>
        </is>
      </c>
      <c r="E1506" t="inlineStr">
        <is>
          <t>ÖSTERSUND</t>
        </is>
      </c>
      <c r="F1506" t="inlineStr">
        <is>
          <t>SCA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38898-2018</t>
        </is>
      </c>
      <c r="B1507" s="1" t="n">
        <v>43336</v>
      </c>
      <c r="C1507" s="1" t="n">
        <v>45363</v>
      </c>
      <c r="D1507" t="inlineStr">
        <is>
          <t>JÄMTLANDS LÄN</t>
        </is>
      </c>
      <c r="E1507" t="inlineStr">
        <is>
          <t>STRÖMSUND</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38754-2018</t>
        </is>
      </c>
      <c r="B1508" s="1" t="n">
        <v>43340</v>
      </c>
      <c r="C1508" s="1" t="n">
        <v>45363</v>
      </c>
      <c r="D1508" t="inlineStr">
        <is>
          <t>JÄMTLANDS LÄN</t>
        </is>
      </c>
      <c r="E1508" t="inlineStr">
        <is>
          <t>HÄRJEDALEN</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39554-2018</t>
        </is>
      </c>
      <c r="B1509" s="1" t="n">
        <v>43340</v>
      </c>
      <c r="C1509" s="1" t="n">
        <v>45363</v>
      </c>
      <c r="D1509" t="inlineStr">
        <is>
          <t>JÄMTLANDS LÄN</t>
        </is>
      </c>
      <c r="E1509" t="inlineStr">
        <is>
          <t>STRÖMSUND</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38753-2018</t>
        </is>
      </c>
      <c r="B1510" s="1" t="n">
        <v>43340</v>
      </c>
      <c r="C1510" s="1" t="n">
        <v>45363</v>
      </c>
      <c r="D1510" t="inlineStr">
        <is>
          <t>JÄMTLANDS LÄN</t>
        </is>
      </c>
      <c r="E1510" t="inlineStr">
        <is>
          <t>HÄRJEDALEN</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39048-2018</t>
        </is>
      </c>
      <c r="B1511" s="1" t="n">
        <v>43340</v>
      </c>
      <c r="C1511" s="1" t="n">
        <v>45363</v>
      </c>
      <c r="D1511" t="inlineStr">
        <is>
          <t>JÄMTLANDS LÄN</t>
        </is>
      </c>
      <c r="E1511" t="inlineStr">
        <is>
          <t>KROKOM</t>
        </is>
      </c>
      <c r="F1511" t="inlineStr">
        <is>
          <t>SCA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39341-2018</t>
        </is>
      </c>
      <c r="B1512" s="1" t="n">
        <v>43341</v>
      </c>
      <c r="C1512" s="1" t="n">
        <v>45363</v>
      </c>
      <c r="D1512" t="inlineStr">
        <is>
          <t>JÄMTLANDS LÄN</t>
        </is>
      </c>
      <c r="E1512" t="inlineStr">
        <is>
          <t>RAGUNDA</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39655-2018</t>
        </is>
      </c>
      <c r="B1513" s="1" t="n">
        <v>43341</v>
      </c>
      <c r="C1513" s="1" t="n">
        <v>45363</v>
      </c>
      <c r="D1513" t="inlineStr">
        <is>
          <t>JÄMTLANDS LÄN</t>
        </is>
      </c>
      <c r="E1513" t="inlineStr">
        <is>
          <t>BRÄCKE</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39668-2018</t>
        </is>
      </c>
      <c r="B1514" s="1" t="n">
        <v>43342</v>
      </c>
      <c r="C1514" s="1" t="n">
        <v>45363</v>
      </c>
      <c r="D1514" t="inlineStr">
        <is>
          <t>JÄMTLANDS LÄN</t>
        </is>
      </c>
      <c r="E1514" t="inlineStr">
        <is>
          <t>KROKOM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39775-2018</t>
        </is>
      </c>
      <c r="B1515" s="1" t="n">
        <v>43342</v>
      </c>
      <c r="C1515" s="1" t="n">
        <v>45363</v>
      </c>
      <c r="D1515" t="inlineStr">
        <is>
          <t>JÄMTLANDS LÄN</t>
        </is>
      </c>
      <c r="E1515" t="inlineStr">
        <is>
          <t>KROKOM</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39883-2018</t>
        </is>
      </c>
      <c r="B1516" s="1" t="n">
        <v>43342</v>
      </c>
      <c r="C1516" s="1" t="n">
        <v>45363</v>
      </c>
      <c r="D1516" t="inlineStr">
        <is>
          <t>JÄMTLANDS LÄN</t>
        </is>
      </c>
      <c r="E1516" t="inlineStr">
        <is>
          <t>BERG</t>
        </is>
      </c>
      <c r="G1516" t="n">
        <v>28.8</v>
      </c>
      <c r="H1516" t="n">
        <v>0</v>
      </c>
      <c r="I1516" t="n">
        <v>0</v>
      </c>
      <c r="J1516" t="n">
        <v>0</v>
      </c>
      <c r="K1516" t="n">
        <v>0</v>
      </c>
      <c r="L1516" t="n">
        <v>0</v>
      </c>
      <c r="M1516" t="n">
        <v>0</v>
      </c>
      <c r="N1516" t="n">
        <v>0</v>
      </c>
      <c r="O1516" t="n">
        <v>0</v>
      </c>
      <c r="P1516" t="n">
        <v>0</v>
      </c>
      <c r="Q1516" t="n">
        <v>0</v>
      </c>
      <c r="R1516" s="2" t="inlineStr"/>
    </row>
    <row r="1517" ht="15" customHeight="1">
      <c r="A1517" t="inlineStr">
        <is>
          <t>A 40873-2018</t>
        </is>
      </c>
      <c r="B1517" s="1" t="n">
        <v>43346</v>
      </c>
      <c r="C1517" s="1" t="n">
        <v>45363</v>
      </c>
      <c r="D1517" t="inlineStr">
        <is>
          <t>JÄMTLANDS LÄN</t>
        </is>
      </c>
      <c r="E1517" t="inlineStr">
        <is>
          <t>KROKOM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42654-2018</t>
        </is>
      </c>
      <c r="B1518" s="1" t="n">
        <v>43350</v>
      </c>
      <c r="C1518" s="1" t="n">
        <v>45363</v>
      </c>
      <c r="D1518" t="inlineStr">
        <is>
          <t>JÄMTLANDS LÄN</t>
        </is>
      </c>
      <c r="E1518" t="inlineStr">
        <is>
          <t>KROKOM</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41979-2018</t>
        </is>
      </c>
      <c r="B1519" s="1" t="n">
        <v>43350</v>
      </c>
      <c r="C1519" s="1" t="n">
        <v>45363</v>
      </c>
      <c r="D1519" t="inlineStr">
        <is>
          <t>JÄMTLANDS LÄN</t>
        </is>
      </c>
      <c r="E1519" t="inlineStr">
        <is>
          <t>HÄRJEDALEN</t>
        </is>
      </c>
      <c r="G1519" t="n">
        <v>50</v>
      </c>
      <c r="H1519" t="n">
        <v>0</v>
      </c>
      <c r="I1519" t="n">
        <v>0</v>
      </c>
      <c r="J1519" t="n">
        <v>0</v>
      </c>
      <c r="K1519" t="n">
        <v>0</v>
      </c>
      <c r="L1519" t="n">
        <v>0</v>
      </c>
      <c r="M1519" t="n">
        <v>0</v>
      </c>
      <c r="N1519" t="n">
        <v>0</v>
      </c>
      <c r="O1519" t="n">
        <v>0</v>
      </c>
      <c r="P1519" t="n">
        <v>0</v>
      </c>
      <c r="Q1519" t="n">
        <v>0</v>
      </c>
      <c r="R1519" s="2" t="inlineStr"/>
    </row>
    <row r="1520" ht="15" customHeight="1">
      <c r="A1520" t="inlineStr">
        <is>
          <t>A 42660-2018</t>
        </is>
      </c>
      <c r="B1520" s="1" t="n">
        <v>43350</v>
      </c>
      <c r="C1520" s="1" t="n">
        <v>45363</v>
      </c>
      <c r="D1520" t="inlineStr">
        <is>
          <t>JÄMTLANDS LÄN</t>
        </is>
      </c>
      <c r="E1520" t="inlineStr">
        <is>
          <t>KROKOM</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42173-2018</t>
        </is>
      </c>
      <c r="B1521" s="1" t="n">
        <v>43353</v>
      </c>
      <c r="C1521" s="1" t="n">
        <v>45363</v>
      </c>
      <c r="D1521" t="inlineStr">
        <is>
          <t>JÄMTLANDS LÄN</t>
        </is>
      </c>
      <c r="E1521" t="inlineStr">
        <is>
          <t>KROKOM</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43244-2018</t>
        </is>
      </c>
      <c r="B1522" s="1" t="n">
        <v>43353</v>
      </c>
      <c r="C1522" s="1" t="n">
        <v>45363</v>
      </c>
      <c r="D1522" t="inlineStr">
        <is>
          <t>JÄMTLANDS LÄN</t>
        </is>
      </c>
      <c r="E1522" t="inlineStr">
        <is>
          <t>ÅRE</t>
        </is>
      </c>
      <c r="F1522" t="inlineStr">
        <is>
          <t>Övriga statliga verk och myndigheter</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42513-2018</t>
        </is>
      </c>
      <c r="B1523" s="1" t="n">
        <v>43354</v>
      </c>
      <c r="C1523" s="1" t="n">
        <v>45363</v>
      </c>
      <c r="D1523" t="inlineStr">
        <is>
          <t>JÄMTLANDS LÄN</t>
        </is>
      </c>
      <c r="E1523" t="inlineStr">
        <is>
          <t>STRÖMSUND</t>
        </is>
      </c>
      <c r="F1523" t="inlineStr">
        <is>
          <t>Holmen skog AB</t>
        </is>
      </c>
      <c r="G1523" t="n">
        <v>14.6</v>
      </c>
      <c r="H1523" t="n">
        <v>0</v>
      </c>
      <c r="I1523" t="n">
        <v>0</v>
      </c>
      <c r="J1523" t="n">
        <v>0</v>
      </c>
      <c r="K1523" t="n">
        <v>0</v>
      </c>
      <c r="L1523" t="n">
        <v>0</v>
      </c>
      <c r="M1523" t="n">
        <v>0</v>
      </c>
      <c r="N1523" t="n">
        <v>0</v>
      </c>
      <c r="O1523" t="n">
        <v>0</v>
      </c>
      <c r="P1523" t="n">
        <v>0</v>
      </c>
      <c r="Q1523" t="n">
        <v>0</v>
      </c>
      <c r="R1523" s="2" t="inlineStr"/>
    </row>
    <row r="1524" ht="15" customHeight="1">
      <c r="A1524" t="inlineStr">
        <is>
          <t>A 44507-2018</t>
        </is>
      </c>
      <c r="B1524" s="1" t="n">
        <v>43355</v>
      </c>
      <c r="C1524" s="1" t="n">
        <v>45363</v>
      </c>
      <c r="D1524" t="inlineStr">
        <is>
          <t>JÄMTLANDS LÄN</t>
        </is>
      </c>
      <c r="E1524" t="inlineStr">
        <is>
          <t>ÅRE</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44558-2018</t>
        </is>
      </c>
      <c r="B1525" s="1" t="n">
        <v>43355</v>
      </c>
      <c r="C1525" s="1" t="n">
        <v>45363</v>
      </c>
      <c r="D1525" t="inlineStr">
        <is>
          <t>JÄMTLANDS LÄN</t>
        </is>
      </c>
      <c r="E1525" t="inlineStr">
        <is>
          <t>ÅRE</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43619-2018</t>
        </is>
      </c>
      <c r="B1526" s="1" t="n">
        <v>43357</v>
      </c>
      <c r="C1526" s="1" t="n">
        <v>45363</v>
      </c>
      <c r="D1526" t="inlineStr">
        <is>
          <t>JÄMTLANDS LÄN</t>
        </is>
      </c>
      <c r="E1526" t="inlineStr">
        <is>
          <t>KROKOM</t>
        </is>
      </c>
      <c r="G1526" t="n">
        <v>30.5</v>
      </c>
      <c r="H1526" t="n">
        <v>0</v>
      </c>
      <c r="I1526" t="n">
        <v>0</v>
      </c>
      <c r="J1526" t="n">
        <v>0</v>
      </c>
      <c r="K1526" t="n">
        <v>0</v>
      </c>
      <c r="L1526" t="n">
        <v>0</v>
      </c>
      <c r="M1526" t="n">
        <v>0</v>
      </c>
      <c r="N1526" t="n">
        <v>0</v>
      </c>
      <c r="O1526" t="n">
        <v>0</v>
      </c>
      <c r="P1526" t="n">
        <v>0</v>
      </c>
      <c r="Q1526" t="n">
        <v>0</v>
      </c>
      <c r="R1526" s="2" t="inlineStr"/>
    </row>
    <row r="1527" ht="15" customHeight="1">
      <c r="A1527" t="inlineStr">
        <is>
          <t>A 43661-2018</t>
        </is>
      </c>
      <c r="B1527" s="1" t="n">
        <v>43357</v>
      </c>
      <c r="C1527" s="1" t="n">
        <v>45363</v>
      </c>
      <c r="D1527" t="inlineStr">
        <is>
          <t>JÄMTLANDS LÄN</t>
        </is>
      </c>
      <c r="E1527" t="inlineStr">
        <is>
          <t>ÅRE</t>
        </is>
      </c>
      <c r="F1527" t="inlineStr">
        <is>
          <t>Övriga Aktiebolag</t>
        </is>
      </c>
      <c r="G1527" t="n">
        <v>21.3</v>
      </c>
      <c r="H1527" t="n">
        <v>0</v>
      </c>
      <c r="I1527" t="n">
        <v>0</v>
      </c>
      <c r="J1527" t="n">
        <v>0</v>
      </c>
      <c r="K1527" t="n">
        <v>0</v>
      </c>
      <c r="L1527" t="n">
        <v>0</v>
      </c>
      <c r="M1527" t="n">
        <v>0</v>
      </c>
      <c r="N1527" t="n">
        <v>0</v>
      </c>
      <c r="O1527" t="n">
        <v>0</v>
      </c>
      <c r="P1527" t="n">
        <v>0</v>
      </c>
      <c r="Q1527" t="n">
        <v>0</v>
      </c>
      <c r="R1527" s="2" t="inlineStr"/>
    </row>
    <row r="1528" ht="15" customHeight="1">
      <c r="A1528" t="inlineStr">
        <is>
          <t>A 43773-2018</t>
        </is>
      </c>
      <c r="B1528" s="1" t="n">
        <v>43357</v>
      </c>
      <c r="C1528" s="1" t="n">
        <v>45363</v>
      </c>
      <c r="D1528" t="inlineStr">
        <is>
          <t>JÄMTLANDS LÄN</t>
        </is>
      </c>
      <c r="E1528" t="inlineStr">
        <is>
          <t>KROKOM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44692-2018</t>
        </is>
      </c>
      <c r="B1529" s="1" t="n">
        <v>43357</v>
      </c>
      <c r="C1529" s="1" t="n">
        <v>45363</v>
      </c>
      <c r="D1529" t="inlineStr">
        <is>
          <t>JÄMTLANDS LÄN</t>
        </is>
      </c>
      <c r="E1529" t="inlineStr">
        <is>
          <t>STRÖMSUND</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44222-2018</t>
        </is>
      </c>
      <c r="B1530" s="1" t="n">
        <v>43360</v>
      </c>
      <c r="C1530" s="1" t="n">
        <v>45363</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45365-2018</t>
        </is>
      </c>
      <c r="B1531" s="1" t="n">
        <v>43360</v>
      </c>
      <c r="C1531" s="1" t="n">
        <v>45363</v>
      </c>
      <c r="D1531" t="inlineStr">
        <is>
          <t>JÄMTLANDS LÄN</t>
        </is>
      </c>
      <c r="E1531" t="inlineStr">
        <is>
          <t>RAGUNDA</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45885-2018</t>
        </is>
      </c>
      <c r="B1532" s="1" t="n">
        <v>43362</v>
      </c>
      <c r="C1532" s="1" t="n">
        <v>45363</v>
      </c>
      <c r="D1532" t="inlineStr">
        <is>
          <t>JÄMTLANDS LÄN</t>
        </is>
      </c>
      <c r="E1532" t="inlineStr">
        <is>
          <t>KROKOM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45894-2018</t>
        </is>
      </c>
      <c r="B1533" s="1" t="n">
        <v>43362</v>
      </c>
      <c r="C1533" s="1" t="n">
        <v>45363</v>
      </c>
      <c r="D1533" t="inlineStr">
        <is>
          <t>JÄMTLANDS LÄN</t>
        </is>
      </c>
      <c r="E1533" t="inlineStr">
        <is>
          <t>KROKOM</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45886-2018</t>
        </is>
      </c>
      <c r="B1534" s="1" t="n">
        <v>43362</v>
      </c>
      <c r="C1534" s="1" t="n">
        <v>45363</v>
      </c>
      <c r="D1534" t="inlineStr">
        <is>
          <t>JÄMTLANDS LÄN</t>
        </is>
      </c>
      <c r="E1534" t="inlineStr">
        <is>
          <t>KROKOM</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45633-2018</t>
        </is>
      </c>
      <c r="B1535" s="1" t="n">
        <v>43363</v>
      </c>
      <c r="C1535" s="1" t="n">
        <v>45363</v>
      </c>
      <c r="D1535" t="inlineStr">
        <is>
          <t>JÄMTLANDS LÄN</t>
        </is>
      </c>
      <c r="E1535" t="inlineStr">
        <is>
          <t>BERG</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45492-2018</t>
        </is>
      </c>
      <c r="B1536" s="1" t="n">
        <v>43363</v>
      </c>
      <c r="C1536" s="1" t="n">
        <v>45363</v>
      </c>
      <c r="D1536" t="inlineStr">
        <is>
          <t>JÄMTLANDS LÄN</t>
        </is>
      </c>
      <c r="E1536" t="inlineStr">
        <is>
          <t>STRÖMSUND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45583-2018</t>
        </is>
      </c>
      <c r="B1537" s="1" t="n">
        <v>43363</v>
      </c>
      <c r="C1537" s="1" t="n">
        <v>45363</v>
      </c>
      <c r="D1537" t="inlineStr">
        <is>
          <t>JÄMTLANDS LÄN</t>
        </is>
      </c>
      <c r="E1537" t="inlineStr">
        <is>
          <t>BRÄCKE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46202-2018</t>
        </is>
      </c>
      <c r="B1538" s="1" t="n">
        <v>43364</v>
      </c>
      <c r="C1538" s="1" t="n">
        <v>45363</v>
      </c>
      <c r="D1538" t="inlineStr">
        <is>
          <t>JÄMTLANDS LÄN</t>
        </is>
      </c>
      <c r="E1538" t="inlineStr">
        <is>
          <t>HÄRJEDALEN</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45745-2018</t>
        </is>
      </c>
      <c r="B1539" s="1" t="n">
        <v>43364</v>
      </c>
      <c r="C1539" s="1" t="n">
        <v>45363</v>
      </c>
      <c r="D1539" t="inlineStr">
        <is>
          <t>JÄMTLANDS LÄN</t>
        </is>
      </c>
      <c r="E1539" t="inlineStr">
        <is>
          <t>KROKOM</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46335-2018</t>
        </is>
      </c>
      <c r="B1540" s="1" t="n">
        <v>43364</v>
      </c>
      <c r="C1540" s="1" t="n">
        <v>45363</v>
      </c>
      <c r="D1540" t="inlineStr">
        <is>
          <t>JÄMTLANDS LÄN</t>
        </is>
      </c>
      <c r="E1540" t="inlineStr">
        <is>
          <t>ÖSTERSUND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45747-2018</t>
        </is>
      </c>
      <c r="B1541" s="1" t="n">
        <v>43364</v>
      </c>
      <c r="C1541" s="1" t="n">
        <v>45363</v>
      </c>
      <c r="D1541" t="inlineStr">
        <is>
          <t>JÄMTLANDS LÄN</t>
        </is>
      </c>
      <c r="E1541" t="inlineStr">
        <is>
          <t>ÖSTERSUND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46640-2018</t>
        </is>
      </c>
      <c r="B1542" s="1" t="n">
        <v>43368</v>
      </c>
      <c r="C1542" s="1" t="n">
        <v>45363</v>
      </c>
      <c r="D1542" t="inlineStr">
        <is>
          <t>JÄMTLANDS LÄN</t>
        </is>
      </c>
      <c r="E1542" t="inlineStr">
        <is>
          <t>ÅRE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47303-2018</t>
        </is>
      </c>
      <c r="B1543" s="1" t="n">
        <v>43369</v>
      </c>
      <c r="C1543" s="1" t="n">
        <v>45363</v>
      </c>
      <c r="D1543" t="inlineStr">
        <is>
          <t>JÄMTLANDS LÄN</t>
        </is>
      </c>
      <c r="E1543" t="inlineStr">
        <is>
          <t>ÅRE</t>
        </is>
      </c>
      <c r="G1543" t="n">
        <v>14.5</v>
      </c>
      <c r="H1543" t="n">
        <v>0</v>
      </c>
      <c r="I1543" t="n">
        <v>0</v>
      </c>
      <c r="J1543" t="n">
        <v>0</v>
      </c>
      <c r="K1543" t="n">
        <v>0</v>
      </c>
      <c r="L1543" t="n">
        <v>0</v>
      </c>
      <c r="M1543" t="n">
        <v>0</v>
      </c>
      <c r="N1543" t="n">
        <v>0</v>
      </c>
      <c r="O1543" t="n">
        <v>0</v>
      </c>
      <c r="P1543" t="n">
        <v>0</v>
      </c>
      <c r="Q1543" t="n">
        <v>0</v>
      </c>
      <c r="R1543" s="2" t="inlineStr"/>
    </row>
    <row r="1544" ht="15" customHeight="1">
      <c r="A1544" t="inlineStr">
        <is>
          <t>A 47412-2018</t>
        </is>
      </c>
      <c r="B1544" s="1" t="n">
        <v>43369</v>
      </c>
      <c r="C1544" s="1" t="n">
        <v>45363</v>
      </c>
      <c r="D1544" t="inlineStr">
        <is>
          <t>JÄMTLANDS LÄN</t>
        </is>
      </c>
      <c r="E1544" t="inlineStr">
        <is>
          <t>HÄRJEDALEN</t>
        </is>
      </c>
      <c r="G1544" t="n">
        <v>20.4</v>
      </c>
      <c r="H1544" t="n">
        <v>0</v>
      </c>
      <c r="I1544" t="n">
        <v>0</v>
      </c>
      <c r="J1544" t="n">
        <v>0</v>
      </c>
      <c r="K1544" t="n">
        <v>0</v>
      </c>
      <c r="L1544" t="n">
        <v>0</v>
      </c>
      <c r="M1544" t="n">
        <v>0</v>
      </c>
      <c r="N1544" t="n">
        <v>0</v>
      </c>
      <c r="O1544" t="n">
        <v>0</v>
      </c>
      <c r="P1544" t="n">
        <v>0</v>
      </c>
      <c r="Q1544" t="n">
        <v>0</v>
      </c>
      <c r="R1544" s="2" t="inlineStr"/>
    </row>
    <row r="1545" ht="15" customHeight="1">
      <c r="A1545" t="inlineStr">
        <is>
          <t>A 47715-2018</t>
        </is>
      </c>
      <c r="B1545" s="1" t="n">
        <v>43369</v>
      </c>
      <c r="C1545" s="1" t="n">
        <v>45363</v>
      </c>
      <c r="D1545" t="inlineStr">
        <is>
          <t>JÄMTLANDS LÄN</t>
        </is>
      </c>
      <c r="E1545" t="inlineStr">
        <is>
          <t>STRÖMSUND</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49046-2018</t>
        </is>
      </c>
      <c r="B1546" s="1" t="n">
        <v>43371</v>
      </c>
      <c r="C1546" s="1" t="n">
        <v>45363</v>
      </c>
      <c r="D1546" t="inlineStr">
        <is>
          <t>JÄMTLANDS LÄN</t>
        </is>
      </c>
      <c r="E1546" t="inlineStr">
        <is>
          <t>ÖSTERSUND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49055-2018</t>
        </is>
      </c>
      <c r="B1547" s="1" t="n">
        <v>43371</v>
      </c>
      <c r="C1547" s="1" t="n">
        <v>45363</v>
      </c>
      <c r="D1547" t="inlineStr">
        <is>
          <t>JÄMTLANDS LÄN</t>
        </is>
      </c>
      <c r="E1547" t="inlineStr">
        <is>
          <t>ÖSTERSUND</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49043-2018</t>
        </is>
      </c>
      <c r="B1548" s="1" t="n">
        <v>43371</v>
      </c>
      <c r="C1548" s="1" t="n">
        <v>45363</v>
      </c>
      <c r="D1548" t="inlineStr">
        <is>
          <t>JÄMTLANDS LÄN</t>
        </is>
      </c>
      <c r="E1548" t="inlineStr">
        <is>
          <t>ÖSTERSUND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48245-2018</t>
        </is>
      </c>
      <c r="B1549" s="1" t="n">
        <v>43371</v>
      </c>
      <c r="C1549" s="1" t="n">
        <v>45363</v>
      </c>
      <c r="D1549" t="inlineStr">
        <is>
          <t>JÄMTLANDS LÄN</t>
        </is>
      </c>
      <c r="E1549" t="inlineStr">
        <is>
          <t>HÄRJEDALEN</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49061-2018</t>
        </is>
      </c>
      <c r="B1550" s="1" t="n">
        <v>43371</v>
      </c>
      <c r="C1550" s="1" t="n">
        <v>45363</v>
      </c>
      <c r="D1550" t="inlineStr">
        <is>
          <t>JÄMTLANDS LÄN</t>
        </is>
      </c>
      <c r="E1550" t="inlineStr">
        <is>
          <t>ÖSTERSUND</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49130-2018</t>
        </is>
      </c>
      <c r="B1551" s="1" t="n">
        <v>43375</v>
      </c>
      <c r="C1551" s="1" t="n">
        <v>45363</v>
      </c>
      <c r="D1551" t="inlineStr">
        <is>
          <t>JÄMTLANDS LÄN</t>
        </is>
      </c>
      <c r="E1551" t="inlineStr">
        <is>
          <t>HÄRJEDALEN</t>
        </is>
      </c>
      <c r="G1551" t="n">
        <v>6.6</v>
      </c>
      <c r="H1551" t="n">
        <v>0</v>
      </c>
      <c r="I1551" t="n">
        <v>0</v>
      </c>
      <c r="J1551" t="n">
        <v>0</v>
      </c>
      <c r="K1551" t="n">
        <v>0</v>
      </c>
      <c r="L1551" t="n">
        <v>0</v>
      </c>
      <c r="M1551" t="n">
        <v>0</v>
      </c>
      <c r="N1551" t="n">
        <v>0</v>
      </c>
      <c r="O1551" t="n">
        <v>0</v>
      </c>
      <c r="P1551" t="n">
        <v>0</v>
      </c>
      <c r="Q1551" t="n">
        <v>0</v>
      </c>
      <c r="R1551" s="2" t="inlineStr"/>
    </row>
    <row r="1552" ht="15" customHeight="1">
      <c r="A1552" t="inlineStr">
        <is>
          <t>A 50928-2018</t>
        </is>
      </c>
      <c r="B1552" s="1" t="n">
        <v>43375</v>
      </c>
      <c r="C1552" s="1" t="n">
        <v>45363</v>
      </c>
      <c r="D1552" t="inlineStr">
        <is>
          <t>JÄMTLANDS LÄN</t>
        </is>
      </c>
      <c r="E1552" t="inlineStr">
        <is>
          <t>ÅRE</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51794-2018</t>
        </is>
      </c>
      <c r="B1553" s="1" t="n">
        <v>43381</v>
      </c>
      <c r="C1553" s="1" t="n">
        <v>45363</v>
      </c>
      <c r="D1553" t="inlineStr">
        <is>
          <t>JÄMTLANDS LÄN</t>
        </is>
      </c>
      <c r="E1553" t="inlineStr">
        <is>
          <t>ÖSTERSUND</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51450-2018</t>
        </is>
      </c>
      <c r="B1554" s="1" t="n">
        <v>43383</v>
      </c>
      <c r="C1554" s="1" t="n">
        <v>45363</v>
      </c>
      <c r="D1554" t="inlineStr">
        <is>
          <t>JÄMTLANDS LÄN</t>
        </is>
      </c>
      <c r="E1554" t="inlineStr">
        <is>
          <t>HÄRJEDALEN</t>
        </is>
      </c>
      <c r="G1554" t="n">
        <v>16.3</v>
      </c>
      <c r="H1554" t="n">
        <v>0</v>
      </c>
      <c r="I1554" t="n">
        <v>0</v>
      </c>
      <c r="J1554" t="n">
        <v>0</v>
      </c>
      <c r="K1554" t="n">
        <v>0</v>
      </c>
      <c r="L1554" t="n">
        <v>0</v>
      </c>
      <c r="M1554" t="n">
        <v>0</v>
      </c>
      <c r="N1554" t="n">
        <v>0</v>
      </c>
      <c r="O1554" t="n">
        <v>0</v>
      </c>
      <c r="P1554" t="n">
        <v>0</v>
      </c>
      <c r="Q1554" t="n">
        <v>0</v>
      </c>
      <c r="R1554" s="2" t="inlineStr"/>
    </row>
    <row r="1555" ht="15" customHeight="1">
      <c r="A1555" t="inlineStr">
        <is>
          <t>A 51383-2018</t>
        </is>
      </c>
      <c r="B1555" s="1" t="n">
        <v>43383</v>
      </c>
      <c r="C1555" s="1" t="n">
        <v>45363</v>
      </c>
      <c r="D1555" t="inlineStr">
        <is>
          <t>JÄMTLANDS LÄN</t>
        </is>
      </c>
      <c r="E1555" t="inlineStr">
        <is>
          <t>ÅRE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52842-2018</t>
        </is>
      </c>
      <c r="B1556" s="1" t="n">
        <v>43384</v>
      </c>
      <c r="C1556" s="1" t="n">
        <v>45363</v>
      </c>
      <c r="D1556" t="inlineStr">
        <is>
          <t>JÄMTLANDS LÄN</t>
        </is>
      </c>
      <c r="E1556" t="inlineStr">
        <is>
          <t>ÅRE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52573-2018</t>
        </is>
      </c>
      <c r="B1557" s="1" t="n">
        <v>43388</v>
      </c>
      <c r="C1557" s="1" t="n">
        <v>45363</v>
      </c>
      <c r="D1557" t="inlineStr">
        <is>
          <t>JÄMTLANDS LÄN</t>
        </is>
      </c>
      <c r="E1557" t="inlineStr">
        <is>
          <t>ÅRE</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52615-2018</t>
        </is>
      </c>
      <c r="B1558" s="1" t="n">
        <v>43389</v>
      </c>
      <c r="C1558" s="1" t="n">
        <v>45363</v>
      </c>
      <c r="D1558" t="inlineStr">
        <is>
          <t>JÄMTLANDS LÄN</t>
        </is>
      </c>
      <c r="E1558" t="inlineStr">
        <is>
          <t>ÅRE</t>
        </is>
      </c>
      <c r="F1558" t="inlineStr">
        <is>
          <t>Övriga Aktiebolag</t>
        </is>
      </c>
      <c r="G1558" t="n">
        <v>65.90000000000001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54581-2018</t>
        </is>
      </c>
      <c r="B1559" s="1" t="n">
        <v>43389</v>
      </c>
      <c r="C1559" s="1" t="n">
        <v>45363</v>
      </c>
      <c r="D1559" t="inlineStr">
        <is>
          <t>JÄMTLANDS LÄN</t>
        </is>
      </c>
      <c r="E1559" t="inlineStr">
        <is>
          <t>HÄRJEDALEN</t>
        </is>
      </c>
      <c r="F1559" t="inlineStr">
        <is>
          <t>Övriga statliga verk och myndigheter</t>
        </is>
      </c>
      <c r="G1559" t="n">
        <v>58.9</v>
      </c>
      <c r="H1559" t="n">
        <v>0</v>
      </c>
      <c r="I1559" t="n">
        <v>0</v>
      </c>
      <c r="J1559" t="n">
        <v>0</v>
      </c>
      <c r="K1559" t="n">
        <v>0</v>
      </c>
      <c r="L1559" t="n">
        <v>0</v>
      </c>
      <c r="M1559" t="n">
        <v>0</v>
      </c>
      <c r="N1559" t="n">
        <v>0</v>
      </c>
      <c r="O1559" t="n">
        <v>0</v>
      </c>
      <c r="P1559" t="n">
        <v>0</v>
      </c>
      <c r="Q1559" t="n">
        <v>0</v>
      </c>
      <c r="R1559" s="2" t="inlineStr"/>
    </row>
    <row r="1560" ht="15" customHeight="1">
      <c r="A1560" t="inlineStr">
        <is>
          <t>A 72678-2018</t>
        </is>
      </c>
      <c r="B1560" s="1" t="n">
        <v>43389</v>
      </c>
      <c r="C1560" s="1" t="n">
        <v>45363</v>
      </c>
      <c r="D1560" t="inlineStr">
        <is>
          <t>JÄMTLANDS LÄN</t>
        </is>
      </c>
      <c r="E1560" t="inlineStr">
        <is>
          <t>KROKOM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54598-2018</t>
        </is>
      </c>
      <c r="B1561" s="1" t="n">
        <v>43389</v>
      </c>
      <c r="C1561" s="1" t="n">
        <v>45363</v>
      </c>
      <c r="D1561" t="inlineStr">
        <is>
          <t>JÄMTLANDS LÄN</t>
        </is>
      </c>
      <c r="E1561" t="inlineStr">
        <is>
          <t>BERG</t>
        </is>
      </c>
      <c r="F1561" t="inlineStr">
        <is>
          <t>Övriga statliga verk och myndigheter</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54538-2018</t>
        </is>
      </c>
      <c r="B1562" s="1" t="n">
        <v>43390</v>
      </c>
      <c r="C1562" s="1" t="n">
        <v>45363</v>
      </c>
      <c r="D1562" t="inlineStr">
        <is>
          <t>JÄMTLANDS LÄN</t>
        </is>
      </c>
      <c r="E1562" t="inlineStr">
        <is>
          <t>HÄRJEDALEN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54602-2018</t>
        </is>
      </c>
      <c r="B1563" s="1" t="n">
        <v>43390</v>
      </c>
      <c r="C1563" s="1" t="n">
        <v>45363</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53430-2018</t>
        </is>
      </c>
      <c r="B1564" s="1" t="n">
        <v>43391</v>
      </c>
      <c r="C1564" s="1" t="n">
        <v>45363</v>
      </c>
      <c r="D1564" t="inlineStr">
        <is>
          <t>JÄMTLANDS LÄN</t>
        </is>
      </c>
      <c r="E1564" t="inlineStr">
        <is>
          <t>ÅRE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54214-2018</t>
        </is>
      </c>
      <c r="B1565" s="1" t="n">
        <v>43392</v>
      </c>
      <c r="C1565" s="1" t="n">
        <v>45363</v>
      </c>
      <c r="D1565" t="inlineStr">
        <is>
          <t>JÄMTLANDS LÄN</t>
        </is>
      </c>
      <c r="E1565" t="inlineStr">
        <is>
          <t>BRÄCKE</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54050-2018</t>
        </is>
      </c>
      <c r="B1566" s="1" t="n">
        <v>43392</v>
      </c>
      <c r="C1566" s="1" t="n">
        <v>45363</v>
      </c>
      <c r="D1566" t="inlineStr">
        <is>
          <t>JÄMTLANDS LÄN</t>
        </is>
      </c>
      <c r="E1566" t="inlineStr">
        <is>
          <t>HÄRJEDALEN</t>
        </is>
      </c>
      <c r="F1566" t="inlineStr">
        <is>
          <t>Bergvik skog väst AB</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54204-2018</t>
        </is>
      </c>
      <c r="B1567" s="1" t="n">
        <v>43392</v>
      </c>
      <c r="C1567" s="1" t="n">
        <v>45363</v>
      </c>
      <c r="D1567" t="inlineStr">
        <is>
          <t>JÄMTLANDS LÄN</t>
        </is>
      </c>
      <c r="E1567" t="inlineStr">
        <is>
          <t>BRÄCKE</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54218-2018</t>
        </is>
      </c>
      <c r="B1568" s="1" t="n">
        <v>43392</v>
      </c>
      <c r="C1568" s="1" t="n">
        <v>45363</v>
      </c>
      <c r="D1568" t="inlineStr">
        <is>
          <t>JÄMTLANDS LÄN</t>
        </is>
      </c>
      <c r="E1568" t="inlineStr">
        <is>
          <t>BRÄCKE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54083-2018</t>
        </is>
      </c>
      <c r="B1569" s="1" t="n">
        <v>43392</v>
      </c>
      <c r="C1569" s="1" t="n">
        <v>45363</v>
      </c>
      <c r="D1569" t="inlineStr">
        <is>
          <t>JÄMTLANDS LÄN</t>
        </is>
      </c>
      <c r="E1569" t="inlineStr">
        <is>
          <t>KROKOM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54207-2018</t>
        </is>
      </c>
      <c r="B1570" s="1" t="n">
        <v>43392</v>
      </c>
      <c r="C1570" s="1" t="n">
        <v>45363</v>
      </c>
      <c r="D1570" t="inlineStr">
        <is>
          <t>JÄMTLANDS LÄN</t>
        </is>
      </c>
      <c r="E1570" t="inlineStr">
        <is>
          <t>BRÄCKE</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54215-2018</t>
        </is>
      </c>
      <c r="B1571" s="1" t="n">
        <v>43392</v>
      </c>
      <c r="C1571" s="1" t="n">
        <v>45363</v>
      </c>
      <c r="D1571" t="inlineStr">
        <is>
          <t>JÄMTLANDS LÄN</t>
        </is>
      </c>
      <c r="E1571" t="inlineStr">
        <is>
          <t>BRÄCKE</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54807-2018</t>
        </is>
      </c>
      <c r="B1572" s="1" t="n">
        <v>43395</v>
      </c>
      <c r="C1572" s="1" t="n">
        <v>45363</v>
      </c>
      <c r="D1572" t="inlineStr">
        <is>
          <t>JÄMTLANDS LÄN</t>
        </is>
      </c>
      <c r="E1572" t="inlineStr">
        <is>
          <t>STRÖMSUND</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54584-2018</t>
        </is>
      </c>
      <c r="B1573" s="1" t="n">
        <v>43395</v>
      </c>
      <c r="C1573" s="1" t="n">
        <v>45363</v>
      </c>
      <c r="D1573" t="inlineStr">
        <is>
          <t>JÄMTLANDS LÄN</t>
        </is>
      </c>
      <c r="E1573" t="inlineStr">
        <is>
          <t>ÖSTERSUND</t>
        </is>
      </c>
      <c r="F1573" t="inlineStr">
        <is>
          <t>Övriga Aktiebolag</t>
        </is>
      </c>
      <c r="G1573" t="n">
        <v>22.8</v>
      </c>
      <c r="H1573" t="n">
        <v>0</v>
      </c>
      <c r="I1573" t="n">
        <v>0</v>
      </c>
      <c r="J1573" t="n">
        <v>0</v>
      </c>
      <c r="K1573" t="n">
        <v>0</v>
      </c>
      <c r="L1573" t="n">
        <v>0</v>
      </c>
      <c r="M1573" t="n">
        <v>0</v>
      </c>
      <c r="N1573" t="n">
        <v>0</v>
      </c>
      <c r="O1573" t="n">
        <v>0</v>
      </c>
      <c r="P1573" t="n">
        <v>0</v>
      </c>
      <c r="Q1573" t="n">
        <v>0</v>
      </c>
      <c r="R1573" s="2" t="inlineStr"/>
    </row>
    <row r="1574" ht="15" customHeight="1">
      <c r="A1574" t="inlineStr">
        <is>
          <t>A 54413-2018</t>
        </is>
      </c>
      <c r="B1574" s="1" t="n">
        <v>43395</v>
      </c>
      <c r="C1574" s="1" t="n">
        <v>45363</v>
      </c>
      <c r="D1574" t="inlineStr">
        <is>
          <t>JÄMTLANDS LÄN</t>
        </is>
      </c>
      <c r="E1574" t="inlineStr">
        <is>
          <t>RAGUNDA</t>
        </is>
      </c>
      <c r="G1574" t="n">
        <v>31.2</v>
      </c>
      <c r="H1574" t="n">
        <v>0</v>
      </c>
      <c r="I1574" t="n">
        <v>0</v>
      </c>
      <c r="J1574" t="n">
        <v>0</v>
      </c>
      <c r="K1574" t="n">
        <v>0</v>
      </c>
      <c r="L1574" t="n">
        <v>0</v>
      </c>
      <c r="M1574" t="n">
        <v>0</v>
      </c>
      <c r="N1574" t="n">
        <v>0</v>
      </c>
      <c r="O1574" t="n">
        <v>0</v>
      </c>
      <c r="P1574" t="n">
        <v>0</v>
      </c>
      <c r="Q1574" t="n">
        <v>0</v>
      </c>
      <c r="R1574" s="2" t="inlineStr"/>
    </row>
    <row r="1575" ht="15" customHeight="1">
      <c r="A1575" t="inlineStr">
        <is>
          <t>A 54859-2018</t>
        </is>
      </c>
      <c r="B1575" s="1" t="n">
        <v>43396</v>
      </c>
      <c r="C1575" s="1" t="n">
        <v>45363</v>
      </c>
      <c r="D1575" t="inlineStr">
        <is>
          <t>JÄMTLANDS LÄN</t>
        </is>
      </c>
      <c r="E1575" t="inlineStr">
        <is>
          <t>ÅRE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55010-2018</t>
        </is>
      </c>
      <c r="B1576" s="1" t="n">
        <v>43396</v>
      </c>
      <c r="C1576" s="1" t="n">
        <v>45363</v>
      </c>
      <c r="D1576" t="inlineStr">
        <is>
          <t>JÄMTLANDS LÄN</t>
        </is>
      </c>
      <c r="E1576" t="inlineStr">
        <is>
          <t>RAGUNDA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55215-2018</t>
        </is>
      </c>
      <c r="B1577" s="1" t="n">
        <v>43396</v>
      </c>
      <c r="C1577" s="1" t="n">
        <v>45363</v>
      </c>
      <c r="D1577" t="inlineStr">
        <is>
          <t>JÄMTLANDS LÄN</t>
        </is>
      </c>
      <c r="E1577" t="inlineStr">
        <is>
          <t>HÄRJEDALEN</t>
        </is>
      </c>
      <c r="F1577" t="inlineStr">
        <is>
          <t>SCA</t>
        </is>
      </c>
      <c r="G1577" t="n">
        <v>13.1</v>
      </c>
      <c r="H1577" t="n">
        <v>0</v>
      </c>
      <c r="I1577" t="n">
        <v>0</v>
      </c>
      <c r="J1577" t="n">
        <v>0</v>
      </c>
      <c r="K1577" t="n">
        <v>0</v>
      </c>
      <c r="L1577" t="n">
        <v>0</v>
      </c>
      <c r="M1577" t="n">
        <v>0</v>
      </c>
      <c r="N1577" t="n">
        <v>0</v>
      </c>
      <c r="O1577" t="n">
        <v>0</v>
      </c>
      <c r="P1577" t="n">
        <v>0</v>
      </c>
      <c r="Q1577" t="n">
        <v>0</v>
      </c>
      <c r="R1577" s="2" t="inlineStr"/>
    </row>
    <row r="1578" ht="15" customHeight="1">
      <c r="A1578" t="inlineStr">
        <is>
          <t>A 57752-2018</t>
        </is>
      </c>
      <c r="B1578" s="1" t="n">
        <v>43397</v>
      </c>
      <c r="C1578" s="1" t="n">
        <v>45363</v>
      </c>
      <c r="D1578" t="inlineStr">
        <is>
          <t>JÄMTLANDS LÄN</t>
        </is>
      </c>
      <c r="E1578" t="inlineStr">
        <is>
          <t>ÅRE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55632-2018</t>
        </is>
      </c>
      <c r="B1579" s="1" t="n">
        <v>43397</v>
      </c>
      <c r="C1579" s="1" t="n">
        <v>45363</v>
      </c>
      <c r="D1579" t="inlineStr">
        <is>
          <t>JÄMTLANDS LÄN</t>
        </is>
      </c>
      <c r="E1579" t="inlineStr">
        <is>
          <t>BRÄCKE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55763-2018</t>
        </is>
      </c>
      <c r="B1580" s="1" t="n">
        <v>43398</v>
      </c>
      <c r="C1580" s="1" t="n">
        <v>45363</v>
      </c>
      <c r="D1580" t="inlineStr">
        <is>
          <t>JÄMTLANDS LÄN</t>
        </is>
      </c>
      <c r="E1580" t="inlineStr">
        <is>
          <t>RAGUNDA</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55761-2018</t>
        </is>
      </c>
      <c r="B1581" s="1" t="n">
        <v>43398</v>
      </c>
      <c r="C1581" s="1" t="n">
        <v>45363</v>
      </c>
      <c r="D1581" t="inlineStr">
        <is>
          <t>JÄMTLANDS LÄN</t>
        </is>
      </c>
      <c r="E1581" t="inlineStr">
        <is>
          <t>RAGUNDA</t>
        </is>
      </c>
      <c r="G1581" t="n">
        <v>11.4</v>
      </c>
      <c r="H1581" t="n">
        <v>0</v>
      </c>
      <c r="I1581" t="n">
        <v>0</v>
      </c>
      <c r="J1581" t="n">
        <v>0</v>
      </c>
      <c r="K1581" t="n">
        <v>0</v>
      </c>
      <c r="L1581" t="n">
        <v>0</v>
      </c>
      <c r="M1581" t="n">
        <v>0</v>
      </c>
      <c r="N1581" t="n">
        <v>0</v>
      </c>
      <c r="O1581" t="n">
        <v>0</v>
      </c>
      <c r="P1581" t="n">
        <v>0</v>
      </c>
      <c r="Q1581" t="n">
        <v>0</v>
      </c>
      <c r="R1581" s="2" t="inlineStr"/>
    </row>
    <row r="1582" ht="15" customHeight="1">
      <c r="A1582" t="inlineStr">
        <is>
          <t>A 55969-2018</t>
        </is>
      </c>
      <c r="B1582" s="1" t="n">
        <v>43398</v>
      </c>
      <c r="C1582" s="1" t="n">
        <v>45363</v>
      </c>
      <c r="D1582" t="inlineStr">
        <is>
          <t>JÄMTLANDS LÄN</t>
        </is>
      </c>
      <c r="E1582" t="inlineStr">
        <is>
          <t>ÖSTERSUND</t>
        </is>
      </c>
      <c r="F1582" t="inlineStr">
        <is>
          <t>Övriga Aktiebolag</t>
        </is>
      </c>
      <c r="G1582" t="n">
        <v>29.2</v>
      </c>
      <c r="H1582" t="n">
        <v>0</v>
      </c>
      <c r="I1582" t="n">
        <v>0</v>
      </c>
      <c r="J1582" t="n">
        <v>0</v>
      </c>
      <c r="K1582" t="n">
        <v>0</v>
      </c>
      <c r="L1582" t="n">
        <v>0</v>
      </c>
      <c r="M1582" t="n">
        <v>0</v>
      </c>
      <c r="N1582" t="n">
        <v>0</v>
      </c>
      <c r="O1582" t="n">
        <v>0</v>
      </c>
      <c r="P1582" t="n">
        <v>0</v>
      </c>
      <c r="Q1582" t="n">
        <v>0</v>
      </c>
      <c r="R1582" s="2" t="inlineStr"/>
    </row>
    <row r="1583" ht="15" customHeight="1">
      <c r="A1583" t="inlineStr">
        <is>
          <t>A 55786-2018</t>
        </is>
      </c>
      <c r="B1583" s="1" t="n">
        <v>43398</v>
      </c>
      <c r="C1583" s="1" t="n">
        <v>45363</v>
      </c>
      <c r="D1583" t="inlineStr">
        <is>
          <t>JÄMTLANDS LÄN</t>
        </is>
      </c>
      <c r="E1583" t="inlineStr">
        <is>
          <t>RAGUNDA</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55792-2018</t>
        </is>
      </c>
      <c r="B1584" s="1" t="n">
        <v>43398</v>
      </c>
      <c r="C1584" s="1" t="n">
        <v>45363</v>
      </c>
      <c r="D1584" t="inlineStr">
        <is>
          <t>JÄMTLANDS LÄN</t>
        </is>
      </c>
      <c r="E1584" t="inlineStr">
        <is>
          <t>BRÄCKE</t>
        </is>
      </c>
      <c r="G1584" t="n">
        <v>11.3</v>
      </c>
      <c r="H1584" t="n">
        <v>0</v>
      </c>
      <c r="I1584" t="n">
        <v>0</v>
      </c>
      <c r="J1584" t="n">
        <v>0</v>
      </c>
      <c r="K1584" t="n">
        <v>0</v>
      </c>
      <c r="L1584" t="n">
        <v>0</v>
      </c>
      <c r="M1584" t="n">
        <v>0</v>
      </c>
      <c r="N1584" t="n">
        <v>0</v>
      </c>
      <c r="O1584" t="n">
        <v>0</v>
      </c>
      <c r="P1584" t="n">
        <v>0</v>
      </c>
      <c r="Q1584" t="n">
        <v>0</v>
      </c>
      <c r="R1584" s="2" t="inlineStr"/>
    </row>
    <row r="1585" ht="15" customHeight="1">
      <c r="A1585" t="inlineStr">
        <is>
          <t>A 58104-2018</t>
        </is>
      </c>
      <c r="B1585" s="1" t="n">
        <v>43398</v>
      </c>
      <c r="C1585" s="1" t="n">
        <v>45363</v>
      </c>
      <c r="D1585" t="inlineStr">
        <is>
          <t>JÄMTLANDS LÄN</t>
        </is>
      </c>
      <c r="E1585" t="inlineStr">
        <is>
          <t>ÖSTERSUND</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58730-2018</t>
        </is>
      </c>
      <c r="B1586" s="1" t="n">
        <v>43399</v>
      </c>
      <c r="C1586" s="1" t="n">
        <v>45363</v>
      </c>
      <c r="D1586" t="inlineStr">
        <is>
          <t>JÄMTLANDS LÄN</t>
        </is>
      </c>
      <c r="E1586" t="inlineStr">
        <is>
          <t>STRÖMSUND</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58616-2018</t>
        </is>
      </c>
      <c r="B1587" s="1" t="n">
        <v>43399</v>
      </c>
      <c r="C1587" s="1" t="n">
        <v>45363</v>
      </c>
      <c r="D1587" t="inlineStr">
        <is>
          <t>JÄMTLANDS LÄN</t>
        </is>
      </c>
      <c r="E1587" t="inlineStr">
        <is>
          <t>ÖSTERSUND</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56473-2018</t>
        </is>
      </c>
      <c r="B1588" s="1" t="n">
        <v>43399</v>
      </c>
      <c r="C1588" s="1" t="n">
        <v>45363</v>
      </c>
      <c r="D1588" t="inlineStr">
        <is>
          <t>JÄMTLANDS LÄN</t>
        </is>
      </c>
      <c r="E1588" t="inlineStr">
        <is>
          <t>HÄRJEDALEN</t>
        </is>
      </c>
      <c r="F1588" t="inlineStr">
        <is>
          <t>Bergvik skog väst AB</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56780-2018</t>
        </is>
      </c>
      <c r="B1589" s="1" t="n">
        <v>43402</v>
      </c>
      <c r="C1589" s="1" t="n">
        <v>45363</v>
      </c>
      <c r="D1589" t="inlineStr">
        <is>
          <t>JÄMTLANDS LÄN</t>
        </is>
      </c>
      <c r="E1589" t="inlineStr">
        <is>
          <t>ÅRE</t>
        </is>
      </c>
      <c r="G1589" t="n">
        <v>45.1</v>
      </c>
      <c r="H1589" t="n">
        <v>0</v>
      </c>
      <c r="I1589" t="n">
        <v>0</v>
      </c>
      <c r="J1589" t="n">
        <v>0</v>
      </c>
      <c r="K1589" t="n">
        <v>0</v>
      </c>
      <c r="L1589" t="n">
        <v>0</v>
      </c>
      <c r="M1589" t="n">
        <v>0</v>
      </c>
      <c r="N1589" t="n">
        <v>0</v>
      </c>
      <c r="O1589" t="n">
        <v>0</v>
      </c>
      <c r="P1589" t="n">
        <v>0</v>
      </c>
      <c r="Q1589" t="n">
        <v>0</v>
      </c>
      <c r="R1589" s="2" t="inlineStr"/>
    </row>
    <row r="1590" ht="15" customHeight="1">
      <c r="A1590" t="inlineStr">
        <is>
          <t>A 56834-2018</t>
        </is>
      </c>
      <c r="B1590" s="1" t="n">
        <v>43402</v>
      </c>
      <c r="C1590" s="1" t="n">
        <v>45363</v>
      </c>
      <c r="D1590" t="inlineStr">
        <is>
          <t>JÄMTLANDS LÄN</t>
        </is>
      </c>
      <c r="E1590" t="inlineStr">
        <is>
          <t>BERG</t>
        </is>
      </c>
      <c r="F1590" t="inlineStr">
        <is>
          <t>SCA</t>
        </is>
      </c>
      <c r="G1590" t="n">
        <v>11.9</v>
      </c>
      <c r="H1590" t="n">
        <v>0</v>
      </c>
      <c r="I1590" t="n">
        <v>0</v>
      </c>
      <c r="J1590" t="n">
        <v>0</v>
      </c>
      <c r="K1590" t="n">
        <v>0</v>
      </c>
      <c r="L1590" t="n">
        <v>0</v>
      </c>
      <c r="M1590" t="n">
        <v>0</v>
      </c>
      <c r="N1590" t="n">
        <v>0</v>
      </c>
      <c r="O1590" t="n">
        <v>0</v>
      </c>
      <c r="P1590" t="n">
        <v>0</v>
      </c>
      <c r="Q1590" t="n">
        <v>0</v>
      </c>
      <c r="R1590" s="2" t="inlineStr"/>
    </row>
    <row r="1591" ht="15" customHeight="1">
      <c r="A1591" t="inlineStr">
        <is>
          <t>A 57347-2018</t>
        </is>
      </c>
      <c r="B1591" s="1" t="n">
        <v>43402</v>
      </c>
      <c r="C1591" s="1" t="n">
        <v>45363</v>
      </c>
      <c r="D1591" t="inlineStr">
        <is>
          <t>JÄMTLANDS LÄN</t>
        </is>
      </c>
      <c r="E1591" t="inlineStr">
        <is>
          <t>STRÖMSUND</t>
        </is>
      </c>
      <c r="G1591" t="n">
        <v>22.9</v>
      </c>
      <c r="H1591" t="n">
        <v>0</v>
      </c>
      <c r="I1591" t="n">
        <v>0</v>
      </c>
      <c r="J1591" t="n">
        <v>0</v>
      </c>
      <c r="K1591" t="n">
        <v>0</v>
      </c>
      <c r="L1591" t="n">
        <v>0</v>
      </c>
      <c r="M1591" t="n">
        <v>0</v>
      </c>
      <c r="N1591" t="n">
        <v>0</v>
      </c>
      <c r="O1591" t="n">
        <v>0</v>
      </c>
      <c r="P1591" t="n">
        <v>0</v>
      </c>
      <c r="Q1591" t="n">
        <v>0</v>
      </c>
      <c r="R1591" s="2" t="inlineStr"/>
    </row>
    <row r="1592" ht="15" customHeight="1">
      <c r="A1592" t="inlineStr">
        <is>
          <t>A 59019-2018</t>
        </is>
      </c>
      <c r="B1592" s="1" t="n">
        <v>43402</v>
      </c>
      <c r="C1592" s="1" t="n">
        <v>45363</v>
      </c>
      <c r="D1592" t="inlineStr">
        <is>
          <t>JÄMTLANDS LÄN</t>
        </is>
      </c>
      <c r="E1592" t="inlineStr">
        <is>
          <t>ÖSTERSUND</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56835-2018</t>
        </is>
      </c>
      <c r="B1593" s="1" t="n">
        <v>43402</v>
      </c>
      <c r="C1593" s="1" t="n">
        <v>45363</v>
      </c>
      <c r="D1593" t="inlineStr">
        <is>
          <t>JÄMTLANDS LÄN</t>
        </is>
      </c>
      <c r="E1593" t="inlineStr">
        <is>
          <t>BERG</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59045-2018</t>
        </is>
      </c>
      <c r="B1594" s="1" t="n">
        <v>43402</v>
      </c>
      <c r="C1594" s="1" t="n">
        <v>45363</v>
      </c>
      <c r="D1594" t="inlineStr">
        <is>
          <t>JÄMTLANDS LÄN</t>
        </is>
      </c>
      <c r="E1594" t="inlineStr">
        <is>
          <t>STRÖMSUND</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56693-2018</t>
        </is>
      </c>
      <c r="B1595" s="1" t="n">
        <v>43402</v>
      </c>
      <c r="C1595" s="1" t="n">
        <v>45363</v>
      </c>
      <c r="D1595" t="inlineStr">
        <is>
          <t>JÄMTLANDS LÄN</t>
        </is>
      </c>
      <c r="E1595" t="inlineStr">
        <is>
          <t>HÄRJEDALEN</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57238-2018</t>
        </is>
      </c>
      <c r="B1596" s="1" t="n">
        <v>43403</v>
      </c>
      <c r="C1596" s="1" t="n">
        <v>45363</v>
      </c>
      <c r="D1596" t="inlineStr">
        <is>
          <t>JÄMTLANDS LÄN</t>
        </is>
      </c>
      <c r="E1596" t="inlineStr">
        <is>
          <t>RAGUNDA</t>
        </is>
      </c>
      <c r="F1596" t="inlineStr">
        <is>
          <t>SCA</t>
        </is>
      </c>
      <c r="G1596" t="n">
        <v>10.2</v>
      </c>
      <c r="H1596" t="n">
        <v>0</v>
      </c>
      <c r="I1596" t="n">
        <v>0</v>
      </c>
      <c r="J1596" t="n">
        <v>0</v>
      </c>
      <c r="K1596" t="n">
        <v>0</v>
      </c>
      <c r="L1596" t="n">
        <v>0</v>
      </c>
      <c r="M1596" t="n">
        <v>0</v>
      </c>
      <c r="N1596" t="n">
        <v>0</v>
      </c>
      <c r="O1596" t="n">
        <v>0</v>
      </c>
      <c r="P1596" t="n">
        <v>0</v>
      </c>
      <c r="Q1596" t="n">
        <v>0</v>
      </c>
      <c r="R1596" s="2" t="inlineStr"/>
    </row>
    <row r="1597" ht="15" customHeight="1">
      <c r="A1597" t="inlineStr">
        <is>
          <t>A 64983-2018</t>
        </is>
      </c>
      <c r="B1597" s="1" t="n">
        <v>43403</v>
      </c>
      <c r="C1597" s="1" t="n">
        <v>45363</v>
      </c>
      <c r="D1597" t="inlineStr">
        <is>
          <t>JÄMTLANDS LÄN</t>
        </is>
      </c>
      <c r="E1597" t="inlineStr">
        <is>
          <t>RAGUNDA</t>
        </is>
      </c>
      <c r="F1597" t="inlineStr">
        <is>
          <t>SCA</t>
        </is>
      </c>
      <c r="G1597" t="n">
        <v>12.8</v>
      </c>
      <c r="H1597" t="n">
        <v>0</v>
      </c>
      <c r="I1597" t="n">
        <v>0</v>
      </c>
      <c r="J1597" t="n">
        <v>0</v>
      </c>
      <c r="K1597" t="n">
        <v>0</v>
      </c>
      <c r="L1597" t="n">
        <v>0</v>
      </c>
      <c r="M1597" t="n">
        <v>0</v>
      </c>
      <c r="N1597" t="n">
        <v>0</v>
      </c>
      <c r="O1597" t="n">
        <v>0</v>
      </c>
      <c r="P1597" t="n">
        <v>0</v>
      </c>
      <c r="Q1597" t="n">
        <v>0</v>
      </c>
      <c r="R1597" s="2" t="inlineStr"/>
    </row>
    <row r="1598" ht="15" customHeight="1">
      <c r="A1598" t="inlineStr">
        <is>
          <t>A 57236-2018</t>
        </is>
      </c>
      <c r="B1598" s="1" t="n">
        <v>43403</v>
      </c>
      <c r="C1598" s="1" t="n">
        <v>45363</v>
      </c>
      <c r="D1598" t="inlineStr">
        <is>
          <t>JÄMTLANDS LÄN</t>
        </is>
      </c>
      <c r="E1598" t="inlineStr">
        <is>
          <t>BRÄCKE</t>
        </is>
      </c>
      <c r="F1598" t="inlineStr">
        <is>
          <t>SCA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57227-2018</t>
        </is>
      </c>
      <c r="B1599" s="1" t="n">
        <v>43403</v>
      </c>
      <c r="C1599" s="1" t="n">
        <v>45363</v>
      </c>
      <c r="D1599" t="inlineStr">
        <is>
          <t>JÄMTLANDS LÄN</t>
        </is>
      </c>
      <c r="E1599" t="inlineStr">
        <is>
          <t>BRÄCKE</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57237-2018</t>
        </is>
      </c>
      <c r="B1600" s="1" t="n">
        <v>43403</v>
      </c>
      <c r="C1600" s="1" t="n">
        <v>45363</v>
      </c>
      <c r="D1600" t="inlineStr">
        <is>
          <t>JÄMTLANDS LÄN</t>
        </is>
      </c>
      <c r="E1600" t="inlineStr">
        <is>
          <t>RAGUNDA</t>
        </is>
      </c>
      <c r="F1600" t="inlineStr">
        <is>
          <t>SCA</t>
        </is>
      </c>
      <c r="G1600" t="n">
        <v>20.7</v>
      </c>
      <c r="H1600" t="n">
        <v>0</v>
      </c>
      <c r="I1600" t="n">
        <v>0</v>
      </c>
      <c r="J1600" t="n">
        <v>0</v>
      </c>
      <c r="K1600" t="n">
        <v>0</v>
      </c>
      <c r="L1600" t="n">
        <v>0</v>
      </c>
      <c r="M1600" t="n">
        <v>0</v>
      </c>
      <c r="N1600" t="n">
        <v>0</v>
      </c>
      <c r="O1600" t="n">
        <v>0</v>
      </c>
      <c r="P1600" t="n">
        <v>0</v>
      </c>
      <c r="Q1600" t="n">
        <v>0</v>
      </c>
      <c r="R1600" s="2" t="inlineStr"/>
    </row>
    <row r="1601" ht="15" customHeight="1">
      <c r="A1601" t="inlineStr">
        <is>
          <t>A 57422-2018</t>
        </is>
      </c>
      <c r="B1601" s="1" t="n">
        <v>43404</v>
      </c>
      <c r="C1601" s="1" t="n">
        <v>45363</v>
      </c>
      <c r="D1601" t="inlineStr">
        <is>
          <t>JÄMTLANDS LÄN</t>
        </is>
      </c>
      <c r="E1601" t="inlineStr">
        <is>
          <t>STRÖMSUND</t>
        </is>
      </c>
      <c r="F1601" t="inlineStr">
        <is>
          <t>Holmen skog AB</t>
        </is>
      </c>
      <c r="G1601" t="n">
        <v>17.4</v>
      </c>
      <c r="H1601" t="n">
        <v>0</v>
      </c>
      <c r="I1601" t="n">
        <v>0</v>
      </c>
      <c r="J1601" t="n">
        <v>0</v>
      </c>
      <c r="K1601" t="n">
        <v>0</v>
      </c>
      <c r="L1601" t="n">
        <v>0</v>
      </c>
      <c r="M1601" t="n">
        <v>0</v>
      </c>
      <c r="N1601" t="n">
        <v>0</v>
      </c>
      <c r="O1601" t="n">
        <v>0</v>
      </c>
      <c r="P1601" t="n">
        <v>0</v>
      </c>
      <c r="Q1601" t="n">
        <v>0</v>
      </c>
      <c r="R1601" s="2" t="inlineStr"/>
    </row>
    <row r="1602" ht="15" customHeight="1">
      <c r="A1602" t="inlineStr">
        <is>
          <t>A 57655-2018</t>
        </is>
      </c>
      <c r="B1602" s="1" t="n">
        <v>43404</v>
      </c>
      <c r="C1602" s="1" t="n">
        <v>45363</v>
      </c>
      <c r="D1602" t="inlineStr">
        <is>
          <t>JÄMTLANDS LÄN</t>
        </is>
      </c>
      <c r="E1602" t="inlineStr">
        <is>
          <t>STRÖMSUND</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57622-2018</t>
        </is>
      </c>
      <c r="B1603" s="1" t="n">
        <v>43404</v>
      </c>
      <c r="C1603" s="1" t="n">
        <v>45363</v>
      </c>
      <c r="D1603" t="inlineStr">
        <is>
          <t>JÄMTLANDS LÄN</t>
        </is>
      </c>
      <c r="E1603" t="inlineStr">
        <is>
          <t>STRÖMSUND</t>
        </is>
      </c>
      <c r="G1603" t="n">
        <v>20.4</v>
      </c>
      <c r="H1603" t="n">
        <v>0</v>
      </c>
      <c r="I1603" t="n">
        <v>0</v>
      </c>
      <c r="J1603" t="n">
        <v>0</v>
      </c>
      <c r="K1603" t="n">
        <v>0</v>
      </c>
      <c r="L1603" t="n">
        <v>0</v>
      </c>
      <c r="M1603" t="n">
        <v>0</v>
      </c>
      <c r="N1603" t="n">
        <v>0</v>
      </c>
      <c r="O1603" t="n">
        <v>0</v>
      </c>
      <c r="P1603" t="n">
        <v>0</v>
      </c>
      <c r="Q1603" t="n">
        <v>0</v>
      </c>
      <c r="R1603" s="2" t="inlineStr"/>
    </row>
    <row r="1604" ht="15" customHeight="1">
      <c r="A1604" t="inlineStr">
        <is>
          <t>A 57667-2018</t>
        </is>
      </c>
      <c r="B1604" s="1" t="n">
        <v>43404</v>
      </c>
      <c r="C1604" s="1" t="n">
        <v>45363</v>
      </c>
      <c r="D1604" t="inlineStr">
        <is>
          <t>JÄMTLANDS LÄN</t>
        </is>
      </c>
      <c r="E1604" t="inlineStr">
        <is>
          <t>HÄRJEDALEN</t>
        </is>
      </c>
      <c r="G1604" t="n">
        <v>46.5</v>
      </c>
      <c r="H1604" t="n">
        <v>0</v>
      </c>
      <c r="I1604" t="n">
        <v>0</v>
      </c>
      <c r="J1604" t="n">
        <v>0</v>
      </c>
      <c r="K1604" t="n">
        <v>0</v>
      </c>
      <c r="L1604" t="n">
        <v>0</v>
      </c>
      <c r="M1604" t="n">
        <v>0</v>
      </c>
      <c r="N1604" t="n">
        <v>0</v>
      </c>
      <c r="O1604" t="n">
        <v>0</v>
      </c>
      <c r="P1604" t="n">
        <v>0</v>
      </c>
      <c r="Q1604" t="n">
        <v>0</v>
      </c>
      <c r="R1604" s="2" t="inlineStr"/>
    </row>
    <row r="1605" ht="15" customHeight="1">
      <c r="A1605" t="inlineStr">
        <is>
          <t>A 57604-2018</t>
        </is>
      </c>
      <c r="B1605" s="1" t="n">
        <v>43404</v>
      </c>
      <c r="C1605" s="1" t="n">
        <v>45363</v>
      </c>
      <c r="D1605" t="inlineStr">
        <is>
          <t>JÄMTLANDS LÄN</t>
        </is>
      </c>
      <c r="E1605" t="inlineStr">
        <is>
          <t>BERG</t>
        </is>
      </c>
      <c r="F1605" t="inlineStr">
        <is>
          <t>SCA</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57644-2018</t>
        </is>
      </c>
      <c r="B1606" s="1" t="n">
        <v>43404</v>
      </c>
      <c r="C1606" s="1" t="n">
        <v>45363</v>
      </c>
      <c r="D1606" t="inlineStr">
        <is>
          <t>JÄMTLANDS LÄN</t>
        </is>
      </c>
      <c r="E1606" t="inlineStr">
        <is>
          <t>STRÖMSUND</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57488-2018</t>
        </is>
      </c>
      <c r="B1607" s="1" t="n">
        <v>43404</v>
      </c>
      <c r="C1607" s="1" t="n">
        <v>45363</v>
      </c>
      <c r="D1607" t="inlineStr">
        <is>
          <t>JÄMTLANDS LÄN</t>
        </is>
      </c>
      <c r="E1607" t="inlineStr">
        <is>
          <t>STRÖMSUND</t>
        </is>
      </c>
      <c r="F1607" t="inlineStr">
        <is>
          <t>Holmen skog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57704-2018</t>
        </is>
      </c>
      <c r="B1608" s="1" t="n">
        <v>43405</v>
      </c>
      <c r="C1608" s="1" t="n">
        <v>45363</v>
      </c>
      <c r="D1608" t="inlineStr">
        <is>
          <t>JÄMTLANDS LÄN</t>
        </is>
      </c>
      <c r="E1608" t="inlineStr">
        <is>
          <t>STRÖMSUND</t>
        </is>
      </c>
      <c r="F1608" t="inlineStr">
        <is>
          <t>Holmen skog AB</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57992-2018</t>
        </is>
      </c>
      <c r="B1609" s="1" t="n">
        <v>43405</v>
      </c>
      <c r="C1609" s="1" t="n">
        <v>45363</v>
      </c>
      <c r="D1609" t="inlineStr">
        <is>
          <t>JÄMTLANDS LÄN</t>
        </is>
      </c>
      <c r="E1609" t="inlineStr">
        <is>
          <t>RAGUNDA</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57699-2018</t>
        </is>
      </c>
      <c r="B1610" s="1" t="n">
        <v>43405</v>
      </c>
      <c r="C1610" s="1" t="n">
        <v>45363</v>
      </c>
      <c r="D1610" t="inlineStr">
        <is>
          <t>JÄMTLANDS LÄN</t>
        </is>
      </c>
      <c r="E1610" t="inlineStr">
        <is>
          <t>STRÖMSUND</t>
        </is>
      </c>
      <c r="F1610" t="inlineStr">
        <is>
          <t>Holmen skog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58088-2018</t>
        </is>
      </c>
      <c r="B1611" s="1" t="n">
        <v>43406</v>
      </c>
      <c r="C1611" s="1" t="n">
        <v>45363</v>
      </c>
      <c r="D1611" t="inlineStr">
        <is>
          <t>JÄMTLANDS LÄN</t>
        </is>
      </c>
      <c r="E1611" t="inlineStr">
        <is>
          <t>HÄRJEDALEN</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58172-2018</t>
        </is>
      </c>
      <c r="B1612" s="1" t="n">
        <v>43406</v>
      </c>
      <c r="C1612" s="1" t="n">
        <v>45363</v>
      </c>
      <c r="D1612" t="inlineStr">
        <is>
          <t>JÄMTLANDS LÄN</t>
        </is>
      </c>
      <c r="E1612" t="inlineStr">
        <is>
          <t>RAGUNDA</t>
        </is>
      </c>
      <c r="F1612" t="inlineStr">
        <is>
          <t>SCA</t>
        </is>
      </c>
      <c r="G1612" t="n">
        <v>12.8</v>
      </c>
      <c r="H1612" t="n">
        <v>0</v>
      </c>
      <c r="I1612" t="n">
        <v>0</v>
      </c>
      <c r="J1612" t="n">
        <v>0</v>
      </c>
      <c r="K1612" t="n">
        <v>0</v>
      </c>
      <c r="L1612" t="n">
        <v>0</v>
      </c>
      <c r="M1612" t="n">
        <v>0</v>
      </c>
      <c r="N1612" t="n">
        <v>0</v>
      </c>
      <c r="O1612" t="n">
        <v>0</v>
      </c>
      <c r="P1612" t="n">
        <v>0</v>
      </c>
      <c r="Q1612" t="n">
        <v>0</v>
      </c>
      <c r="R1612" s="2" t="inlineStr"/>
    </row>
    <row r="1613" ht="15" customHeight="1">
      <c r="A1613" t="inlineStr">
        <is>
          <t>A 58135-2018</t>
        </is>
      </c>
      <c r="B1613" s="1" t="n">
        <v>43406</v>
      </c>
      <c r="C1613" s="1" t="n">
        <v>45363</v>
      </c>
      <c r="D1613" t="inlineStr">
        <is>
          <t>JÄMTLANDS LÄN</t>
        </is>
      </c>
      <c r="E1613" t="inlineStr">
        <is>
          <t>STRÖMSUND</t>
        </is>
      </c>
      <c r="F1613" t="inlineStr">
        <is>
          <t>Holmen skog AB</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58132-2018</t>
        </is>
      </c>
      <c r="B1614" s="1" t="n">
        <v>43406</v>
      </c>
      <c r="C1614" s="1" t="n">
        <v>45363</v>
      </c>
      <c r="D1614" t="inlineStr">
        <is>
          <t>JÄMTLANDS LÄN</t>
        </is>
      </c>
      <c r="E1614" t="inlineStr">
        <is>
          <t>STRÖMSUND</t>
        </is>
      </c>
      <c r="F1614" t="inlineStr">
        <is>
          <t>Holmen skog AB</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58149-2018</t>
        </is>
      </c>
      <c r="B1615" s="1" t="n">
        <v>43406</v>
      </c>
      <c r="C1615" s="1" t="n">
        <v>45363</v>
      </c>
      <c r="D1615" t="inlineStr">
        <is>
          <t>JÄMTLANDS LÄN</t>
        </is>
      </c>
      <c r="E1615" t="inlineStr">
        <is>
          <t>STRÖMSUND</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58272-2018</t>
        </is>
      </c>
      <c r="B1616" s="1" t="n">
        <v>43409</v>
      </c>
      <c r="C1616" s="1" t="n">
        <v>45363</v>
      </c>
      <c r="D1616" t="inlineStr">
        <is>
          <t>JÄMTLANDS LÄN</t>
        </is>
      </c>
      <c r="E1616" t="inlineStr">
        <is>
          <t>STRÖMSUND</t>
        </is>
      </c>
      <c r="F1616" t="inlineStr">
        <is>
          <t>Holmen skog AB</t>
        </is>
      </c>
      <c r="G1616" t="n">
        <v>11.8</v>
      </c>
      <c r="H1616" t="n">
        <v>0</v>
      </c>
      <c r="I1616" t="n">
        <v>0</v>
      </c>
      <c r="J1616" t="n">
        <v>0</v>
      </c>
      <c r="K1616" t="n">
        <v>0</v>
      </c>
      <c r="L1616" t="n">
        <v>0</v>
      </c>
      <c r="M1616" t="n">
        <v>0</v>
      </c>
      <c r="N1616" t="n">
        <v>0</v>
      </c>
      <c r="O1616" t="n">
        <v>0</v>
      </c>
      <c r="P1616" t="n">
        <v>0</v>
      </c>
      <c r="Q1616" t="n">
        <v>0</v>
      </c>
      <c r="R1616" s="2" t="inlineStr"/>
    </row>
    <row r="1617" ht="15" customHeight="1">
      <c r="A1617" t="inlineStr">
        <is>
          <t>A 58408-2018</t>
        </is>
      </c>
      <c r="B1617" s="1" t="n">
        <v>43409</v>
      </c>
      <c r="C1617" s="1" t="n">
        <v>45363</v>
      </c>
      <c r="D1617" t="inlineStr">
        <is>
          <t>JÄMTLANDS LÄN</t>
        </is>
      </c>
      <c r="E1617" t="inlineStr">
        <is>
          <t>BERG</t>
        </is>
      </c>
      <c r="G1617" t="n">
        <v>11.7</v>
      </c>
      <c r="H1617" t="n">
        <v>0</v>
      </c>
      <c r="I1617" t="n">
        <v>0</v>
      </c>
      <c r="J1617" t="n">
        <v>0</v>
      </c>
      <c r="K1617" t="n">
        <v>0</v>
      </c>
      <c r="L1617" t="n">
        <v>0</v>
      </c>
      <c r="M1617" t="n">
        <v>0</v>
      </c>
      <c r="N1617" t="n">
        <v>0</v>
      </c>
      <c r="O1617" t="n">
        <v>0</v>
      </c>
      <c r="P1617" t="n">
        <v>0</v>
      </c>
      <c r="Q1617" t="n">
        <v>0</v>
      </c>
      <c r="R1617" s="2" t="inlineStr"/>
    </row>
    <row r="1618" ht="15" customHeight="1">
      <c r="A1618" t="inlineStr">
        <is>
          <t>A 60544-2018</t>
        </is>
      </c>
      <c r="B1618" s="1" t="n">
        <v>43409</v>
      </c>
      <c r="C1618" s="1" t="n">
        <v>45363</v>
      </c>
      <c r="D1618" t="inlineStr">
        <is>
          <t>JÄMTLANDS LÄN</t>
        </is>
      </c>
      <c r="E1618" t="inlineStr">
        <is>
          <t>BERG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58274-2018</t>
        </is>
      </c>
      <c r="B1619" s="1" t="n">
        <v>43409</v>
      </c>
      <c r="C1619" s="1" t="n">
        <v>45363</v>
      </c>
      <c r="D1619" t="inlineStr">
        <is>
          <t>JÄMTLANDS LÄN</t>
        </is>
      </c>
      <c r="E1619" t="inlineStr">
        <is>
          <t>STRÖMSUND</t>
        </is>
      </c>
      <c r="F1619" t="inlineStr">
        <is>
          <t>Holmen skog AB</t>
        </is>
      </c>
      <c r="G1619" t="n">
        <v>11.8</v>
      </c>
      <c r="H1619" t="n">
        <v>0</v>
      </c>
      <c r="I1619" t="n">
        <v>0</v>
      </c>
      <c r="J1619" t="n">
        <v>0</v>
      </c>
      <c r="K1619" t="n">
        <v>0</v>
      </c>
      <c r="L1619" t="n">
        <v>0</v>
      </c>
      <c r="M1619" t="n">
        <v>0</v>
      </c>
      <c r="N1619" t="n">
        <v>0</v>
      </c>
      <c r="O1619" t="n">
        <v>0</v>
      </c>
      <c r="P1619" t="n">
        <v>0</v>
      </c>
      <c r="Q1619" t="n">
        <v>0</v>
      </c>
      <c r="R1619" s="2" t="inlineStr"/>
    </row>
    <row r="1620" ht="15" customHeight="1">
      <c r="A1620" t="inlineStr">
        <is>
          <t>A 58400-2018</t>
        </is>
      </c>
      <c r="B1620" s="1" t="n">
        <v>43409</v>
      </c>
      <c r="C1620" s="1" t="n">
        <v>45363</v>
      </c>
      <c r="D1620" t="inlineStr">
        <is>
          <t>JÄMTLANDS LÄN</t>
        </is>
      </c>
      <c r="E1620" t="inlineStr">
        <is>
          <t>STRÖMSUND</t>
        </is>
      </c>
      <c r="F1620" t="inlineStr">
        <is>
          <t>Holmen skog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58944-2018</t>
        </is>
      </c>
      <c r="B1621" s="1" t="n">
        <v>43410</v>
      </c>
      <c r="C1621" s="1" t="n">
        <v>45363</v>
      </c>
      <c r="D1621" t="inlineStr">
        <is>
          <t>JÄMTLANDS LÄN</t>
        </is>
      </c>
      <c r="E1621" t="inlineStr">
        <is>
          <t>STRÖMSUND</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58934-2018</t>
        </is>
      </c>
      <c r="B1622" s="1" t="n">
        <v>43410</v>
      </c>
      <c r="C1622" s="1" t="n">
        <v>45363</v>
      </c>
      <c r="D1622" t="inlineStr">
        <is>
          <t>JÄMTLANDS LÄN</t>
        </is>
      </c>
      <c r="E1622" t="inlineStr">
        <is>
          <t>STRÖMSUND</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58869-2018</t>
        </is>
      </c>
      <c r="B1623" s="1" t="n">
        <v>43410</v>
      </c>
      <c r="C1623" s="1" t="n">
        <v>45363</v>
      </c>
      <c r="D1623" t="inlineStr">
        <is>
          <t>JÄMTLANDS LÄN</t>
        </is>
      </c>
      <c r="E1623" t="inlineStr">
        <is>
          <t>STRÖMSUND</t>
        </is>
      </c>
      <c r="F1623" t="inlineStr">
        <is>
          <t>Holmen skog AB</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58929-2018</t>
        </is>
      </c>
      <c r="B1624" s="1" t="n">
        <v>43410</v>
      </c>
      <c r="C1624" s="1" t="n">
        <v>45363</v>
      </c>
      <c r="D1624" t="inlineStr">
        <is>
          <t>JÄMTLANDS LÄN</t>
        </is>
      </c>
      <c r="E1624" t="inlineStr">
        <is>
          <t>RAGUNDA</t>
        </is>
      </c>
      <c r="F1624" t="inlineStr">
        <is>
          <t>SCA</t>
        </is>
      </c>
      <c r="G1624" t="n">
        <v>12.8</v>
      </c>
      <c r="H1624" t="n">
        <v>0</v>
      </c>
      <c r="I1624" t="n">
        <v>0</v>
      </c>
      <c r="J1624" t="n">
        <v>0</v>
      </c>
      <c r="K1624" t="n">
        <v>0</v>
      </c>
      <c r="L1624" t="n">
        <v>0</v>
      </c>
      <c r="M1624" t="n">
        <v>0</v>
      </c>
      <c r="N1624" t="n">
        <v>0</v>
      </c>
      <c r="O1624" t="n">
        <v>0</v>
      </c>
      <c r="P1624" t="n">
        <v>0</v>
      </c>
      <c r="Q1624" t="n">
        <v>0</v>
      </c>
      <c r="R1624" s="2" t="inlineStr"/>
    </row>
    <row r="1625" ht="15" customHeight="1">
      <c r="A1625" t="inlineStr">
        <is>
          <t>A 58938-2018</t>
        </is>
      </c>
      <c r="B1625" s="1" t="n">
        <v>43410</v>
      </c>
      <c r="C1625" s="1" t="n">
        <v>45363</v>
      </c>
      <c r="D1625" t="inlineStr">
        <is>
          <t>JÄMTLANDS LÄN</t>
        </is>
      </c>
      <c r="E1625" t="inlineStr">
        <is>
          <t>STRÖMSUND</t>
        </is>
      </c>
      <c r="F1625" t="inlineStr">
        <is>
          <t>SCA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59114-2018</t>
        </is>
      </c>
      <c r="B1626" s="1" t="n">
        <v>43411</v>
      </c>
      <c r="C1626" s="1" t="n">
        <v>45363</v>
      </c>
      <c r="D1626" t="inlineStr">
        <is>
          <t>JÄMTLANDS LÄN</t>
        </is>
      </c>
      <c r="E1626" t="inlineStr">
        <is>
          <t>RAGUNDA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59297-2018</t>
        </is>
      </c>
      <c r="B1627" s="1" t="n">
        <v>43411</v>
      </c>
      <c r="C1627" s="1" t="n">
        <v>45363</v>
      </c>
      <c r="D1627" t="inlineStr">
        <is>
          <t>JÄMTLANDS LÄN</t>
        </is>
      </c>
      <c r="E1627" t="inlineStr">
        <is>
          <t>STRÖMSUND</t>
        </is>
      </c>
      <c r="F1627" t="inlineStr">
        <is>
          <t>Holmen skog AB</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59324-2018</t>
        </is>
      </c>
      <c r="B1628" s="1" t="n">
        <v>43411</v>
      </c>
      <c r="C1628" s="1" t="n">
        <v>45363</v>
      </c>
      <c r="D1628" t="inlineStr">
        <is>
          <t>JÄMTLANDS LÄN</t>
        </is>
      </c>
      <c r="E1628" t="inlineStr">
        <is>
          <t>ÖSTERSUND</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59979-2018</t>
        </is>
      </c>
      <c r="B1629" s="1" t="n">
        <v>43411</v>
      </c>
      <c r="C1629" s="1" t="n">
        <v>45363</v>
      </c>
      <c r="D1629" t="inlineStr">
        <is>
          <t>JÄMTLANDS LÄN</t>
        </is>
      </c>
      <c r="E1629" t="inlineStr">
        <is>
          <t>RAGUNDA</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59983-2018</t>
        </is>
      </c>
      <c r="B1630" s="1" t="n">
        <v>43411</v>
      </c>
      <c r="C1630" s="1" t="n">
        <v>45363</v>
      </c>
      <c r="D1630" t="inlineStr">
        <is>
          <t>JÄMTLANDS LÄN</t>
        </is>
      </c>
      <c r="E1630" t="inlineStr">
        <is>
          <t>STRÖMSUND</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59999-2018</t>
        </is>
      </c>
      <c r="B1631" s="1" t="n">
        <v>43411</v>
      </c>
      <c r="C1631" s="1" t="n">
        <v>45363</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59296-2018</t>
        </is>
      </c>
      <c r="B1632" s="1" t="n">
        <v>43411</v>
      </c>
      <c r="C1632" s="1" t="n">
        <v>45363</v>
      </c>
      <c r="D1632" t="inlineStr">
        <is>
          <t>JÄMTLANDS LÄN</t>
        </is>
      </c>
      <c r="E1632" t="inlineStr">
        <is>
          <t>STRÖMSUND</t>
        </is>
      </c>
      <c r="F1632" t="inlineStr">
        <is>
          <t>Holmen skog AB</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59978-2018</t>
        </is>
      </c>
      <c r="B1633" s="1" t="n">
        <v>43411</v>
      </c>
      <c r="C1633" s="1" t="n">
        <v>45363</v>
      </c>
      <c r="D1633" t="inlineStr">
        <is>
          <t>JÄMTLANDS LÄN</t>
        </is>
      </c>
      <c r="E1633" t="inlineStr">
        <is>
          <t>RAGUNDA</t>
        </is>
      </c>
      <c r="F1633" t="inlineStr">
        <is>
          <t>SCA</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59982-2018</t>
        </is>
      </c>
      <c r="B1634" s="1" t="n">
        <v>43411</v>
      </c>
      <c r="C1634" s="1" t="n">
        <v>45363</v>
      </c>
      <c r="D1634" t="inlineStr">
        <is>
          <t>JÄMTLANDS LÄN</t>
        </is>
      </c>
      <c r="E1634" t="inlineStr">
        <is>
          <t>STRÖMSUND</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59993-2018</t>
        </is>
      </c>
      <c r="B1635" s="1" t="n">
        <v>43411</v>
      </c>
      <c r="C1635" s="1" t="n">
        <v>45363</v>
      </c>
      <c r="D1635" t="inlineStr">
        <is>
          <t>JÄMTLANDS LÄN</t>
        </is>
      </c>
      <c r="E1635" t="inlineStr">
        <is>
          <t>STRÖMSUND</t>
        </is>
      </c>
      <c r="F1635" t="inlineStr">
        <is>
          <t>SCA</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60003-2018</t>
        </is>
      </c>
      <c r="B1636" s="1" t="n">
        <v>43411</v>
      </c>
      <c r="C1636" s="1" t="n">
        <v>45363</v>
      </c>
      <c r="D1636" t="inlineStr">
        <is>
          <t>JÄMTLANDS LÄN</t>
        </is>
      </c>
      <c r="E1636" t="inlineStr">
        <is>
          <t>STRÖMSUND</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59977-2018</t>
        </is>
      </c>
      <c r="B1637" s="1" t="n">
        <v>43411</v>
      </c>
      <c r="C1637" s="1" t="n">
        <v>45363</v>
      </c>
      <c r="D1637" t="inlineStr">
        <is>
          <t>JÄMTLANDS LÄN</t>
        </is>
      </c>
      <c r="E1637" t="inlineStr">
        <is>
          <t>RAGUNDA</t>
        </is>
      </c>
      <c r="F1637" t="inlineStr">
        <is>
          <t>SCA</t>
        </is>
      </c>
      <c r="G1637" t="n">
        <v>15.5</v>
      </c>
      <c r="H1637" t="n">
        <v>0</v>
      </c>
      <c r="I1637" t="n">
        <v>0</v>
      </c>
      <c r="J1637" t="n">
        <v>0</v>
      </c>
      <c r="K1637" t="n">
        <v>0</v>
      </c>
      <c r="L1637" t="n">
        <v>0</v>
      </c>
      <c r="M1637" t="n">
        <v>0</v>
      </c>
      <c r="N1637" t="n">
        <v>0</v>
      </c>
      <c r="O1637" t="n">
        <v>0</v>
      </c>
      <c r="P1637" t="n">
        <v>0</v>
      </c>
      <c r="Q1637" t="n">
        <v>0</v>
      </c>
      <c r="R1637" s="2" t="inlineStr"/>
    </row>
    <row r="1638" ht="15" customHeight="1">
      <c r="A1638" t="inlineStr">
        <is>
          <t>A 59981-2018</t>
        </is>
      </c>
      <c r="B1638" s="1" t="n">
        <v>43411</v>
      </c>
      <c r="C1638" s="1" t="n">
        <v>45363</v>
      </c>
      <c r="D1638" t="inlineStr">
        <is>
          <t>JÄMTLANDS LÄN</t>
        </is>
      </c>
      <c r="E1638" t="inlineStr">
        <is>
          <t>RAGUNDA</t>
        </is>
      </c>
      <c r="F1638" t="inlineStr">
        <is>
          <t>SCA</t>
        </is>
      </c>
      <c r="G1638" t="n">
        <v>18.9</v>
      </c>
      <c r="H1638" t="n">
        <v>0</v>
      </c>
      <c r="I1638" t="n">
        <v>0</v>
      </c>
      <c r="J1638" t="n">
        <v>0</v>
      </c>
      <c r="K1638" t="n">
        <v>0</v>
      </c>
      <c r="L1638" t="n">
        <v>0</v>
      </c>
      <c r="M1638" t="n">
        <v>0</v>
      </c>
      <c r="N1638" t="n">
        <v>0</v>
      </c>
      <c r="O1638" t="n">
        <v>0</v>
      </c>
      <c r="P1638" t="n">
        <v>0</v>
      </c>
      <c r="Q1638" t="n">
        <v>0</v>
      </c>
      <c r="R1638" s="2" t="inlineStr"/>
    </row>
    <row r="1639" ht="15" customHeight="1">
      <c r="A1639" t="inlineStr">
        <is>
          <t>A 59986-2018</t>
        </is>
      </c>
      <c r="B1639" s="1" t="n">
        <v>43411</v>
      </c>
      <c r="C1639" s="1" t="n">
        <v>45363</v>
      </c>
      <c r="D1639" t="inlineStr">
        <is>
          <t>JÄMTLANDS LÄN</t>
        </is>
      </c>
      <c r="E1639" t="inlineStr">
        <is>
          <t>STRÖMSUND</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59997-2018</t>
        </is>
      </c>
      <c r="B1640" s="1" t="n">
        <v>43411</v>
      </c>
      <c r="C1640" s="1" t="n">
        <v>45363</v>
      </c>
      <c r="D1640" t="inlineStr">
        <is>
          <t>JÄMTLANDS LÄN</t>
        </is>
      </c>
      <c r="E1640" t="inlineStr">
        <is>
          <t>STRÖMSUND</t>
        </is>
      </c>
      <c r="F1640" t="inlineStr">
        <is>
          <t>SCA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60001-2018</t>
        </is>
      </c>
      <c r="B1641" s="1" t="n">
        <v>43411</v>
      </c>
      <c r="C1641" s="1" t="n">
        <v>45363</v>
      </c>
      <c r="D1641" t="inlineStr">
        <is>
          <t>JÄMTLANDS LÄN</t>
        </is>
      </c>
      <c r="E1641" t="inlineStr">
        <is>
          <t>STRÖMSUND</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59980-2018</t>
        </is>
      </c>
      <c r="B1642" s="1" t="n">
        <v>43411</v>
      </c>
      <c r="C1642" s="1" t="n">
        <v>45363</v>
      </c>
      <c r="D1642" t="inlineStr">
        <is>
          <t>JÄMTLANDS LÄN</t>
        </is>
      </c>
      <c r="E1642" t="inlineStr">
        <is>
          <t>RAGUNDA</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59991-2018</t>
        </is>
      </c>
      <c r="B1643" s="1" t="n">
        <v>43411</v>
      </c>
      <c r="C1643" s="1" t="n">
        <v>45363</v>
      </c>
      <c r="D1643" t="inlineStr">
        <is>
          <t>JÄMTLANDS LÄN</t>
        </is>
      </c>
      <c r="E1643" t="inlineStr">
        <is>
          <t>RAGUNDA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59996-2018</t>
        </is>
      </c>
      <c r="B1644" s="1" t="n">
        <v>43411</v>
      </c>
      <c r="C1644" s="1" t="n">
        <v>45363</v>
      </c>
      <c r="D1644" t="inlineStr">
        <is>
          <t>JÄMTLANDS LÄN</t>
        </is>
      </c>
      <c r="E1644" t="inlineStr">
        <is>
          <t>STRÖMSUND</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60000-2018</t>
        </is>
      </c>
      <c r="B1645" s="1" t="n">
        <v>43411</v>
      </c>
      <c r="C1645" s="1" t="n">
        <v>45363</v>
      </c>
      <c r="D1645" t="inlineStr">
        <is>
          <t>JÄMTLANDS LÄN</t>
        </is>
      </c>
      <c r="E1645" t="inlineStr">
        <is>
          <t>STRÖMSUND</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60210-2018</t>
        </is>
      </c>
      <c r="B1646" s="1" t="n">
        <v>43412</v>
      </c>
      <c r="C1646" s="1" t="n">
        <v>45363</v>
      </c>
      <c r="D1646" t="inlineStr">
        <is>
          <t>JÄMTLANDS LÄN</t>
        </is>
      </c>
      <c r="E1646" t="inlineStr">
        <is>
          <t>STRÖMSUND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60253-2018</t>
        </is>
      </c>
      <c r="B1647" s="1" t="n">
        <v>43412</v>
      </c>
      <c r="C1647" s="1" t="n">
        <v>45363</v>
      </c>
      <c r="D1647" t="inlineStr">
        <is>
          <t>JÄMTLANDS LÄN</t>
        </is>
      </c>
      <c r="E1647" t="inlineStr">
        <is>
          <t>KROKOM</t>
        </is>
      </c>
      <c r="F1647" t="inlineStr">
        <is>
          <t>Övriga Aktiebolag</t>
        </is>
      </c>
      <c r="G1647" t="n">
        <v>33.6</v>
      </c>
      <c r="H1647" t="n">
        <v>0</v>
      </c>
      <c r="I1647" t="n">
        <v>0</v>
      </c>
      <c r="J1647" t="n">
        <v>0</v>
      </c>
      <c r="K1647" t="n">
        <v>0</v>
      </c>
      <c r="L1647" t="n">
        <v>0</v>
      </c>
      <c r="M1647" t="n">
        <v>0</v>
      </c>
      <c r="N1647" t="n">
        <v>0</v>
      </c>
      <c r="O1647" t="n">
        <v>0</v>
      </c>
      <c r="P1647" t="n">
        <v>0</v>
      </c>
      <c r="Q1647" t="n">
        <v>0</v>
      </c>
      <c r="R1647" s="2" t="inlineStr"/>
    </row>
    <row r="1648" ht="15" customHeight="1">
      <c r="A1648" t="inlineStr">
        <is>
          <t>A 61191-2018</t>
        </is>
      </c>
      <c r="B1648" s="1" t="n">
        <v>43412</v>
      </c>
      <c r="C1648" s="1" t="n">
        <v>45363</v>
      </c>
      <c r="D1648" t="inlineStr">
        <is>
          <t>JÄMTLANDS LÄN</t>
        </is>
      </c>
      <c r="E1648" t="inlineStr">
        <is>
          <t>KROKOM</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60131-2018</t>
        </is>
      </c>
      <c r="B1649" s="1" t="n">
        <v>43412</v>
      </c>
      <c r="C1649" s="1" t="n">
        <v>45363</v>
      </c>
      <c r="D1649" t="inlineStr">
        <is>
          <t>JÄMTLANDS LÄN</t>
        </is>
      </c>
      <c r="E1649" t="inlineStr">
        <is>
          <t>STRÖMSUND</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60205-2018</t>
        </is>
      </c>
      <c r="B1650" s="1" t="n">
        <v>43412</v>
      </c>
      <c r="C1650" s="1" t="n">
        <v>45363</v>
      </c>
      <c r="D1650" t="inlineStr">
        <is>
          <t>JÄMTLANDS LÄN</t>
        </is>
      </c>
      <c r="E1650" t="inlineStr">
        <is>
          <t>STRÖMSUND</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61055-2018</t>
        </is>
      </c>
      <c r="B1651" s="1" t="n">
        <v>43412</v>
      </c>
      <c r="C1651" s="1" t="n">
        <v>45363</v>
      </c>
      <c r="D1651" t="inlineStr">
        <is>
          <t>JÄMTLANDS LÄN</t>
        </is>
      </c>
      <c r="E1651" t="inlineStr">
        <is>
          <t>ÖSTERSUND</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61197-2018</t>
        </is>
      </c>
      <c r="B1652" s="1" t="n">
        <v>43412</v>
      </c>
      <c r="C1652" s="1" t="n">
        <v>45363</v>
      </c>
      <c r="D1652" t="inlineStr">
        <is>
          <t>JÄMTLANDS LÄN</t>
        </is>
      </c>
      <c r="E1652" t="inlineStr">
        <is>
          <t>KROKOM</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62513-2018</t>
        </is>
      </c>
      <c r="B1653" s="1" t="n">
        <v>43413</v>
      </c>
      <c r="C1653" s="1" t="n">
        <v>45363</v>
      </c>
      <c r="D1653" t="inlineStr">
        <is>
          <t>JÄMTLANDS LÄN</t>
        </is>
      </c>
      <c r="E1653" t="inlineStr">
        <is>
          <t>STRÖMSUND</t>
        </is>
      </c>
      <c r="F1653" t="inlineStr">
        <is>
          <t>SCA</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62521-2018</t>
        </is>
      </c>
      <c r="B1654" s="1" t="n">
        <v>43413</v>
      </c>
      <c r="C1654" s="1" t="n">
        <v>45363</v>
      </c>
      <c r="D1654" t="inlineStr">
        <is>
          <t>JÄMTLANDS LÄN</t>
        </is>
      </c>
      <c r="E1654" t="inlineStr">
        <is>
          <t>STRÖMSUND</t>
        </is>
      </c>
      <c r="F1654" t="inlineStr">
        <is>
          <t>SCA</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62638-2018</t>
        </is>
      </c>
      <c r="B1655" s="1" t="n">
        <v>43413</v>
      </c>
      <c r="C1655" s="1" t="n">
        <v>45363</v>
      </c>
      <c r="D1655" t="inlineStr">
        <is>
          <t>JÄMTLANDS LÄN</t>
        </is>
      </c>
      <c r="E1655" t="inlineStr">
        <is>
          <t>STRÖMSUND</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62654-2018</t>
        </is>
      </c>
      <c r="B1656" s="1" t="n">
        <v>43413</v>
      </c>
      <c r="C1656" s="1" t="n">
        <v>45363</v>
      </c>
      <c r="D1656" t="inlineStr">
        <is>
          <t>JÄMTLANDS LÄN</t>
        </is>
      </c>
      <c r="E1656" t="inlineStr">
        <is>
          <t>BRÄCKE</t>
        </is>
      </c>
      <c r="G1656" t="n">
        <v>15.5</v>
      </c>
      <c r="H1656" t="n">
        <v>0</v>
      </c>
      <c r="I1656" t="n">
        <v>0</v>
      </c>
      <c r="J1656" t="n">
        <v>0</v>
      </c>
      <c r="K1656" t="n">
        <v>0</v>
      </c>
      <c r="L1656" t="n">
        <v>0</v>
      </c>
      <c r="M1656" t="n">
        <v>0</v>
      </c>
      <c r="N1656" t="n">
        <v>0</v>
      </c>
      <c r="O1656" t="n">
        <v>0</v>
      </c>
      <c r="P1656" t="n">
        <v>0</v>
      </c>
      <c r="Q1656" t="n">
        <v>0</v>
      </c>
      <c r="R1656" s="2" t="inlineStr"/>
    </row>
    <row r="1657" ht="15" customHeight="1">
      <c r="A1657" t="inlineStr">
        <is>
          <t>A 60276-2018</t>
        </is>
      </c>
      <c r="B1657" s="1" t="n">
        <v>43413</v>
      </c>
      <c r="C1657" s="1" t="n">
        <v>45363</v>
      </c>
      <c r="D1657" t="inlineStr">
        <is>
          <t>JÄMTLANDS LÄN</t>
        </is>
      </c>
      <c r="E1657" t="inlineStr">
        <is>
          <t>BRÄCKE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61683-2018</t>
        </is>
      </c>
      <c r="B1658" s="1" t="n">
        <v>43413</v>
      </c>
      <c r="C1658" s="1" t="n">
        <v>45363</v>
      </c>
      <c r="D1658" t="inlineStr">
        <is>
          <t>JÄMTLANDS LÄN</t>
        </is>
      </c>
      <c r="E1658" t="inlineStr">
        <is>
          <t>RAGUNDA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61879-2018</t>
        </is>
      </c>
      <c r="B1659" s="1" t="n">
        <v>43413</v>
      </c>
      <c r="C1659" s="1" t="n">
        <v>45363</v>
      </c>
      <c r="D1659" t="inlineStr">
        <is>
          <t>JÄMTLANDS LÄN</t>
        </is>
      </c>
      <c r="E1659" t="inlineStr">
        <is>
          <t>KROKOM</t>
        </is>
      </c>
      <c r="F1659" t="inlineStr">
        <is>
          <t>Övriga Aktiebolag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62515-2018</t>
        </is>
      </c>
      <c r="B1660" s="1" t="n">
        <v>43413</v>
      </c>
      <c r="C1660" s="1" t="n">
        <v>45363</v>
      </c>
      <c r="D1660" t="inlineStr">
        <is>
          <t>JÄMTLANDS LÄN</t>
        </is>
      </c>
      <c r="E1660" t="inlineStr">
        <is>
          <t>STRÖMSUND</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62640-2018</t>
        </is>
      </c>
      <c r="B1661" s="1" t="n">
        <v>43413</v>
      </c>
      <c r="C1661" s="1" t="n">
        <v>45363</v>
      </c>
      <c r="D1661" t="inlineStr">
        <is>
          <t>JÄMTLANDS LÄN</t>
        </is>
      </c>
      <c r="E1661" t="inlineStr">
        <is>
          <t>STRÖMSUND</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62713-2018</t>
        </is>
      </c>
      <c r="B1662" s="1" t="n">
        <v>43413</v>
      </c>
      <c r="C1662" s="1" t="n">
        <v>45363</v>
      </c>
      <c r="D1662" t="inlineStr">
        <is>
          <t>JÄMTLANDS LÄN</t>
        </is>
      </c>
      <c r="E1662" t="inlineStr">
        <is>
          <t>KROKOM</t>
        </is>
      </c>
      <c r="F1662" t="inlineStr">
        <is>
          <t>Övriga Aktiebolag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62512-2018</t>
        </is>
      </c>
      <c r="B1663" s="1" t="n">
        <v>43413</v>
      </c>
      <c r="C1663" s="1" t="n">
        <v>45363</v>
      </c>
      <c r="D1663" t="inlineStr">
        <is>
          <t>JÄMTLANDS LÄN</t>
        </is>
      </c>
      <c r="E1663" t="inlineStr">
        <is>
          <t>STRÖMSUND</t>
        </is>
      </c>
      <c r="F1663" t="inlineStr">
        <is>
          <t>SCA</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62647-2018</t>
        </is>
      </c>
      <c r="B1664" s="1" t="n">
        <v>43413</v>
      </c>
      <c r="C1664" s="1" t="n">
        <v>45363</v>
      </c>
      <c r="D1664" t="inlineStr">
        <is>
          <t>JÄMTLANDS LÄN</t>
        </is>
      </c>
      <c r="E1664" t="inlineStr">
        <is>
          <t>STRÖMSUND</t>
        </is>
      </c>
      <c r="F1664" t="inlineStr">
        <is>
          <t>SCA</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62724-2018</t>
        </is>
      </c>
      <c r="B1665" s="1" t="n">
        <v>43413</v>
      </c>
      <c r="C1665" s="1" t="n">
        <v>45363</v>
      </c>
      <c r="D1665" t="inlineStr">
        <is>
          <t>JÄMTLANDS LÄN</t>
        </is>
      </c>
      <c r="E1665" t="inlineStr">
        <is>
          <t>KROKOM</t>
        </is>
      </c>
      <c r="F1665" t="inlineStr">
        <is>
          <t>Övriga Aktiebolag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62514-2018</t>
        </is>
      </c>
      <c r="B1666" s="1" t="n">
        <v>43413</v>
      </c>
      <c r="C1666" s="1" t="n">
        <v>45363</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62639-2018</t>
        </is>
      </c>
      <c r="B1667" s="1" t="n">
        <v>43413</v>
      </c>
      <c r="C1667" s="1" t="n">
        <v>45363</v>
      </c>
      <c r="D1667" t="inlineStr">
        <is>
          <t>JÄMTLANDS LÄN</t>
        </is>
      </c>
      <c r="E1667" t="inlineStr">
        <is>
          <t>STRÖMSUND</t>
        </is>
      </c>
      <c r="F1667" t="inlineStr">
        <is>
          <t>SCA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62498-2018</t>
        </is>
      </c>
      <c r="B1668" s="1" t="n">
        <v>43414</v>
      </c>
      <c r="C1668" s="1" t="n">
        <v>45363</v>
      </c>
      <c r="D1668" t="inlineStr">
        <is>
          <t>JÄMTLANDS LÄN</t>
        </is>
      </c>
      <c r="E1668" t="inlineStr">
        <is>
          <t>STRÖMSUND</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62449-2018</t>
        </is>
      </c>
      <c r="B1669" s="1" t="n">
        <v>43415</v>
      </c>
      <c r="C1669" s="1" t="n">
        <v>45363</v>
      </c>
      <c r="D1669" t="inlineStr">
        <is>
          <t>JÄMTLANDS LÄN</t>
        </is>
      </c>
      <c r="E1669" t="inlineStr">
        <is>
          <t>BRÄCKE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62016-2018</t>
        </is>
      </c>
      <c r="B1670" s="1" t="n">
        <v>43416</v>
      </c>
      <c r="C1670" s="1" t="n">
        <v>45363</v>
      </c>
      <c r="D1670" t="inlineStr">
        <is>
          <t>JÄMTLANDS LÄN</t>
        </is>
      </c>
      <c r="E1670" t="inlineStr">
        <is>
          <t>HÄRJEDALEN</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63555-2018</t>
        </is>
      </c>
      <c r="B1671" s="1" t="n">
        <v>43416</v>
      </c>
      <c r="C1671" s="1" t="n">
        <v>45363</v>
      </c>
      <c r="D1671" t="inlineStr">
        <is>
          <t>JÄMTLANDS LÄN</t>
        </is>
      </c>
      <c r="E1671" t="inlineStr">
        <is>
          <t>BRÄCKE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63072-2018</t>
        </is>
      </c>
      <c r="B1672" s="1" t="n">
        <v>43418</v>
      </c>
      <c r="C1672" s="1" t="n">
        <v>45363</v>
      </c>
      <c r="D1672" t="inlineStr">
        <is>
          <t>JÄMTLANDS LÄN</t>
        </is>
      </c>
      <c r="E1672" t="inlineStr">
        <is>
          <t>RAGUNDA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59398-2018</t>
        </is>
      </c>
      <c r="B1673" s="1" t="n">
        <v>43418</v>
      </c>
      <c r="C1673" s="1" t="n">
        <v>45363</v>
      </c>
      <c r="D1673" t="inlineStr">
        <is>
          <t>JÄMTLANDS LÄN</t>
        </is>
      </c>
      <c r="E1673" t="inlineStr">
        <is>
          <t>HÄRJEDALEN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59396-2018</t>
        </is>
      </c>
      <c r="B1674" s="1" t="n">
        <v>43418</v>
      </c>
      <c r="C1674" s="1" t="n">
        <v>45363</v>
      </c>
      <c r="D1674" t="inlineStr">
        <is>
          <t>JÄMTLANDS LÄN</t>
        </is>
      </c>
      <c r="E1674" t="inlineStr">
        <is>
          <t>HÄRJEDALEN</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63160-2018</t>
        </is>
      </c>
      <c r="B1675" s="1" t="n">
        <v>43418</v>
      </c>
      <c r="C1675" s="1" t="n">
        <v>45363</v>
      </c>
      <c r="D1675" t="inlineStr">
        <is>
          <t>JÄMTLANDS LÄN</t>
        </is>
      </c>
      <c r="E1675" t="inlineStr">
        <is>
          <t>HÄRJEDALEN</t>
        </is>
      </c>
      <c r="G1675" t="n">
        <v>22.6</v>
      </c>
      <c r="H1675" t="n">
        <v>0</v>
      </c>
      <c r="I1675" t="n">
        <v>0</v>
      </c>
      <c r="J1675" t="n">
        <v>0</v>
      </c>
      <c r="K1675" t="n">
        <v>0</v>
      </c>
      <c r="L1675" t="n">
        <v>0</v>
      </c>
      <c r="M1675" t="n">
        <v>0</v>
      </c>
      <c r="N1675" t="n">
        <v>0</v>
      </c>
      <c r="O1675" t="n">
        <v>0</v>
      </c>
      <c r="P1675" t="n">
        <v>0</v>
      </c>
      <c r="Q1675" t="n">
        <v>0</v>
      </c>
      <c r="R1675" s="2" t="inlineStr"/>
    </row>
    <row r="1676" ht="15" customHeight="1">
      <c r="A1676" t="inlineStr">
        <is>
          <t>A 63100-2018</t>
        </is>
      </c>
      <c r="B1676" s="1" t="n">
        <v>43418</v>
      </c>
      <c r="C1676" s="1" t="n">
        <v>45363</v>
      </c>
      <c r="D1676" t="inlineStr">
        <is>
          <t>JÄMTLANDS LÄN</t>
        </is>
      </c>
      <c r="E1676" t="inlineStr">
        <is>
          <t>BRÄCKE</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59358-2018</t>
        </is>
      </c>
      <c r="B1677" s="1" t="n">
        <v>43418</v>
      </c>
      <c r="C1677" s="1" t="n">
        <v>45363</v>
      </c>
      <c r="D1677" t="inlineStr">
        <is>
          <t>JÄMTLANDS LÄN</t>
        </is>
      </c>
      <c r="E1677" t="inlineStr">
        <is>
          <t>HÄRJEDALEN</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59927-2018</t>
        </is>
      </c>
      <c r="B1678" s="1" t="n">
        <v>43419</v>
      </c>
      <c r="C1678" s="1" t="n">
        <v>45363</v>
      </c>
      <c r="D1678" t="inlineStr">
        <is>
          <t>JÄMTLANDS LÄN</t>
        </is>
      </c>
      <c r="E1678" t="inlineStr">
        <is>
          <t>STRÖMSUND</t>
        </is>
      </c>
      <c r="F1678" t="inlineStr">
        <is>
          <t>SCA</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59919-2018</t>
        </is>
      </c>
      <c r="B1679" s="1" t="n">
        <v>43419</v>
      </c>
      <c r="C1679" s="1" t="n">
        <v>45363</v>
      </c>
      <c r="D1679" t="inlineStr">
        <is>
          <t>JÄMTLANDS LÄN</t>
        </is>
      </c>
      <c r="E1679" t="inlineStr">
        <is>
          <t>STRÖMSUND</t>
        </is>
      </c>
      <c r="F1679" t="inlineStr">
        <is>
          <t>SCA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59928-2018</t>
        </is>
      </c>
      <c r="B1680" s="1" t="n">
        <v>43419</v>
      </c>
      <c r="C1680" s="1" t="n">
        <v>45363</v>
      </c>
      <c r="D1680" t="inlineStr">
        <is>
          <t>JÄMTLANDS LÄN</t>
        </is>
      </c>
      <c r="E1680" t="inlineStr">
        <is>
          <t>STRÖMSUND</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59918-2018</t>
        </is>
      </c>
      <c r="B1681" s="1" t="n">
        <v>43419</v>
      </c>
      <c r="C1681" s="1" t="n">
        <v>45363</v>
      </c>
      <c r="D1681" t="inlineStr">
        <is>
          <t>JÄMTLANDS LÄN</t>
        </is>
      </c>
      <c r="E1681" t="inlineStr">
        <is>
          <t>STRÖMSUND</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59914-2018</t>
        </is>
      </c>
      <c r="B1682" s="1" t="n">
        <v>43419</v>
      </c>
      <c r="C1682" s="1" t="n">
        <v>45363</v>
      </c>
      <c r="D1682" t="inlineStr">
        <is>
          <t>JÄMTLANDS LÄN</t>
        </is>
      </c>
      <c r="E1682" t="inlineStr">
        <is>
          <t>STRÖMSUND</t>
        </is>
      </c>
      <c r="F1682" t="inlineStr">
        <is>
          <t>SCA</t>
        </is>
      </c>
      <c r="G1682" t="n">
        <v>14.2</v>
      </c>
      <c r="H1682" t="n">
        <v>0</v>
      </c>
      <c r="I1682" t="n">
        <v>0</v>
      </c>
      <c r="J1682" t="n">
        <v>0</v>
      </c>
      <c r="K1682" t="n">
        <v>0</v>
      </c>
      <c r="L1682" t="n">
        <v>0</v>
      </c>
      <c r="M1682" t="n">
        <v>0</v>
      </c>
      <c r="N1682" t="n">
        <v>0</v>
      </c>
      <c r="O1682" t="n">
        <v>0</v>
      </c>
      <c r="P1682" t="n">
        <v>0</v>
      </c>
      <c r="Q1682" t="n">
        <v>0</v>
      </c>
      <c r="R1682" s="2" t="inlineStr"/>
    </row>
    <row r="1683" ht="15" customHeight="1">
      <c r="A1683" t="inlineStr">
        <is>
          <t>A 59751-2018</t>
        </is>
      </c>
      <c r="B1683" s="1" t="n">
        <v>43419</v>
      </c>
      <c r="C1683" s="1" t="n">
        <v>45363</v>
      </c>
      <c r="D1683" t="inlineStr">
        <is>
          <t>JÄMTLANDS LÄN</t>
        </is>
      </c>
      <c r="E1683" t="inlineStr">
        <is>
          <t>HÄRJEDALEN</t>
        </is>
      </c>
      <c r="F1683" t="inlineStr">
        <is>
          <t>Bergvik skog väst AB</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59683-2018</t>
        </is>
      </c>
      <c r="B1684" s="1" t="n">
        <v>43419</v>
      </c>
      <c r="C1684" s="1" t="n">
        <v>45363</v>
      </c>
      <c r="D1684" t="inlineStr">
        <is>
          <t>JÄMTLANDS LÄN</t>
        </is>
      </c>
      <c r="E1684" t="inlineStr">
        <is>
          <t>HÄRJEDALEN</t>
        </is>
      </c>
      <c r="F1684" t="inlineStr">
        <is>
          <t>Bergvik skog väst AB</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59898-2018</t>
        </is>
      </c>
      <c r="B1685" s="1" t="n">
        <v>43419</v>
      </c>
      <c r="C1685" s="1" t="n">
        <v>45363</v>
      </c>
      <c r="D1685" t="inlineStr">
        <is>
          <t>JÄMTLANDS LÄN</t>
        </is>
      </c>
      <c r="E1685" t="inlineStr">
        <is>
          <t>BERG</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59921-2018</t>
        </is>
      </c>
      <c r="B1686" s="1" t="n">
        <v>43419</v>
      </c>
      <c r="C1686" s="1" t="n">
        <v>45363</v>
      </c>
      <c r="D1686" t="inlineStr">
        <is>
          <t>JÄMTLANDS LÄN</t>
        </is>
      </c>
      <c r="E1686" t="inlineStr">
        <is>
          <t>STRÖMSUND</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59929-2018</t>
        </is>
      </c>
      <c r="B1687" s="1" t="n">
        <v>43419</v>
      </c>
      <c r="C1687" s="1" t="n">
        <v>45363</v>
      </c>
      <c r="D1687" t="inlineStr">
        <is>
          <t>JÄMTLANDS LÄN</t>
        </is>
      </c>
      <c r="E1687" t="inlineStr">
        <is>
          <t>STRÖMSUND</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64473-2018</t>
        </is>
      </c>
      <c r="B1688" s="1" t="n">
        <v>43419</v>
      </c>
      <c r="C1688" s="1" t="n">
        <v>45363</v>
      </c>
      <c r="D1688" t="inlineStr">
        <is>
          <t>JÄMTLANDS LÄN</t>
        </is>
      </c>
      <c r="E1688" t="inlineStr">
        <is>
          <t>ÖSTERSUND</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64205-2018</t>
        </is>
      </c>
      <c r="B1689" s="1" t="n">
        <v>43419</v>
      </c>
      <c r="C1689" s="1" t="n">
        <v>45363</v>
      </c>
      <c r="D1689" t="inlineStr">
        <is>
          <t>JÄMTLANDS LÄN</t>
        </is>
      </c>
      <c r="E1689" t="inlineStr">
        <is>
          <t>RAGUNDA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59931-2018</t>
        </is>
      </c>
      <c r="B1690" s="1" t="n">
        <v>43419</v>
      </c>
      <c r="C1690" s="1" t="n">
        <v>45363</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59923-2018</t>
        </is>
      </c>
      <c r="B1691" s="1" t="n">
        <v>43419</v>
      </c>
      <c r="C1691" s="1" t="n">
        <v>45363</v>
      </c>
      <c r="D1691" t="inlineStr">
        <is>
          <t>JÄMTLANDS LÄN</t>
        </is>
      </c>
      <c r="E1691" t="inlineStr">
        <is>
          <t>STRÖMSUND</t>
        </is>
      </c>
      <c r="F1691" t="inlineStr">
        <is>
          <t>SCA</t>
        </is>
      </c>
      <c r="G1691" t="n">
        <v>12.4</v>
      </c>
      <c r="H1691" t="n">
        <v>0</v>
      </c>
      <c r="I1691" t="n">
        <v>0</v>
      </c>
      <c r="J1691" t="n">
        <v>0</v>
      </c>
      <c r="K1691" t="n">
        <v>0</v>
      </c>
      <c r="L1691" t="n">
        <v>0</v>
      </c>
      <c r="M1691" t="n">
        <v>0</v>
      </c>
      <c r="N1691" t="n">
        <v>0</v>
      </c>
      <c r="O1691" t="n">
        <v>0</v>
      </c>
      <c r="P1691" t="n">
        <v>0</v>
      </c>
      <c r="Q1691" t="n">
        <v>0</v>
      </c>
      <c r="R1691" s="2" t="inlineStr"/>
    </row>
    <row r="1692" ht="15" customHeight="1">
      <c r="A1692" t="inlineStr">
        <is>
          <t>A 59916-2018</t>
        </is>
      </c>
      <c r="B1692" s="1" t="n">
        <v>43419</v>
      </c>
      <c r="C1692" s="1" t="n">
        <v>45363</v>
      </c>
      <c r="D1692" t="inlineStr">
        <is>
          <t>JÄMTLANDS LÄN</t>
        </is>
      </c>
      <c r="E1692" t="inlineStr">
        <is>
          <t>STRÖMSUND</t>
        </is>
      </c>
      <c r="F1692" t="inlineStr">
        <is>
          <t>SCA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59947-2018</t>
        </is>
      </c>
      <c r="B1693" s="1" t="n">
        <v>43420</v>
      </c>
      <c r="C1693" s="1" t="n">
        <v>45363</v>
      </c>
      <c r="D1693" t="inlineStr">
        <is>
          <t>JÄMTLANDS LÄN</t>
        </is>
      </c>
      <c r="E1693" t="inlineStr">
        <is>
          <t>BRÄCKE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60348-2018</t>
        </is>
      </c>
      <c r="B1694" s="1" t="n">
        <v>43420</v>
      </c>
      <c r="C1694" s="1" t="n">
        <v>45363</v>
      </c>
      <c r="D1694" t="inlineStr">
        <is>
          <t>JÄMTLANDS LÄN</t>
        </is>
      </c>
      <c r="E1694" t="inlineStr">
        <is>
          <t>HÄRJEDALEN</t>
        </is>
      </c>
      <c r="F1694" t="inlineStr">
        <is>
          <t>Övriga Aktiebolag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60511-2018</t>
        </is>
      </c>
      <c r="B1695" s="1" t="n">
        <v>43420</v>
      </c>
      <c r="C1695" s="1" t="n">
        <v>45363</v>
      </c>
      <c r="D1695" t="inlineStr">
        <is>
          <t>JÄMTLANDS LÄN</t>
        </is>
      </c>
      <c r="E1695" t="inlineStr">
        <is>
          <t>KROKOM</t>
        </is>
      </c>
      <c r="F1695" t="inlineStr">
        <is>
          <t>Övriga Aktiebolag</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60086-2018</t>
        </is>
      </c>
      <c r="B1696" s="1" t="n">
        <v>43420</v>
      </c>
      <c r="C1696" s="1" t="n">
        <v>45363</v>
      </c>
      <c r="D1696" t="inlineStr">
        <is>
          <t>JÄMTLANDS LÄN</t>
        </is>
      </c>
      <c r="E1696" t="inlineStr">
        <is>
          <t>HÄRJEDALEN</t>
        </is>
      </c>
      <c r="F1696" t="inlineStr">
        <is>
          <t>Bergvik skog väst AB</t>
        </is>
      </c>
      <c r="G1696" t="n">
        <v>25.8</v>
      </c>
      <c r="H1696" t="n">
        <v>0</v>
      </c>
      <c r="I1696" t="n">
        <v>0</v>
      </c>
      <c r="J1696" t="n">
        <v>0</v>
      </c>
      <c r="K1696" t="n">
        <v>0</v>
      </c>
      <c r="L1696" t="n">
        <v>0</v>
      </c>
      <c r="M1696" t="n">
        <v>0</v>
      </c>
      <c r="N1696" t="n">
        <v>0</v>
      </c>
      <c r="O1696" t="n">
        <v>0</v>
      </c>
      <c r="P1696" t="n">
        <v>0</v>
      </c>
      <c r="Q1696" t="n">
        <v>0</v>
      </c>
      <c r="R1696" s="2" t="inlineStr"/>
    </row>
    <row r="1697" ht="15" customHeight="1">
      <c r="A1697" t="inlineStr">
        <is>
          <t>A 61015-2018</t>
        </is>
      </c>
      <c r="B1697" s="1" t="n">
        <v>43423</v>
      </c>
      <c r="C1697" s="1" t="n">
        <v>45363</v>
      </c>
      <c r="D1697" t="inlineStr">
        <is>
          <t>JÄMTLANDS LÄN</t>
        </is>
      </c>
      <c r="E1697" t="inlineStr">
        <is>
          <t>ÅRE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61054-2018</t>
        </is>
      </c>
      <c r="B1698" s="1" t="n">
        <v>43423</v>
      </c>
      <c r="C1698" s="1" t="n">
        <v>45363</v>
      </c>
      <c r="D1698" t="inlineStr">
        <is>
          <t>JÄMTLANDS LÄN</t>
        </is>
      </c>
      <c r="E1698" t="inlineStr">
        <is>
          <t>ÅRE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61036-2018</t>
        </is>
      </c>
      <c r="B1699" s="1" t="n">
        <v>43423</v>
      </c>
      <c r="C1699" s="1" t="n">
        <v>45363</v>
      </c>
      <c r="D1699" t="inlineStr">
        <is>
          <t>JÄMTLANDS LÄN</t>
        </is>
      </c>
      <c r="E1699" t="inlineStr">
        <is>
          <t>RAGUNDA</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61002-2018</t>
        </is>
      </c>
      <c r="B1700" s="1" t="n">
        <v>43423</v>
      </c>
      <c r="C1700" s="1" t="n">
        <v>45363</v>
      </c>
      <c r="D1700" t="inlineStr">
        <is>
          <t>JÄMTLANDS LÄN</t>
        </is>
      </c>
      <c r="E1700" t="inlineStr">
        <is>
          <t>ÅRE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61032-2018</t>
        </is>
      </c>
      <c r="B1701" s="1" t="n">
        <v>43423</v>
      </c>
      <c r="C1701" s="1" t="n">
        <v>45363</v>
      </c>
      <c r="D1701" t="inlineStr">
        <is>
          <t>JÄMTLANDS LÄN</t>
        </is>
      </c>
      <c r="E1701" t="inlineStr">
        <is>
          <t>ÅRE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61223-2018</t>
        </is>
      </c>
      <c r="B1702" s="1" t="n">
        <v>43423</v>
      </c>
      <c r="C1702" s="1" t="n">
        <v>45363</v>
      </c>
      <c r="D1702" t="inlineStr">
        <is>
          <t>JÄMTLANDS LÄN</t>
        </is>
      </c>
      <c r="E1702" t="inlineStr">
        <is>
          <t>BERG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61262-2018</t>
        </is>
      </c>
      <c r="B1703" s="1" t="n">
        <v>43423</v>
      </c>
      <c r="C1703" s="1" t="n">
        <v>45363</v>
      </c>
      <c r="D1703" t="inlineStr">
        <is>
          <t>JÄMTLANDS LÄN</t>
        </is>
      </c>
      <c r="E1703" t="inlineStr">
        <is>
          <t>KROKOM</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64738-2018</t>
        </is>
      </c>
      <c r="B1704" s="1" t="n">
        <v>43423</v>
      </c>
      <c r="C1704" s="1" t="n">
        <v>45363</v>
      </c>
      <c r="D1704" t="inlineStr">
        <is>
          <t>JÄMTLANDS LÄN</t>
        </is>
      </c>
      <c r="E1704" t="inlineStr">
        <is>
          <t>RAGUNDA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61016-2018</t>
        </is>
      </c>
      <c r="B1705" s="1" t="n">
        <v>43423</v>
      </c>
      <c r="C1705" s="1" t="n">
        <v>45363</v>
      </c>
      <c r="D1705" t="inlineStr">
        <is>
          <t>JÄMTLANDS LÄN</t>
        </is>
      </c>
      <c r="E1705" t="inlineStr">
        <is>
          <t>HÄRJEDALEN</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61198-2018</t>
        </is>
      </c>
      <c r="B1706" s="1" t="n">
        <v>43423</v>
      </c>
      <c r="C1706" s="1" t="n">
        <v>45363</v>
      </c>
      <c r="D1706" t="inlineStr">
        <is>
          <t>JÄMTLANDS LÄN</t>
        </is>
      </c>
      <c r="E1706" t="inlineStr">
        <is>
          <t>ÅRE</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65165-2018</t>
        </is>
      </c>
      <c r="B1707" s="1" t="n">
        <v>43423</v>
      </c>
      <c r="C1707" s="1" t="n">
        <v>45363</v>
      </c>
      <c r="D1707" t="inlineStr">
        <is>
          <t>JÄMTLANDS LÄN</t>
        </is>
      </c>
      <c r="E1707" t="inlineStr">
        <is>
          <t>ÖSTERSUND</t>
        </is>
      </c>
      <c r="G1707" t="n">
        <v>19.9</v>
      </c>
      <c r="H1707" t="n">
        <v>0</v>
      </c>
      <c r="I1707" t="n">
        <v>0</v>
      </c>
      <c r="J1707" t="n">
        <v>0</v>
      </c>
      <c r="K1707" t="n">
        <v>0</v>
      </c>
      <c r="L1707" t="n">
        <v>0</v>
      </c>
      <c r="M1707" t="n">
        <v>0</v>
      </c>
      <c r="N1707" t="n">
        <v>0</v>
      </c>
      <c r="O1707" t="n">
        <v>0</v>
      </c>
      <c r="P1707" t="n">
        <v>0</v>
      </c>
      <c r="Q1707" t="n">
        <v>0</v>
      </c>
      <c r="R1707" s="2" t="inlineStr"/>
    </row>
    <row r="1708" ht="15" customHeight="1">
      <c r="A1708" t="inlineStr">
        <is>
          <t>A 61261-2018</t>
        </is>
      </c>
      <c r="B1708" s="1" t="n">
        <v>43423</v>
      </c>
      <c r="C1708" s="1" t="n">
        <v>45363</v>
      </c>
      <c r="D1708" t="inlineStr">
        <is>
          <t>JÄMTLANDS LÄN</t>
        </is>
      </c>
      <c r="E1708" t="inlineStr">
        <is>
          <t>KROKOM</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61282-2018</t>
        </is>
      </c>
      <c r="B1709" s="1" t="n">
        <v>43423</v>
      </c>
      <c r="C1709" s="1" t="n">
        <v>45363</v>
      </c>
      <c r="D1709" t="inlineStr">
        <is>
          <t>JÄMTLANDS LÄN</t>
        </is>
      </c>
      <c r="E1709" t="inlineStr">
        <is>
          <t>STRÖMSUND</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61062-2018</t>
        </is>
      </c>
      <c r="B1710" s="1" t="n">
        <v>43423</v>
      </c>
      <c r="C1710" s="1" t="n">
        <v>45363</v>
      </c>
      <c r="D1710" t="inlineStr">
        <is>
          <t>JÄMTLANDS LÄN</t>
        </is>
      </c>
      <c r="E1710" t="inlineStr">
        <is>
          <t>ÅRE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61651-2018</t>
        </is>
      </c>
      <c r="B1711" s="1" t="n">
        <v>43424</v>
      </c>
      <c r="C1711" s="1" t="n">
        <v>45363</v>
      </c>
      <c r="D1711" t="inlineStr">
        <is>
          <t>JÄMTLANDS LÄN</t>
        </is>
      </c>
      <c r="E1711" t="inlineStr">
        <is>
          <t>STRÖMSUND</t>
        </is>
      </c>
      <c r="F1711" t="inlineStr">
        <is>
          <t>SCA</t>
        </is>
      </c>
      <c r="G1711" t="n">
        <v>10.5</v>
      </c>
      <c r="H1711" t="n">
        <v>0</v>
      </c>
      <c r="I1711" t="n">
        <v>0</v>
      </c>
      <c r="J1711" t="n">
        <v>0</v>
      </c>
      <c r="K1711" t="n">
        <v>0</v>
      </c>
      <c r="L1711" t="n">
        <v>0</v>
      </c>
      <c r="M1711" t="n">
        <v>0</v>
      </c>
      <c r="N1711" t="n">
        <v>0</v>
      </c>
      <c r="O1711" t="n">
        <v>0</v>
      </c>
      <c r="P1711" t="n">
        <v>0</v>
      </c>
      <c r="Q1711" t="n">
        <v>0</v>
      </c>
      <c r="R1711" s="2" t="inlineStr"/>
    </row>
    <row r="1712" ht="15" customHeight="1">
      <c r="A1712" t="inlineStr">
        <is>
          <t>A 61508-2018</t>
        </is>
      </c>
      <c r="B1712" s="1" t="n">
        <v>43424</v>
      </c>
      <c r="C1712" s="1" t="n">
        <v>45363</v>
      </c>
      <c r="D1712" t="inlineStr">
        <is>
          <t>JÄMTLANDS LÄN</t>
        </is>
      </c>
      <c r="E1712" t="inlineStr">
        <is>
          <t>ÅRE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61499-2018</t>
        </is>
      </c>
      <c r="B1713" s="1" t="n">
        <v>43424</v>
      </c>
      <c r="C1713" s="1" t="n">
        <v>45363</v>
      </c>
      <c r="D1713" t="inlineStr">
        <is>
          <t>JÄMTLANDS LÄN</t>
        </is>
      </c>
      <c r="E1713" t="inlineStr">
        <is>
          <t>ÅRE</t>
        </is>
      </c>
      <c r="G1713" t="n">
        <v>20.6</v>
      </c>
      <c r="H1713" t="n">
        <v>0</v>
      </c>
      <c r="I1713" t="n">
        <v>0</v>
      </c>
      <c r="J1713" t="n">
        <v>0</v>
      </c>
      <c r="K1713" t="n">
        <v>0</v>
      </c>
      <c r="L1713" t="n">
        <v>0</v>
      </c>
      <c r="M1713" t="n">
        <v>0</v>
      </c>
      <c r="N1713" t="n">
        <v>0</v>
      </c>
      <c r="O1713" t="n">
        <v>0</v>
      </c>
      <c r="P1713" t="n">
        <v>0</v>
      </c>
      <c r="Q1713" t="n">
        <v>0</v>
      </c>
      <c r="R1713" s="2" t="inlineStr"/>
    </row>
    <row r="1714" ht="15" customHeight="1">
      <c r="A1714" t="inlineStr">
        <is>
          <t>A 61652-2018</t>
        </is>
      </c>
      <c r="B1714" s="1" t="n">
        <v>43424</v>
      </c>
      <c r="C1714" s="1" t="n">
        <v>45363</v>
      </c>
      <c r="D1714" t="inlineStr">
        <is>
          <t>JÄMTLANDS LÄN</t>
        </is>
      </c>
      <c r="E1714" t="inlineStr">
        <is>
          <t>STRÖMSUND</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61811-2018</t>
        </is>
      </c>
      <c r="B1715" s="1" t="n">
        <v>43425</v>
      </c>
      <c r="C1715" s="1" t="n">
        <v>45363</v>
      </c>
      <c r="D1715" t="inlineStr">
        <is>
          <t>JÄMTLANDS LÄN</t>
        </is>
      </c>
      <c r="E1715" t="inlineStr">
        <is>
          <t>KROKOM</t>
        </is>
      </c>
      <c r="F1715" t="inlineStr">
        <is>
          <t>Övriga Aktiebolag</t>
        </is>
      </c>
      <c r="G1715" t="n">
        <v>53.4</v>
      </c>
      <c r="H1715" t="n">
        <v>0</v>
      </c>
      <c r="I1715" t="n">
        <v>0</v>
      </c>
      <c r="J1715" t="n">
        <v>0</v>
      </c>
      <c r="K1715" t="n">
        <v>0</v>
      </c>
      <c r="L1715" t="n">
        <v>0</v>
      </c>
      <c r="M1715" t="n">
        <v>0</v>
      </c>
      <c r="N1715" t="n">
        <v>0</v>
      </c>
      <c r="O1715" t="n">
        <v>0</v>
      </c>
      <c r="P1715" t="n">
        <v>0</v>
      </c>
      <c r="Q1715" t="n">
        <v>0</v>
      </c>
      <c r="R1715" s="2" t="inlineStr"/>
    </row>
    <row r="1716" ht="15" customHeight="1">
      <c r="A1716" t="inlineStr">
        <is>
          <t>A 62167-2018</t>
        </is>
      </c>
      <c r="B1716" s="1" t="n">
        <v>43425</v>
      </c>
      <c r="C1716" s="1" t="n">
        <v>45363</v>
      </c>
      <c r="D1716" t="inlineStr">
        <is>
          <t>JÄMTLANDS LÄN</t>
        </is>
      </c>
      <c r="E1716" t="inlineStr">
        <is>
          <t>ÅRE</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61897-2018</t>
        </is>
      </c>
      <c r="B1717" s="1" t="n">
        <v>43425</v>
      </c>
      <c r="C1717" s="1" t="n">
        <v>45363</v>
      </c>
      <c r="D1717" t="inlineStr">
        <is>
          <t>JÄMTLANDS LÄN</t>
        </is>
      </c>
      <c r="E1717" t="inlineStr">
        <is>
          <t>ÅRE</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61822-2018</t>
        </is>
      </c>
      <c r="B1718" s="1" t="n">
        <v>43425</v>
      </c>
      <c r="C1718" s="1" t="n">
        <v>45363</v>
      </c>
      <c r="D1718" t="inlineStr">
        <is>
          <t>JÄMTLANDS LÄN</t>
        </is>
      </c>
      <c r="E1718" t="inlineStr">
        <is>
          <t>ÖSTERSUND</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62271-2018</t>
        </is>
      </c>
      <c r="B1719" s="1" t="n">
        <v>43425</v>
      </c>
      <c r="C1719" s="1" t="n">
        <v>45363</v>
      </c>
      <c r="D1719" t="inlineStr">
        <is>
          <t>JÄMTLANDS LÄN</t>
        </is>
      </c>
      <c r="E1719" t="inlineStr">
        <is>
          <t>BRÄCKE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63207-2018</t>
        </is>
      </c>
      <c r="B1720" s="1" t="n">
        <v>43426</v>
      </c>
      <c r="C1720" s="1" t="n">
        <v>45363</v>
      </c>
      <c r="D1720" t="inlineStr">
        <is>
          <t>JÄMTLANDS LÄN</t>
        </is>
      </c>
      <c r="E1720" t="inlineStr">
        <is>
          <t>HÄRJEDALEN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62889-2018</t>
        </is>
      </c>
      <c r="B1721" s="1" t="n">
        <v>43426</v>
      </c>
      <c r="C1721" s="1" t="n">
        <v>45363</v>
      </c>
      <c r="D1721" t="inlineStr">
        <is>
          <t>JÄMTLANDS LÄN</t>
        </is>
      </c>
      <c r="E1721" t="inlineStr">
        <is>
          <t>HÄRJEDALEN</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62924-2018</t>
        </is>
      </c>
      <c r="B1722" s="1" t="n">
        <v>43426</v>
      </c>
      <c r="C1722" s="1" t="n">
        <v>45363</v>
      </c>
      <c r="D1722" t="inlineStr">
        <is>
          <t>JÄMTLANDS LÄN</t>
        </is>
      </c>
      <c r="E1722" t="inlineStr">
        <is>
          <t>ÖSTERSUND</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63274-2018</t>
        </is>
      </c>
      <c r="B1723" s="1" t="n">
        <v>43426</v>
      </c>
      <c r="C1723" s="1" t="n">
        <v>45363</v>
      </c>
      <c r="D1723" t="inlineStr">
        <is>
          <t>JÄMTLANDS LÄN</t>
        </is>
      </c>
      <c r="E1723" t="inlineStr">
        <is>
          <t>STRÖMSUND</t>
        </is>
      </c>
      <c r="F1723" t="inlineStr">
        <is>
          <t>SCA</t>
        </is>
      </c>
      <c r="G1723" t="n">
        <v>13.6</v>
      </c>
      <c r="H1723" t="n">
        <v>0</v>
      </c>
      <c r="I1723" t="n">
        <v>0</v>
      </c>
      <c r="J1723" t="n">
        <v>0</v>
      </c>
      <c r="K1723" t="n">
        <v>0</v>
      </c>
      <c r="L1723" t="n">
        <v>0</v>
      </c>
      <c r="M1723" t="n">
        <v>0</v>
      </c>
      <c r="N1723" t="n">
        <v>0</v>
      </c>
      <c r="O1723" t="n">
        <v>0</v>
      </c>
      <c r="P1723" t="n">
        <v>0</v>
      </c>
      <c r="Q1723" t="n">
        <v>0</v>
      </c>
      <c r="R1723" s="2" t="inlineStr"/>
    </row>
    <row r="1724" ht="15" customHeight="1">
      <c r="A1724" t="inlineStr">
        <is>
          <t>A 63277-2018</t>
        </is>
      </c>
      <c r="B1724" s="1" t="n">
        <v>43426</v>
      </c>
      <c r="C1724" s="1" t="n">
        <v>45363</v>
      </c>
      <c r="D1724" t="inlineStr">
        <is>
          <t>JÄMTLANDS LÄN</t>
        </is>
      </c>
      <c r="E1724" t="inlineStr">
        <is>
          <t>STRÖMSUND</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63276-2018</t>
        </is>
      </c>
      <c r="B1725" s="1" t="n">
        <v>43426</v>
      </c>
      <c r="C1725" s="1" t="n">
        <v>45363</v>
      </c>
      <c r="D1725" t="inlineStr">
        <is>
          <t>JÄMTLANDS LÄN</t>
        </is>
      </c>
      <c r="E1725" t="inlineStr">
        <is>
          <t>STRÖMSUND</t>
        </is>
      </c>
      <c r="F1725" t="inlineStr">
        <is>
          <t>SCA</t>
        </is>
      </c>
      <c r="G1725" t="n">
        <v>10.1</v>
      </c>
      <c r="H1725" t="n">
        <v>0</v>
      </c>
      <c r="I1725" t="n">
        <v>0</v>
      </c>
      <c r="J1725" t="n">
        <v>0</v>
      </c>
      <c r="K1725" t="n">
        <v>0</v>
      </c>
      <c r="L1725" t="n">
        <v>0</v>
      </c>
      <c r="M1725" t="n">
        <v>0</v>
      </c>
      <c r="N1725" t="n">
        <v>0</v>
      </c>
      <c r="O1725" t="n">
        <v>0</v>
      </c>
      <c r="P1725" t="n">
        <v>0</v>
      </c>
      <c r="Q1725" t="n">
        <v>0</v>
      </c>
      <c r="R1725" s="2" t="inlineStr"/>
    </row>
    <row r="1726" ht="15" customHeight="1">
      <c r="A1726" t="inlineStr">
        <is>
          <t>A 63265-2018</t>
        </is>
      </c>
      <c r="B1726" s="1" t="n">
        <v>43426</v>
      </c>
      <c r="C1726" s="1" t="n">
        <v>45363</v>
      </c>
      <c r="D1726" t="inlineStr">
        <is>
          <t>JÄMTLANDS LÄN</t>
        </is>
      </c>
      <c r="E1726" t="inlineStr">
        <is>
          <t>HÄRJEDALEN</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62946-2018</t>
        </is>
      </c>
      <c r="B1727" s="1" t="n">
        <v>43426</v>
      </c>
      <c r="C1727" s="1" t="n">
        <v>45363</v>
      </c>
      <c r="D1727" t="inlineStr">
        <is>
          <t>JÄMTLANDS LÄN</t>
        </is>
      </c>
      <c r="E1727" t="inlineStr">
        <is>
          <t>STRÖMSUND</t>
        </is>
      </c>
      <c r="G1727" t="n">
        <v>9.800000000000001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63275-2018</t>
        </is>
      </c>
      <c r="B1728" s="1" t="n">
        <v>43426</v>
      </c>
      <c r="C1728" s="1" t="n">
        <v>45363</v>
      </c>
      <c r="D1728" t="inlineStr">
        <is>
          <t>JÄMTLANDS LÄN</t>
        </is>
      </c>
      <c r="E1728" t="inlineStr">
        <is>
          <t>STRÖMSUND</t>
        </is>
      </c>
      <c r="F1728" t="inlineStr">
        <is>
          <t>SCA</t>
        </is>
      </c>
      <c r="G1728" t="n">
        <v>22.7</v>
      </c>
      <c r="H1728" t="n">
        <v>0</v>
      </c>
      <c r="I1728" t="n">
        <v>0</v>
      </c>
      <c r="J1728" t="n">
        <v>0</v>
      </c>
      <c r="K1728" t="n">
        <v>0</v>
      </c>
      <c r="L1728" t="n">
        <v>0</v>
      </c>
      <c r="M1728" t="n">
        <v>0</v>
      </c>
      <c r="N1728" t="n">
        <v>0</v>
      </c>
      <c r="O1728" t="n">
        <v>0</v>
      </c>
      <c r="P1728" t="n">
        <v>0</v>
      </c>
      <c r="Q1728" t="n">
        <v>0</v>
      </c>
      <c r="R1728" s="2" t="inlineStr"/>
    </row>
    <row r="1729" ht="15" customHeight="1">
      <c r="A1729" t="inlineStr">
        <is>
          <t>A 63355-2018</t>
        </is>
      </c>
      <c r="B1729" s="1" t="n">
        <v>43427</v>
      </c>
      <c r="C1729" s="1" t="n">
        <v>45363</v>
      </c>
      <c r="D1729" t="inlineStr">
        <is>
          <t>JÄMTLANDS LÄN</t>
        </is>
      </c>
      <c r="E1729" t="inlineStr">
        <is>
          <t>HÄRJEDALEN</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63573-2018</t>
        </is>
      </c>
      <c r="B1730" s="1" t="n">
        <v>43427</v>
      </c>
      <c r="C1730" s="1" t="n">
        <v>45363</v>
      </c>
      <c r="D1730" t="inlineStr">
        <is>
          <t>JÄMTLANDS LÄN</t>
        </is>
      </c>
      <c r="E1730" t="inlineStr">
        <is>
          <t>RAGUNDA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63658-2018</t>
        </is>
      </c>
      <c r="B1731" s="1" t="n">
        <v>43427</v>
      </c>
      <c r="C1731" s="1" t="n">
        <v>45363</v>
      </c>
      <c r="D1731" t="inlineStr">
        <is>
          <t>JÄMTLANDS LÄN</t>
        </is>
      </c>
      <c r="E1731" t="inlineStr">
        <is>
          <t>KROKOM</t>
        </is>
      </c>
      <c r="F1731" t="inlineStr">
        <is>
          <t>Övriga Aktiebolag</t>
        </is>
      </c>
      <c r="G1731" t="n">
        <v>18.9</v>
      </c>
      <c r="H1731" t="n">
        <v>0</v>
      </c>
      <c r="I1731" t="n">
        <v>0</v>
      </c>
      <c r="J1731" t="n">
        <v>0</v>
      </c>
      <c r="K1731" t="n">
        <v>0</v>
      </c>
      <c r="L1731" t="n">
        <v>0</v>
      </c>
      <c r="M1731" t="n">
        <v>0</v>
      </c>
      <c r="N1731" t="n">
        <v>0</v>
      </c>
      <c r="O1731" t="n">
        <v>0</v>
      </c>
      <c r="P1731" t="n">
        <v>0</v>
      </c>
      <c r="Q1731" t="n">
        <v>0</v>
      </c>
      <c r="R1731" s="2" t="inlineStr"/>
    </row>
    <row r="1732" ht="15" customHeight="1">
      <c r="A1732" t="inlineStr">
        <is>
          <t>A 63635-2018</t>
        </is>
      </c>
      <c r="B1732" s="1" t="n">
        <v>43427</v>
      </c>
      <c r="C1732" s="1" t="n">
        <v>45363</v>
      </c>
      <c r="D1732" t="inlineStr">
        <is>
          <t>JÄMTLANDS LÄN</t>
        </is>
      </c>
      <c r="E1732" t="inlineStr">
        <is>
          <t>STRÖMSUND</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63570-2018</t>
        </is>
      </c>
      <c r="B1733" s="1" t="n">
        <v>43427</v>
      </c>
      <c r="C1733" s="1" t="n">
        <v>45363</v>
      </c>
      <c r="D1733" t="inlineStr">
        <is>
          <t>JÄMTLANDS LÄN</t>
        </is>
      </c>
      <c r="E1733" t="inlineStr">
        <is>
          <t>RAGUNDA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63724-2018</t>
        </is>
      </c>
      <c r="B1734" s="1" t="n">
        <v>43428</v>
      </c>
      <c r="C1734" s="1" t="n">
        <v>45363</v>
      </c>
      <c r="D1734" t="inlineStr">
        <is>
          <t>JÄMTLANDS LÄN</t>
        </is>
      </c>
      <c r="E1734" t="inlineStr">
        <is>
          <t>ÅRE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63720-2018</t>
        </is>
      </c>
      <c r="B1735" s="1" t="n">
        <v>43428</v>
      </c>
      <c r="C1735" s="1" t="n">
        <v>45363</v>
      </c>
      <c r="D1735" t="inlineStr">
        <is>
          <t>JÄMTLANDS LÄN</t>
        </is>
      </c>
      <c r="E1735" t="inlineStr">
        <is>
          <t>ÅRE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63726-2018</t>
        </is>
      </c>
      <c r="B1736" s="1" t="n">
        <v>43428</v>
      </c>
      <c r="C1736" s="1" t="n">
        <v>45363</v>
      </c>
      <c r="D1736" t="inlineStr">
        <is>
          <t>JÄMTLANDS LÄN</t>
        </is>
      </c>
      <c r="E1736" t="inlineStr">
        <is>
          <t>ÅRE</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63721-2018</t>
        </is>
      </c>
      <c r="B1737" s="1" t="n">
        <v>43428</v>
      </c>
      <c r="C1737" s="1" t="n">
        <v>45363</v>
      </c>
      <c r="D1737" t="inlineStr">
        <is>
          <t>JÄMTLANDS LÄN</t>
        </is>
      </c>
      <c r="E1737" t="inlineStr">
        <is>
          <t>ÅRE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63725-2018</t>
        </is>
      </c>
      <c r="B1738" s="1" t="n">
        <v>43428</v>
      </c>
      <c r="C1738" s="1" t="n">
        <v>45363</v>
      </c>
      <c r="D1738" t="inlineStr">
        <is>
          <t>JÄMTLANDS LÄN</t>
        </is>
      </c>
      <c r="E1738" t="inlineStr">
        <is>
          <t>ÅRE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63675-2018</t>
        </is>
      </c>
      <c r="B1739" s="1" t="n">
        <v>43428</v>
      </c>
      <c r="C1739" s="1" t="n">
        <v>45363</v>
      </c>
      <c r="D1739" t="inlineStr">
        <is>
          <t>JÄMTLANDS LÄN</t>
        </is>
      </c>
      <c r="E1739" t="inlineStr">
        <is>
          <t>STRÖMSUND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63977-2018</t>
        </is>
      </c>
      <c r="B1740" s="1" t="n">
        <v>43430</v>
      </c>
      <c r="C1740" s="1" t="n">
        <v>45363</v>
      </c>
      <c r="D1740" t="inlineStr">
        <is>
          <t>JÄMTLANDS LÄN</t>
        </is>
      </c>
      <c r="E1740" t="inlineStr">
        <is>
          <t>BERG</t>
        </is>
      </c>
      <c r="G1740" t="n">
        <v>0</v>
      </c>
      <c r="H1740" t="n">
        <v>0</v>
      </c>
      <c r="I1740" t="n">
        <v>0</v>
      </c>
      <c r="J1740" t="n">
        <v>0</v>
      </c>
      <c r="K1740" t="n">
        <v>0</v>
      </c>
      <c r="L1740" t="n">
        <v>0</v>
      </c>
      <c r="M1740" t="n">
        <v>0</v>
      </c>
      <c r="N1740" t="n">
        <v>0</v>
      </c>
      <c r="O1740" t="n">
        <v>0</v>
      </c>
      <c r="P1740" t="n">
        <v>0</v>
      </c>
      <c r="Q1740" t="n">
        <v>0</v>
      </c>
      <c r="R1740" s="2" t="inlineStr"/>
    </row>
    <row r="1741" ht="15" customHeight="1">
      <c r="A1741" t="inlineStr">
        <is>
          <t>A 64245-2018</t>
        </is>
      </c>
      <c r="B1741" s="1" t="n">
        <v>43430</v>
      </c>
      <c r="C1741" s="1" t="n">
        <v>45363</v>
      </c>
      <c r="D1741" t="inlineStr">
        <is>
          <t>JÄMTLANDS LÄN</t>
        </is>
      </c>
      <c r="E1741" t="inlineStr">
        <is>
          <t>KROKOM</t>
        </is>
      </c>
      <c r="F1741" t="inlineStr">
        <is>
          <t>Övriga Aktiebolag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64917-2018</t>
        </is>
      </c>
      <c r="B1742" s="1" t="n">
        <v>43431</v>
      </c>
      <c r="C1742" s="1" t="n">
        <v>45363</v>
      </c>
      <c r="D1742" t="inlineStr">
        <is>
          <t>JÄMTLANDS LÄN</t>
        </is>
      </c>
      <c r="E1742" t="inlineStr">
        <is>
          <t>STRÖMSUND</t>
        </is>
      </c>
      <c r="F1742" t="inlineStr">
        <is>
          <t>SCA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64929-2018</t>
        </is>
      </c>
      <c r="B1743" s="1" t="n">
        <v>43431</v>
      </c>
      <c r="C1743" s="1" t="n">
        <v>45363</v>
      </c>
      <c r="D1743" t="inlineStr">
        <is>
          <t>JÄMTLANDS LÄN</t>
        </is>
      </c>
      <c r="E1743" t="inlineStr">
        <is>
          <t>STRÖMSUND</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66982-2018</t>
        </is>
      </c>
      <c r="B1744" s="1" t="n">
        <v>43431</v>
      </c>
      <c r="C1744" s="1" t="n">
        <v>45363</v>
      </c>
      <c r="D1744" t="inlineStr">
        <is>
          <t>JÄMTLANDS LÄN</t>
        </is>
      </c>
      <c r="E1744" t="inlineStr">
        <is>
          <t>STRÖMSUND</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64924-2018</t>
        </is>
      </c>
      <c r="B1745" s="1" t="n">
        <v>43431</v>
      </c>
      <c r="C1745" s="1" t="n">
        <v>45363</v>
      </c>
      <c r="D1745" t="inlineStr">
        <is>
          <t>JÄMTLANDS LÄN</t>
        </is>
      </c>
      <c r="E1745" t="inlineStr">
        <is>
          <t>KROKOM</t>
        </is>
      </c>
      <c r="G1745" t="n">
        <v>19.7</v>
      </c>
      <c r="H1745" t="n">
        <v>0</v>
      </c>
      <c r="I1745" t="n">
        <v>0</v>
      </c>
      <c r="J1745" t="n">
        <v>0</v>
      </c>
      <c r="K1745" t="n">
        <v>0</v>
      </c>
      <c r="L1745" t="n">
        <v>0</v>
      </c>
      <c r="M1745" t="n">
        <v>0</v>
      </c>
      <c r="N1745" t="n">
        <v>0</v>
      </c>
      <c r="O1745" t="n">
        <v>0</v>
      </c>
      <c r="P1745" t="n">
        <v>0</v>
      </c>
      <c r="Q1745" t="n">
        <v>0</v>
      </c>
      <c r="R1745" s="2" t="inlineStr"/>
    </row>
    <row r="1746" ht="15" customHeight="1">
      <c r="A1746" t="inlineStr">
        <is>
          <t>A 64493-2018</t>
        </is>
      </c>
      <c r="B1746" s="1" t="n">
        <v>43431</v>
      </c>
      <c r="C1746" s="1" t="n">
        <v>45363</v>
      </c>
      <c r="D1746" t="inlineStr">
        <is>
          <t>JÄMTLANDS LÄN</t>
        </is>
      </c>
      <c r="E1746" t="inlineStr">
        <is>
          <t>HÄRJEDALEN</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64922-2018</t>
        </is>
      </c>
      <c r="B1747" s="1" t="n">
        <v>43431</v>
      </c>
      <c r="C1747" s="1" t="n">
        <v>45363</v>
      </c>
      <c r="D1747" t="inlineStr">
        <is>
          <t>JÄMTLANDS LÄN</t>
        </is>
      </c>
      <c r="E1747" t="inlineStr">
        <is>
          <t>RAGUNDA</t>
        </is>
      </c>
      <c r="F1747" t="inlineStr">
        <is>
          <t>SCA</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64786-2018</t>
        </is>
      </c>
      <c r="B1748" s="1" t="n">
        <v>43431</v>
      </c>
      <c r="C1748" s="1" t="n">
        <v>45363</v>
      </c>
      <c r="D1748" t="inlineStr">
        <is>
          <t>JÄMTLANDS LÄN</t>
        </is>
      </c>
      <c r="E1748" t="inlineStr">
        <is>
          <t>BERG</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66929-2018</t>
        </is>
      </c>
      <c r="B1749" s="1" t="n">
        <v>43431</v>
      </c>
      <c r="C1749" s="1" t="n">
        <v>45363</v>
      </c>
      <c r="D1749" t="inlineStr">
        <is>
          <t>JÄMTLANDS LÄN</t>
        </is>
      </c>
      <c r="E1749" t="inlineStr">
        <is>
          <t>STRÖMSUND</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64918-2018</t>
        </is>
      </c>
      <c r="B1750" s="1" t="n">
        <v>43431</v>
      </c>
      <c r="C1750" s="1" t="n">
        <v>45363</v>
      </c>
      <c r="D1750" t="inlineStr">
        <is>
          <t>JÄMTLANDS LÄN</t>
        </is>
      </c>
      <c r="E1750" t="inlineStr">
        <is>
          <t>STRÖMSUND</t>
        </is>
      </c>
      <c r="F1750" t="inlineStr">
        <is>
          <t>SCA</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67286-2018</t>
        </is>
      </c>
      <c r="B1751" s="1" t="n">
        <v>43431</v>
      </c>
      <c r="C1751" s="1" t="n">
        <v>45363</v>
      </c>
      <c r="D1751" t="inlineStr">
        <is>
          <t>JÄMTLANDS LÄN</t>
        </is>
      </c>
      <c r="E1751" t="inlineStr">
        <is>
          <t>RAGUNDA</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66990-2018</t>
        </is>
      </c>
      <c r="B1752" s="1" t="n">
        <v>43431</v>
      </c>
      <c r="C1752" s="1" t="n">
        <v>45363</v>
      </c>
      <c r="D1752" t="inlineStr">
        <is>
          <t>JÄMTLANDS LÄN</t>
        </is>
      </c>
      <c r="E1752" t="inlineStr">
        <is>
          <t>STRÖMSUND</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64630-2018</t>
        </is>
      </c>
      <c r="B1753" s="1" t="n">
        <v>43431</v>
      </c>
      <c r="C1753" s="1" t="n">
        <v>45363</v>
      </c>
      <c r="D1753" t="inlineStr">
        <is>
          <t>JÄMTLANDS LÄN</t>
        </is>
      </c>
      <c r="E1753" t="inlineStr">
        <is>
          <t>ÅRE</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65034-2018</t>
        </is>
      </c>
      <c r="B1754" s="1" t="n">
        <v>43432</v>
      </c>
      <c r="C1754" s="1" t="n">
        <v>45363</v>
      </c>
      <c r="D1754" t="inlineStr">
        <is>
          <t>JÄMTLANDS LÄN</t>
        </is>
      </c>
      <c r="E1754" t="inlineStr">
        <is>
          <t>KROKOM</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67314-2018</t>
        </is>
      </c>
      <c r="B1755" s="1" t="n">
        <v>43432</v>
      </c>
      <c r="C1755" s="1" t="n">
        <v>45363</v>
      </c>
      <c r="D1755" t="inlineStr">
        <is>
          <t>JÄMTLANDS LÄN</t>
        </is>
      </c>
      <c r="E1755" t="inlineStr">
        <is>
          <t>BRÄCKE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65264-2018</t>
        </is>
      </c>
      <c r="B1756" s="1" t="n">
        <v>43432</v>
      </c>
      <c r="C1756" s="1" t="n">
        <v>45363</v>
      </c>
      <c r="D1756" t="inlineStr">
        <is>
          <t>JÄMTLANDS LÄN</t>
        </is>
      </c>
      <c r="E1756" t="inlineStr">
        <is>
          <t>ÅRE</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65331-2018</t>
        </is>
      </c>
      <c r="B1757" s="1" t="n">
        <v>43432</v>
      </c>
      <c r="C1757" s="1" t="n">
        <v>45363</v>
      </c>
      <c r="D1757" t="inlineStr">
        <is>
          <t>JÄMTLANDS LÄN</t>
        </is>
      </c>
      <c r="E1757" t="inlineStr">
        <is>
          <t>STRÖMSUND</t>
        </is>
      </c>
      <c r="G1757" t="n">
        <v>26.3</v>
      </c>
      <c r="H1757" t="n">
        <v>0</v>
      </c>
      <c r="I1757" t="n">
        <v>0</v>
      </c>
      <c r="J1757" t="n">
        <v>0</v>
      </c>
      <c r="K1757" t="n">
        <v>0</v>
      </c>
      <c r="L1757" t="n">
        <v>0</v>
      </c>
      <c r="M1757" t="n">
        <v>0</v>
      </c>
      <c r="N1757" t="n">
        <v>0</v>
      </c>
      <c r="O1757" t="n">
        <v>0</v>
      </c>
      <c r="P1757" t="n">
        <v>0</v>
      </c>
      <c r="Q1757" t="n">
        <v>0</v>
      </c>
      <c r="R1757" s="2" t="inlineStr"/>
    </row>
    <row r="1758" ht="15" customHeight="1">
      <c r="A1758" t="inlineStr">
        <is>
          <t>A 65319-2018</t>
        </is>
      </c>
      <c r="B1758" s="1" t="n">
        <v>43432</v>
      </c>
      <c r="C1758" s="1" t="n">
        <v>45363</v>
      </c>
      <c r="D1758" t="inlineStr">
        <is>
          <t>JÄMTLANDS LÄN</t>
        </is>
      </c>
      <c r="E1758" t="inlineStr">
        <is>
          <t>STRÖMSUND</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65243-2018</t>
        </is>
      </c>
      <c r="B1759" s="1" t="n">
        <v>43432</v>
      </c>
      <c r="C1759" s="1" t="n">
        <v>45363</v>
      </c>
      <c r="D1759" t="inlineStr">
        <is>
          <t>JÄMTLANDS LÄN</t>
        </is>
      </c>
      <c r="E1759" t="inlineStr">
        <is>
          <t>ÅRE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65844-2018</t>
        </is>
      </c>
      <c r="B1760" s="1" t="n">
        <v>43433</v>
      </c>
      <c r="C1760" s="1" t="n">
        <v>45363</v>
      </c>
      <c r="D1760" t="inlineStr">
        <is>
          <t>JÄMTLANDS LÄN</t>
        </is>
      </c>
      <c r="E1760" t="inlineStr">
        <is>
          <t>BRÄCKE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65832-2018</t>
        </is>
      </c>
      <c r="B1761" s="1" t="n">
        <v>43433</v>
      </c>
      <c r="C1761" s="1" t="n">
        <v>45363</v>
      </c>
      <c r="D1761" t="inlineStr">
        <is>
          <t>JÄMTLANDS LÄN</t>
        </is>
      </c>
      <c r="E1761" t="inlineStr">
        <is>
          <t>HÄRJEDALEN</t>
        </is>
      </c>
      <c r="F1761" t="inlineStr">
        <is>
          <t>Sveaskog</t>
        </is>
      </c>
      <c r="G1761" t="n">
        <v>30.2</v>
      </c>
      <c r="H1761" t="n">
        <v>0</v>
      </c>
      <c r="I1761" t="n">
        <v>0</v>
      </c>
      <c r="J1761" t="n">
        <v>0</v>
      </c>
      <c r="K1761" t="n">
        <v>0</v>
      </c>
      <c r="L1761" t="n">
        <v>0</v>
      </c>
      <c r="M1761" t="n">
        <v>0</v>
      </c>
      <c r="N1761" t="n">
        <v>0</v>
      </c>
      <c r="O1761" t="n">
        <v>0</v>
      </c>
      <c r="P1761" t="n">
        <v>0</v>
      </c>
      <c r="Q1761" t="n">
        <v>0</v>
      </c>
      <c r="R1761" s="2" t="inlineStr"/>
    </row>
    <row r="1762" ht="15" customHeight="1">
      <c r="A1762" t="inlineStr">
        <is>
          <t>A 67610-2018</t>
        </is>
      </c>
      <c r="B1762" s="1" t="n">
        <v>43433</v>
      </c>
      <c r="C1762" s="1" t="n">
        <v>45363</v>
      </c>
      <c r="D1762" t="inlineStr">
        <is>
          <t>JÄMTLANDS LÄN</t>
        </is>
      </c>
      <c r="E1762" t="inlineStr">
        <is>
          <t>BERG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65709-2018</t>
        </is>
      </c>
      <c r="B1763" s="1" t="n">
        <v>43433</v>
      </c>
      <c r="C1763" s="1" t="n">
        <v>45363</v>
      </c>
      <c r="D1763" t="inlineStr">
        <is>
          <t>JÄMTLANDS LÄN</t>
        </is>
      </c>
      <c r="E1763" t="inlineStr">
        <is>
          <t>BERG</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65588-2018</t>
        </is>
      </c>
      <c r="B1764" s="1" t="n">
        <v>43433</v>
      </c>
      <c r="C1764" s="1" t="n">
        <v>45363</v>
      </c>
      <c r="D1764" t="inlineStr">
        <is>
          <t>JÄMTLANDS LÄN</t>
        </is>
      </c>
      <c r="E1764" t="inlineStr">
        <is>
          <t>KROKOM</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66202-2018</t>
        </is>
      </c>
      <c r="B1765" s="1" t="n">
        <v>43434</v>
      </c>
      <c r="C1765" s="1" t="n">
        <v>45363</v>
      </c>
      <c r="D1765" t="inlineStr">
        <is>
          <t>JÄMTLANDS LÄN</t>
        </is>
      </c>
      <c r="E1765" t="inlineStr">
        <is>
          <t>STRÖMSUND</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66199-2018</t>
        </is>
      </c>
      <c r="B1766" s="1" t="n">
        <v>43434</v>
      </c>
      <c r="C1766" s="1" t="n">
        <v>45363</v>
      </c>
      <c r="D1766" t="inlineStr">
        <is>
          <t>JÄMTLANDS LÄN</t>
        </is>
      </c>
      <c r="E1766" t="inlineStr">
        <is>
          <t>STRÖMSUND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66828-2018</t>
        </is>
      </c>
      <c r="B1767" s="1" t="n">
        <v>43437</v>
      </c>
      <c r="C1767" s="1" t="n">
        <v>45363</v>
      </c>
      <c r="D1767" t="inlineStr">
        <is>
          <t>JÄMTLANDS LÄN</t>
        </is>
      </c>
      <c r="E1767" t="inlineStr">
        <is>
          <t>RAGUNDA</t>
        </is>
      </c>
      <c r="F1767" t="inlineStr">
        <is>
          <t>SCA</t>
        </is>
      </c>
      <c r="G1767" t="n">
        <v>11.5</v>
      </c>
      <c r="H1767" t="n">
        <v>0</v>
      </c>
      <c r="I1767" t="n">
        <v>0</v>
      </c>
      <c r="J1767" t="n">
        <v>0</v>
      </c>
      <c r="K1767" t="n">
        <v>0</v>
      </c>
      <c r="L1767" t="n">
        <v>0</v>
      </c>
      <c r="M1767" t="n">
        <v>0</v>
      </c>
      <c r="N1767" t="n">
        <v>0</v>
      </c>
      <c r="O1767" t="n">
        <v>0</v>
      </c>
      <c r="P1767" t="n">
        <v>0</v>
      </c>
      <c r="Q1767" t="n">
        <v>0</v>
      </c>
      <c r="R1767" s="2" t="inlineStr"/>
    </row>
    <row r="1768" ht="15" customHeight="1">
      <c r="A1768" t="inlineStr">
        <is>
          <t>A 66809-2018</t>
        </is>
      </c>
      <c r="B1768" s="1" t="n">
        <v>43437</v>
      </c>
      <c r="C1768" s="1" t="n">
        <v>45363</v>
      </c>
      <c r="D1768" t="inlineStr">
        <is>
          <t>JÄMTLANDS LÄN</t>
        </is>
      </c>
      <c r="E1768" t="inlineStr">
        <is>
          <t>KROKOM</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66766-2018</t>
        </is>
      </c>
      <c r="B1769" s="1" t="n">
        <v>43437</v>
      </c>
      <c r="C1769" s="1" t="n">
        <v>45363</v>
      </c>
      <c r="D1769" t="inlineStr">
        <is>
          <t>JÄMTLANDS LÄN</t>
        </is>
      </c>
      <c r="E1769" t="inlineStr">
        <is>
          <t>BRÄCKE</t>
        </is>
      </c>
      <c r="G1769" t="n">
        <v>8.5</v>
      </c>
      <c r="H1769" t="n">
        <v>0</v>
      </c>
      <c r="I1769" t="n">
        <v>0</v>
      </c>
      <c r="J1769" t="n">
        <v>0</v>
      </c>
      <c r="K1769" t="n">
        <v>0</v>
      </c>
      <c r="L1769" t="n">
        <v>0</v>
      </c>
      <c r="M1769" t="n">
        <v>0</v>
      </c>
      <c r="N1769" t="n">
        <v>0</v>
      </c>
      <c r="O1769" t="n">
        <v>0</v>
      </c>
      <c r="P1769" t="n">
        <v>0</v>
      </c>
      <c r="Q1769" t="n">
        <v>0</v>
      </c>
      <c r="R1769" s="2" t="inlineStr"/>
    </row>
    <row r="1770" ht="15" customHeight="1">
      <c r="A1770" t="inlineStr">
        <is>
          <t>A 66773-2018</t>
        </is>
      </c>
      <c r="B1770" s="1" t="n">
        <v>43437</v>
      </c>
      <c r="C1770" s="1" t="n">
        <v>45363</v>
      </c>
      <c r="D1770" t="inlineStr">
        <is>
          <t>JÄMTLANDS LÄN</t>
        </is>
      </c>
      <c r="E1770" t="inlineStr">
        <is>
          <t>BERG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66771-2018</t>
        </is>
      </c>
      <c r="B1771" s="1" t="n">
        <v>43437</v>
      </c>
      <c r="C1771" s="1" t="n">
        <v>45363</v>
      </c>
      <c r="D1771" t="inlineStr">
        <is>
          <t>JÄMTLANDS LÄN</t>
        </is>
      </c>
      <c r="E1771" t="inlineStr">
        <is>
          <t>HÄRJEDALEN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66753-2018</t>
        </is>
      </c>
      <c r="B1772" s="1" t="n">
        <v>43438</v>
      </c>
      <c r="C1772" s="1" t="n">
        <v>45363</v>
      </c>
      <c r="D1772" t="inlineStr">
        <is>
          <t>JÄMTLANDS LÄN</t>
        </is>
      </c>
      <c r="E1772" t="inlineStr">
        <is>
          <t>HÄRJEDALEN</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67197-2018</t>
        </is>
      </c>
      <c r="B1773" s="1" t="n">
        <v>43438</v>
      </c>
      <c r="C1773" s="1" t="n">
        <v>45363</v>
      </c>
      <c r="D1773" t="inlineStr">
        <is>
          <t>JÄMTLANDS LÄN</t>
        </is>
      </c>
      <c r="E1773" t="inlineStr">
        <is>
          <t>STRÖMSUND</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67178-2018</t>
        </is>
      </c>
      <c r="B1774" s="1" t="n">
        <v>43438</v>
      </c>
      <c r="C1774" s="1" t="n">
        <v>45363</v>
      </c>
      <c r="D1774" t="inlineStr">
        <is>
          <t>JÄMTLANDS LÄN</t>
        </is>
      </c>
      <c r="E1774" t="inlineStr">
        <is>
          <t>BRÄCKE</t>
        </is>
      </c>
      <c r="F1774" t="inlineStr">
        <is>
          <t>SCA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67163-2018</t>
        </is>
      </c>
      <c r="B1775" s="1" t="n">
        <v>43438</v>
      </c>
      <c r="C1775" s="1" t="n">
        <v>45363</v>
      </c>
      <c r="D1775" t="inlineStr">
        <is>
          <t>JÄMTLANDS LÄN</t>
        </is>
      </c>
      <c r="E1775" t="inlineStr">
        <is>
          <t>STRÖMSUND</t>
        </is>
      </c>
      <c r="G1775" t="n">
        <v>11.6</v>
      </c>
      <c r="H1775" t="n">
        <v>0</v>
      </c>
      <c r="I1775" t="n">
        <v>0</v>
      </c>
      <c r="J1775" t="n">
        <v>0</v>
      </c>
      <c r="K1775" t="n">
        <v>0</v>
      </c>
      <c r="L1775" t="n">
        <v>0</v>
      </c>
      <c r="M1775" t="n">
        <v>0</v>
      </c>
      <c r="N1775" t="n">
        <v>0</v>
      </c>
      <c r="O1775" t="n">
        <v>0</v>
      </c>
      <c r="P1775" t="n">
        <v>0</v>
      </c>
      <c r="Q1775" t="n">
        <v>0</v>
      </c>
      <c r="R1775" s="2" t="inlineStr"/>
    </row>
    <row r="1776" ht="15" customHeight="1">
      <c r="A1776" t="inlineStr">
        <is>
          <t>A 66894-2018</t>
        </is>
      </c>
      <c r="B1776" s="1" t="n">
        <v>43438</v>
      </c>
      <c r="C1776" s="1" t="n">
        <v>45363</v>
      </c>
      <c r="D1776" t="inlineStr">
        <is>
          <t>JÄMTLANDS LÄN</t>
        </is>
      </c>
      <c r="E1776" t="inlineStr">
        <is>
          <t>RAGUNDA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67377-2018</t>
        </is>
      </c>
      <c r="B1777" s="1" t="n">
        <v>43439</v>
      </c>
      <c r="C1777" s="1" t="n">
        <v>45363</v>
      </c>
      <c r="D1777" t="inlineStr">
        <is>
          <t>JÄMTLANDS LÄN</t>
        </is>
      </c>
      <c r="E1777" t="inlineStr">
        <is>
          <t>HÄRJEDALEN</t>
        </is>
      </c>
      <c r="F1777" t="inlineStr">
        <is>
          <t>Bergvik skog väst AB</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67578-2018</t>
        </is>
      </c>
      <c r="B1778" s="1" t="n">
        <v>43439</v>
      </c>
      <c r="C1778" s="1" t="n">
        <v>45363</v>
      </c>
      <c r="D1778" t="inlineStr">
        <is>
          <t>JÄMTLANDS LÄN</t>
        </is>
      </c>
      <c r="E1778" t="inlineStr">
        <is>
          <t>BRÄCKE</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68550-2018</t>
        </is>
      </c>
      <c r="B1779" s="1" t="n">
        <v>43439</v>
      </c>
      <c r="C1779" s="1" t="n">
        <v>45363</v>
      </c>
      <c r="D1779" t="inlineStr">
        <is>
          <t>JÄMTLANDS LÄN</t>
        </is>
      </c>
      <c r="E1779" t="inlineStr">
        <is>
          <t>ÖSTERSUND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67305-2018</t>
        </is>
      </c>
      <c r="B1780" s="1" t="n">
        <v>43439</v>
      </c>
      <c r="C1780" s="1" t="n">
        <v>45363</v>
      </c>
      <c r="D1780" t="inlineStr">
        <is>
          <t>JÄMTLANDS LÄN</t>
        </is>
      </c>
      <c r="E1780" t="inlineStr">
        <is>
          <t>ÅRE</t>
        </is>
      </c>
      <c r="G1780" t="n">
        <v>15.8</v>
      </c>
      <c r="H1780" t="n">
        <v>0</v>
      </c>
      <c r="I1780" t="n">
        <v>0</v>
      </c>
      <c r="J1780" t="n">
        <v>0</v>
      </c>
      <c r="K1780" t="n">
        <v>0</v>
      </c>
      <c r="L1780" t="n">
        <v>0</v>
      </c>
      <c r="M1780" t="n">
        <v>0</v>
      </c>
      <c r="N1780" t="n">
        <v>0</v>
      </c>
      <c r="O1780" t="n">
        <v>0</v>
      </c>
      <c r="P1780" t="n">
        <v>0</v>
      </c>
      <c r="Q1780" t="n">
        <v>0</v>
      </c>
      <c r="R1780" s="2" t="inlineStr"/>
    </row>
    <row r="1781" ht="15" customHeight="1">
      <c r="A1781" t="inlineStr">
        <is>
          <t>A 68536-2018</t>
        </is>
      </c>
      <c r="B1781" s="1" t="n">
        <v>43439</v>
      </c>
      <c r="C1781" s="1" t="n">
        <v>45363</v>
      </c>
      <c r="D1781" t="inlineStr">
        <is>
          <t>JÄMTLANDS LÄN</t>
        </is>
      </c>
      <c r="E1781" t="inlineStr">
        <is>
          <t>KROKOM</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68013-2018</t>
        </is>
      </c>
      <c r="B1782" s="1" t="n">
        <v>43440</v>
      </c>
      <c r="C1782" s="1" t="n">
        <v>45363</v>
      </c>
      <c r="D1782" t="inlineStr">
        <is>
          <t>JÄMTLANDS LÄN</t>
        </is>
      </c>
      <c r="E1782" t="inlineStr">
        <is>
          <t>RAGUNDA</t>
        </is>
      </c>
      <c r="G1782" t="n">
        <v>16.6</v>
      </c>
      <c r="H1782" t="n">
        <v>0</v>
      </c>
      <c r="I1782" t="n">
        <v>0</v>
      </c>
      <c r="J1782" t="n">
        <v>0</v>
      </c>
      <c r="K1782" t="n">
        <v>0</v>
      </c>
      <c r="L1782" t="n">
        <v>0</v>
      </c>
      <c r="M1782" t="n">
        <v>0</v>
      </c>
      <c r="N1782" t="n">
        <v>0</v>
      </c>
      <c r="O1782" t="n">
        <v>0</v>
      </c>
      <c r="P1782" t="n">
        <v>0</v>
      </c>
      <c r="Q1782" t="n">
        <v>0</v>
      </c>
      <c r="R1782" s="2" t="inlineStr"/>
    </row>
    <row r="1783" ht="15" customHeight="1">
      <c r="A1783" t="inlineStr">
        <is>
          <t>A 69129-2018</t>
        </is>
      </c>
      <c r="B1783" s="1" t="n">
        <v>43440</v>
      </c>
      <c r="C1783" s="1" t="n">
        <v>45363</v>
      </c>
      <c r="D1783" t="inlineStr">
        <is>
          <t>JÄMTLANDS LÄN</t>
        </is>
      </c>
      <c r="E1783" t="inlineStr">
        <is>
          <t>ÖSTERSUND</t>
        </is>
      </c>
      <c r="G1783" t="n">
        <v>15.1</v>
      </c>
      <c r="H1783" t="n">
        <v>0</v>
      </c>
      <c r="I1783" t="n">
        <v>0</v>
      </c>
      <c r="J1783" t="n">
        <v>0</v>
      </c>
      <c r="K1783" t="n">
        <v>0</v>
      </c>
      <c r="L1783" t="n">
        <v>0</v>
      </c>
      <c r="M1783" t="n">
        <v>0</v>
      </c>
      <c r="N1783" t="n">
        <v>0</v>
      </c>
      <c r="O1783" t="n">
        <v>0</v>
      </c>
      <c r="P1783" t="n">
        <v>0</v>
      </c>
      <c r="Q1783" t="n">
        <v>0</v>
      </c>
      <c r="R1783" s="2" t="inlineStr"/>
    </row>
    <row r="1784" ht="15" customHeight="1">
      <c r="A1784" t="inlineStr">
        <is>
          <t>A 67690-2018</t>
        </is>
      </c>
      <c r="B1784" s="1" t="n">
        <v>43440</v>
      </c>
      <c r="C1784" s="1" t="n">
        <v>45363</v>
      </c>
      <c r="D1784" t="inlineStr">
        <is>
          <t>JÄMTLANDS LÄN</t>
        </is>
      </c>
      <c r="E1784" t="inlineStr">
        <is>
          <t>HÄRJEDALEN</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67994-2018</t>
        </is>
      </c>
      <c r="B1785" s="1" t="n">
        <v>43440</v>
      </c>
      <c r="C1785" s="1" t="n">
        <v>45363</v>
      </c>
      <c r="D1785" t="inlineStr">
        <is>
          <t>JÄMTLANDS LÄN</t>
        </is>
      </c>
      <c r="E1785" t="inlineStr">
        <is>
          <t>STRÖMSUND</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67627-2018</t>
        </is>
      </c>
      <c r="B1786" s="1" t="n">
        <v>43440</v>
      </c>
      <c r="C1786" s="1" t="n">
        <v>45363</v>
      </c>
      <c r="D1786" t="inlineStr">
        <is>
          <t>JÄMTLANDS LÄN</t>
        </is>
      </c>
      <c r="E1786" t="inlineStr">
        <is>
          <t>KROKOM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68317-2018</t>
        </is>
      </c>
      <c r="B1787" s="1" t="n">
        <v>43441</v>
      </c>
      <c r="C1787" s="1" t="n">
        <v>45363</v>
      </c>
      <c r="D1787" t="inlineStr">
        <is>
          <t>JÄMTLANDS LÄN</t>
        </is>
      </c>
      <c r="E1787" t="inlineStr">
        <is>
          <t>KROKOM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68324-2018</t>
        </is>
      </c>
      <c r="B1788" s="1" t="n">
        <v>43441</v>
      </c>
      <c r="C1788" s="1" t="n">
        <v>45363</v>
      </c>
      <c r="D1788" t="inlineStr">
        <is>
          <t>JÄMTLANDS LÄN</t>
        </is>
      </c>
      <c r="E1788" t="inlineStr">
        <is>
          <t>KROKOM</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68616-2018</t>
        </is>
      </c>
      <c r="B1789" s="1" t="n">
        <v>43444</v>
      </c>
      <c r="C1789" s="1" t="n">
        <v>45363</v>
      </c>
      <c r="D1789" t="inlineStr">
        <is>
          <t>JÄMTLANDS LÄN</t>
        </is>
      </c>
      <c r="E1789" t="inlineStr">
        <is>
          <t>ÅRE</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68713-2018</t>
        </is>
      </c>
      <c r="B1790" s="1" t="n">
        <v>43444</v>
      </c>
      <c r="C1790" s="1" t="n">
        <v>45363</v>
      </c>
      <c r="D1790" t="inlineStr">
        <is>
          <t>JÄMTLANDS LÄN</t>
        </is>
      </c>
      <c r="E1790" t="inlineStr">
        <is>
          <t>BERG</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68778-2018</t>
        </is>
      </c>
      <c r="B1791" s="1" t="n">
        <v>43444</v>
      </c>
      <c r="C1791" s="1" t="n">
        <v>45363</v>
      </c>
      <c r="D1791" t="inlineStr">
        <is>
          <t>JÄMTLANDS LÄN</t>
        </is>
      </c>
      <c r="E1791" t="inlineStr">
        <is>
          <t>RAGUNDA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68659-2018</t>
        </is>
      </c>
      <c r="B1792" s="1" t="n">
        <v>43444</v>
      </c>
      <c r="C1792" s="1" t="n">
        <v>45363</v>
      </c>
      <c r="D1792" t="inlineStr">
        <is>
          <t>JÄMTLANDS LÄN</t>
        </is>
      </c>
      <c r="E1792" t="inlineStr">
        <is>
          <t>ÅRE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68655-2018</t>
        </is>
      </c>
      <c r="B1793" s="1" t="n">
        <v>43444</v>
      </c>
      <c r="C1793" s="1" t="n">
        <v>45363</v>
      </c>
      <c r="D1793" t="inlineStr">
        <is>
          <t>JÄMTLANDS LÄN</t>
        </is>
      </c>
      <c r="E1793" t="inlineStr">
        <is>
          <t>ÅRE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69217-2018</t>
        </is>
      </c>
      <c r="B1794" s="1" t="n">
        <v>43445</v>
      </c>
      <c r="C1794" s="1" t="n">
        <v>45363</v>
      </c>
      <c r="D1794" t="inlineStr">
        <is>
          <t>JÄMTLANDS LÄN</t>
        </is>
      </c>
      <c r="E1794" t="inlineStr">
        <is>
          <t>HÄRJEDALEN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69220-2018</t>
        </is>
      </c>
      <c r="B1795" s="1" t="n">
        <v>43445</v>
      </c>
      <c r="C1795" s="1" t="n">
        <v>45363</v>
      </c>
      <c r="D1795" t="inlineStr">
        <is>
          <t>JÄMTLANDS LÄN</t>
        </is>
      </c>
      <c r="E1795" t="inlineStr">
        <is>
          <t>HÄRJEDALEN</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69218-2018</t>
        </is>
      </c>
      <c r="B1796" s="1" t="n">
        <v>43445</v>
      </c>
      <c r="C1796" s="1" t="n">
        <v>45363</v>
      </c>
      <c r="D1796" t="inlineStr">
        <is>
          <t>JÄMTLANDS LÄN</t>
        </is>
      </c>
      <c r="E1796" t="inlineStr">
        <is>
          <t>HÄRJEDALEN</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69219-2018</t>
        </is>
      </c>
      <c r="B1797" s="1" t="n">
        <v>43445</v>
      </c>
      <c r="C1797" s="1" t="n">
        <v>45363</v>
      </c>
      <c r="D1797" t="inlineStr">
        <is>
          <t>JÄMTLANDS LÄN</t>
        </is>
      </c>
      <c r="E1797" t="inlineStr">
        <is>
          <t>HÄRJEDALEN</t>
        </is>
      </c>
      <c r="G1797" t="n">
        <v>0.1</v>
      </c>
      <c r="H1797" t="n">
        <v>0</v>
      </c>
      <c r="I1797" t="n">
        <v>0</v>
      </c>
      <c r="J1797" t="n">
        <v>0</v>
      </c>
      <c r="K1797" t="n">
        <v>0</v>
      </c>
      <c r="L1797" t="n">
        <v>0</v>
      </c>
      <c r="M1797" t="n">
        <v>0</v>
      </c>
      <c r="N1797" t="n">
        <v>0</v>
      </c>
      <c r="O1797" t="n">
        <v>0</v>
      </c>
      <c r="P1797" t="n">
        <v>0</v>
      </c>
      <c r="Q1797" t="n">
        <v>0</v>
      </c>
      <c r="R1797" s="2" t="inlineStr"/>
    </row>
    <row r="1798" ht="15" customHeight="1">
      <c r="A1798" t="inlineStr">
        <is>
          <t>A 69190-2018</t>
        </is>
      </c>
      <c r="B1798" s="1" t="n">
        <v>43445</v>
      </c>
      <c r="C1798" s="1" t="n">
        <v>45363</v>
      </c>
      <c r="D1798" t="inlineStr">
        <is>
          <t>JÄMTLANDS LÄN</t>
        </is>
      </c>
      <c r="E1798" t="inlineStr">
        <is>
          <t>HÄRJEDALEN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68920-2018</t>
        </is>
      </c>
      <c r="B1799" s="1" t="n">
        <v>43445</v>
      </c>
      <c r="C1799" s="1" t="n">
        <v>45363</v>
      </c>
      <c r="D1799" t="inlineStr">
        <is>
          <t>JÄMTLANDS LÄN</t>
        </is>
      </c>
      <c r="E1799" t="inlineStr">
        <is>
          <t>BRÄCKE</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69600-2018</t>
        </is>
      </c>
      <c r="B1800" s="1" t="n">
        <v>43446</v>
      </c>
      <c r="C1800" s="1" t="n">
        <v>45363</v>
      </c>
      <c r="D1800" t="inlineStr">
        <is>
          <t>JÄMTLANDS LÄN</t>
        </is>
      </c>
      <c r="E1800" t="inlineStr">
        <is>
          <t>STRÖMSUND</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70313-2018</t>
        </is>
      </c>
      <c r="B1801" s="1" t="n">
        <v>43446</v>
      </c>
      <c r="C1801" s="1" t="n">
        <v>45363</v>
      </c>
      <c r="D1801" t="inlineStr">
        <is>
          <t>JÄMTLANDS LÄN</t>
        </is>
      </c>
      <c r="E1801" t="inlineStr">
        <is>
          <t>STRÖMSUND</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69427-2018</t>
        </is>
      </c>
      <c r="B1802" s="1" t="n">
        <v>43446</v>
      </c>
      <c r="C1802" s="1" t="n">
        <v>45363</v>
      </c>
      <c r="D1802" t="inlineStr">
        <is>
          <t>JÄMTLANDS LÄN</t>
        </is>
      </c>
      <c r="E1802" t="inlineStr">
        <is>
          <t>ÅRE</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69597-2018</t>
        </is>
      </c>
      <c r="B1803" s="1" t="n">
        <v>43446</v>
      </c>
      <c r="C1803" s="1" t="n">
        <v>45363</v>
      </c>
      <c r="D1803" t="inlineStr">
        <is>
          <t>JÄMTLANDS LÄN</t>
        </is>
      </c>
      <c r="E1803" t="inlineStr">
        <is>
          <t>STRÖMSUND</t>
        </is>
      </c>
      <c r="G1803" t="n">
        <v>29.9</v>
      </c>
      <c r="H1803" t="n">
        <v>0</v>
      </c>
      <c r="I1803" t="n">
        <v>0</v>
      </c>
      <c r="J1803" t="n">
        <v>0</v>
      </c>
      <c r="K1803" t="n">
        <v>0</v>
      </c>
      <c r="L1803" t="n">
        <v>0</v>
      </c>
      <c r="M1803" t="n">
        <v>0</v>
      </c>
      <c r="N1803" t="n">
        <v>0</v>
      </c>
      <c r="O1803" t="n">
        <v>0</v>
      </c>
      <c r="P1803" t="n">
        <v>0</v>
      </c>
      <c r="Q1803" t="n">
        <v>0</v>
      </c>
      <c r="R1803" s="2" t="inlineStr"/>
    </row>
    <row r="1804" ht="15" customHeight="1">
      <c r="A1804" t="inlineStr">
        <is>
          <t>A 69598-2018</t>
        </is>
      </c>
      <c r="B1804" s="1" t="n">
        <v>43446</v>
      </c>
      <c r="C1804" s="1" t="n">
        <v>45363</v>
      </c>
      <c r="D1804" t="inlineStr">
        <is>
          <t>JÄMTLANDS LÄN</t>
        </is>
      </c>
      <c r="E1804" t="inlineStr">
        <is>
          <t>STRÖMSUND</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69788-2018</t>
        </is>
      </c>
      <c r="B1805" s="1" t="n">
        <v>43447</v>
      </c>
      <c r="C1805" s="1" t="n">
        <v>45363</v>
      </c>
      <c r="D1805" t="inlineStr">
        <is>
          <t>JÄMTLANDS LÄN</t>
        </is>
      </c>
      <c r="E1805" t="inlineStr">
        <is>
          <t>STRÖMSUND</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69965-2018</t>
        </is>
      </c>
      <c r="B1806" s="1" t="n">
        <v>43447</v>
      </c>
      <c r="C1806" s="1" t="n">
        <v>45363</v>
      </c>
      <c r="D1806" t="inlineStr">
        <is>
          <t>JÄMTLANDS LÄN</t>
        </is>
      </c>
      <c r="E1806" t="inlineStr">
        <is>
          <t>STRÖMSUND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70505-2018</t>
        </is>
      </c>
      <c r="B1807" s="1" t="n">
        <v>43447</v>
      </c>
      <c r="C1807" s="1" t="n">
        <v>45363</v>
      </c>
      <c r="D1807" t="inlineStr">
        <is>
          <t>JÄMTLANDS LÄN</t>
        </is>
      </c>
      <c r="E1807" t="inlineStr">
        <is>
          <t>BRÄCKE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69865-2018</t>
        </is>
      </c>
      <c r="B1808" s="1" t="n">
        <v>43447</v>
      </c>
      <c r="C1808" s="1" t="n">
        <v>45363</v>
      </c>
      <c r="D1808" t="inlineStr">
        <is>
          <t>JÄMTLANDS LÄN</t>
        </is>
      </c>
      <c r="E1808" t="inlineStr">
        <is>
          <t>KROKOM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69950-2018</t>
        </is>
      </c>
      <c r="B1809" s="1" t="n">
        <v>43447</v>
      </c>
      <c r="C1809" s="1" t="n">
        <v>45363</v>
      </c>
      <c r="D1809" t="inlineStr">
        <is>
          <t>JÄMTLANDS LÄN</t>
        </is>
      </c>
      <c r="E1809" t="inlineStr">
        <is>
          <t>BERG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70018-2018</t>
        </is>
      </c>
      <c r="B1810" s="1" t="n">
        <v>43448</v>
      </c>
      <c r="C1810" s="1" t="n">
        <v>45363</v>
      </c>
      <c r="D1810" t="inlineStr">
        <is>
          <t>JÄMTLANDS LÄN</t>
        </is>
      </c>
      <c r="E1810" t="inlineStr">
        <is>
          <t>ÖSTERSUND</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71079-2018</t>
        </is>
      </c>
      <c r="B1811" s="1" t="n">
        <v>43448</v>
      </c>
      <c r="C1811" s="1" t="n">
        <v>45363</v>
      </c>
      <c r="D1811" t="inlineStr">
        <is>
          <t>JÄMTLANDS LÄN</t>
        </is>
      </c>
      <c r="E1811" t="inlineStr">
        <is>
          <t>BERG</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71348-2018</t>
        </is>
      </c>
      <c r="B1812" s="1" t="n">
        <v>43448</v>
      </c>
      <c r="C1812" s="1" t="n">
        <v>45363</v>
      </c>
      <c r="D1812" t="inlineStr">
        <is>
          <t>JÄMTLANDS LÄN</t>
        </is>
      </c>
      <c r="E1812" t="inlineStr">
        <is>
          <t>BERG</t>
        </is>
      </c>
      <c r="G1812" t="n">
        <v>22.1</v>
      </c>
      <c r="H1812" t="n">
        <v>0</v>
      </c>
      <c r="I1812" t="n">
        <v>0</v>
      </c>
      <c r="J1812" t="n">
        <v>0</v>
      </c>
      <c r="K1812" t="n">
        <v>0</v>
      </c>
      <c r="L1812" t="n">
        <v>0</v>
      </c>
      <c r="M1812" t="n">
        <v>0</v>
      </c>
      <c r="N1812" t="n">
        <v>0</v>
      </c>
      <c r="O1812" t="n">
        <v>0</v>
      </c>
      <c r="P1812" t="n">
        <v>0</v>
      </c>
      <c r="Q1812" t="n">
        <v>0</v>
      </c>
      <c r="R1812" s="2" t="inlineStr"/>
    </row>
    <row r="1813" ht="15" customHeight="1">
      <c r="A1813" t="inlineStr">
        <is>
          <t>A 70206-2018</t>
        </is>
      </c>
      <c r="B1813" s="1" t="n">
        <v>43448</v>
      </c>
      <c r="C1813" s="1" t="n">
        <v>45363</v>
      </c>
      <c r="D1813" t="inlineStr">
        <is>
          <t>JÄMTLANDS LÄN</t>
        </is>
      </c>
      <c r="E1813" t="inlineStr">
        <is>
          <t>RAGUNDA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71074-2018</t>
        </is>
      </c>
      <c r="B1814" s="1" t="n">
        <v>43448</v>
      </c>
      <c r="C1814" s="1" t="n">
        <v>45363</v>
      </c>
      <c r="D1814" t="inlineStr">
        <is>
          <t>JÄMTLANDS LÄN</t>
        </is>
      </c>
      <c r="E1814" t="inlineStr">
        <is>
          <t>BERG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71351-2018</t>
        </is>
      </c>
      <c r="B1815" s="1" t="n">
        <v>43448</v>
      </c>
      <c r="C1815" s="1" t="n">
        <v>45363</v>
      </c>
      <c r="D1815" t="inlineStr">
        <is>
          <t>JÄMTLANDS LÄN</t>
        </is>
      </c>
      <c r="E1815" t="inlineStr">
        <is>
          <t>BERG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70245-2018</t>
        </is>
      </c>
      <c r="B1816" s="1" t="n">
        <v>43448</v>
      </c>
      <c r="C1816" s="1" t="n">
        <v>45363</v>
      </c>
      <c r="D1816" t="inlineStr">
        <is>
          <t>JÄMTLANDS LÄN</t>
        </is>
      </c>
      <c r="E1816" t="inlineStr">
        <is>
          <t>STRÖMSUND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71357-2018</t>
        </is>
      </c>
      <c r="B1817" s="1" t="n">
        <v>43448</v>
      </c>
      <c r="C1817" s="1" t="n">
        <v>45363</v>
      </c>
      <c r="D1817" t="inlineStr">
        <is>
          <t>JÄMTLANDS LÄN</t>
        </is>
      </c>
      <c r="E1817" t="inlineStr">
        <is>
          <t>BERG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71361-2018</t>
        </is>
      </c>
      <c r="B1818" s="1" t="n">
        <v>43448</v>
      </c>
      <c r="C1818" s="1" t="n">
        <v>45363</v>
      </c>
      <c r="D1818" t="inlineStr">
        <is>
          <t>JÄMTLANDS LÄN</t>
        </is>
      </c>
      <c r="E1818" t="inlineStr">
        <is>
          <t>BERG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70805-2018</t>
        </is>
      </c>
      <c r="B1819" s="1" t="n">
        <v>43451</v>
      </c>
      <c r="C1819" s="1" t="n">
        <v>45363</v>
      </c>
      <c r="D1819" t="inlineStr">
        <is>
          <t>JÄMTLANDS LÄN</t>
        </is>
      </c>
      <c r="E1819" t="inlineStr">
        <is>
          <t>BERG</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70783-2018</t>
        </is>
      </c>
      <c r="B1820" s="1" t="n">
        <v>43451</v>
      </c>
      <c r="C1820" s="1" t="n">
        <v>45363</v>
      </c>
      <c r="D1820" t="inlineStr">
        <is>
          <t>JÄMTLANDS LÄN</t>
        </is>
      </c>
      <c r="E1820" t="inlineStr">
        <is>
          <t>ÖSTERSUND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70674-2018</t>
        </is>
      </c>
      <c r="B1821" s="1" t="n">
        <v>43451</v>
      </c>
      <c r="C1821" s="1" t="n">
        <v>45363</v>
      </c>
      <c r="D1821" t="inlineStr">
        <is>
          <t>JÄMTLANDS LÄN</t>
        </is>
      </c>
      <c r="E1821" t="inlineStr">
        <is>
          <t>HÄRJEDALEN</t>
        </is>
      </c>
      <c r="G1821" t="n">
        <v>11.9</v>
      </c>
      <c r="H1821" t="n">
        <v>0</v>
      </c>
      <c r="I1821" t="n">
        <v>0</v>
      </c>
      <c r="J1821" t="n">
        <v>0</v>
      </c>
      <c r="K1821" t="n">
        <v>0</v>
      </c>
      <c r="L1821" t="n">
        <v>0</v>
      </c>
      <c r="M1821" t="n">
        <v>0</v>
      </c>
      <c r="N1821" t="n">
        <v>0</v>
      </c>
      <c r="O1821" t="n">
        <v>0</v>
      </c>
      <c r="P1821" t="n">
        <v>0</v>
      </c>
      <c r="Q1821" t="n">
        <v>0</v>
      </c>
      <c r="R1821" s="2" t="inlineStr"/>
    </row>
    <row r="1822" ht="15" customHeight="1">
      <c r="A1822" t="inlineStr">
        <is>
          <t>A 71418-2018</t>
        </is>
      </c>
      <c r="B1822" s="1" t="n">
        <v>43451</v>
      </c>
      <c r="C1822" s="1" t="n">
        <v>45363</v>
      </c>
      <c r="D1822" t="inlineStr">
        <is>
          <t>JÄMTLANDS LÄN</t>
        </is>
      </c>
      <c r="E1822" t="inlineStr">
        <is>
          <t>BERG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70784-2018</t>
        </is>
      </c>
      <c r="B1823" s="1" t="n">
        <v>43451</v>
      </c>
      <c r="C1823" s="1" t="n">
        <v>45363</v>
      </c>
      <c r="D1823" t="inlineStr">
        <is>
          <t>JÄMTLANDS LÄN</t>
        </is>
      </c>
      <c r="E1823" t="inlineStr">
        <is>
          <t>ÖSTERSUND</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71042-2018</t>
        </is>
      </c>
      <c r="B1824" s="1" t="n">
        <v>43452</v>
      </c>
      <c r="C1824" s="1" t="n">
        <v>45363</v>
      </c>
      <c r="D1824" t="inlineStr">
        <is>
          <t>JÄMTLANDS LÄN</t>
        </is>
      </c>
      <c r="E1824" t="inlineStr">
        <is>
          <t>ÖSTERSUND</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71149-2018</t>
        </is>
      </c>
      <c r="B1825" s="1" t="n">
        <v>43452</v>
      </c>
      <c r="C1825" s="1" t="n">
        <v>45363</v>
      </c>
      <c r="D1825" t="inlineStr">
        <is>
          <t>JÄMTLANDS LÄN</t>
        </is>
      </c>
      <c r="E1825" t="inlineStr">
        <is>
          <t>STRÖMSUND</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71163-2018</t>
        </is>
      </c>
      <c r="B1826" s="1" t="n">
        <v>43452</v>
      </c>
      <c r="C1826" s="1" t="n">
        <v>45363</v>
      </c>
      <c r="D1826" t="inlineStr">
        <is>
          <t>JÄMTLANDS LÄN</t>
        </is>
      </c>
      <c r="E1826" t="inlineStr">
        <is>
          <t>STRÖMSUND</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71162-2018</t>
        </is>
      </c>
      <c r="B1827" s="1" t="n">
        <v>43452</v>
      </c>
      <c r="C1827" s="1" t="n">
        <v>45363</v>
      </c>
      <c r="D1827" t="inlineStr">
        <is>
          <t>JÄMTLANDS LÄN</t>
        </is>
      </c>
      <c r="E1827" t="inlineStr">
        <is>
          <t>STRÖMSUND</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71199-2018</t>
        </is>
      </c>
      <c r="B1828" s="1" t="n">
        <v>43453</v>
      </c>
      <c r="C1828" s="1" t="n">
        <v>45363</v>
      </c>
      <c r="D1828" t="inlineStr">
        <is>
          <t>JÄMTLANDS LÄN</t>
        </is>
      </c>
      <c r="E1828" t="inlineStr">
        <is>
          <t>HÄRJEDALEN</t>
        </is>
      </c>
      <c r="F1828" t="inlineStr">
        <is>
          <t>Sveaskog</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71726-2018</t>
        </is>
      </c>
      <c r="B1829" s="1" t="n">
        <v>43453</v>
      </c>
      <c r="C1829" s="1" t="n">
        <v>45363</v>
      </c>
      <c r="D1829" t="inlineStr">
        <is>
          <t>JÄMTLANDS LÄN</t>
        </is>
      </c>
      <c r="E1829" t="inlineStr">
        <is>
          <t>BERG</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72394-2018</t>
        </is>
      </c>
      <c r="B1830" s="1" t="n">
        <v>43453</v>
      </c>
      <c r="C1830" s="1" t="n">
        <v>45363</v>
      </c>
      <c r="D1830" t="inlineStr">
        <is>
          <t>JÄMTLANDS LÄN</t>
        </is>
      </c>
      <c r="E1830" t="inlineStr">
        <is>
          <t>BERG</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71193-2018</t>
        </is>
      </c>
      <c r="B1831" s="1" t="n">
        <v>43453</v>
      </c>
      <c r="C1831" s="1" t="n">
        <v>45363</v>
      </c>
      <c r="D1831" t="inlineStr">
        <is>
          <t>JÄMTLANDS LÄN</t>
        </is>
      </c>
      <c r="E1831" t="inlineStr">
        <is>
          <t>KROKOM</t>
        </is>
      </c>
      <c r="G1831" t="n">
        <v>10.3</v>
      </c>
      <c r="H1831" t="n">
        <v>0</v>
      </c>
      <c r="I1831" t="n">
        <v>0</v>
      </c>
      <c r="J1831" t="n">
        <v>0</v>
      </c>
      <c r="K1831" t="n">
        <v>0</v>
      </c>
      <c r="L1831" t="n">
        <v>0</v>
      </c>
      <c r="M1831" t="n">
        <v>0</v>
      </c>
      <c r="N1831" t="n">
        <v>0</v>
      </c>
      <c r="O1831" t="n">
        <v>0</v>
      </c>
      <c r="P1831" t="n">
        <v>0</v>
      </c>
      <c r="Q1831" t="n">
        <v>0</v>
      </c>
      <c r="R1831" s="2" t="inlineStr"/>
    </row>
    <row r="1832" ht="15" customHeight="1">
      <c r="A1832" t="inlineStr">
        <is>
          <t>A 72412-2018</t>
        </is>
      </c>
      <c r="B1832" s="1" t="n">
        <v>43453</v>
      </c>
      <c r="C1832" s="1" t="n">
        <v>45363</v>
      </c>
      <c r="D1832" t="inlineStr">
        <is>
          <t>JÄMTLANDS LÄN</t>
        </is>
      </c>
      <c r="E1832" t="inlineStr">
        <is>
          <t>BERG</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71185-2018</t>
        </is>
      </c>
      <c r="B1833" s="1" t="n">
        <v>43453</v>
      </c>
      <c r="C1833" s="1" t="n">
        <v>45363</v>
      </c>
      <c r="D1833" t="inlineStr">
        <is>
          <t>JÄMTLANDS LÄN</t>
        </is>
      </c>
      <c r="E1833" t="inlineStr">
        <is>
          <t>HÄRJEDALEN</t>
        </is>
      </c>
      <c r="F1833" t="inlineStr">
        <is>
          <t>Sveaskog</t>
        </is>
      </c>
      <c r="G1833" t="n">
        <v>24.8</v>
      </c>
      <c r="H1833" t="n">
        <v>0</v>
      </c>
      <c r="I1833" t="n">
        <v>0</v>
      </c>
      <c r="J1833" t="n">
        <v>0</v>
      </c>
      <c r="K1833" t="n">
        <v>0</v>
      </c>
      <c r="L1833" t="n">
        <v>0</v>
      </c>
      <c r="M1833" t="n">
        <v>0</v>
      </c>
      <c r="N1833" t="n">
        <v>0</v>
      </c>
      <c r="O1833" t="n">
        <v>0</v>
      </c>
      <c r="P1833" t="n">
        <v>0</v>
      </c>
      <c r="Q1833" t="n">
        <v>0</v>
      </c>
      <c r="R1833" s="2" t="inlineStr"/>
    </row>
    <row r="1834" ht="15" customHeight="1">
      <c r="A1834" t="inlineStr">
        <is>
          <t>A 72380-2018</t>
        </is>
      </c>
      <c r="B1834" s="1" t="n">
        <v>43453</v>
      </c>
      <c r="C1834" s="1" t="n">
        <v>45363</v>
      </c>
      <c r="D1834" t="inlineStr">
        <is>
          <t>JÄMTLANDS LÄN</t>
        </is>
      </c>
      <c r="E1834" t="inlineStr">
        <is>
          <t>BERG</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72221-2018</t>
        </is>
      </c>
      <c r="B1835" s="1" t="n">
        <v>43453</v>
      </c>
      <c r="C1835" s="1" t="n">
        <v>45363</v>
      </c>
      <c r="D1835" t="inlineStr">
        <is>
          <t>JÄMTLANDS LÄN</t>
        </is>
      </c>
      <c r="E1835" t="inlineStr">
        <is>
          <t>KROKOM</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71773-2018</t>
        </is>
      </c>
      <c r="B1836" s="1" t="n">
        <v>43454</v>
      </c>
      <c r="C1836" s="1" t="n">
        <v>45363</v>
      </c>
      <c r="D1836" t="inlineStr">
        <is>
          <t>JÄMTLANDS LÄN</t>
        </is>
      </c>
      <c r="E1836" t="inlineStr">
        <is>
          <t>ÖSTERSUND</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71624-2018</t>
        </is>
      </c>
      <c r="B1837" s="1" t="n">
        <v>43454</v>
      </c>
      <c r="C1837" s="1" t="n">
        <v>45363</v>
      </c>
      <c r="D1837" t="inlineStr">
        <is>
          <t>JÄMTLANDS LÄN</t>
        </is>
      </c>
      <c r="E1837" t="inlineStr">
        <is>
          <t>HÄRJEDALEN</t>
        </is>
      </c>
      <c r="F1837" t="inlineStr">
        <is>
          <t>Bergvik skog väst AB</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71747-2018</t>
        </is>
      </c>
      <c r="B1838" s="1" t="n">
        <v>43454</v>
      </c>
      <c r="C1838" s="1" t="n">
        <v>45363</v>
      </c>
      <c r="D1838" t="inlineStr">
        <is>
          <t>JÄMTLANDS LÄN</t>
        </is>
      </c>
      <c r="E1838" t="inlineStr">
        <is>
          <t>ÖSTERSUND</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71676-2018</t>
        </is>
      </c>
      <c r="B1839" s="1" t="n">
        <v>43454</v>
      </c>
      <c r="C1839" s="1" t="n">
        <v>45363</v>
      </c>
      <c r="D1839" t="inlineStr">
        <is>
          <t>JÄMTLANDS LÄN</t>
        </is>
      </c>
      <c r="E1839" t="inlineStr">
        <is>
          <t>HÄRJEDALEN</t>
        </is>
      </c>
      <c r="G1839" t="n">
        <v>11.9</v>
      </c>
      <c r="H1839" t="n">
        <v>0</v>
      </c>
      <c r="I1839" t="n">
        <v>0</v>
      </c>
      <c r="J1839" t="n">
        <v>0</v>
      </c>
      <c r="K1839" t="n">
        <v>0</v>
      </c>
      <c r="L1839" t="n">
        <v>0</v>
      </c>
      <c r="M1839" t="n">
        <v>0</v>
      </c>
      <c r="N1839" t="n">
        <v>0</v>
      </c>
      <c r="O1839" t="n">
        <v>0</v>
      </c>
      <c r="P1839" t="n">
        <v>0</v>
      </c>
      <c r="Q1839" t="n">
        <v>0</v>
      </c>
      <c r="R1839" s="2" t="inlineStr"/>
    </row>
    <row r="1840" ht="15" customHeight="1">
      <c r="A1840" t="inlineStr">
        <is>
          <t>A 71850-2018</t>
        </is>
      </c>
      <c r="B1840" s="1" t="n">
        <v>43454</v>
      </c>
      <c r="C1840" s="1" t="n">
        <v>45363</v>
      </c>
      <c r="D1840" t="inlineStr">
        <is>
          <t>JÄMTLANDS LÄN</t>
        </is>
      </c>
      <c r="E1840" t="inlineStr">
        <is>
          <t>BERG</t>
        </is>
      </c>
      <c r="F1840" t="inlineStr">
        <is>
          <t>SCA</t>
        </is>
      </c>
      <c r="G1840" t="n">
        <v>7.5</v>
      </c>
      <c r="H1840" t="n">
        <v>0</v>
      </c>
      <c r="I1840" t="n">
        <v>0</v>
      </c>
      <c r="J1840" t="n">
        <v>0</v>
      </c>
      <c r="K1840" t="n">
        <v>0</v>
      </c>
      <c r="L1840" t="n">
        <v>0</v>
      </c>
      <c r="M1840" t="n">
        <v>0</v>
      </c>
      <c r="N1840" t="n">
        <v>0</v>
      </c>
      <c r="O1840" t="n">
        <v>0</v>
      </c>
      <c r="P1840" t="n">
        <v>0</v>
      </c>
      <c r="Q1840" t="n">
        <v>0</v>
      </c>
      <c r="R1840" s="2" t="inlineStr"/>
    </row>
    <row r="1841" ht="15" customHeight="1">
      <c r="A1841" t="inlineStr">
        <is>
          <t>A 71851-2018</t>
        </is>
      </c>
      <c r="B1841" s="1" t="n">
        <v>43454</v>
      </c>
      <c r="C1841" s="1" t="n">
        <v>45363</v>
      </c>
      <c r="D1841" t="inlineStr">
        <is>
          <t>JÄMTLANDS LÄN</t>
        </is>
      </c>
      <c r="E1841" t="inlineStr">
        <is>
          <t>BERG</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71881-2018</t>
        </is>
      </c>
      <c r="B1842" s="1" t="n">
        <v>43454</v>
      </c>
      <c r="C1842" s="1" t="n">
        <v>45363</v>
      </c>
      <c r="D1842" t="inlineStr">
        <is>
          <t>JÄMTLANDS LÄN</t>
        </is>
      </c>
      <c r="E1842" t="inlineStr">
        <is>
          <t>BERG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71680-2018</t>
        </is>
      </c>
      <c r="B1843" s="1" t="n">
        <v>43454</v>
      </c>
      <c r="C1843" s="1" t="n">
        <v>45363</v>
      </c>
      <c r="D1843" t="inlineStr">
        <is>
          <t>JÄMTLANDS LÄN</t>
        </is>
      </c>
      <c r="E1843" t="inlineStr">
        <is>
          <t>HÄRJEDALEN</t>
        </is>
      </c>
      <c r="G1843" t="n">
        <v>19.7</v>
      </c>
      <c r="H1843" t="n">
        <v>0</v>
      </c>
      <c r="I1843" t="n">
        <v>0</v>
      </c>
      <c r="J1843" t="n">
        <v>0</v>
      </c>
      <c r="K1843" t="n">
        <v>0</v>
      </c>
      <c r="L1843" t="n">
        <v>0</v>
      </c>
      <c r="M1843" t="n">
        <v>0</v>
      </c>
      <c r="N1843" t="n">
        <v>0</v>
      </c>
      <c r="O1843" t="n">
        <v>0</v>
      </c>
      <c r="P1843" t="n">
        <v>0</v>
      </c>
      <c r="Q1843" t="n">
        <v>0</v>
      </c>
      <c r="R1843" s="2" t="inlineStr"/>
    </row>
    <row r="1844" ht="15" customHeight="1">
      <c r="A1844" t="inlineStr">
        <is>
          <t>A 71895-2018</t>
        </is>
      </c>
      <c r="B1844" s="1" t="n">
        <v>43455</v>
      </c>
      <c r="C1844" s="1" t="n">
        <v>45363</v>
      </c>
      <c r="D1844" t="inlineStr">
        <is>
          <t>JÄMTLANDS LÄN</t>
        </is>
      </c>
      <c r="E1844" t="inlineStr">
        <is>
          <t>BERG</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573-2019</t>
        </is>
      </c>
      <c r="B1845" s="1" t="n">
        <v>43455</v>
      </c>
      <c r="C1845" s="1" t="n">
        <v>45363</v>
      </c>
      <c r="D1845" t="inlineStr">
        <is>
          <t>JÄMTLANDS LÄN</t>
        </is>
      </c>
      <c r="E1845" t="inlineStr">
        <is>
          <t>ÖSTERSUND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934-2019</t>
        </is>
      </c>
      <c r="B1846" s="1" t="n">
        <v>43455</v>
      </c>
      <c r="C1846" s="1" t="n">
        <v>45363</v>
      </c>
      <c r="D1846" t="inlineStr">
        <is>
          <t>JÄMTLANDS LÄN</t>
        </is>
      </c>
      <c r="E1846" t="inlineStr">
        <is>
          <t>STRÖMSUND</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981-2019</t>
        </is>
      </c>
      <c r="B1847" s="1" t="n">
        <v>43455</v>
      </c>
      <c r="C1847" s="1" t="n">
        <v>45363</v>
      </c>
      <c r="D1847" t="inlineStr">
        <is>
          <t>JÄMTLANDS LÄN</t>
        </is>
      </c>
      <c r="E1847" t="inlineStr">
        <is>
          <t>KROKOM</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881-2019</t>
        </is>
      </c>
      <c r="B1848" s="1" t="n">
        <v>43455</v>
      </c>
      <c r="C1848" s="1" t="n">
        <v>45363</v>
      </c>
      <c r="D1848" t="inlineStr">
        <is>
          <t>JÄMTLANDS LÄN</t>
        </is>
      </c>
      <c r="E1848" t="inlineStr">
        <is>
          <t>KROKOM</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1046-2019</t>
        </is>
      </c>
      <c r="B1849" s="1" t="n">
        <v>43455</v>
      </c>
      <c r="C1849" s="1" t="n">
        <v>45363</v>
      </c>
      <c r="D1849" t="inlineStr">
        <is>
          <t>JÄMTLANDS LÄN</t>
        </is>
      </c>
      <c r="E1849" t="inlineStr">
        <is>
          <t>KROKOM</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608-2019</t>
        </is>
      </c>
      <c r="B1850" s="1" t="n">
        <v>43455</v>
      </c>
      <c r="C1850" s="1" t="n">
        <v>45363</v>
      </c>
      <c r="D1850" t="inlineStr">
        <is>
          <t>JÄMTLANDS LÄN</t>
        </is>
      </c>
      <c r="E1850" t="inlineStr">
        <is>
          <t>STRÖMSUND</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957-2019</t>
        </is>
      </c>
      <c r="B1851" s="1" t="n">
        <v>43455</v>
      </c>
      <c r="C1851" s="1" t="n">
        <v>45363</v>
      </c>
      <c r="D1851" t="inlineStr">
        <is>
          <t>JÄMTLANDS LÄN</t>
        </is>
      </c>
      <c r="E1851" t="inlineStr">
        <is>
          <t>BERG</t>
        </is>
      </c>
      <c r="F1851" t="inlineStr">
        <is>
          <t>Övriga Aktiebolag</t>
        </is>
      </c>
      <c r="G1851" t="n">
        <v>11.2</v>
      </c>
      <c r="H1851" t="n">
        <v>0</v>
      </c>
      <c r="I1851" t="n">
        <v>0</v>
      </c>
      <c r="J1851" t="n">
        <v>0</v>
      </c>
      <c r="K1851" t="n">
        <v>0</v>
      </c>
      <c r="L1851" t="n">
        <v>0</v>
      </c>
      <c r="M1851" t="n">
        <v>0</v>
      </c>
      <c r="N1851" t="n">
        <v>0</v>
      </c>
      <c r="O1851" t="n">
        <v>0</v>
      </c>
      <c r="P1851" t="n">
        <v>0</v>
      </c>
      <c r="Q1851" t="n">
        <v>0</v>
      </c>
      <c r="R1851" s="2" t="inlineStr"/>
    </row>
    <row r="1852" ht="15" customHeight="1">
      <c r="A1852" t="inlineStr">
        <is>
          <t>A 72414-2018</t>
        </is>
      </c>
      <c r="B1852" s="1" t="n">
        <v>43461</v>
      </c>
      <c r="C1852" s="1" t="n">
        <v>45363</v>
      </c>
      <c r="D1852" t="inlineStr">
        <is>
          <t>JÄMTLANDS LÄN</t>
        </is>
      </c>
      <c r="E1852" t="inlineStr">
        <is>
          <t>STRÖMSUND</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1409-2019</t>
        </is>
      </c>
      <c r="B1853" s="1" t="n">
        <v>43461</v>
      </c>
      <c r="C1853" s="1" t="n">
        <v>45363</v>
      </c>
      <c r="D1853" t="inlineStr">
        <is>
          <t>JÄMTLANDS LÄN</t>
        </is>
      </c>
      <c r="E1853" t="inlineStr">
        <is>
          <t>HÄRJEDALEN</t>
        </is>
      </c>
      <c r="G1853" t="n">
        <v>43.3</v>
      </c>
      <c r="H1853" t="n">
        <v>0</v>
      </c>
      <c r="I1853" t="n">
        <v>0</v>
      </c>
      <c r="J1853" t="n">
        <v>0</v>
      </c>
      <c r="K1853" t="n">
        <v>0</v>
      </c>
      <c r="L1853" t="n">
        <v>0</v>
      </c>
      <c r="M1853" t="n">
        <v>0</v>
      </c>
      <c r="N1853" t="n">
        <v>0</v>
      </c>
      <c r="O1853" t="n">
        <v>0</v>
      </c>
      <c r="P1853" t="n">
        <v>0</v>
      </c>
      <c r="Q1853" t="n">
        <v>0</v>
      </c>
      <c r="R1853" s="2" t="inlineStr"/>
    </row>
    <row r="1854" ht="15" customHeight="1">
      <c r="A1854" t="inlineStr">
        <is>
          <t>A 72474-2018</t>
        </is>
      </c>
      <c r="B1854" s="1" t="n">
        <v>43461</v>
      </c>
      <c r="C1854" s="1" t="n">
        <v>45363</v>
      </c>
      <c r="D1854" t="inlineStr">
        <is>
          <t>JÄMTLANDS LÄN</t>
        </is>
      </c>
      <c r="E1854" t="inlineStr">
        <is>
          <t>RAGUNDA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1685-2019</t>
        </is>
      </c>
      <c r="B1855" s="1" t="n">
        <v>43461</v>
      </c>
      <c r="C1855" s="1" t="n">
        <v>45363</v>
      </c>
      <c r="D1855" t="inlineStr">
        <is>
          <t>JÄMTLANDS LÄN</t>
        </is>
      </c>
      <c r="E1855" t="inlineStr">
        <is>
          <t>RAGUNDA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72485-2018</t>
        </is>
      </c>
      <c r="B1856" s="1" t="n">
        <v>43461</v>
      </c>
      <c r="C1856" s="1" t="n">
        <v>45363</v>
      </c>
      <c r="D1856" t="inlineStr">
        <is>
          <t>JÄMTLANDS LÄN</t>
        </is>
      </c>
      <c r="E1856" t="inlineStr">
        <is>
          <t>STRÖMSUND</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72510-2018</t>
        </is>
      </c>
      <c r="B1857" s="1" t="n">
        <v>43462</v>
      </c>
      <c r="C1857" s="1" t="n">
        <v>45363</v>
      </c>
      <c r="D1857" t="inlineStr">
        <is>
          <t>JÄMTLANDS LÄN</t>
        </is>
      </c>
      <c r="E1857" t="inlineStr">
        <is>
          <t>BRÄCKE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72601-2018</t>
        </is>
      </c>
      <c r="B1858" s="1" t="n">
        <v>43463</v>
      </c>
      <c r="C1858" s="1" t="n">
        <v>45363</v>
      </c>
      <c r="D1858" t="inlineStr">
        <is>
          <t>JÄMTLANDS LÄN</t>
        </is>
      </c>
      <c r="E1858" t="inlineStr">
        <is>
          <t>KROKOM</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171-2019</t>
        </is>
      </c>
      <c r="B1859" s="1" t="n">
        <v>43467</v>
      </c>
      <c r="C1859" s="1" t="n">
        <v>45363</v>
      </c>
      <c r="D1859" t="inlineStr">
        <is>
          <t>JÄMTLANDS LÄN</t>
        </is>
      </c>
      <c r="E1859" t="inlineStr">
        <is>
          <t>RAGUNDA</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80-2019</t>
        </is>
      </c>
      <c r="B1860" s="1" t="n">
        <v>43467</v>
      </c>
      <c r="C1860" s="1" t="n">
        <v>45363</v>
      </c>
      <c r="D1860" t="inlineStr">
        <is>
          <t>JÄMTLANDS LÄN</t>
        </is>
      </c>
      <c r="E1860" t="inlineStr">
        <is>
          <t>ÅRE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169-2019</t>
        </is>
      </c>
      <c r="B1861" s="1" t="n">
        <v>43467</v>
      </c>
      <c r="C1861" s="1" t="n">
        <v>45363</v>
      </c>
      <c r="D1861" t="inlineStr">
        <is>
          <t>JÄMTLANDS LÄN</t>
        </is>
      </c>
      <c r="E1861" t="inlineStr">
        <is>
          <t>RAGUNDA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249-2019</t>
        </is>
      </c>
      <c r="B1862" s="1" t="n">
        <v>43468</v>
      </c>
      <c r="C1862" s="1" t="n">
        <v>45363</v>
      </c>
      <c r="D1862" t="inlineStr">
        <is>
          <t>JÄMTLANDS LÄN</t>
        </is>
      </c>
      <c r="E1862" t="inlineStr">
        <is>
          <t>KROKOM</t>
        </is>
      </c>
      <c r="G1862" t="n">
        <v>15.7</v>
      </c>
      <c r="H1862" t="n">
        <v>0</v>
      </c>
      <c r="I1862" t="n">
        <v>0</v>
      </c>
      <c r="J1862" t="n">
        <v>0</v>
      </c>
      <c r="K1862" t="n">
        <v>0</v>
      </c>
      <c r="L1862" t="n">
        <v>0</v>
      </c>
      <c r="M1862" t="n">
        <v>0</v>
      </c>
      <c r="N1862" t="n">
        <v>0</v>
      </c>
      <c r="O1862" t="n">
        <v>0</v>
      </c>
      <c r="P1862" t="n">
        <v>0</v>
      </c>
      <c r="Q1862" t="n">
        <v>0</v>
      </c>
      <c r="R1862" s="2" t="inlineStr"/>
    </row>
    <row r="1863" ht="15" customHeight="1">
      <c r="A1863" t="inlineStr">
        <is>
          <t>A 2385-2019</t>
        </is>
      </c>
      <c r="B1863" s="1" t="n">
        <v>43468</v>
      </c>
      <c r="C1863" s="1" t="n">
        <v>45363</v>
      </c>
      <c r="D1863" t="inlineStr">
        <is>
          <t>JÄMTLANDS LÄN</t>
        </is>
      </c>
      <c r="E1863" t="inlineStr">
        <is>
          <t>STRÖMSUND</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250-2019</t>
        </is>
      </c>
      <c r="B1864" s="1" t="n">
        <v>43468</v>
      </c>
      <c r="C1864" s="1" t="n">
        <v>45363</v>
      </c>
      <c r="D1864" t="inlineStr">
        <is>
          <t>JÄMTLANDS LÄN</t>
        </is>
      </c>
      <c r="E1864" t="inlineStr">
        <is>
          <t>ÅRE</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699-2019</t>
        </is>
      </c>
      <c r="B1865" s="1" t="n">
        <v>43469</v>
      </c>
      <c r="C1865" s="1" t="n">
        <v>45363</v>
      </c>
      <c r="D1865" t="inlineStr">
        <is>
          <t>JÄMTLANDS LÄN</t>
        </is>
      </c>
      <c r="E1865" t="inlineStr">
        <is>
          <t>STRÖMSUND</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556-2019</t>
        </is>
      </c>
      <c r="B1866" s="1" t="n">
        <v>43469</v>
      </c>
      <c r="C1866" s="1" t="n">
        <v>45363</v>
      </c>
      <c r="D1866" t="inlineStr">
        <is>
          <t>JÄMTLANDS LÄN</t>
        </is>
      </c>
      <c r="E1866" t="inlineStr">
        <is>
          <t>HÄRJEDALEN</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685-2019</t>
        </is>
      </c>
      <c r="B1867" s="1" t="n">
        <v>43469</v>
      </c>
      <c r="C1867" s="1" t="n">
        <v>45363</v>
      </c>
      <c r="D1867" t="inlineStr">
        <is>
          <t>JÄMTLANDS LÄN</t>
        </is>
      </c>
      <c r="E1867" t="inlineStr">
        <is>
          <t>ÅRE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555-2019</t>
        </is>
      </c>
      <c r="B1868" s="1" t="n">
        <v>43469</v>
      </c>
      <c r="C1868" s="1" t="n">
        <v>45363</v>
      </c>
      <c r="D1868" t="inlineStr">
        <is>
          <t>JÄMTLANDS LÄN</t>
        </is>
      </c>
      <c r="E1868" t="inlineStr">
        <is>
          <t>STRÖMSUND</t>
        </is>
      </c>
      <c r="F1868" t="inlineStr">
        <is>
          <t>Holmen skog AB</t>
        </is>
      </c>
      <c r="G1868" t="n">
        <v>14.6</v>
      </c>
      <c r="H1868" t="n">
        <v>0</v>
      </c>
      <c r="I1868" t="n">
        <v>0</v>
      </c>
      <c r="J1868" t="n">
        <v>0</v>
      </c>
      <c r="K1868" t="n">
        <v>0</v>
      </c>
      <c r="L1868" t="n">
        <v>0</v>
      </c>
      <c r="M1868" t="n">
        <v>0</v>
      </c>
      <c r="N1868" t="n">
        <v>0</v>
      </c>
      <c r="O1868" t="n">
        <v>0</v>
      </c>
      <c r="P1868" t="n">
        <v>0</v>
      </c>
      <c r="Q1868" t="n">
        <v>0</v>
      </c>
      <c r="R1868" s="2" t="inlineStr"/>
    </row>
    <row r="1869" ht="15" customHeight="1">
      <c r="A1869" t="inlineStr">
        <is>
          <t>A 882-2019</t>
        </is>
      </c>
      <c r="B1869" s="1" t="n">
        <v>43472</v>
      </c>
      <c r="C1869" s="1" t="n">
        <v>45363</v>
      </c>
      <c r="D1869" t="inlineStr">
        <is>
          <t>JÄMTLANDS LÄN</t>
        </is>
      </c>
      <c r="E1869" t="inlineStr">
        <is>
          <t>BERG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887-2019</t>
        </is>
      </c>
      <c r="B1870" s="1" t="n">
        <v>43472</v>
      </c>
      <c r="C1870" s="1" t="n">
        <v>45363</v>
      </c>
      <c r="D1870" t="inlineStr">
        <is>
          <t>JÄMTLANDS LÄN</t>
        </is>
      </c>
      <c r="E1870" t="inlineStr">
        <is>
          <t>BRÄCKE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2951-2019</t>
        </is>
      </c>
      <c r="B1871" s="1" t="n">
        <v>43472</v>
      </c>
      <c r="C1871" s="1" t="n">
        <v>45363</v>
      </c>
      <c r="D1871" t="inlineStr">
        <is>
          <t>JÄMTLANDS LÄN</t>
        </is>
      </c>
      <c r="E1871" t="inlineStr">
        <is>
          <t>ÖSTERSUND</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1130-2019</t>
        </is>
      </c>
      <c r="B1872" s="1" t="n">
        <v>43472</v>
      </c>
      <c r="C1872" s="1" t="n">
        <v>45363</v>
      </c>
      <c r="D1872" t="inlineStr">
        <is>
          <t>JÄMTLANDS LÄN</t>
        </is>
      </c>
      <c r="E1872" t="inlineStr">
        <is>
          <t>STRÖMSUND</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2920-2019</t>
        </is>
      </c>
      <c r="B1873" s="1" t="n">
        <v>43472</v>
      </c>
      <c r="C1873" s="1" t="n">
        <v>45363</v>
      </c>
      <c r="D1873" t="inlineStr">
        <is>
          <t>JÄMTLANDS LÄN</t>
        </is>
      </c>
      <c r="E1873" t="inlineStr">
        <is>
          <t>BRÄCKE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1032-2019</t>
        </is>
      </c>
      <c r="B1874" s="1" t="n">
        <v>43472</v>
      </c>
      <c r="C1874" s="1" t="n">
        <v>45363</v>
      </c>
      <c r="D1874" t="inlineStr">
        <is>
          <t>JÄMTLANDS LÄN</t>
        </is>
      </c>
      <c r="E1874" t="inlineStr">
        <is>
          <t>ÖSTERSUND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3227-2019</t>
        </is>
      </c>
      <c r="B1875" s="1" t="n">
        <v>43473</v>
      </c>
      <c r="C1875" s="1" t="n">
        <v>45363</v>
      </c>
      <c r="D1875" t="inlineStr">
        <is>
          <t>JÄMTLANDS LÄN</t>
        </is>
      </c>
      <c r="E1875" t="inlineStr">
        <is>
          <t>STRÖMSUND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3315-2019</t>
        </is>
      </c>
      <c r="B1876" s="1" t="n">
        <v>43473</v>
      </c>
      <c r="C1876" s="1" t="n">
        <v>45363</v>
      </c>
      <c r="D1876" t="inlineStr">
        <is>
          <t>JÄMTLANDS LÄN</t>
        </is>
      </c>
      <c r="E1876" t="inlineStr">
        <is>
          <t>RAGUNDA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1174-2019</t>
        </is>
      </c>
      <c r="B1877" s="1" t="n">
        <v>43473</v>
      </c>
      <c r="C1877" s="1" t="n">
        <v>45363</v>
      </c>
      <c r="D1877" t="inlineStr">
        <is>
          <t>JÄMTLANDS LÄN</t>
        </is>
      </c>
      <c r="E1877" t="inlineStr">
        <is>
          <t>BRÄCKE</t>
        </is>
      </c>
      <c r="F1877" t="inlineStr">
        <is>
          <t>Kyrkan</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3152-2019</t>
        </is>
      </c>
      <c r="B1878" s="1" t="n">
        <v>43473</v>
      </c>
      <c r="C1878" s="1" t="n">
        <v>45363</v>
      </c>
      <c r="D1878" t="inlineStr">
        <is>
          <t>JÄMTLANDS LÄN</t>
        </is>
      </c>
      <c r="E1878" t="inlineStr">
        <is>
          <t>RAGUNDA</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1707-2019</t>
        </is>
      </c>
      <c r="B1879" s="1" t="n">
        <v>43474</v>
      </c>
      <c r="C1879" s="1" t="n">
        <v>45363</v>
      </c>
      <c r="D1879" t="inlineStr">
        <is>
          <t>JÄMTLANDS LÄN</t>
        </is>
      </c>
      <c r="E1879" t="inlineStr">
        <is>
          <t>RAGUNDA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1706-2019</t>
        </is>
      </c>
      <c r="B1880" s="1" t="n">
        <v>43474</v>
      </c>
      <c r="C1880" s="1" t="n">
        <v>45363</v>
      </c>
      <c r="D1880" t="inlineStr">
        <is>
          <t>JÄMTLANDS LÄN</t>
        </is>
      </c>
      <c r="E1880" t="inlineStr">
        <is>
          <t>KROKOM</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1750-2019</t>
        </is>
      </c>
      <c r="B1881" s="1" t="n">
        <v>43474</v>
      </c>
      <c r="C1881" s="1" t="n">
        <v>45363</v>
      </c>
      <c r="D1881" t="inlineStr">
        <is>
          <t>JÄMTLANDS LÄN</t>
        </is>
      </c>
      <c r="E1881" t="inlineStr">
        <is>
          <t>HÄRJEDALEN</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6025-2019</t>
        </is>
      </c>
      <c r="B1882" s="1" t="n">
        <v>43474</v>
      </c>
      <c r="C1882" s="1" t="n">
        <v>45363</v>
      </c>
      <c r="D1882" t="inlineStr">
        <is>
          <t>JÄMTLANDS LÄN</t>
        </is>
      </c>
      <c r="E1882" t="inlineStr">
        <is>
          <t>HÄRJEDALEN</t>
        </is>
      </c>
      <c r="F1882" t="inlineStr">
        <is>
          <t>Bergvik skog väst AB</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3722-2019</t>
        </is>
      </c>
      <c r="B1883" s="1" t="n">
        <v>43474</v>
      </c>
      <c r="C1883" s="1" t="n">
        <v>45363</v>
      </c>
      <c r="D1883" t="inlineStr">
        <is>
          <t>JÄMTLANDS LÄN</t>
        </is>
      </c>
      <c r="E1883" t="inlineStr">
        <is>
          <t>KROKOM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3328-2019</t>
        </is>
      </c>
      <c r="B1884" s="1" t="n">
        <v>43474</v>
      </c>
      <c r="C1884" s="1" t="n">
        <v>45363</v>
      </c>
      <c r="D1884" t="inlineStr">
        <is>
          <t>JÄMTLANDS LÄN</t>
        </is>
      </c>
      <c r="E1884" t="inlineStr">
        <is>
          <t>HÄRJEDALEN</t>
        </is>
      </c>
      <c r="F1884" t="inlineStr">
        <is>
          <t>Bergvik skog väst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1835-2019</t>
        </is>
      </c>
      <c r="B1885" s="1" t="n">
        <v>43474</v>
      </c>
      <c r="C1885" s="1" t="n">
        <v>45363</v>
      </c>
      <c r="D1885" t="inlineStr">
        <is>
          <t>JÄMTLANDS LÄN</t>
        </is>
      </c>
      <c r="E1885" t="inlineStr">
        <is>
          <t>HÄRJEDALEN</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1713-2019</t>
        </is>
      </c>
      <c r="B1886" s="1" t="n">
        <v>43474</v>
      </c>
      <c r="C1886" s="1" t="n">
        <v>45363</v>
      </c>
      <c r="D1886" t="inlineStr">
        <is>
          <t>JÄMTLANDS LÄN</t>
        </is>
      </c>
      <c r="E1886" t="inlineStr">
        <is>
          <t>KROKOM</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6127-2019</t>
        </is>
      </c>
      <c r="B1887" s="1" t="n">
        <v>43474</v>
      </c>
      <c r="C1887" s="1" t="n">
        <v>45363</v>
      </c>
      <c r="D1887" t="inlineStr">
        <is>
          <t>JÄMTLANDS LÄN</t>
        </is>
      </c>
      <c r="E1887" t="inlineStr">
        <is>
          <t>HÄRJEDALEN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2307-2019</t>
        </is>
      </c>
      <c r="B1888" s="1" t="n">
        <v>43475</v>
      </c>
      <c r="C1888" s="1" t="n">
        <v>45363</v>
      </c>
      <c r="D1888" t="inlineStr">
        <is>
          <t>JÄMTLANDS LÄN</t>
        </is>
      </c>
      <c r="E1888" t="inlineStr">
        <is>
          <t>ÖSTERSUND</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2135-2019</t>
        </is>
      </c>
      <c r="B1889" s="1" t="n">
        <v>43475</v>
      </c>
      <c r="C1889" s="1" t="n">
        <v>45363</v>
      </c>
      <c r="D1889" t="inlineStr">
        <is>
          <t>JÄMTLANDS LÄN</t>
        </is>
      </c>
      <c r="E1889" t="inlineStr">
        <is>
          <t>HÄRJEDALEN</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2126-2019</t>
        </is>
      </c>
      <c r="B1890" s="1" t="n">
        <v>43475</v>
      </c>
      <c r="C1890" s="1" t="n">
        <v>45363</v>
      </c>
      <c r="D1890" t="inlineStr">
        <is>
          <t>JÄMTLANDS LÄN</t>
        </is>
      </c>
      <c r="E1890" t="inlineStr">
        <is>
          <t>ÅRE</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2430-2019</t>
        </is>
      </c>
      <c r="B1891" s="1" t="n">
        <v>43476</v>
      </c>
      <c r="C1891" s="1" t="n">
        <v>45363</v>
      </c>
      <c r="D1891" t="inlineStr">
        <is>
          <t>JÄMTLANDS LÄN</t>
        </is>
      </c>
      <c r="E1891" t="inlineStr">
        <is>
          <t>KROKOM</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4247-2019</t>
        </is>
      </c>
      <c r="B1892" s="1" t="n">
        <v>43476</v>
      </c>
      <c r="C1892" s="1" t="n">
        <v>45363</v>
      </c>
      <c r="D1892" t="inlineStr">
        <is>
          <t>JÄMTLANDS LÄN</t>
        </is>
      </c>
      <c r="E1892" t="inlineStr">
        <is>
          <t>ÖSTERSUND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2530-2019</t>
        </is>
      </c>
      <c r="B1893" s="1" t="n">
        <v>43476</v>
      </c>
      <c r="C1893" s="1" t="n">
        <v>45363</v>
      </c>
      <c r="D1893" t="inlineStr">
        <is>
          <t>JÄMTLANDS LÄN</t>
        </is>
      </c>
      <c r="E1893" t="inlineStr">
        <is>
          <t>BERG</t>
        </is>
      </c>
      <c r="F1893" t="inlineStr">
        <is>
          <t>Kommuner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2502-2019</t>
        </is>
      </c>
      <c r="B1894" s="1" t="n">
        <v>43476</v>
      </c>
      <c r="C1894" s="1" t="n">
        <v>45363</v>
      </c>
      <c r="D1894" t="inlineStr">
        <is>
          <t>JÄMTLANDS LÄN</t>
        </is>
      </c>
      <c r="E1894" t="inlineStr">
        <is>
          <t>KROKOM</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2616-2019</t>
        </is>
      </c>
      <c r="B1895" s="1" t="n">
        <v>43477</v>
      </c>
      <c r="C1895" s="1" t="n">
        <v>45363</v>
      </c>
      <c r="D1895" t="inlineStr">
        <is>
          <t>JÄMTLANDS LÄN</t>
        </is>
      </c>
      <c r="E1895" t="inlineStr">
        <is>
          <t>KROKOM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2668-2019</t>
        </is>
      </c>
      <c r="B1896" s="1" t="n">
        <v>43478</v>
      </c>
      <c r="C1896" s="1" t="n">
        <v>45363</v>
      </c>
      <c r="D1896" t="inlineStr">
        <is>
          <t>JÄMTLANDS LÄN</t>
        </is>
      </c>
      <c r="E1896" t="inlineStr">
        <is>
          <t>ÖSTERSUND</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3037-2019</t>
        </is>
      </c>
      <c r="B1897" s="1" t="n">
        <v>43479</v>
      </c>
      <c r="C1897" s="1" t="n">
        <v>45363</v>
      </c>
      <c r="D1897" t="inlineStr">
        <is>
          <t>JÄMTLANDS LÄN</t>
        </is>
      </c>
      <c r="E1897" t="inlineStr">
        <is>
          <t>BRÄCKE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3014-2019</t>
        </is>
      </c>
      <c r="B1898" s="1" t="n">
        <v>43479</v>
      </c>
      <c r="C1898" s="1" t="n">
        <v>45363</v>
      </c>
      <c r="D1898" t="inlineStr">
        <is>
          <t>JÄMTLANDS LÄN</t>
        </is>
      </c>
      <c r="E1898" t="inlineStr">
        <is>
          <t>HÄRJEDALEN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3108-2019</t>
        </is>
      </c>
      <c r="B1899" s="1" t="n">
        <v>43479</v>
      </c>
      <c r="C1899" s="1" t="n">
        <v>45363</v>
      </c>
      <c r="D1899" t="inlineStr">
        <is>
          <t>JÄMTLANDS LÄN</t>
        </is>
      </c>
      <c r="E1899" t="inlineStr">
        <is>
          <t>STRÖMSUND</t>
        </is>
      </c>
      <c r="F1899" t="inlineStr">
        <is>
          <t>SCA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4477-2019</t>
        </is>
      </c>
      <c r="B1900" s="1" t="n">
        <v>43479</v>
      </c>
      <c r="C1900" s="1" t="n">
        <v>45363</v>
      </c>
      <c r="D1900" t="inlineStr">
        <is>
          <t>JÄMTLANDS LÄN</t>
        </is>
      </c>
      <c r="E1900" t="inlineStr">
        <is>
          <t>KROKOM</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3531-2019</t>
        </is>
      </c>
      <c r="B1901" s="1" t="n">
        <v>43481</v>
      </c>
      <c r="C1901" s="1" t="n">
        <v>45363</v>
      </c>
      <c r="D1901" t="inlineStr">
        <is>
          <t>JÄMTLANDS LÄN</t>
        </is>
      </c>
      <c r="E1901" t="inlineStr">
        <is>
          <t>HÄRJEDALEN</t>
        </is>
      </c>
      <c r="F1901" t="inlineStr">
        <is>
          <t>Holmen skog AB</t>
        </is>
      </c>
      <c r="G1901" t="n">
        <v>23.2</v>
      </c>
      <c r="H1901" t="n">
        <v>0</v>
      </c>
      <c r="I1901" t="n">
        <v>0</v>
      </c>
      <c r="J1901" t="n">
        <v>0</v>
      </c>
      <c r="K1901" t="n">
        <v>0</v>
      </c>
      <c r="L1901" t="n">
        <v>0</v>
      </c>
      <c r="M1901" t="n">
        <v>0</v>
      </c>
      <c r="N1901" t="n">
        <v>0</v>
      </c>
      <c r="O1901" t="n">
        <v>0</v>
      </c>
      <c r="P1901" t="n">
        <v>0</v>
      </c>
      <c r="Q1901" t="n">
        <v>0</v>
      </c>
      <c r="R1901" s="2" t="inlineStr"/>
    </row>
    <row r="1902" ht="15" customHeight="1">
      <c r="A1902" t="inlineStr">
        <is>
          <t>A 3571-2019</t>
        </is>
      </c>
      <c r="B1902" s="1" t="n">
        <v>43481</v>
      </c>
      <c r="C1902" s="1" t="n">
        <v>45363</v>
      </c>
      <c r="D1902" t="inlineStr">
        <is>
          <t>JÄMTLANDS LÄN</t>
        </is>
      </c>
      <c r="E1902" t="inlineStr">
        <is>
          <t>HÄRJEDALEN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3579-2019</t>
        </is>
      </c>
      <c r="B1903" s="1" t="n">
        <v>43481</v>
      </c>
      <c r="C1903" s="1" t="n">
        <v>45363</v>
      </c>
      <c r="D1903" t="inlineStr">
        <is>
          <t>JÄMTLANDS LÄN</t>
        </is>
      </c>
      <c r="E1903" t="inlineStr">
        <is>
          <t>RAGUNDA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5445-2019</t>
        </is>
      </c>
      <c r="B1904" s="1" t="n">
        <v>43481</v>
      </c>
      <c r="C1904" s="1" t="n">
        <v>45363</v>
      </c>
      <c r="D1904" t="inlineStr">
        <is>
          <t>JÄMTLANDS LÄN</t>
        </is>
      </c>
      <c r="E1904" t="inlineStr">
        <is>
          <t>RAGUNDA</t>
        </is>
      </c>
      <c r="G1904" t="n">
        <v>21.7</v>
      </c>
      <c r="H1904" t="n">
        <v>0</v>
      </c>
      <c r="I1904" t="n">
        <v>0</v>
      </c>
      <c r="J1904" t="n">
        <v>0</v>
      </c>
      <c r="K1904" t="n">
        <v>0</v>
      </c>
      <c r="L1904" t="n">
        <v>0</v>
      </c>
      <c r="M1904" t="n">
        <v>0</v>
      </c>
      <c r="N1904" t="n">
        <v>0</v>
      </c>
      <c r="O1904" t="n">
        <v>0</v>
      </c>
      <c r="P1904" t="n">
        <v>0</v>
      </c>
      <c r="Q1904" t="n">
        <v>0</v>
      </c>
      <c r="R1904" s="2" t="inlineStr"/>
    </row>
    <row r="1905" ht="15" customHeight="1">
      <c r="A1905" t="inlineStr">
        <is>
          <t>A 3624-2019</t>
        </is>
      </c>
      <c r="B1905" s="1" t="n">
        <v>43481</v>
      </c>
      <c r="C1905" s="1" t="n">
        <v>45363</v>
      </c>
      <c r="D1905" t="inlineStr">
        <is>
          <t>JÄMTLANDS LÄN</t>
        </is>
      </c>
      <c r="E1905" t="inlineStr">
        <is>
          <t>HÄRJEDALEN</t>
        </is>
      </c>
      <c r="F1905" t="inlineStr">
        <is>
          <t>Holmen skog AB</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3524-2019</t>
        </is>
      </c>
      <c r="B1906" s="1" t="n">
        <v>43481</v>
      </c>
      <c r="C1906" s="1" t="n">
        <v>45363</v>
      </c>
      <c r="D1906" t="inlineStr">
        <is>
          <t>JÄMTLANDS LÄN</t>
        </is>
      </c>
      <c r="E1906" t="inlineStr">
        <is>
          <t>STRÖMSUND</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3527-2019</t>
        </is>
      </c>
      <c r="B1907" s="1" t="n">
        <v>43481</v>
      </c>
      <c r="C1907" s="1" t="n">
        <v>45363</v>
      </c>
      <c r="D1907" t="inlineStr">
        <is>
          <t>JÄMTLANDS LÄN</t>
        </is>
      </c>
      <c r="E1907" t="inlineStr">
        <is>
          <t>STRÖMSUND</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3785-2019</t>
        </is>
      </c>
      <c r="B1908" s="1" t="n">
        <v>43482</v>
      </c>
      <c r="C1908" s="1" t="n">
        <v>45363</v>
      </c>
      <c r="D1908" t="inlineStr">
        <is>
          <t>JÄMTLANDS LÄN</t>
        </is>
      </c>
      <c r="E1908" t="inlineStr">
        <is>
          <t>HÄRJEDALEN</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5510-2019</t>
        </is>
      </c>
      <c r="B1909" s="1" t="n">
        <v>43482</v>
      </c>
      <c r="C1909" s="1" t="n">
        <v>45363</v>
      </c>
      <c r="D1909" t="inlineStr">
        <is>
          <t>JÄMTLANDS LÄN</t>
        </is>
      </c>
      <c r="E1909" t="inlineStr">
        <is>
          <t>KROKOM</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5509-2019</t>
        </is>
      </c>
      <c r="B1910" s="1" t="n">
        <v>43482</v>
      </c>
      <c r="C1910" s="1" t="n">
        <v>45363</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3788-2019</t>
        </is>
      </c>
      <c r="B1911" s="1" t="n">
        <v>43482</v>
      </c>
      <c r="C1911" s="1" t="n">
        <v>45363</v>
      </c>
      <c r="D1911" t="inlineStr">
        <is>
          <t>JÄMTLANDS LÄN</t>
        </is>
      </c>
      <c r="E1911" t="inlineStr">
        <is>
          <t>HÄRJEDALEN</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3787-2019</t>
        </is>
      </c>
      <c r="B1912" s="1" t="n">
        <v>43482</v>
      </c>
      <c r="C1912" s="1" t="n">
        <v>45363</v>
      </c>
      <c r="D1912" t="inlineStr">
        <is>
          <t>JÄMTLANDS LÄN</t>
        </is>
      </c>
      <c r="E1912" t="inlineStr">
        <is>
          <t>HÄRJEDALEN</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4345-2019</t>
        </is>
      </c>
      <c r="B1913" s="1" t="n">
        <v>43483</v>
      </c>
      <c r="C1913" s="1" t="n">
        <v>45363</v>
      </c>
      <c r="D1913" t="inlineStr">
        <is>
          <t>JÄMTLANDS LÄN</t>
        </is>
      </c>
      <c r="E1913" t="inlineStr">
        <is>
          <t>RAGUNDA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4218-2019</t>
        </is>
      </c>
      <c r="B1914" s="1" t="n">
        <v>43483</v>
      </c>
      <c r="C1914" s="1" t="n">
        <v>45363</v>
      </c>
      <c r="D1914" t="inlineStr">
        <is>
          <t>JÄMTLANDS LÄN</t>
        </is>
      </c>
      <c r="E1914" t="inlineStr">
        <is>
          <t>BRÄCKE</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4359-2019</t>
        </is>
      </c>
      <c r="B1915" s="1" t="n">
        <v>43483</v>
      </c>
      <c r="C1915" s="1" t="n">
        <v>45363</v>
      </c>
      <c r="D1915" t="inlineStr">
        <is>
          <t>JÄMTLANDS LÄN</t>
        </is>
      </c>
      <c r="E1915" t="inlineStr">
        <is>
          <t>HÄRJEDALEN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4402-2019</t>
        </is>
      </c>
      <c r="B1916" s="1" t="n">
        <v>43484</v>
      </c>
      <c r="C1916" s="1" t="n">
        <v>45363</v>
      </c>
      <c r="D1916" t="inlineStr">
        <is>
          <t>JÄMTLANDS LÄN</t>
        </is>
      </c>
      <c r="E1916" t="inlineStr">
        <is>
          <t>STRÖMSUND</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4617-2019</t>
        </is>
      </c>
      <c r="B1917" s="1" t="n">
        <v>43486</v>
      </c>
      <c r="C1917" s="1" t="n">
        <v>45363</v>
      </c>
      <c r="D1917" t="inlineStr">
        <is>
          <t>JÄMTLANDS LÄN</t>
        </is>
      </c>
      <c r="E1917" t="inlineStr">
        <is>
          <t>HÄRJEDALEN</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6418-2019</t>
        </is>
      </c>
      <c r="B1918" s="1" t="n">
        <v>43486</v>
      </c>
      <c r="C1918" s="1" t="n">
        <v>45363</v>
      </c>
      <c r="D1918" t="inlineStr">
        <is>
          <t>JÄMTLANDS LÄN</t>
        </is>
      </c>
      <c r="E1918" t="inlineStr">
        <is>
          <t>HÄRJEDALEN</t>
        </is>
      </c>
      <c r="F1918" t="inlineStr">
        <is>
          <t>Övriga statliga verk och myndigheter</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5024-2019</t>
        </is>
      </c>
      <c r="B1919" s="1" t="n">
        <v>43487</v>
      </c>
      <c r="C1919" s="1" t="n">
        <v>45363</v>
      </c>
      <c r="D1919" t="inlineStr">
        <is>
          <t>JÄMTLANDS LÄN</t>
        </is>
      </c>
      <c r="E1919" t="inlineStr">
        <is>
          <t>ÖSTERSUND</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5215-2019</t>
        </is>
      </c>
      <c r="B1920" s="1" t="n">
        <v>43488</v>
      </c>
      <c r="C1920" s="1" t="n">
        <v>45363</v>
      </c>
      <c r="D1920" t="inlineStr">
        <is>
          <t>JÄMTLANDS LÄN</t>
        </is>
      </c>
      <c r="E1920" t="inlineStr">
        <is>
          <t>KROKOM</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5327-2019</t>
        </is>
      </c>
      <c r="B1921" s="1" t="n">
        <v>43488</v>
      </c>
      <c r="C1921" s="1" t="n">
        <v>45363</v>
      </c>
      <c r="D1921" t="inlineStr">
        <is>
          <t>JÄMTLANDS LÄN</t>
        </is>
      </c>
      <c r="E1921" t="inlineStr">
        <is>
          <t>HÄRJEDALEN</t>
        </is>
      </c>
      <c r="F1921" t="inlineStr">
        <is>
          <t>Bergvik skog väst AB</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5619-2019</t>
        </is>
      </c>
      <c r="B1922" s="1" t="n">
        <v>43489</v>
      </c>
      <c r="C1922" s="1" t="n">
        <v>45363</v>
      </c>
      <c r="D1922" t="inlineStr">
        <is>
          <t>JÄMTLANDS LÄN</t>
        </is>
      </c>
      <c r="E1922" t="inlineStr">
        <is>
          <t>ÖSTERSUND</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5629-2019</t>
        </is>
      </c>
      <c r="B1923" s="1" t="n">
        <v>43489</v>
      </c>
      <c r="C1923" s="1" t="n">
        <v>45363</v>
      </c>
      <c r="D1923" t="inlineStr">
        <is>
          <t>JÄMTLANDS LÄN</t>
        </is>
      </c>
      <c r="E1923" t="inlineStr">
        <is>
          <t>ÖSTERSUND</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5663-2019</t>
        </is>
      </c>
      <c r="B1924" s="1" t="n">
        <v>43489</v>
      </c>
      <c r="C1924" s="1" t="n">
        <v>45363</v>
      </c>
      <c r="D1924" t="inlineStr">
        <is>
          <t>JÄMTLANDS LÄN</t>
        </is>
      </c>
      <c r="E1924" t="inlineStr">
        <is>
          <t>HÄRJEDALEN</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5930-2019</t>
        </is>
      </c>
      <c r="B1925" s="1" t="n">
        <v>43490</v>
      </c>
      <c r="C1925" s="1" t="n">
        <v>45363</v>
      </c>
      <c r="D1925" t="inlineStr">
        <is>
          <t>JÄMTLANDS LÄN</t>
        </is>
      </c>
      <c r="E1925" t="inlineStr">
        <is>
          <t>ÅRE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5805-2019</t>
        </is>
      </c>
      <c r="B1926" s="1" t="n">
        <v>43490</v>
      </c>
      <c r="C1926" s="1" t="n">
        <v>45363</v>
      </c>
      <c r="D1926" t="inlineStr">
        <is>
          <t>JÄMTLANDS LÄN</t>
        </is>
      </c>
      <c r="E1926" t="inlineStr">
        <is>
          <t>HÄRJEDALEN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7370-2019</t>
        </is>
      </c>
      <c r="B1927" s="1" t="n">
        <v>43490</v>
      </c>
      <c r="C1927" s="1" t="n">
        <v>45363</v>
      </c>
      <c r="D1927" t="inlineStr">
        <is>
          <t>JÄMTLANDS LÄN</t>
        </is>
      </c>
      <c r="E1927" t="inlineStr">
        <is>
          <t>BERG</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5790-2019</t>
        </is>
      </c>
      <c r="B1928" s="1" t="n">
        <v>43490</v>
      </c>
      <c r="C1928" s="1" t="n">
        <v>45363</v>
      </c>
      <c r="D1928" t="inlineStr">
        <is>
          <t>JÄMTLANDS LÄN</t>
        </is>
      </c>
      <c r="E1928" t="inlineStr">
        <is>
          <t>HÄRJEDALEN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5929-2019</t>
        </is>
      </c>
      <c r="B1929" s="1" t="n">
        <v>43490</v>
      </c>
      <c r="C1929" s="1" t="n">
        <v>45363</v>
      </c>
      <c r="D1929" t="inlineStr">
        <is>
          <t>JÄMTLANDS LÄN</t>
        </is>
      </c>
      <c r="E1929" t="inlineStr">
        <is>
          <t>ÅRE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5914-2019</t>
        </is>
      </c>
      <c r="B1930" s="1" t="n">
        <v>43490</v>
      </c>
      <c r="C1930" s="1" t="n">
        <v>45363</v>
      </c>
      <c r="D1930" t="inlineStr">
        <is>
          <t>JÄMTLANDS LÄN</t>
        </is>
      </c>
      <c r="E1930" t="inlineStr">
        <is>
          <t>ÅRE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5779-2019</t>
        </is>
      </c>
      <c r="B1931" s="1" t="n">
        <v>43490</v>
      </c>
      <c r="C1931" s="1" t="n">
        <v>45363</v>
      </c>
      <c r="D1931" t="inlineStr">
        <is>
          <t>JÄMTLANDS LÄN</t>
        </is>
      </c>
      <c r="E1931" t="inlineStr">
        <is>
          <t>HÄRJEDALEN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5770-2019</t>
        </is>
      </c>
      <c r="B1932" s="1" t="n">
        <v>43490</v>
      </c>
      <c r="C1932" s="1" t="n">
        <v>45363</v>
      </c>
      <c r="D1932" t="inlineStr">
        <is>
          <t>JÄMTLANDS LÄN</t>
        </is>
      </c>
      <c r="E1932" t="inlineStr">
        <is>
          <t>KROKOM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6774-2019</t>
        </is>
      </c>
      <c r="B1933" s="1" t="n">
        <v>43494</v>
      </c>
      <c r="C1933" s="1" t="n">
        <v>45363</v>
      </c>
      <c r="D1933" t="inlineStr">
        <is>
          <t>JÄMTLANDS LÄN</t>
        </is>
      </c>
      <c r="E1933" t="inlineStr">
        <is>
          <t>ÖSTERSUND</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6549-2019</t>
        </is>
      </c>
      <c r="B1934" s="1" t="n">
        <v>43494</v>
      </c>
      <c r="C1934" s="1" t="n">
        <v>45363</v>
      </c>
      <c r="D1934" t="inlineStr">
        <is>
          <t>JÄMTLANDS LÄN</t>
        </is>
      </c>
      <c r="E1934" t="inlineStr">
        <is>
          <t>ÖSTERSUND</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6775-2019</t>
        </is>
      </c>
      <c r="B1935" s="1" t="n">
        <v>43494</v>
      </c>
      <c r="C1935" s="1" t="n">
        <v>45363</v>
      </c>
      <c r="D1935" t="inlineStr">
        <is>
          <t>JÄMTLANDS LÄN</t>
        </is>
      </c>
      <c r="E1935" t="inlineStr">
        <is>
          <t>ÖSTERSUND</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6834-2019</t>
        </is>
      </c>
      <c r="B1936" s="1" t="n">
        <v>43495</v>
      </c>
      <c r="C1936" s="1" t="n">
        <v>45363</v>
      </c>
      <c r="D1936" t="inlineStr">
        <is>
          <t>JÄMTLANDS LÄN</t>
        </is>
      </c>
      <c r="E1936" t="inlineStr">
        <is>
          <t>ÖSTERSUND</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8155-2019</t>
        </is>
      </c>
      <c r="B1937" s="1" t="n">
        <v>43495</v>
      </c>
      <c r="C1937" s="1" t="n">
        <v>45363</v>
      </c>
      <c r="D1937" t="inlineStr">
        <is>
          <t>JÄMTLANDS LÄN</t>
        </is>
      </c>
      <c r="E1937" t="inlineStr">
        <is>
          <t>HÄRJEDALEN</t>
        </is>
      </c>
      <c r="G1937" t="n">
        <v>16.9</v>
      </c>
      <c r="H1937" t="n">
        <v>0</v>
      </c>
      <c r="I1937" t="n">
        <v>0</v>
      </c>
      <c r="J1937" t="n">
        <v>0</v>
      </c>
      <c r="K1937" t="n">
        <v>0</v>
      </c>
      <c r="L1937" t="n">
        <v>0</v>
      </c>
      <c r="M1937" t="n">
        <v>0</v>
      </c>
      <c r="N1937" t="n">
        <v>0</v>
      </c>
      <c r="O1937" t="n">
        <v>0</v>
      </c>
      <c r="P1937" t="n">
        <v>0</v>
      </c>
      <c r="Q1937" t="n">
        <v>0</v>
      </c>
      <c r="R1937" s="2" t="inlineStr"/>
    </row>
    <row r="1938" ht="15" customHeight="1">
      <c r="A1938" t="inlineStr">
        <is>
          <t>A 7128-2019</t>
        </is>
      </c>
      <c r="B1938" s="1" t="n">
        <v>43495</v>
      </c>
      <c r="C1938" s="1" t="n">
        <v>45363</v>
      </c>
      <c r="D1938" t="inlineStr">
        <is>
          <t>JÄMTLANDS LÄN</t>
        </is>
      </c>
      <c r="E1938" t="inlineStr">
        <is>
          <t>ÖSTERSUND</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6886-2019</t>
        </is>
      </c>
      <c r="B1939" s="1" t="n">
        <v>43495</v>
      </c>
      <c r="C1939" s="1" t="n">
        <v>45363</v>
      </c>
      <c r="D1939" t="inlineStr">
        <is>
          <t>JÄMTLANDS LÄN</t>
        </is>
      </c>
      <c r="E1939" t="inlineStr">
        <is>
          <t>HÄRJEDALEN</t>
        </is>
      </c>
      <c r="G1939" t="n">
        <v>10.4</v>
      </c>
      <c r="H1939" t="n">
        <v>0</v>
      </c>
      <c r="I1939" t="n">
        <v>0</v>
      </c>
      <c r="J1939" t="n">
        <v>0</v>
      </c>
      <c r="K1939" t="n">
        <v>0</v>
      </c>
      <c r="L1939" t="n">
        <v>0</v>
      </c>
      <c r="M1939" t="n">
        <v>0</v>
      </c>
      <c r="N1939" t="n">
        <v>0</v>
      </c>
      <c r="O1939" t="n">
        <v>0</v>
      </c>
      <c r="P1939" t="n">
        <v>0</v>
      </c>
      <c r="Q1939" t="n">
        <v>0</v>
      </c>
      <c r="R1939" s="2" t="inlineStr"/>
    </row>
    <row r="1940" ht="15" customHeight="1">
      <c r="A1940" t="inlineStr">
        <is>
          <t>A 7065-2019</t>
        </is>
      </c>
      <c r="B1940" s="1" t="n">
        <v>43495</v>
      </c>
      <c r="C1940" s="1" t="n">
        <v>45363</v>
      </c>
      <c r="D1940" t="inlineStr">
        <is>
          <t>JÄMTLANDS LÄN</t>
        </is>
      </c>
      <c r="E1940" t="inlineStr">
        <is>
          <t>RAGUNDA</t>
        </is>
      </c>
      <c r="G1940" t="n">
        <v>13.2</v>
      </c>
      <c r="H1940" t="n">
        <v>0</v>
      </c>
      <c r="I1940" t="n">
        <v>0</v>
      </c>
      <c r="J1940" t="n">
        <v>0</v>
      </c>
      <c r="K1940" t="n">
        <v>0</v>
      </c>
      <c r="L1940" t="n">
        <v>0</v>
      </c>
      <c r="M1940" t="n">
        <v>0</v>
      </c>
      <c r="N1940" t="n">
        <v>0</v>
      </c>
      <c r="O1940" t="n">
        <v>0</v>
      </c>
      <c r="P1940" t="n">
        <v>0</v>
      </c>
      <c r="Q1940" t="n">
        <v>0</v>
      </c>
      <c r="R1940" s="2" t="inlineStr"/>
    </row>
    <row r="1941" ht="15" customHeight="1">
      <c r="A1941" t="inlineStr">
        <is>
          <t>A 7305-2019</t>
        </is>
      </c>
      <c r="B1941" s="1" t="n">
        <v>43496</v>
      </c>
      <c r="C1941" s="1" t="n">
        <v>45363</v>
      </c>
      <c r="D1941" t="inlineStr">
        <is>
          <t>JÄMTLANDS LÄN</t>
        </is>
      </c>
      <c r="E1941" t="inlineStr">
        <is>
          <t>RAGUNDA</t>
        </is>
      </c>
      <c r="F1941" t="inlineStr">
        <is>
          <t>Kommuner</t>
        </is>
      </c>
      <c r="G1941" t="n">
        <v>32.6</v>
      </c>
      <c r="H1941" t="n">
        <v>0</v>
      </c>
      <c r="I1941" t="n">
        <v>0</v>
      </c>
      <c r="J1941" t="n">
        <v>0</v>
      </c>
      <c r="K1941" t="n">
        <v>0</v>
      </c>
      <c r="L1941" t="n">
        <v>0</v>
      </c>
      <c r="M1941" t="n">
        <v>0</v>
      </c>
      <c r="N1941" t="n">
        <v>0</v>
      </c>
      <c r="O1941" t="n">
        <v>0</v>
      </c>
      <c r="P1941" t="n">
        <v>0</v>
      </c>
      <c r="Q1941" t="n">
        <v>0</v>
      </c>
      <c r="R1941" s="2" t="inlineStr"/>
    </row>
    <row r="1942" ht="15" customHeight="1">
      <c r="A1942" t="inlineStr">
        <is>
          <t>A 7129-2019</t>
        </is>
      </c>
      <c r="B1942" s="1" t="n">
        <v>43496</v>
      </c>
      <c r="C1942" s="1" t="n">
        <v>45363</v>
      </c>
      <c r="D1942" t="inlineStr">
        <is>
          <t>JÄMTLANDS LÄN</t>
        </is>
      </c>
      <c r="E1942" t="inlineStr">
        <is>
          <t>BERG</t>
        </is>
      </c>
      <c r="F1942" t="inlineStr">
        <is>
          <t>Kyrkan</t>
        </is>
      </c>
      <c r="G1942" t="n">
        <v>21.7</v>
      </c>
      <c r="H1942" t="n">
        <v>0</v>
      </c>
      <c r="I1942" t="n">
        <v>0</v>
      </c>
      <c r="J1942" t="n">
        <v>0</v>
      </c>
      <c r="K1942" t="n">
        <v>0</v>
      </c>
      <c r="L1942" t="n">
        <v>0</v>
      </c>
      <c r="M1942" t="n">
        <v>0</v>
      </c>
      <c r="N1942" t="n">
        <v>0</v>
      </c>
      <c r="O1942" t="n">
        <v>0</v>
      </c>
      <c r="P1942" t="n">
        <v>0</v>
      </c>
      <c r="Q1942" t="n">
        <v>0</v>
      </c>
      <c r="R1942" s="2" t="inlineStr"/>
    </row>
    <row r="1943" ht="15" customHeight="1">
      <c r="A1943" t="inlineStr">
        <is>
          <t>A 7406-2019</t>
        </is>
      </c>
      <c r="B1943" s="1" t="n">
        <v>43497</v>
      </c>
      <c r="C1943" s="1" t="n">
        <v>45363</v>
      </c>
      <c r="D1943" t="inlineStr">
        <is>
          <t>JÄMTLANDS LÄN</t>
        </is>
      </c>
      <c r="E1943" t="inlineStr">
        <is>
          <t>BRÄCKE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7478-2019</t>
        </is>
      </c>
      <c r="B1944" s="1" t="n">
        <v>43497</v>
      </c>
      <c r="C1944" s="1" t="n">
        <v>45363</v>
      </c>
      <c r="D1944" t="inlineStr">
        <is>
          <t>JÄMTLANDS LÄN</t>
        </is>
      </c>
      <c r="E1944" t="inlineStr">
        <is>
          <t>HÄRJEDALEN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7469-2019</t>
        </is>
      </c>
      <c r="B1945" s="1" t="n">
        <v>43497</v>
      </c>
      <c r="C1945" s="1" t="n">
        <v>45363</v>
      </c>
      <c r="D1945" t="inlineStr">
        <is>
          <t>JÄMTLANDS LÄN</t>
        </is>
      </c>
      <c r="E1945" t="inlineStr">
        <is>
          <t>KROKOM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7793-2019</t>
        </is>
      </c>
      <c r="B1946" s="1" t="n">
        <v>43500</v>
      </c>
      <c r="C1946" s="1" t="n">
        <v>45363</v>
      </c>
      <c r="D1946" t="inlineStr">
        <is>
          <t>JÄMTLANDS LÄN</t>
        </is>
      </c>
      <c r="E1946" t="inlineStr">
        <is>
          <t>HÄRJEDALEN</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7839-2019</t>
        </is>
      </c>
      <c r="B1947" s="1" t="n">
        <v>43500</v>
      </c>
      <c r="C1947" s="1" t="n">
        <v>45363</v>
      </c>
      <c r="D1947" t="inlineStr">
        <is>
          <t>JÄMTLANDS LÄN</t>
        </is>
      </c>
      <c r="E1947" t="inlineStr">
        <is>
          <t>HÄRJEDALEN</t>
        </is>
      </c>
      <c r="F1947" t="inlineStr">
        <is>
          <t>Holmen skog AB</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7791-2019</t>
        </is>
      </c>
      <c r="B1948" s="1" t="n">
        <v>43500</v>
      </c>
      <c r="C1948" s="1" t="n">
        <v>45363</v>
      </c>
      <c r="D1948" t="inlineStr">
        <is>
          <t>JÄMTLANDS LÄN</t>
        </is>
      </c>
      <c r="E1948" t="inlineStr">
        <is>
          <t>HÄRJEDALEN</t>
        </is>
      </c>
      <c r="F1948" t="inlineStr">
        <is>
          <t>Holmen skog AB</t>
        </is>
      </c>
      <c r="G1948" t="n">
        <v>18.3</v>
      </c>
      <c r="H1948" t="n">
        <v>0</v>
      </c>
      <c r="I1948" t="n">
        <v>0</v>
      </c>
      <c r="J1948" t="n">
        <v>0</v>
      </c>
      <c r="K1948" t="n">
        <v>0</v>
      </c>
      <c r="L1948" t="n">
        <v>0</v>
      </c>
      <c r="M1948" t="n">
        <v>0</v>
      </c>
      <c r="N1948" t="n">
        <v>0</v>
      </c>
      <c r="O1948" t="n">
        <v>0</v>
      </c>
      <c r="P1948" t="n">
        <v>0</v>
      </c>
      <c r="Q1948" t="n">
        <v>0</v>
      </c>
      <c r="R1948" s="2" t="inlineStr"/>
    </row>
    <row r="1949" ht="15" customHeight="1">
      <c r="A1949" t="inlineStr">
        <is>
          <t>A 7840-2019</t>
        </is>
      </c>
      <c r="B1949" s="1" t="n">
        <v>43500</v>
      </c>
      <c r="C1949" s="1" t="n">
        <v>45363</v>
      </c>
      <c r="D1949" t="inlineStr">
        <is>
          <t>JÄMTLANDS LÄN</t>
        </is>
      </c>
      <c r="E1949" t="inlineStr">
        <is>
          <t>HÄRJEDALEN</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7790-2019</t>
        </is>
      </c>
      <c r="B1950" s="1" t="n">
        <v>43500</v>
      </c>
      <c r="C1950" s="1" t="n">
        <v>45363</v>
      </c>
      <c r="D1950" t="inlineStr">
        <is>
          <t>JÄMTLANDS LÄN</t>
        </is>
      </c>
      <c r="E1950" t="inlineStr">
        <is>
          <t>HÄRJEDALEN</t>
        </is>
      </c>
      <c r="F1950" t="inlineStr">
        <is>
          <t>Holmen skog AB</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7853-2019</t>
        </is>
      </c>
      <c r="B1951" s="1" t="n">
        <v>43500</v>
      </c>
      <c r="C1951" s="1" t="n">
        <v>45363</v>
      </c>
      <c r="D1951" t="inlineStr">
        <is>
          <t>JÄMTLANDS LÄN</t>
        </is>
      </c>
      <c r="E1951" t="inlineStr">
        <is>
          <t>HÄRJEDALEN</t>
        </is>
      </c>
      <c r="F1951" t="inlineStr">
        <is>
          <t>Holmen skog AB</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8489-2019</t>
        </is>
      </c>
      <c r="B1952" s="1" t="n">
        <v>43500</v>
      </c>
      <c r="C1952" s="1" t="n">
        <v>45363</v>
      </c>
      <c r="D1952" t="inlineStr">
        <is>
          <t>JÄMTLANDS LÄN</t>
        </is>
      </c>
      <c r="E1952" t="inlineStr">
        <is>
          <t>KROKOM</t>
        </is>
      </c>
      <c r="G1952" t="n">
        <v>18.1</v>
      </c>
      <c r="H1952" t="n">
        <v>0</v>
      </c>
      <c r="I1952" t="n">
        <v>0</v>
      </c>
      <c r="J1952" t="n">
        <v>0</v>
      </c>
      <c r="K1952" t="n">
        <v>0</v>
      </c>
      <c r="L1952" t="n">
        <v>0</v>
      </c>
      <c r="M1952" t="n">
        <v>0</v>
      </c>
      <c r="N1952" t="n">
        <v>0</v>
      </c>
      <c r="O1952" t="n">
        <v>0</v>
      </c>
      <c r="P1952" t="n">
        <v>0</v>
      </c>
      <c r="Q1952" t="n">
        <v>0</v>
      </c>
      <c r="R1952" s="2" t="inlineStr"/>
    </row>
    <row r="1953" ht="15" customHeight="1">
      <c r="A1953" t="inlineStr">
        <is>
          <t>A 8001-2019</t>
        </is>
      </c>
      <c r="B1953" s="1" t="n">
        <v>43501</v>
      </c>
      <c r="C1953" s="1" t="n">
        <v>45363</v>
      </c>
      <c r="D1953" t="inlineStr">
        <is>
          <t>JÄMTLANDS LÄN</t>
        </is>
      </c>
      <c r="E1953" t="inlineStr">
        <is>
          <t>ÅRE</t>
        </is>
      </c>
      <c r="G1953" t="n">
        <v>20.3</v>
      </c>
      <c r="H1953" t="n">
        <v>0</v>
      </c>
      <c r="I1953" t="n">
        <v>0</v>
      </c>
      <c r="J1953" t="n">
        <v>0</v>
      </c>
      <c r="K1953" t="n">
        <v>0</v>
      </c>
      <c r="L1953" t="n">
        <v>0</v>
      </c>
      <c r="M1953" t="n">
        <v>0</v>
      </c>
      <c r="N1953" t="n">
        <v>0</v>
      </c>
      <c r="O1953" t="n">
        <v>0</v>
      </c>
      <c r="P1953" t="n">
        <v>0</v>
      </c>
      <c r="Q1953" t="n">
        <v>0</v>
      </c>
      <c r="R1953" s="2" t="inlineStr"/>
    </row>
    <row r="1954" ht="15" customHeight="1">
      <c r="A1954" t="inlineStr">
        <is>
          <t>A 8215-2019</t>
        </is>
      </c>
      <c r="B1954" s="1" t="n">
        <v>43501</v>
      </c>
      <c r="C1954" s="1" t="n">
        <v>45363</v>
      </c>
      <c r="D1954" t="inlineStr">
        <is>
          <t>JÄMTLANDS LÄN</t>
        </is>
      </c>
      <c r="E1954" t="inlineStr">
        <is>
          <t>BERG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8006-2019</t>
        </is>
      </c>
      <c r="B1955" s="1" t="n">
        <v>43501</v>
      </c>
      <c r="C1955" s="1" t="n">
        <v>45363</v>
      </c>
      <c r="D1955" t="inlineStr">
        <is>
          <t>JÄMTLANDS LÄN</t>
        </is>
      </c>
      <c r="E1955" t="inlineStr">
        <is>
          <t>ÅRE</t>
        </is>
      </c>
      <c r="G1955" t="n">
        <v>23.8</v>
      </c>
      <c r="H1955" t="n">
        <v>0</v>
      </c>
      <c r="I1955" t="n">
        <v>0</v>
      </c>
      <c r="J1955" t="n">
        <v>0</v>
      </c>
      <c r="K1955" t="n">
        <v>0</v>
      </c>
      <c r="L1955" t="n">
        <v>0</v>
      </c>
      <c r="M1955" t="n">
        <v>0</v>
      </c>
      <c r="N1955" t="n">
        <v>0</v>
      </c>
      <c r="O1955" t="n">
        <v>0</v>
      </c>
      <c r="P1955" t="n">
        <v>0</v>
      </c>
      <c r="Q1955" t="n">
        <v>0</v>
      </c>
      <c r="R1955" s="2" t="inlineStr"/>
    </row>
    <row r="1956" ht="15" customHeight="1">
      <c r="A1956" t="inlineStr">
        <is>
          <t>A 8282-2019</t>
        </is>
      </c>
      <c r="B1956" s="1" t="n">
        <v>43501</v>
      </c>
      <c r="C1956" s="1" t="n">
        <v>45363</v>
      </c>
      <c r="D1956" t="inlineStr">
        <is>
          <t>JÄMTLANDS LÄN</t>
        </is>
      </c>
      <c r="E1956" t="inlineStr">
        <is>
          <t>BRÄCKE</t>
        </is>
      </c>
      <c r="F1956" t="inlineStr">
        <is>
          <t>SCA</t>
        </is>
      </c>
      <c r="G1956" t="n">
        <v>22.3</v>
      </c>
      <c r="H1956" t="n">
        <v>0</v>
      </c>
      <c r="I1956" t="n">
        <v>0</v>
      </c>
      <c r="J1956" t="n">
        <v>0</v>
      </c>
      <c r="K1956" t="n">
        <v>0</v>
      </c>
      <c r="L1956" t="n">
        <v>0</v>
      </c>
      <c r="M1956" t="n">
        <v>0</v>
      </c>
      <c r="N1956" t="n">
        <v>0</v>
      </c>
      <c r="O1956" t="n">
        <v>0</v>
      </c>
      <c r="P1956" t="n">
        <v>0</v>
      </c>
      <c r="Q1956" t="n">
        <v>0</v>
      </c>
      <c r="R1956" s="2" t="inlineStr"/>
    </row>
    <row r="1957" ht="15" customHeight="1">
      <c r="A1957" t="inlineStr">
        <is>
          <t>A 8915-2019</t>
        </is>
      </c>
      <c r="B1957" s="1" t="n">
        <v>43503</v>
      </c>
      <c r="C1957" s="1" t="n">
        <v>45363</v>
      </c>
      <c r="D1957" t="inlineStr">
        <is>
          <t>JÄMTLANDS LÄN</t>
        </is>
      </c>
      <c r="E1957" t="inlineStr">
        <is>
          <t>KROKOM</t>
        </is>
      </c>
      <c r="F1957" t="inlineStr">
        <is>
          <t>SCA</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8911-2019</t>
        </is>
      </c>
      <c r="B1958" s="1" t="n">
        <v>43503</v>
      </c>
      <c r="C1958" s="1" t="n">
        <v>45363</v>
      </c>
      <c r="D1958" t="inlineStr">
        <is>
          <t>JÄMTLANDS LÄN</t>
        </is>
      </c>
      <c r="E1958" t="inlineStr">
        <is>
          <t>KROKOM</t>
        </is>
      </c>
      <c r="F1958" t="inlineStr">
        <is>
          <t>Övriga Aktiebolag</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8917-2019</t>
        </is>
      </c>
      <c r="B1959" s="1" t="n">
        <v>43503</v>
      </c>
      <c r="C1959" s="1" t="n">
        <v>45363</v>
      </c>
      <c r="D1959" t="inlineStr">
        <is>
          <t>JÄMTLANDS LÄN</t>
        </is>
      </c>
      <c r="E1959" t="inlineStr">
        <is>
          <t>KROKOM</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8920-2019</t>
        </is>
      </c>
      <c r="B1960" s="1" t="n">
        <v>43503</v>
      </c>
      <c r="C1960" s="1" t="n">
        <v>45363</v>
      </c>
      <c r="D1960" t="inlineStr">
        <is>
          <t>JÄMTLANDS LÄN</t>
        </is>
      </c>
      <c r="E1960" t="inlineStr">
        <is>
          <t>ÖSTERSUND</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8931-2019</t>
        </is>
      </c>
      <c r="B1961" s="1" t="n">
        <v>43503</v>
      </c>
      <c r="C1961" s="1" t="n">
        <v>45363</v>
      </c>
      <c r="D1961" t="inlineStr">
        <is>
          <t>JÄMTLANDS LÄN</t>
        </is>
      </c>
      <c r="E1961" t="inlineStr">
        <is>
          <t>ÅRE</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8930-2019</t>
        </is>
      </c>
      <c r="B1962" s="1" t="n">
        <v>43503</v>
      </c>
      <c r="C1962" s="1" t="n">
        <v>45363</v>
      </c>
      <c r="D1962" t="inlineStr">
        <is>
          <t>JÄMTLANDS LÄN</t>
        </is>
      </c>
      <c r="E1962" t="inlineStr">
        <is>
          <t>ÅRE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8850-2019</t>
        </is>
      </c>
      <c r="B1963" s="1" t="n">
        <v>43503</v>
      </c>
      <c r="C1963" s="1" t="n">
        <v>45363</v>
      </c>
      <c r="D1963" t="inlineStr">
        <is>
          <t>JÄMTLANDS LÄN</t>
        </is>
      </c>
      <c r="E1963" t="inlineStr">
        <is>
          <t>BRÄCKE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9236-2019</t>
        </is>
      </c>
      <c r="B1964" s="1" t="n">
        <v>43507</v>
      </c>
      <c r="C1964" s="1" t="n">
        <v>45363</v>
      </c>
      <c r="D1964" t="inlineStr">
        <is>
          <t>JÄMTLANDS LÄN</t>
        </is>
      </c>
      <c r="E1964" t="inlineStr">
        <is>
          <t>HÄRJEDALEN</t>
        </is>
      </c>
      <c r="F1964" t="inlineStr">
        <is>
          <t>Bergvik skog väst AB</t>
        </is>
      </c>
      <c r="G1964" t="n">
        <v>23.2</v>
      </c>
      <c r="H1964" t="n">
        <v>0</v>
      </c>
      <c r="I1964" t="n">
        <v>0</v>
      </c>
      <c r="J1964" t="n">
        <v>0</v>
      </c>
      <c r="K1964" t="n">
        <v>0</v>
      </c>
      <c r="L1964" t="n">
        <v>0</v>
      </c>
      <c r="M1964" t="n">
        <v>0</v>
      </c>
      <c r="N1964" t="n">
        <v>0</v>
      </c>
      <c r="O1964" t="n">
        <v>0</v>
      </c>
      <c r="P1964" t="n">
        <v>0</v>
      </c>
      <c r="Q1964" t="n">
        <v>0</v>
      </c>
      <c r="R1964" s="2" t="inlineStr"/>
    </row>
    <row r="1965" ht="15" customHeight="1">
      <c r="A1965" t="inlineStr">
        <is>
          <t>A 9625-2019</t>
        </is>
      </c>
      <c r="B1965" s="1" t="n">
        <v>43508</v>
      </c>
      <c r="C1965" s="1" t="n">
        <v>45363</v>
      </c>
      <c r="D1965" t="inlineStr">
        <is>
          <t>JÄMTLANDS LÄN</t>
        </is>
      </c>
      <c r="E1965" t="inlineStr">
        <is>
          <t>STRÖMSUND</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9670-2019</t>
        </is>
      </c>
      <c r="B1966" s="1" t="n">
        <v>43508</v>
      </c>
      <c r="C1966" s="1" t="n">
        <v>45363</v>
      </c>
      <c r="D1966" t="inlineStr">
        <is>
          <t>JÄMTLANDS LÄN</t>
        </is>
      </c>
      <c r="E1966" t="inlineStr">
        <is>
          <t>HÄRJEDALEN</t>
        </is>
      </c>
      <c r="G1966" t="n">
        <v>34.2</v>
      </c>
      <c r="H1966" t="n">
        <v>0</v>
      </c>
      <c r="I1966" t="n">
        <v>0</v>
      </c>
      <c r="J1966" t="n">
        <v>0</v>
      </c>
      <c r="K1966" t="n">
        <v>0</v>
      </c>
      <c r="L1966" t="n">
        <v>0</v>
      </c>
      <c r="M1966" t="n">
        <v>0</v>
      </c>
      <c r="N1966" t="n">
        <v>0</v>
      </c>
      <c r="O1966" t="n">
        <v>0</v>
      </c>
      <c r="P1966" t="n">
        <v>0</v>
      </c>
      <c r="Q1966" t="n">
        <v>0</v>
      </c>
      <c r="R1966" s="2" t="inlineStr"/>
    </row>
    <row r="1967" ht="15" customHeight="1">
      <c r="A1967" t="inlineStr">
        <is>
          <t>A 9632-2019</t>
        </is>
      </c>
      <c r="B1967" s="1" t="n">
        <v>43508</v>
      </c>
      <c r="C1967" s="1" t="n">
        <v>45363</v>
      </c>
      <c r="D1967" t="inlineStr">
        <is>
          <t>JÄMTLANDS LÄN</t>
        </is>
      </c>
      <c r="E1967" t="inlineStr">
        <is>
          <t>STRÖMSUND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9729-2019</t>
        </is>
      </c>
      <c r="B1968" s="1" t="n">
        <v>43508</v>
      </c>
      <c r="C1968" s="1" t="n">
        <v>45363</v>
      </c>
      <c r="D1968" t="inlineStr">
        <is>
          <t>JÄMTLANDS LÄN</t>
        </is>
      </c>
      <c r="E1968" t="inlineStr">
        <is>
          <t>BRÄCKE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9728-2019</t>
        </is>
      </c>
      <c r="B1969" s="1" t="n">
        <v>43508</v>
      </c>
      <c r="C1969" s="1" t="n">
        <v>45363</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9879-2019</t>
        </is>
      </c>
      <c r="B1970" s="1" t="n">
        <v>43509</v>
      </c>
      <c r="C1970" s="1" t="n">
        <v>45363</v>
      </c>
      <c r="D1970" t="inlineStr">
        <is>
          <t>JÄMTLANDS LÄN</t>
        </is>
      </c>
      <c r="E1970" t="inlineStr">
        <is>
          <t>KROKOM</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9861-2019</t>
        </is>
      </c>
      <c r="B1971" s="1" t="n">
        <v>43509</v>
      </c>
      <c r="C1971" s="1" t="n">
        <v>45363</v>
      </c>
      <c r="D1971" t="inlineStr">
        <is>
          <t>JÄMTLANDS LÄN</t>
        </is>
      </c>
      <c r="E1971" t="inlineStr">
        <is>
          <t>BRÄCKE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9883-2019</t>
        </is>
      </c>
      <c r="B1972" s="1" t="n">
        <v>43509</v>
      </c>
      <c r="C1972" s="1" t="n">
        <v>45363</v>
      </c>
      <c r="D1972" t="inlineStr">
        <is>
          <t>JÄMTLANDS LÄN</t>
        </is>
      </c>
      <c r="E1972" t="inlineStr">
        <is>
          <t>KROKOM</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9994-2019</t>
        </is>
      </c>
      <c r="B1973" s="1" t="n">
        <v>43509</v>
      </c>
      <c r="C1973" s="1" t="n">
        <v>45363</v>
      </c>
      <c r="D1973" t="inlineStr">
        <is>
          <t>JÄMTLANDS LÄN</t>
        </is>
      </c>
      <c r="E1973" t="inlineStr">
        <is>
          <t>RAGUNDA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16980-2019</t>
        </is>
      </c>
      <c r="B1974" s="1" t="n">
        <v>43509</v>
      </c>
      <c r="C1974" s="1" t="n">
        <v>45363</v>
      </c>
      <c r="D1974" t="inlineStr">
        <is>
          <t>JÄMTLANDS LÄN</t>
        </is>
      </c>
      <c r="E1974" t="inlineStr">
        <is>
          <t>BRÄCKE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9995-2019</t>
        </is>
      </c>
      <c r="B1975" s="1" t="n">
        <v>43509</v>
      </c>
      <c r="C1975" s="1" t="n">
        <v>45363</v>
      </c>
      <c r="D1975" t="inlineStr">
        <is>
          <t>JÄMTLANDS LÄN</t>
        </is>
      </c>
      <c r="E1975" t="inlineStr">
        <is>
          <t>RAGUNDA</t>
        </is>
      </c>
      <c r="G1975" t="n">
        <v>16.4</v>
      </c>
      <c r="H1975" t="n">
        <v>0</v>
      </c>
      <c r="I1975" t="n">
        <v>0</v>
      </c>
      <c r="J1975" t="n">
        <v>0</v>
      </c>
      <c r="K1975" t="n">
        <v>0</v>
      </c>
      <c r="L1975" t="n">
        <v>0</v>
      </c>
      <c r="M1975" t="n">
        <v>0</v>
      </c>
      <c r="N1975" t="n">
        <v>0</v>
      </c>
      <c r="O1975" t="n">
        <v>0</v>
      </c>
      <c r="P1975" t="n">
        <v>0</v>
      </c>
      <c r="Q1975" t="n">
        <v>0</v>
      </c>
      <c r="R1975" s="2" t="inlineStr"/>
    </row>
    <row r="1976" ht="15" customHeight="1">
      <c r="A1976" t="inlineStr">
        <is>
          <t>A 10106-2019</t>
        </is>
      </c>
      <c r="B1976" s="1" t="n">
        <v>43510</v>
      </c>
      <c r="C1976" s="1" t="n">
        <v>45363</v>
      </c>
      <c r="D1976" t="inlineStr">
        <is>
          <t>JÄMTLANDS LÄN</t>
        </is>
      </c>
      <c r="E1976" t="inlineStr">
        <is>
          <t>ÅRE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10111-2019</t>
        </is>
      </c>
      <c r="B1977" s="1" t="n">
        <v>43510</v>
      </c>
      <c r="C1977" s="1" t="n">
        <v>45363</v>
      </c>
      <c r="D1977" t="inlineStr">
        <is>
          <t>JÄMTLANDS LÄN</t>
        </is>
      </c>
      <c r="E1977" t="inlineStr">
        <is>
          <t>ÅRE</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10013-2019</t>
        </is>
      </c>
      <c r="B1978" s="1" t="n">
        <v>43510</v>
      </c>
      <c r="C1978" s="1" t="n">
        <v>45363</v>
      </c>
      <c r="D1978" t="inlineStr">
        <is>
          <t>JÄMTLANDS LÄN</t>
        </is>
      </c>
      <c r="E1978" t="inlineStr">
        <is>
          <t>RAGUNDA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10139-2019</t>
        </is>
      </c>
      <c r="B1979" s="1" t="n">
        <v>43510</v>
      </c>
      <c r="C1979" s="1" t="n">
        <v>45363</v>
      </c>
      <c r="D1979" t="inlineStr">
        <is>
          <t>JÄMTLANDS LÄN</t>
        </is>
      </c>
      <c r="E1979" t="inlineStr">
        <is>
          <t>HÄRJEDALEN</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10688-2019</t>
        </is>
      </c>
      <c r="B1980" s="1" t="n">
        <v>43514</v>
      </c>
      <c r="C1980" s="1" t="n">
        <v>45363</v>
      </c>
      <c r="D1980" t="inlineStr">
        <is>
          <t>JÄMTLANDS LÄN</t>
        </is>
      </c>
      <c r="E1980" t="inlineStr">
        <is>
          <t>KROKOM</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10527-2019</t>
        </is>
      </c>
      <c r="B1981" s="1" t="n">
        <v>43514</v>
      </c>
      <c r="C1981" s="1" t="n">
        <v>45363</v>
      </c>
      <c r="D1981" t="inlineStr">
        <is>
          <t>JÄMTLANDS LÄN</t>
        </is>
      </c>
      <c r="E1981" t="inlineStr">
        <is>
          <t>ÖSTERSUND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11080-2019</t>
        </is>
      </c>
      <c r="B1982" s="1" t="n">
        <v>43515</v>
      </c>
      <c r="C1982" s="1" t="n">
        <v>45363</v>
      </c>
      <c r="D1982" t="inlineStr">
        <is>
          <t>JÄMTLANDS LÄN</t>
        </is>
      </c>
      <c r="E1982" t="inlineStr">
        <is>
          <t>RAGUNDA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11983-2019</t>
        </is>
      </c>
      <c r="B1983" s="1" t="n">
        <v>43521</v>
      </c>
      <c r="C1983" s="1" t="n">
        <v>45363</v>
      </c>
      <c r="D1983" t="inlineStr">
        <is>
          <t>JÄMTLANDS LÄN</t>
        </is>
      </c>
      <c r="E1983" t="inlineStr">
        <is>
          <t>ÅRE</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11824-2019</t>
        </is>
      </c>
      <c r="B1984" s="1" t="n">
        <v>43521</v>
      </c>
      <c r="C1984" s="1" t="n">
        <v>45363</v>
      </c>
      <c r="D1984" t="inlineStr">
        <is>
          <t>JÄMTLANDS LÄN</t>
        </is>
      </c>
      <c r="E1984" t="inlineStr">
        <is>
          <t>BERG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11826-2019</t>
        </is>
      </c>
      <c r="B1985" s="1" t="n">
        <v>43521</v>
      </c>
      <c r="C1985" s="1" t="n">
        <v>45363</v>
      </c>
      <c r="D1985" t="inlineStr">
        <is>
          <t>JÄMTLANDS LÄN</t>
        </is>
      </c>
      <c r="E1985" t="inlineStr">
        <is>
          <t>KROKOM</t>
        </is>
      </c>
      <c r="G1985" t="n">
        <v>22.9</v>
      </c>
      <c r="H1985" t="n">
        <v>0</v>
      </c>
      <c r="I1985" t="n">
        <v>0</v>
      </c>
      <c r="J1985" t="n">
        <v>0</v>
      </c>
      <c r="K1985" t="n">
        <v>0</v>
      </c>
      <c r="L1985" t="n">
        <v>0</v>
      </c>
      <c r="M1985" t="n">
        <v>0</v>
      </c>
      <c r="N1985" t="n">
        <v>0</v>
      </c>
      <c r="O1985" t="n">
        <v>0</v>
      </c>
      <c r="P1985" t="n">
        <v>0</v>
      </c>
      <c r="Q1985" t="n">
        <v>0</v>
      </c>
      <c r="R1985" s="2" t="inlineStr"/>
    </row>
    <row r="1986" ht="15" customHeight="1">
      <c r="A1986" t="inlineStr">
        <is>
          <t>A 12089-2019</t>
        </is>
      </c>
      <c r="B1986" s="1" t="n">
        <v>43522</v>
      </c>
      <c r="C1986" s="1" t="n">
        <v>45363</v>
      </c>
      <c r="D1986" t="inlineStr">
        <is>
          <t>JÄMTLANDS LÄN</t>
        </is>
      </c>
      <c r="E1986" t="inlineStr">
        <is>
          <t>KROKOM</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12151-2019</t>
        </is>
      </c>
      <c r="B1987" s="1" t="n">
        <v>43522</v>
      </c>
      <c r="C1987" s="1" t="n">
        <v>45363</v>
      </c>
      <c r="D1987" t="inlineStr">
        <is>
          <t>JÄMTLANDS LÄN</t>
        </is>
      </c>
      <c r="E1987" t="inlineStr">
        <is>
          <t>HÄRJEDALEN</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12116-2019</t>
        </is>
      </c>
      <c r="B1988" s="1" t="n">
        <v>43522</v>
      </c>
      <c r="C1988" s="1" t="n">
        <v>45363</v>
      </c>
      <c r="D1988" t="inlineStr">
        <is>
          <t>JÄMTLANDS LÄN</t>
        </is>
      </c>
      <c r="E1988" t="inlineStr">
        <is>
          <t>KROKOM</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12109-2019</t>
        </is>
      </c>
      <c r="B1989" s="1" t="n">
        <v>43522</v>
      </c>
      <c r="C1989" s="1" t="n">
        <v>45363</v>
      </c>
      <c r="D1989" t="inlineStr">
        <is>
          <t>JÄMTLANDS LÄN</t>
        </is>
      </c>
      <c r="E1989" t="inlineStr">
        <is>
          <t>KROKOM</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12149-2019</t>
        </is>
      </c>
      <c r="B1990" s="1" t="n">
        <v>43522</v>
      </c>
      <c r="C1990" s="1" t="n">
        <v>45363</v>
      </c>
      <c r="D1990" t="inlineStr">
        <is>
          <t>JÄMTLANDS LÄN</t>
        </is>
      </c>
      <c r="E1990" t="inlineStr">
        <is>
          <t>HÄRJEDALEN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12310-2019</t>
        </is>
      </c>
      <c r="B1991" s="1" t="n">
        <v>43523</v>
      </c>
      <c r="C1991" s="1" t="n">
        <v>45363</v>
      </c>
      <c r="D1991" t="inlineStr">
        <is>
          <t>JÄMTLANDS LÄN</t>
        </is>
      </c>
      <c r="E1991" t="inlineStr">
        <is>
          <t>BERG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12299-2019</t>
        </is>
      </c>
      <c r="B1992" s="1" t="n">
        <v>43523</v>
      </c>
      <c r="C1992" s="1" t="n">
        <v>45363</v>
      </c>
      <c r="D1992" t="inlineStr">
        <is>
          <t>JÄMTLANDS LÄN</t>
        </is>
      </c>
      <c r="E1992" t="inlineStr">
        <is>
          <t>KROKOM</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12300-2019</t>
        </is>
      </c>
      <c r="B1993" s="1" t="n">
        <v>43523</v>
      </c>
      <c r="C1993" s="1" t="n">
        <v>45363</v>
      </c>
      <c r="D1993" t="inlineStr">
        <is>
          <t>JÄMTLANDS LÄN</t>
        </is>
      </c>
      <c r="E1993" t="inlineStr">
        <is>
          <t>KROKOM</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12484-2019</t>
        </is>
      </c>
      <c r="B1994" s="1" t="n">
        <v>43523</v>
      </c>
      <c r="C1994" s="1" t="n">
        <v>45363</v>
      </c>
      <c r="D1994" t="inlineStr">
        <is>
          <t>JÄMTLANDS LÄN</t>
        </is>
      </c>
      <c r="E1994" t="inlineStr">
        <is>
          <t>BRÄCKE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12822-2019</t>
        </is>
      </c>
      <c r="B1995" s="1" t="n">
        <v>43525</v>
      </c>
      <c r="C1995" s="1" t="n">
        <v>45363</v>
      </c>
      <c r="D1995" t="inlineStr">
        <is>
          <t>JÄMTLANDS LÄN</t>
        </is>
      </c>
      <c r="E1995" t="inlineStr">
        <is>
          <t>HÄRJEDALEN</t>
        </is>
      </c>
      <c r="G1995" t="n">
        <v>17.1</v>
      </c>
      <c r="H1995" t="n">
        <v>0</v>
      </c>
      <c r="I1995" t="n">
        <v>0</v>
      </c>
      <c r="J1995" t="n">
        <v>0</v>
      </c>
      <c r="K1995" t="n">
        <v>0</v>
      </c>
      <c r="L1995" t="n">
        <v>0</v>
      </c>
      <c r="M1995" t="n">
        <v>0</v>
      </c>
      <c r="N1995" t="n">
        <v>0</v>
      </c>
      <c r="O1995" t="n">
        <v>0</v>
      </c>
      <c r="P1995" t="n">
        <v>0</v>
      </c>
      <c r="Q1995" t="n">
        <v>0</v>
      </c>
      <c r="R1995" s="2" t="inlineStr"/>
    </row>
    <row r="1996" ht="15" customHeight="1">
      <c r="A1996" t="inlineStr">
        <is>
          <t>A 12829-2019</t>
        </is>
      </c>
      <c r="B1996" s="1" t="n">
        <v>43525</v>
      </c>
      <c r="C1996" s="1" t="n">
        <v>45363</v>
      </c>
      <c r="D1996" t="inlineStr">
        <is>
          <t>JÄMTLANDS LÄN</t>
        </is>
      </c>
      <c r="E1996" t="inlineStr">
        <is>
          <t>HÄRJEDALEN</t>
        </is>
      </c>
      <c r="G1996" t="n">
        <v>20.6</v>
      </c>
      <c r="H1996" t="n">
        <v>0</v>
      </c>
      <c r="I1996" t="n">
        <v>0</v>
      </c>
      <c r="J1996" t="n">
        <v>0</v>
      </c>
      <c r="K1996" t="n">
        <v>0</v>
      </c>
      <c r="L1996" t="n">
        <v>0</v>
      </c>
      <c r="M1996" t="n">
        <v>0</v>
      </c>
      <c r="N1996" t="n">
        <v>0</v>
      </c>
      <c r="O1996" t="n">
        <v>0</v>
      </c>
      <c r="P1996" t="n">
        <v>0</v>
      </c>
      <c r="Q1996" t="n">
        <v>0</v>
      </c>
      <c r="R1996" s="2" t="inlineStr"/>
    </row>
    <row r="1997" ht="15" customHeight="1">
      <c r="A1997" t="inlineStr">
        <is>
          <t>A 12825-2019</t>
        </is>
      </c>
      <c r="B1997" s="1" t="n">
        <v>43525</v>
      </c>
      <c r="C1997" s="1" t="n">
        <v>45363</v>
      </c>
      <c r="D1997" t="inlineStr">
        <is>
          <t>JÄMTLANDS LÄN</t>
        </is>
      </c>
      <c r="E1997" t="inlineStr">
        <is>
          <t>HÄRJEDALEN</t>
        </is>
      </c>
      <c r="G1997" t="n">
        <v>19.6</v>
      </c>
      <c r="H1997" t="n">
        <v>0</v>
      </c>
      <c r="I1997" t="n">
        <v>0</v>
      </c>
      <c r="J1997" t="n">
        <v>0</v>
      </c>
      <c r="K1997" t="n">
        <v>0</v>
      </c>
      <c r="L1997" t="n">
        <v>0</v>
      </c>
      <c r="M1997" t="n">
        <v>0</v>
      </c>
      <c r="N1997" t="n">
        <v>0</v>
      </c>
      <c r="O1997" t="n">
        <v>0</v>
      </c>
      <c r="P1997" t="n">
        <v>0</v>
      </c>
      <c r="Q1997" t="n">
        <v>0</v>
      </c>
      <c r="R1997" s="2" t="inlineStr"/>
    </row>
    <row r="1998" ht="15" customHeight="1">
      <c r="A1998" t="inlineStr">
        <is>
          <t>A 13004-2019</t>
        </is>
      </c>
      <c r="B1998" s="1" t="n">
        <v>43525</v>
      </c>
      <c r="C1998" s="1" t="n">
        <v>45363</v>
      </c>
      <c r="D1998" t="inlineStr">
        <is>
          <t>JÄMTLANDS LÄN</t>
        </is>
      </c>
      <c r="E1998" t="inlineStr">
        <is>
          <t>STRÖMSUND</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12764-2019</t>
        </is>
      </c>
      <c r="B1999" s="1" t="n">
        <v>43525</v>
      </c>
      <c r="C1999" s="1" t="n">
        <v>45363</v>
      </c>
      <c r="D1999" t="inlineStr">
        <is>
          <t>JÄMTLANDS LÄN</t>
        </is>
      </c>
      <c r="E1999" t="inlineStr">
        <is>
          <t>HÄRJEDALEN</t>
        </is>
      </c>
      <c r="F1999" t="inlineStr">
        <is>
          <t>Kyrkan</t>
        </is>
      </c>
      <c r="G1999" t="n">
        <v>19.2</v>
      </c>
      <c r="H1999" t="n">
        <v>0</v>
      </c>
      <c r="I1999" t="n">
        <v>0</v>
      </c>
      <c r="J1999" t="n">
        <v>0</v>
      </c>
      <c r="K1999" t="n">
        <v>0</v>
      </c>
      <c r="L1999" t="n">
        <v>0</v>
      </c>
      <c r="M1999" t="n">
        <v>0</v>
      </c>
      <c r="N1999" t="n">
        <v>0</v>
      </c>
      <c r="O1999" t="n">
        <v>0</v>
      </c>
      <c r="P1999" t="n">
        <v>0</v>
      </c>
      <c r="Q1999" t="n">
        <v>0</v>
      </c>
      <c r="R1999" s="2" t="inlineStr"/>
    </row>
    <row r="2000" ht="15" customHeight="1">
      <c r="A2000" t="inlineStr">
        <is>
          <t>A 13202-2019</t>
        </is>
      </c>
      <c r="B2000" s="1" t="n">
        <v>43528</v>
      </c>
      <c r="C2000" s="1" t="n">
        <v>45363</v>
      </c>
      <c r="D2000" t="inlineStr">
        <is>
          <t>JÄMTLANDS LÄN</t>
        </is>
      </c>
      <c r="E2000" t="inlineStr">
        <is>
          <t>HÄRJEDALEN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13230-2019</t>
        </is>
      </c>
      <c r="B2001" s="1" t="n">
        <v>43528</v>
      </c>
      <c r="C2001" s="1" t="n">
        <v>45363</v>
      </c>
      <c r="D2001" t="inlineStr">
        <is>
          <t>JÄMTLANDS LÄN</t>
        </is>
      </c>
      <c r="E2001" t="inlineStr">
        <is>
          <t>STRÖMSUND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13182-2019</t>
        </is>
      </c>
      <c r="B2002" s="1" t="n">
        <v>43528</v>
      </c>
      <c r="C2002" s="1" t="n">
        <v>45363</v>
      </c>
      <c r="D2002" t="inlineStr">
        <is>
          <t>JÄMTLANDS LÄN</t>
        </is>
      </c>
      <c r="E2002" t="inlineStr">
        <is>
          <t>HÄRJEDALEN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13209-2019</t>
        </is>
      </c>
      <c r="B2003" s="1" t="n">
        <v>43528</v>
      </c>
      <c r="C2003" s="1" t="n">
        <v>45363</v>
      </c>
      <c r="D2003" t="inlineStr">
        <is>
          <t>JÄMTLANDS LÄN</t>
        </is>
      </c>
      <c r="E2003" t="inlineStr">
        <is>
          <t>KROKOM</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13291-2019</t>
        </is>
      </c>
      <c r="B2004" s="1" t="n">
        <v>43528</v>
      </c>
      <c r="C2004" s="1" t="n">
        <v>45363</v>
      </c>
      <c r="D2004" t="inlineStr">
        <is>
          <t>JÄMTLANDS LÄN</t>
        </is>
      </c>
      <c r="E2004" t="inlineStr">
        <is>
          <t>STRÖMSUND</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13243-2019</t>
        </is>
      </c>
      <c r="B2005" s="1" t="n">
        <v>43529</v>
      </c>
      <c r="C2005" s="1" t="n">
        <v>45363</v>
      </c>
      <c r="D2005" t="inlineStr">
        <is>
          <t>JÄMTLANDS LÄN</t>
        </is>
      </c>
      <c r="E2005" t="inlineStr">
        <is>
          <t>BERG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13472-2019</t>
        </is>
      </c>
      <c r="B2006" s="1" t="n">
        <v>43529</v>
      </c>
      <c r="C2006" s="1" t="n">
        <v>45363</v>
      </c>
      <c r="D2006" t="inlineStr">
        <is>
          <t>JÄMTLANDS LÄN</t>
        </is>
      </c>
      <c r="E2006" t="inlineStr">
        <is>
          <t>BRÄCKE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13622-2019</t>
        </is>
      </c>
      <c r="B2007" s="1" t="n">
        <v>43530</v>
      </c>
      <c r="C2007" s="1" t="n">
        <v>45363</v>
      </c>
      <c r="D2007" t="inlineStr">
        <is>
          <t>JÄMTLANDS LÄN</t>
        </is>
      </c>
      <c r="E2007" t="inlineStr">
        <is>
          <t>ÖSTERSUND</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13673-2019</t>
        </is>
      </c>
      <c r="B2008" s="1" t="n">
        <v>43530</v>
      </c>
      <c r="C2008" s="1" t="n">
        <v>45363</v>
      </c>
      <c r="D2008" t="inlineStr">
        <is>
          <t>JÄMTLANDS LÄN</t>
        </is>
      </c>
      <c r="E2008" t="inlineStr">
        <is>
          <t>KROKOM</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13659-2019</t>
        </is>
      </c>
      <c r="B2009" s="1" t="n">
        <v>43530</v>
      </c>
      <c r="C2009" s="1" t="n">
        <v>45363</v>
      </c>
      <c r="D2009" t="inlineStr">
        <is>
          <t>JÄMTLANDS LÄN</t>
        </is>
      </c>
      <c r="E2009" t="inlineStr">
        <is>
          <t>RAGUNDA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13644-2019</t>
        </is>
      </c>
      <c r="B2010" s="1" t="n">
        <v>43530</v>
      </c>
      <c r="C2010" s="1" t="n">
        <v>45363</v>
      </c>
      <c r="D2010" t="inlineStr">
        <is>
          <t>JÄMTLANDS LÄN</t>
        </is>
      </c>
      <c r="E2010" t="inlineStr">
        <is>
          <t>KROKOM</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13913-2019</t>
        </is>
      </c>
      <c r="B2011" s="1" t="n">
        <v>43531</v>
      </c>
      <c r="C2011" s="1" t="n">
        <v>45363</v>
      </c>
      <c r="D2011" t="inlineStr">
        <is>
          <t>JÄMTLANDS LÄN</t>
        </is>
      </c>
      <c r="E2011" t="inlineStr">
        <is>
          <t>STRÖMSUND</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14721-2019</t>
        </is>
      </c>
      <c r="B2012" s="1" t="n">
        <v>43535</v>
      </c>
      <c r="C2012" s="1" t="n">
        <v>45363</v>
      </c>
      <c r="D2012" t="inlineStr">
        <is>
          <t>JÄMTLANDS LÄN</t>
        </is>
      </c>
      <c r="E2012" t="inlineStr">
        <is>
          <t>BRÄCKE</t>
        </is>
      </c>
      <c r="F2012" t="inlineStr">
        <is>
          <t>SCA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14268-2019</t>
        </is>
      </c>
      <c r="B2013" s="1" t="n">
        <v>43535</v>
      </c>
      <c r="C2013" s="1" t="n">
        <v>45363</v>
      </c>
      <c r="D2013" t="inlineStr">
        <is>
          <t>JÄMTLANDS LÄN</t>
        </is>
      </c>
      <c r="E2013" t="inlineStr">
        <is>
          <t>HÄRJEDALEN</t>
        </is>
      </c>
      <c r="G2013" t="n">
        <v>20.2</v>
      </c>
      <c r="H2013" t="n">
        <v>0</v>
      </c>
      <c r="I2013" t="n">
        <v>0</v>
      </c>
      <c r="J2013" t="n">
        <v>0</v>
      </c>
      <c r="K2013" t="n">
        <v>0</v>
      </c>
      <c r="L2013" t="n">
        <v>0</v>
      </c>
      <c r="M2013" t="n">
        <v>0</v>
      </c>
      <c r="N2013" t="n">
        <v>0</v>
      </c>
      <c r="O2013" t="n">
        <v>0</v>
      </c>
      <c r="P2013" t="n">
        <v>0</v>
      </c>
      <c r="Q2013" t="n">
        <v>0</v>
      </c>
      <c r="R2013" s="2" t="inlineStr"/>
    </row>
    <row r="2014" ht="15" customHeight="1">
      <c r="A2014" t="inlineStr">
        <is>
          <t>A 14547-2019</t>
        </is>
      </c>
      <c r="B2014" s="1" t="n">
        <v>43535</v>
      </c>
      <c r="C2014" s="1" t="n">
        <v>45363</v>
      </c>
      <c r="D2014" t="inlineStr">
        <is>
          <t>JÄMTLANDS LÄN</t>
        </is>
      </c>
      <c r="E2014" t="inlineStr">
        <is>
          <t>KROKOM</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14394-2019</t>
        </is>
      </c>
      <c r="B2015" s="1" t="n">
        <v>43536</v>
      </c>
      <c r="C2015" s="1" t="n">
        <v>45363</v>
      </c>
      <c r="D2015" t="inlineStr">
        <is>
          <t>JÄMTLANDS LÄN</t>
        </is>
      </c>
      <c r="E2015" t="inlineStr">
        <is>
          <t>ÅRE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14765-2019</t>
        </is>
      </c>
      <c r="B2016" s="1" t="n">
        <v>43536</v>
      </c>
      <c r="C2016" s="1" t="n">
        <v>45363</v>
      </c>
      <c r="D2016" t="inlineStr">
        <is>
          <t>JÄMTLANDS LÄN</t>
        </is>
      </c>
      <c r="E2016" t="inlineStr">
        <is>
          <t>STRÖMSUND</t>
        </is>
      </c>
      <c r="F2016" t="inlineStr">
        <is>
          <t>Holmen skog AB</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14787-2019</t>
        </is>
      </c>
      <c r="B2017" s="1" t="n">
        <v>43537</v>
      </c>
      <c r="C2017" s="1" t="n">
        <v>45363</v>
      </c>
      <c r="D2017" t="inlineStr">
        <is>
          <t>JÄMTLANDS LÄN</t>
        </is>
      </c>
      <c r="E2017" t="inlineStr">
        <is>
          <t>BERG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15015-2019</t>
        </is>
      </c>
      <c r="B2018" s="1" t="n">
        <v>43537</v>
      </c>
      <c r="C2018" s="1" t="n">
        <v>45363</v>
      </c>
      <c r="D2018" t="inlineStr">
        <is>
          <t>JÄMTLANDS LÄN</t>
        </is>
      </c>
      <c r="E2018" t="inlineStr">
        <is>
          <t>STRÖMSUND</t>
        </is>
      </c>
      <c r="F2018" t="inlineStr">
        <is>
          <t>SCA</t>
        </is>
      </c>
      <c r="G2018" t="n">
        <v>22.4</v>
      </c>
      <c r="H2018" t="n">
        <v>0</v>
      </c>
      <c r="I2018" t="n">
        <v>0</v>
      </c>
      <c r="J2018" t="n">
        <v>0</v>
      </c>
      <c r="K2018" t="n">
        <v>0</v>
      </c>
      <c r="L2018" t="n">
        <v>0</v>
      </c>
      <c r="M2018" t="n">
        <v>0</v>
      </c>
      <c r="N2018" t="n">
        <v>0</v>
      </c>
      <c r="O2018" t="n">
        <v>0</v>
      </c>
      <c r="P2018" t="n">
        <v>0</v>
      </c>
      <c r="Q2018" t="n">
        <v>0</v>
      </c>
      <c r="R2018" s="2" t="inlineStr"/>
    </row>
    <row r="2019" ht="15" customHeight="1">
      <c r="A2019" t="inlineStr">
        <is>
          <t>A 15048-2019</t>
        </is>
      </c>
      <c r="B2019" s="1" t="n">
        <v>43537</v>
      </c>
      <c r="C2019" s="1" t="n">
        <v>45363</v>
      </c>
      <c r="D2019" t="inlineStr">
        <is>
          <t>JÄMTLANDS LÄN</t>
        </is>
      </c>
      <c r="E2019" t="inlineStr">
        <is>
          <t>RAGUNDA</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15165-2019</t>
        </is>
      </c>
      <c r="B2020" s="1" t="n">
        <v>43538</v>
      </c>
      <c r="C2020" s="1" t="n">
        <v>45363</v>
      </c>
      <c r="D2020" t="inlineStr">
        <is>
          <t>JÄMTLANDS LÄN</t>
        </is>
      </c>
      <c r="E2020" t="inlineStr">
        <is>
          <t>RAGUNDA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15182-2019</t>
        </is>
      </c>
      <c r="B2021" s="1" t="n">
        <v>43539</v>
      </c>
      <c r="C2021" s="1" t="n">
        <v>45363</v>
      </c>
      <c r="D2021" t="inlineStr">
        <is>
          <t>JÄMTLANDS LÄN</t>
        </is>
      </c>
      <c r="E2021" t="inlineStr">
        <is>
          <t>STRÖMSUND</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14945-2019</t>
        </is>
      </c>
      <c r="B2022" s="1" t="n">
        <v>43539</v>
      </c>
      <c r="C2022" s="1" t="n">
        <v>45363</v>
      </c>
      <c r="D2022" t="inlineStr">
        <is>
          <t>JÄMTLANDS LÄN</t>
        </is>
      </c>
      <c r="E2022" t="inlineStr">
        <is>
          <t>STRÖMSUND</t>
        </is>
      </c>
      <c r="F2022" t="inlineStr">
        <is>
          <t>Holmen skog AB</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15086-2019</t>
        </is>
      </c>
      <c r="B2023" s="1" t="n">
        <v>43539</v>
      </c>
      <c r="C2023" s="1" t="n">
        <v>45363</v>
      </c>
      <c r="D2023" t="inlineStr">
        <is>
          <t>JÄMTLANDS LÄN</t>
        </is>
      </c>
      <c r="E2023" t="inlineStr">
        <is>
          <t>STRÖMSUND</t>
        </is>
      </c>
      <c r="F2023" t="inlineStr">
        <is>
          <t>Holmen skog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15617-2019</t>
        </is>
      </c>
      <c r="B2024" s="1" t="n">
        <v>43539</v>
      </c>
      <c r="C2024" s="1" t="n">
        <v>45363</v>
      </c>
      <c r="D2024" t="inlineStr">
        <is>
          <t>JÄMTLANDS LÄN</t>
        </is>
      </c>
      <c r="E2024" t="inlineStr">
        <is>
          <t>HÄRJEDALEN</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15266-2019</t>
        </is>
      </c>
      <c r="B2025" s="1" t="n">
        <v>43539</v>
      </c>
      <c r="C2025" s="1" t="n">
        <v>45363</v>
      </c>
      <c r="D2025" t="inlineStr">
        <is>
          <t>JÄMTLANDS LÄN</t>
        </is>
      </c>
      <c r="E2025" t="inlineStr">
        <is>
          <t>STRÖMSUND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15778-2019</t>
        </is>
      </c>
      <c r="B2026" s="1" t="n">
        <v>43539</v>
      </c>
      <c r="C2026" s="1" t="n">
        <v>45363</v>
      </c>
      <c r="D2026" t="inlineStr">
        <is>
          <t>JÄMTLANDS LÄN</t>
        </is>
      </c>
      <c r="E2026" t="inlineStr">
        <is>
          <t>KROKOM</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15268-2019</t>
        </is>
      </c>
      <c r="B2027" s="1" t="n">
        <v>43539</v>
      </c>
      <c r="C2027" s="1" t="n">
        <v>45363</v>
      </c>
      <c r="D2027" t="inlineStr">
        <is>
          <t>JÄMTLANDS LÄN</t>
        </is>
      </c>
      <c r="E2027" t="inlineStr">
        <is>
          <t>STRÖMSUND</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15557-2019</t>
        </is>
      </c>
      <c r="B2028" s="1" t="n">
        <v>43542</v>
      </c>
      <c r="C2028" s="1" t="n">
        <v>45363</v>
      </c>
      <c r="D2028" t="inlineStr">
        <is>
          <t>JÄMTLANDS LÄN</t>
        </is>
      </c>
      <c r="E2028" t="inlineStr">
        <is>
          <t>HÄRJEDALEN</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15831-2019</t>
        </is>
      </c>
      <c r="B2029" s="1" t="n">
        <v>43542</v>
      </c>
      <c r="C2029" s="1" t="n">
        <v>45363</v>
      </c>
      <c r="D2029" t="inlineStr">
        <is>
          <t>JÄMTLANDS LÄN</t>
        </is>
      </c>
      <c r="E2029" t="inlineStr">
        <is>
          <t>BRÄCKE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15944-2019</t>
        </is>
      </c>
      <c r="B2030" s="1" t="n">
        <v>43542</v>
      </c>
      <c r="C2030" s="1" t="n">
        <v>45363</v>
      </c>
      <c r="D2030" t="inlineStr">
        <is>
          <t>JÄMTLANDS LÄN</t>
        </is>
      </c>
      <c r="E2030" t="inlineStr">
        <is>
          <t>STRÖMSUND</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15945-2019</t>
        </is>
      </c>
      <c r="B2031" s="1" t="n">
        <v>43542</v>
      </c>
      <c r="C2031" s="1" t="n">
        <v>45363</v>
      </c>
      <c r="D2031" t="inlineStr">
        <is>
          <t>JÄMTLANDS LÄN</t>
        </is>
      </c>
      <c r="E2031" t="inlineStr">
        <is>
          <t>ÖSTERSUND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15677-2019</t>
        </is>
      </c>
      <c r="B2032" s="1" t="n">
        <v>43542</v>
      </c>
      <c r="C2032" s="1" t="n">
        <v>45363</v>
      </c>
      <c r="D2032" t="inlineStr">
        <is>
          <t>JÄMTLANDS LÄN</t>
        </is>
      </c>
      <c r="E2032" t="inlineStr">
        <is>
          <t>RAGUNDA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15826-2019</t>
        </is>
      </c>
      <c r="B2033" s="1" t="n">
        <v>43542</v>
      </c>
      <c r="C2033" s="1" t="n">
        <v>45363</v>
      </c>
      <c r="D2033" t="inlineStr">
        <is>
          <t>JÄMTLANDS LÄN</t>
        </is>
      </c>
      <c r="E2033" t="inlineStr">
        <is>
          <t>BRÄCKE</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15709-2019</t>
        </is>
      </c>
      <c r="B2034" s="1" t="n">
        <v>43543</v>
      </c>
      <c r="C2034" s="1" t="n">
        <v>45363</v>
      </c>
      <c r="D2034" t="inlineStr">
        <is>
          <t>JÄMTLANDS LÄN</t>
        </is>
      </c>
      <c r="E2034" t="inlineStr">
        <is>
          <t>BRÄCKE</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15797-2019</t>
        </is>
      </c>
      <c r="B2035" s="1" t="n">
        <v>43543</v>
      </c>
      <c r="C2035" s="1" t="n">
        <v>45363</v>
      </c>
      <c r="D2035" t="inlineStr">
        <is>
          <t>JÄMTLANDS LÄN</t>
        </is>
      </c>
      <c r="E2035" t="inlineStr">
        <is>
          <t>RAGUNDA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16004-2019</t>
        </is>
      </c>
      <c r="B2036" s="1" t="n">
        <v>43543</v>
      </c>
      <c r="C2036" s="1" t="n">
        <v>45363</v>
      </c>
      <c r="D2036" t="inlineStr">
        <is>
          <t>JÄMTLANDS LÄN</t>
        </is>
      </c>
      <c r="E2036" t="inlineStr">
        <is>
          <t>HÄRJEDALEN</t>
        </is>
      </c>
      <c r="G2036" t="n">
        <v>19.7</v>
      </c>
      <c r="H2036" t="n">
        <v>0</v>
      </c>
      <c r="I2036" t="n">
        <v>0</v>
      </c>
      <c r="J2036" t="n">
        <v>0</v>
      </c>
      <c r="K2036" t="n">
        <v>0</v>
      </c>
      <c r="L2036" t="n">
        <v>0</v>
      </c>
      <c r="M2036" t="n">
        <v>0</v>
      </c>
      <c r="N2036" t="n">
        <v>0</v>
      </c>
      <c r="O2036" t="n">
        <v>0</v>
      </c>
      <c r="P2036" t="n">
        <v>0</v>
      </c>
      <c r="Q2036" t="n">
        <v>0</v>
      </c>
      <c r="R2036" s="2" t="inlineStr"/>
    </row>
    <row r="2037" ht="15" customHeight="1">
      <c r="A2037" t="inlineStr">
        <is>
          <t>A 16140-2019</t>
        </is>
      </c>
      <c r="B2037" s="1" t="n">
        <v>43544</v>
      </c>
      <c r="C2037" s="1" t="n">
        <v>45363</v>
      </c>
      <c r="D2037" t="inlineStr">
        <is>
          <t>JÄMTLANDS LÄN</t>
        </is>
      </c>
      <c r="E2037" t="inlineStr">
        <is>
          <t>STRÖMSUND</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16062-2019</t>
        </is>
      </c>
      <c r="B2038" s="1" t="n">
        <v>43544</v>
      </c>
      <c r="C2038" s="1" t="n">
        <v>45363</v>
      </c>
      <c r="D2038" t="inlineStr">
        <is>
          <t>JÄMTLANDS LÄN</t>
        </is>
      </c>
      <c r="E2038" t="inlineStr">
        <is>
          <t>HÄRJEDALEN</t>
        </is>
      </c>
      <c r="G2038" t="n">
        <v>18.4</v>
      </c>
      <c r="H2038" t="n">
        <v>0</v>
      </c>
      <c r="I2038" t="n">
        <v>0</v>
      </c>
      <c r="J2038" t="n">
        <v>0</v>
      </c>
      <c r="K2038" t="n">
        <v>0</v>
      </c>
      <c r="L2038" t="n">
        <v>0</v>
      </c>
      <c r="M2038" t="n">
        <v>0</v>
      </c>
      <c r="N2038" t="n">
        <v>0</v>
      </c>
      <c r="O2038" t="n">
        <v>0</v>
      </c>
      <c r="P2038" t="n">
        <v>0</v>
      </c>
      <c r="Q2038" t="n">
        <v>0</v>
      </c>
      <c r="R2038" s="2" t="inlineStr"/>
    </row>
    <row r="2039" ht="15" customHeight="1">
      <c r="A2039" t="inlineStr">
        <is>
          <t>A 16335-2019</t>
        </is>
      </c>
      <c r="B2039" s="1" t="n">
        <v>43545</v>
      </c>
      <c r="C2039" s="1" t="n">
        <v>45363</v>
      </c>
      <c r="D2039" t="inlineStr">
        <is>
          <t>JÄMTLANDS LÄN</t>
        </is>
      </c>
      <c r="E2039" t="inlineStr">
        <is>
          <t>KROKOM</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16337-2019</t>
        </is>
      </c>
      <c r="B2040" s="1" t="n">
        <v>43545</v>
      </c>
      <c r="C2040" s="1" t="n">
        <v>45363</v>
      </c>
      <c r="D2040" t="inlineStr">
        <is>
          <t>JÄMTLANDS LÄN</t>
        </is>
      </c>
      <c r="E2040" t="inlineStr">
        <is>
          <t>KROKOM</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16242-2019</t>
        </is>
      </c>
      <c r="B2041" s="1" t="n">
        <v>43545</v>
      </c>
      <c r="C2041" s="1" t="n">
        <v>45363</v>
      </c>
      <c r="D2041" t="inlineStr">
        <is>
          <t>JÄMTLANDS LÄN</t>
        </is>
      </c>
      <c r="E2041" t="inlineStr">
        <is>
          <t>KROKOM</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16261-2019</t>
        </is>
      </c>
      <c r="B2042" s="1" t="n">
        <v>43545</v>
      </c>
      <c r="C2042" s="1" t="n">
        <v>45363</v>
      </c>
      <c r="D2042" t="inlineStr">
        <is>
          <t>JÄMTLANDS LÄN</t>
        </is>
      </c>
      <c r="E2042" t="inlineStr">
        <is>
          <t>BRÄCKE</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16641-2019</t>
        </is>
      </c>
      <c r="B2043" s="1" t="n">
        <v>43549</v>
      </c>
      <c r="C2043" s="1" t="n">
        <v>45363</v>
      </c>
      <c r="D2043" t="inlineStr">
        <is>
          <t>JÄMTLANDS LÄN</t>
        </is>
      </c>
      <c r="E2043" t="inlineStr">
        <is>
          <t>STRÖMSUND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16648-2019</t>
        </is>
      </c>
      <c r="B2044" s="1" t="n">
        <v>43549</v>
      </c>
      <c r="C2044" s="1" t="n">
        <v>45363</v>
      </c>
      <c r="D2044" t="inlineStr">
        <is>
          <t>JÄMTLANDS LÄN</t>
        </is>
      </c>
      <c r="E2044" t="inlineStr">
        <is>
          <t>KROKOM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16636-2019</t>
        </is>
      </c>
      <c r="B2045" s="1" t="n">
        <v>43549</v>
      </c>
      <c r="C2045" s="1" t="n">
        <v>45363</v>
      </c>
      <c r="D2045" t="inlineStr">
        <is>
          <t>JÄMTLANDS LÄN</t>
        </is>
      </c>
      <c r="E2045" t="inlineStr">
        <is>
          <t>ÖSTERSUND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17256-2019</t>
        </is>
      </c>
      <c r="B2046" s="1" t="n">
        <v>43550</v>
      </c>
      <c r="C2046" s="1" t="n">
        <v>45363</v>
      </c>
      <c r="D2046" t="inlineStr">
        <is>
          <t>JÄMTLANDS LÄN</t>
        </is>
      </c>
      <c r="E2046" t="inlineStr">
        <is>
          <t>ÖSTERSUND</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17038-2019</t>
        </is>
      </c>
      <c r="B2047" s="1" t="n">
        <v>43551</v>
      </c>
      <c r="C2047" s="1" t="n">
        <v>45363</v>
      </c>
      <c r="D2047" t="inlineStr">
        <is>
          <t>JÄMTLANDS LÄN</t>
        </is>
      </c>
      <c r="E2047" t="inlineStr">
        <is>
          <t>STRÖMSUND</t>
        </is>
      </c>
      <c r="G2047" t="n">
        <v>17.6</v>
      </c>
      <c r="H2047" t="n">
        <v>0</v>
      </c>
      <c r="I2047" t="n">
        <v>0</v>
      </c>
      <c r="J2047" t="n">
        <v>0</v>
      </c>
      <c r="K2047" t="n">
        <v>0</v>
      </c>
      <c r="L2047" t="n">
        <v>0</v>
      </c>
      <c r="M2047" t="n">
        <v>0</v>
      </c>
      <c r="N2047" t="n">
        <v>0</v>
      </c>
      <c r="O2047" t="n">
        <v>0</v>
      </c>
      <c r="P2047" t="n">
        <v>0</v>
      </c>
      <c r="Q2047" t="n">
        <v>0</v>
      </c>
      <c r="R2047" s="2" t="inlineStr"/>
    </row>
    <row r="2048" ht="15" customHeight="1">
      <c r="A2048" t="inlineStr">
        <is>
          <t>A 17049-2019</t>
        </is>
      </c>
      <c r="B2048" s="1" t="n">
        <v>43551</v>
      </c>
      <c r="C2048" s="1" t="n">
        <v>45363</v>
      </c>
      <c r="D2048" t="inlineStr">
        <is>
          <t>JÄMTLANDS LÄN</t>
        </is>
      </c>
      <c r="E2048" t="inlineStr">
        <is>
          <t>RAGUNDA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17057-2019</t>
        </is>
      </c>
      <c r="B2049" s="1" t="n">
        <v>43551</v>
      </c>
      <c r="C2049" s="1" t="n">
        <v>45363</v>
      </c>
      <c r="D2049" t="inlineStr">
        <is>
          <t>JÄMTLANDS LÄN</t>
        </is>
      </c>
      <c r="E2049" t="inlineStr">
        <is>
          <t>RAGUNDA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17108-2019</t>
        </is>
      </c>
      <c r="B2050" s="1" t="n">
        <v>43551</v>
      </c>
      <c r="C2050" s="1" t="n">
        <v>45363</v>
      </c>
      <c r="D2050" t="inlineStr">
        <is>
          <t>JÄMTLANDS LÄN</t>
        </is>
      </c>
      <c r="E2050" t="inlineStr">
        <is>
          <t>KROKOM</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17190-2019</t>
        </is>
      </c>
      <c r="B2051" s="1" t="n">
        <v>43551</v>
      </c>
      <c r="C2051" s="1" t="n">
        <v>45363</v>
      </c>
      <c r="D2051" t="inlineStr">
        <is>
          <t>JÄMTLANDS LÄN</t>
        </is>
      </c>
      <c r="E2051" t="inlineStr">
        <is>
          <t>STRÖMSUND</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17225-2019</t>
        </is>
      </c>
      <c r="B2052" s="1" t="n">
        <v>43552</v>
      </c>
      <c r="C2052" s="1" t="n">
        <v>45363</v>
      </c>
      <c r="D2052" t="inlineStr">
        <is>
          <t>JÄMTLANDS LÄN</t>
        </is>
      </c>
      <c r="E2052" t="inlineStr">
        <is>
          <t>STRÖMSUND</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17404-2019</t>
        </is>
      </c>
      <c r="B2053" s="1" t="n">
        <v>43552</v>
      </c>
      <c r="C2053" s="1" t="n">
        <v>45363</v>
      </c>
      <c r="D2053" t="inlineStr">
        <is>
          <t>JÄMTLANDS LÄN</t>
        </is>
      </c>
      <c r="E2053" t="inlineStr">
        <is>
          <t>ÅRE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17252-2019</t>
        </is>
      </c>
      <c r="B2054" s="1" t="n">
        <v>43552</v>
      </c>
      <c r="C2054" s="1" t="n">
        <v>45363</v>
      </c>
      <c r="D2054" t="inlineStr">
        <is>
          <t>JÄMTLANDS LÄN</t>
        </is>
      </c>
      <c r="E2054" t="inlineStr">
        <is>
          <t>RAGUNDA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17528-2019</t>
        </is>
      </c>
      <c r="B2055" s="1" t="n">
        <v>43553</v>
      </c>
      <c r="C2055" s="1" t="n">
        <v>45363</v>
      </c>
      <c r="D2055" t="inlineStr">
        <is>
          <t>JÄMTLANDS LÄN</t>
        </is>
      </c>
      <c r="E2055" t="inlineStr">
        <is>
          <t>HÄRJEDALEN</t>
        </is>
      </c>
      <c r="F2055" t="inlineStr">
        <is>
          <t>Holmen skog AB</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17811-2019</t>
        </is>
      </c>
      <c r="B2056" s="1" t="n">
        <v>43556</v>
      </c>
      <c r="C2056" s="1" t="n">
        <v>45363</v>
      </c>
      <c r="D2056" t="inlineStr">
        <is>
          <t>JÄMTLANDS LÄN</t>
        </is>
      </c>
      <c r="E2056" t="inlineStr">
        <is>
          <t>HÄRJEDALEN</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17852-2019</t>
        </is>
      </c>
      <c r="B2057" s="1" t="n">
        <v>43556</v>
      </c>
      <c r="C2057" s="1" t="n">
        <v>45363</v>
      </c>
      <c r="D2057" t="inlineStr">
        <is>
          <t>JÄMTLANDS LÄN</t>
        </is>
      </c>
      <c r="E2057" t="inlineStr">
        <is>
          <t>BRÄCKE</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17853-2019</t>
        </is>
      </c>
      <c r="B2058" s="1" t="n">
        <v>43556</v>
      </c>
      <c r="C2058" s="1" t="n">
        <v>45363</v>
      </c>
      <c r="D2058" t="inlineStr">
        <is>
          <t>JÄMTLANDS LÄN</t>
        </is>
      </c>
      <c r="E2058" t="inlineStr">
        <is>
          <t>KROKOM</t>
        </is>
      </c>
      <c r="F2058" t="inlineStr">
        <is>
          <t>SCA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17791-2019</t>
        </is>
      </c>
      <c r="B2059" s="1" t="n">
        <v>43556</v>
      </c>
      <c r="C2059" s="1" t="n">
        <v>45363</v>
      </c>
      <c r="D2059" t="inlineStr">
        <is>
          <t>JÄMTLANDS LÄN</t>
        </is>
      </c>
      <c r="E2059" t="inlineStr">
        <is>
          <t>BERG</t>
        </is>
      </c>
      <c r="G2059" t="n">
        <v>14.3</v>
      </c>
      <c r="H2059" t="n">
        <v>0</v>
      </c>
      <c r="I2059" t="n">
        <v>0</v>
      </c>
      <c r="J2059" t="n">
        <v>0</v>
      </c>
      <c r="K2059" t="n">
        <v>0</v>
      </c>
      <c r="L2059" t="n">
        <v>0</v>
      </c>
      <c r="M2059" t="n">
        <v>0</v>
      </c>
      <c r="N2059" t="n">
        <v>0</v>
      </c>
      <c r="O2059" t="n">
        <v>0</v>
      </c>
      <c r="P2059" t="n">
        <v>0</v>
      </c>
      <c r="Q2059" t="n">
        <v>0</v>
      </c>
      <c r="R2059" s="2" t="inlineStr"/>
    </row>
    <row r="2060" ht="15" customHeight="1">
      <c r="A2060" t="inlineStr">
        <is>
          <t>A 18058-2019</t>
        </is>
      </c>
      <c r="B2060" s="1" t="n">
        <v>43557</v>
      </c>
      <c r="C2060" s="1" t="n">
        <v>45363</v>
      </c>
      <c r="D2060" t="inlineStr">
        <is>
          <t>JÄMTLANDS LÄN</t>
        </is>
      </c>
      <c r="E2060" t="inlineStr">
        <is>
          <t>STRÖMSUND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18057-2019</t>
        </is>
      </c>
      <c r="B2061" s="1" t="n">
        <v>43557</v>
      </c>
      <c r="C2061" s="1" t="n">
        <v>45363</v>
      </c>
      <c r="D2061" t="inlineStr">
        <is>
          <t>JÄMTLANDS LÄN</t>
        </is>
      </c>
      <c r="E2061" t="inlineStr">
        <is>
          <t>STRÖMSUND</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17986-2019</t>
        </is>
      </c>
      <c r="B2062" s="1" t="n">
        <v>43557</v>
      </c>
      <c r="C2062" s="1" t="n">
        <v>45363</v>
      </c>
      <c r="D2062" t="inlineStr">
        <is>
          <t>JÄMTLANDS LÄN</t>
        </is>
      </c>
      <c r="E2062" t="inlineStr">
        <is>
          <t>HÄRJEDALEN</t>
        </is>
      </c>
      <c r="F2062" t="inlineStr">
        <is>
          <t>Kyrkan</t>
        </is>
      </c>
      <c r="G2062" t="n">
        <v>17.5</v>
      </c>
      <c r="H2062" t="n">
        <v>0</v>
      </c>
      <c r="I2062" t="n">
        <v>0</v>
      </c>
      <c r="J2062" t="n">
        <v>0</v>
      </c>
      <c r="K2062" t="n">
        <v>0</v>
      </c>
      <c r="L2062" t="n">
        <v>0</v>
      </c>
      <c r="M2062" t="n">
        <v>0</v>
      </c>
      <c r="N2062" t="n">
        <v>0</v>
      </c>
      <c r="O2062" t="n">
        <v>0</v>
      </c>
      <c r="P2062" t="n">
        <v>0</v>
      </c>
      <c r="Q2062" t="n">
        <v>0</v>
      </c>
      <c r="R2062" s="2" t="inlineStr"/>
    </row>
    <row r="2063" ht="15" customHeight="1">
      <c r="A2063" t="inlineStr">
        <is>
          <t>A 17917-2019</t>
        </is>
      </c>
      <c r="B2063" s="1" t="n">
        <v>43557</v>
      </c>
      <c r="C2063" s="1" t="n">
        <v>45363</v>
      </c>
      <c r="D2063" t="inlineStr">
        <is>
          <t>JÄMTLANDS LÄN</t>
        </is>
      </c>
      <c r="E2063" t="inlineStr">
        <is>
          <t>HÄRJEDALEN</t>
        </is>
      </c>
      <c r="F2063" t="inlineStr">
        <is>
          <t>Bergvik skog väst AB</t>
        </is>
      </c>
      <c r="G2063" t="n">
        <v>166.3</v>
      </c>
      <c r="H2063" t="n">
        <v>0</v>
      </c>
      <c r="I2063" t="n">
        <v>0</v>
      </c>
      <c r="J2063" t="n">
        <v>0</v>
      </c>
      <c r="K2063" t="n">
        <v>0</v>
      </c>
      <c r="L2063" t="n">
        <v>0</v>
      </c>
      <c r="M2063" t="n">
        <v>0</v>
      </c>
      <c r="N2063" t="n">
        <v>0</v>
      </c>
      <c r="O2063" t="n">
        <v>0</v>
      </c>
      <c r="P2063" t="n">
        <v>0</v>
      </c>
      <c r="Q2063" t="n">
        <v>0</v>
      </c>
      <c r="R2063" s="2" t="inlineStr"/>
    </row>
    <row r="2064" ht="15" customHeight="1">
      <c r="A2064" t="inlineStr">
        <is>
          <t>A 18183-2019</t>
        </is>
      </c>
      <c r="B2064" s="1" t="n">
        <v>43558</v>
      </c>
      <c r="C2064" s="1" t="n">
        <v>45363</v>
      </c>
      <c r="D2064" t="inlineStr">
        <is>
          <t>JÄMTLANDS LÄN</t>
        </is>
      </c>
      <c r="E2064" t="inlineStr">
        <is>
          <t>KROKOM</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18477-2019</t>
        </is>
      </c>
      <c r="B2065" s="1" t="n">
        <v>43559</v>
      </c>
      <c r="C2065" s="1" t="n">
        <v>45363</v>
      </c>
      <c r="D2065" t="inlineStr">
        <is>
          <t>JÄMTLANDS LÄN</t>
        </is>
      </c>
      <c r="E2065" t="inlineStr">
        <is>
          <t>KROKOM</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18565-2019</t>
        </is>
      </c>
      <c r="B2066" s="1" t="n">
        <v>43559</v>
      </c>
      <c r="C2066" s="1" t="n">
        <v>45363</v>
      </c>
      <c r="D2066" t="inlineStr">
        <is>
          <t>JÄMTLANDS LÄN</t>
        </is>
      </c>
      <c r="E2066" t="inlineStr">
        <is>
          <t>KROKOM</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18539-2019</t>
        </is>
      </c>
      <c r="B2067" s="1" t="n">
        <v>43559</v>
      </c>
      <c r="C2067" s="1" t="n">
        <v>45363</v>
      </c>
      <c r="D2067" t="inlineStr">
        <is>
          <t>JÄMTLANDS LÄN</t>
        </is>
      </c>
      <c r="E2067" t="inlineStr">
        <is>
          <t>HÄRJEDALEN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18407-2019</t>
        </is>
      </c>
      <c r="B2068" s="1" t="n">
        <v>43559</v>
      </c>
      <c r="C2068" s="1" t="n">
        <v>45363</v>
      </c>
      <c r="D2068" t="inlineStr">
        <is>
          <t>JÄMTLANDS LÄN</t>
        </is>
      </c>
      <c r="E2068" t="inlineStr">
        <is>
          <t>KROKOM</t>
        </is>
      </c>
      <c r="G2068" t="n">
        <v>43.1</v>
      </c>
      <c r="H2068" t="n">
        <v>0</v>
      </c>
      <c r="I2068" t="n">
        <v>0</v>
      </c>
      <c r="J2068" t="n">
        <v>0</v>
      </c>
      <c r="K2068" t="n">
        <v>0</v>
      </c>
      <c r="L2068" t="n">
        <v>0</v>
      </c>
      <c r="M2068" t="n">
        <v>0</v>
      </c>
      <c r="N2068" t="n">
        <v>0</v>
      </c>
      <c r="O2068" t="n">
        <v>0</v>
      </c>
      <c r="P2068" t="n">
        <v>0</v>
      </c>
      <c r="Q2068" t="n">
        <v>0</v>
      </c>
      <c r="R2068" s="2" t="inlineStr"/>
    </row>
    <row r="2069" ht="15" customHeight="1">
      <c r="A2069" t="inlineStr">
        <is>
          <t>A 18397-2019</t>
        </is>
      </c>
      <c r="B2069" s="1" t="n">
        <v>43559</v>
      </c>
      <c r="C2069" s="1" t="n">
        <v>45363</v>
      </c>
      <c r="D2069" t="inlineStr">
        <is>
          <t>JÄMTLANDS LÄN</t>
        </is>
      </c>
      <c r="E2069" t="inlineStr">
        <is>
          <t>KROKOM</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18602-2019</t>
        </is>
      </c>
      <c r="B2070" s="1" t="n">
        <v>43560</v>
      </c>
      <c r="C2070" s="1" t="n">
        <v>45363</v>
      </c>
      <c r="D2070" t="inlineStr">
        <is>
          <t>JÄMTLANDS LÄN</t>
        </is>
      </c>
      <c r="E2070" t="inlineStr">
        <is>
          <t>KROKOM</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18648-2019</t>
        </is>
      </c>
      <c r="B2071" s="1" t="n">
        <v>43560</v>
      </c>
      <c r="C2071" s="1" t="n">
        <v>45363</v>
      </c>
      <c r="D2071" t="inlineStr">
        <is>
          <t>JÄMTLANDS LÄN</t>
        </is>
      </c>
      <c r="E2071" t="inlineStr">
        <is>
          <t>HÄRJEDALEN</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18831-2019</t>
        </is>
      </c>
      <c r="B2072" s="1" t="n">
        <v>43563</v>
      </c>
      <c r="C2072" s="1" t="n">
        <v>45363</v>
      </c>
      <c r="D2072" t="inlineStr">
        <is>
          <t>JÄMTLANDS LÄN</t>
        </is>
      </c>
      <c r="E2072" t="inlineStr">
        <is>
          <t>KROKOM</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19077-2019</t>
        </is>
      </c>
      <c r="B2073" s="1" t="n">
        <v>43563</v>
      </c>
      <c r="C2073" s="1" t="n">
        <v>45363</v>
      </c>
      <c r="D2073" t="inlineStr">
        <is>
          <t>JÄMTLANDS LÄN</t>
        </is>
      </c>
      <c r="E2073" t="inlineStr">
        <is>
          <t>RAGUNDA</t>
        </is>
      </c>
      <c r="G2073" t="n">
        <v>11.5</v>
      </c>
      <c r="H2073" t="n">
        <v>0</v>
      </c>
      <c r="I2073" t="n">
        <v>0</v>
      </c>
      <c r="J2073" t="n">
        <v>0</v>
      </c>
      <c r="K2073" t="n">
        <v>0</v>
      </c>
      <c r="L2073" t="n">
        <v>0</v>
      </c>
      <c r="M2073" t="n">
        <v>0</v>
      </c>
      <c r="N2073" t="n">
        <v>0</v>
      </c>
      <c r="O2073" t="n">
        <v>0</v>
      </c>
      <c r="P2073" t="n">
        <v>0</v>
      </c>
      <c r="Q2073" t="n">
        <v>0</v>
      </c>
      <c r="R2073" s="2" t="inlineStr"/>
    </row>
    <row r="2074" ht="15" customHeight="1">
      <c r="A2074" t="inlineStr">
        <is>
          <t>A 18847-2019</t>
        </is>
      </c>
      <c r="B2074" s="1" t="n">
        <v>43563</v>
      </c>
      <c r="C2074" s="1" t="n">
        <v>45363</v>
      </c>
      <c r="D2074" t="inlineStr">
        <is>
          <t>JÄMTLANDS LÄN</t>
        </is>
      </c>
      <c r="E2074" t="inlineStr">
        <is>
          <t>KROKOM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19114-2019</t>
        </is>
      </c>
      <c r="B2075" s="1" t="n">
        <v>43563</v>
      </c>
      <c r="C2075" s="1" t="n">
        <v>45363</v>
      </c>
      <c r="D2075" t="inlineStr">
        <is>
          <t>JÄMTLANDS LÄN</t>
        </is>
      </c>
      <c r="E2075" t="inlineStr">
        <is>
          <t>HÄRJEDALEN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19152-2019</t>
        </is>
      </c>
      <c r="B2076" s="1" t="n">
        <v>43564</v>
      </c>
      <c r="C2076" s="1" t="n">
        <v>45363</v>
      </c>
      <c r="D2076" t="inlineStr">
        <is>
          <t>JÄMTLANDS LÄN</t>
        </is>
      </c>
      <c r="E2076" t="inlineStr">
        <is>
          <t>KROKOM</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19325-2019</t>
        </is>
      </c>
      <c r="B2077" s="1" t="n">
        <v>43565</v>
      </c>
      <c r="C2077" s="1" t="n">
        <v>45363</v>
      </c>
      <c r="D2077" t="inlineStr">
        <is>
          <t>JÄMTLANDS LÄN</t>
        </is>
      </c>
      <c r="E2077" t="inlineStr">
        <is>
          <t>KROKOM</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19543-2019</t>
        </is>
      </c>
      <c r="B2078" s="1" t="n">
        <v>43565</v>
      </c>
      <c r="C2078" s="1" t="n">
        <v>45363</v>
      </c>
      <c r="D2078" t="inlineStr">
        <is>
          <t>JÄMTLANDS LÄN</t>
        </is>
      </c>
      <c r="E2078" t="inlineStr">
        <is>
          <t>RAGUNDA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19559-2019</t>
        </is>
      </c>
      <c r="B2079" s="1" t="n">
        <v>43565</v>
      </c>
      <c r="C2079" s="1" t="n">
        <v>45363</v>
      </c>
      <c r="D2079" t="inlineStr">
        <is>
          <t>JÄMTLANDS LÄN</t>
        </is>
      </c>
      <c r="E2079" t="inlineStr">
        <is>
          <t>BRÄCKE</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19708-2019</t>
        </is>
      </c>
      <c r="B2080" s="1" t="n">
        <v>43566</v>
      </c>
      <c r="C2080" s="1" t="n">
        <v>45363</v>
      </c>
      <c r="D2080" t="inlineStr">
        <is>
          <t>JÄMTLANDS LÄN</t>
        </is>
      </c>
      <c r="E2080" t="inlineStr">
        <is>
          <t>KROKOM</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19925-2019</t>
        </is>
      </c>
      <c r="B2081" s="1" t="n">
        <v>43567</v>
      </c>
      <c r="C2081" s="1" t="n">
        <v>45363</v>
      </c>
      <c r="D2081" t="inlineStr">
        <is>
          <t>JÄMTLANDS LÄN</t>
        </is>
      </c>
      <c r="E2081" t="inlineStr">
        <is>
          <t>BRÄCKE</t>
        </is>
      </c>
      <c r="F2081" t="inlineStr">
        <is>
          <t>SCA</t>
        </is>
      </c>
      <c r="G2081" t="n">
        <v>20</v>
      </c>
      <c r="H2081" t="n">
        <v>0</v>
      </c>
      <c r="I2081" t="n">
        <v>0</v>
      </c>
      <c r="J2081" t="n">
        <v>0</v>
      </c>
      <c r="K2081" t="n">
        <v>0</v>
      </c>
      <c r="L2081" t="n">
        <v>0</v>
      </c>
      <c r="M2081" t="n">
        <v>0</v>
      </c>
      <c r="N2081" t="n">
        <v>0</v>
      </c>
      <c r="O2081" t="n">
        <v>0</v>
      </c>
      <c r="P2081" t="n">
        <v>0</v>
      </c>
      <c r="Q2081" t="n">
        <v>0</v>
      </c>
      <c r="R2081" s="2" t="inlineStr"/>
    </row>
    <row r="2082" ht="15" customHeight="1">
      <c r="A2082" t="inlineStr">
        <is>
          <t>A 20063-2019</t>
        </is>
      </c>
      <c r="B2082" s="1" t="n">
        <v>43567</v>
      </c>
      <c r="C2082" s="1" t="n">
        <v>45363</v>
      </c>
      <c r="D2082" t="inlineStr">
        <is>
          <t>JÄMTLANDS LÄN</t>
        </is>
      </c>
      <c r="E2082" t="inlineStr">
        <is>
          <t>HÄRJEDALEN</t>
        </is>
      </c>
      <c r="F2082" t="inlineStr">
        <is>
          <t>Bergvik skog väst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19927-2019</t>
        </is>
      </c>
      <c r="B2083" s="1" t="n">
        <v>43567</v>
      </c>
      <c r="C2083" s="1" t="n">
        <v>45363</v>
      </c>
      <c r="D2083" t="inlineStr">
        <is>
          <t>JÄMTLANDS LÄN</t>
        </is>
      </c>
      <c r="E2083" t="inlineStr">
        <is>
          <t>BRÄCKE</t>
        </is>
      </c>
      <c r="F2083" t="inlineStr">
        <is>
          <t>SCA</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19926-2019</t>
        </is>
      </c>
      <c r="B2084" s="1" t="n">
        <v>43567</v>
      </c>
      <c r="C2084" s="1" t="n">
        <v>45363</v>
      </c>
      <c r="D2084" t="inlineStr">
        <is>
          <t>JÄMTLANDS LÄN</t>
        </is>
      </c>
      <c r="E2084" t="inlineStr">
        <is>
          <t>BRÄCKE</t>
        </is>
      </c>
      <c r="F2084" t="inlineStr">
        <is>
          <t>SCA</t>
        </is>
      </c>
      <c r="G2084" t="n">
        <v>18.6</v>
      </c>
      <c r="H2084" t="n">
        <v>0</v>
      </c>
      <c r="I2084" t="n">
        <v>0</v>
      </c>
      <c r="J2084" t="n">
        <v>0</v>
      </c>
      <c r="K2084" t="n">
        <v>0</v>
      </c>
      <c r="L2084" t="n">
        <v>0</v>
      </c>
      <c r="M2084" t="n">
        <v>0</v>
      </c>
      <c r="N2084" t="n">
        <v>0</v>
      </c>
      <c r="O2084" t="n">
        <v>0</v>
      </c>
      <c r="P2084" t="n">
        <v>0</v>
      </c>
      <c r="Q2084" t="n">
        <v>0</v>
      </c>
      <c r="R2084" s="2" t="inlineStr"/>
    </row>
    <row r="2085" ht="15" customHeight="1">
      <c r="A2085" t="inlineStr">
        <is>
          <t>A 19864-2019</t>
        </is>
      </c>
      <c r="B2085" s="1" t="n">
        <v>43567</v>
      </c>
      <c r="C2085" s="1" t="n">
        <v>45363</v>
      </c>
      <c r="D2085" t="inlineStr">
        <is>
          <t>JÄMTLANDS LÄN</t>
        </is>
      </c>
      <c r="E2085" t="inlineStr">
        <is>
          <t>HÄRJEDALEN</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20186-2019</t>
        </is>
      </c>
      <c r="B2086" s="1" t="n">
        <v>43570</v>
      </c>
      <c r="C2086" s="1" t="n">
        <v>45363</v>
      </c>
      <c r="D2086" t="inlineStr">
        <is>
          <t>JÄMTLANDS LÄN</t>
        </is>
      </c>
      <c r="E2086" t="inlineStr">
        <is>
          <t>BRÄCKE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20378-2019</t>
        </is>
      </c>
      <c r="B2087" s="1" t="n">
        <v>43571</v>
      </c>
      <c r="C2087" s="1" t="n">
        <v>45363</v>
      </c>
      <c r="D2087" t="inlineStr">
        <is>
          <t>JÄMTLANDS LÄN</t>
        </is>
      </c>
      <c r="E2087" t="inlineStr">
        <is>
          <t>KROKOM</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20390-2019</t>
        </is>
      </c>
      <c r="B2088" s="1" t="n">
        <v>43571</v>
      </c>
      <c r="C2088" s="1" t="n">
        <v>45363</v>
      </c>
      <c r="D2088" t="inlineStr">
        <is>
          <t>JÄMTLANDS LÄN</t>
        </is>
      </c>
      <c r="E2088" t="inlineStr">
        <is>
          <t>BRÄCKE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20403-2019</t>
        </is>
      </c>
      <c r="B2089" s="1" t="n">
        <v>43571</v>
      </c>
      <c r="C2089" s="1" t="n">
        <v>45363</v>
      </c>
      <c r="D2089" t="inlineStr">
        <is>
          <t>JÄMTLANDS LÄN</t>
        </is>
      </c>
      <c r="E2089" t="inlineStr">
        <is>
          <t>HÄRJEDALEN</t>
        </is>
      </c>
      <c r="F2089" t="inlineStr">
        <is>
          <t>Bergvik skog väst AB</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20373-2019</t>
        </is>
      </c>
      <c r="B2090" s="1" t="n">
        <v>43571</v>
      </c>
      <c r="C2090" s="1" t="n">
        <v>45363</v>
      </c>
      <c r="D2090" t="inlineStr">
        <is>
          <t>JÄMTLANDS LÄN</t>
        </is>
      </c>
      <c r="E2090" t="inlineStr">
        <is>
          <t>HÄRJEDALEN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20319-2019</t>
        </is>
      </c>
      <c r="B2091" s="1" t="n">
        <v>43571</v>
      </c>
      <c r="C2091" s="1" t="n">
        <v>45363</v>
      </c>
      <c r="D2091" t="inlineStr">
        <is>
          <t>JÄMTLANDS LÄN</t>
        </is>
      </c>
      <c r="E2091" t="inlineStr">
        <is>
          <t>ÖSTERSUND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20448-2019</t>
        </is>
      </c>
      <c r="B2092" s="1" t="n">
        <v>43571</v>
      </c>
      <c r="C2092" s="1" t="n">
        <v>45363</v>
      </c>
      <c r="D2092" t="inlineStr">
        <is>
          <t>JÄMTLANDS LÄN</t>
        </is>
      </c>
      <c r="E2092" t="inlineStr">
        <is>
          <t>BRÄCKE</t>
        </is>
      </c>
      <c r="F2092" t="inlineStr">
        <is>
          <t>SCA</t>
        </is>
      </c>
      <c r="G2092" t="n">
        <v>70</v>
      </c>
      <c r="H2092" t="n">
        <v>0</v>
      </c>
      <c r="I2092" t="n">
        <v>0</v>
      </c>
      <c r="J2092" t="n">
        <v>0</v>
      </c>
      <c r="K2092" t="n">
        <v>0</v>
      </c>
      <c r="L2092" t="n">
        <v>0</v>
      </c>
      <c r="M2092" t="n">
        <v>0</v>
      </c>
      <c r="N2092" t="n">
        <v>0</v>
      </c>
      <c r="O2092" t="n">
        <v>0</v>
      </c>
      <c r="P2092" t="n">
        <v>0</v>
      </c>
      <c r="Q2092" t="n">
        <v>0</v>
      </c>
      <c r="R2092" s="2" t="inlineStr"/>
    </row>
    <row r="2093" ht="15" customHeight="1">
      <c r="A2093" t="inlineStr">
        <is>
          <t>A 20569-2019</t>
        </is>
      </c>
      <c r="B2093" s="1" t="n">
        <v>43572</v>
      </c>
      <c r="C2093" s="1" t="n">
        <v>45363</v>
      </c>
      <c r="D2093" t="inlineStr">
        <is>
          <t>JÄMTLANDS LÄN</t>
        </is>
      </c>
      <c r="E2093" t="inlineStr">
        <is>
          <t>STRÖMSUND</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20596-2019</t>
        </is>
      </c>
      <c r="B2094" s="1" t="n">
        <v>43572</v>
      </c>
      <c r="C2094" s="1" t="n">
        <v>45363</v>
      </c>
      <c r="D2094" t="inlineStr">
        <is>
          <t>JÄMTLANDS LÄN</t>
        </is>
      </c>
      <c r="E2094" t="inlineStr">
        <is>
          <t>KROKOM</t>
        </is>
      </c>
      <c r="G2094" t="n">
        <v>10.6</v>
      </c>
      <c r="H2094" t="n">
        <v>0</v>
      </c>
      <c r="I2094" t="n">
        <v>0</v>
      </c>
      <c r="J2094" t="n">
        <v>0</v>
      </c>
      <c r="K2094" t="n">
        <v>0</v>
      </c>
      <c r="L2094" t="n">
        <v>0</v>
      </c>
      <c r="M2094" t="n">
        <v>0</v>
      </c>
      <c r="N2094" t="n">
        <v>0</v>
      </c>
      <c r="O2094" t="n">
        <v>0</v>
      </c>
      <c r="P2094" t="n">
        <v>0</v>
      </c>
      <c r="Q2094" t="n">
        <v>0</v>
      </c>
      <c r="R2094" s="2" t="inlineStr"/>
    </row>
    <row r="2095" ht="15" customHeight="1">
      <c r="A2095" t="inlineStr">
        <is>
          <t>A 20539-2019</t>
        </is>
      </c>
      <c r="B2095" s="1" t="n">
        <v>43572</v>
      </c>
      <c r="C2095" s="1" t="n">
        <v>45363</v>
      </c>
      <c r="D2095" t="inlineStr">
        <is>
          <t>JÄMTLANDS LÄN</t>
        </is>
      </c>
      <c r="E2095" t="inlineStr">
        <is>
          <t>BRÄCKE</t>
        </is>
      </c>
      <c r="F2095" t="inlineStr">
        <is>
          <t>Övriga Aktiebolag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20535-2019</t>
        </is>
      </c>
      <c r="B2096" s="1" t="n">
        <v>43572</v>
      </c>
      <c r="C2096" s="1" t="n">
        <v>45363</v>
      </c>
      <c r="D2096" t="inlineStr">
        <is>
          <t>JÄMTLANDS LÄN</t>
        </is>
      </c>
      <c r="E2096" t="inlineStr">
        <is>
          <t>BRÄCKE</t>
        </is>
      </c>
      <c r="F2096" t="inlineStr">
        <is>
          <t>Sveaskog</t>
        </is>
      </c>
      <c r="G2096" t="n">
        <v>10.6</v>
      </c>
      <c r="H2096" t="n">
        <v>0</v>
      </c>
      <c r="I2096" t="n">
        <v>0</v>
      </c>
      <c r="J2096" t="n">
        <v>0</v>
      </c>
      <c r="K2096" t="n">
        <v>0</v>
      </c>
      <c r="L2096" t="n">
        <v>0</v>
      </c>
      <c r="M2096" t="n">
        <v>0</v>
      </c>
      <c r="N2096" t="n">
        <v>0</v>
      </c>
      <c r="O2096" t="n">
        <v>0</v>
      </c>
      <c r="P2096" t="n">
        <v>0</v>
      </c>
      <c r="Q2096" t="n">
        <v>0</v>
      </c>
      <c r="R2096" s="2" t="inlineStr"/>
    </row>
    <row r="2097" ht="15" customHeight="1">
      <c r="A2097" t="inlineStr">
        <is>
          <t>A 20827-2019</t>
        </is>
      </c>
      <c r="B2097" s="1" t="n">
        <v>43573</v>
      </c>
      <c r="C2097" s="1" t="n">
        <v>45363</v>
      </c>
      <c r="D2097" t="inlineStr">
        <is>
          <t>JÄMTLANDS LÄN</t>
        </is>
      </c>
      <c r="E2097" t="inlineStr">
        <is>
          <t>BRÄCKE</t>
        </is>
      </c>
      <c r="F2097" t="inlineStr">
        <is>
          <t>SCA</t>
        </is>
      </c>
      <c r="G2097" t="n">
        <v>40.9</v>
      </c>
      <c r="H2097" t="n">
        <v>0</v>
      </c>
      <c r="I2097" t="n">
        <v>0</v>
      </c>
      <c r="J2097" t="n">
        <v>0</v>
      </c>
      <c r="K2097" t="n">
        <v>0</v>
      </c>
      <c r="L2097" t="n">
        <v>0</v>
      </c>
      <c r="M2097" t="n">
        <v>0</v>
      </c>
      <c r="N2097" t="n">
        <v>0</v>
      </c>
      <c r="O2097" t="n">
        <v>0</v>
      </c>
      <c r="P2097" t="n">
        <v>0</v>
      </c>
      <c r="Q2097" t="n">
        <v>0</v>
      </c>
      <c r="R2097" s="2" t="inlineStr"/>
    </row>
    <row r="2098" ht="15" customHeight="1">
      <c r="A2098" t="inlineStr">
        <is>
          <t>A 20851-2019</t>
        </is>
      </c>
      <c r="B2098" s="1" t="n">
        <v>43577</v>
      </c>
      <c r="C2098" s="1" t="n">
        <v>45363</v>
      </c>
      <c r="D2098" t="inlineStr">
        <is>
          <t>JÄMTLANDS LÄN</t>
        </is>
      </c>
      <c r="E2098" t="inlineStr">
        <is>
          <t>HÄRJEDALEN</t>
        </is>
      </c>
      <c r="F2098" t="inlineStr">
        <is>
          <t>Övriga Aktiebolag</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20926-2019</t>
        </is>
      </c>
      <c r="B2099" s="1" t="n">
        <v>43578</v>
      </c>
      <c r="C2099" s="1" t="n">
        <v>45363</v>
      </c>
      <c r="D2099" t="inlineStr">
        <is>
          <t>JÄMTLANDS LÄN</t>
        </is>
      </c>
      <c r="E2099" t="inlineStr">
        <is>
          <t>BRÄCKE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21040-2019</t>
        </is>
      </c>
      <c r="B2100" s="1" t="n">
        <v>43578</v>
      </c>
      <c r="C2100" s="1" t="n">
        <v>45363</v>
      </c>
      <c r="D2100" t="inlineStr">
        <is>
          <t>JÄMTLANDS LÄN</t>
        </is>
      </c>
      <c r="E2100" t="inlineStr">
        <is>
          <t>HÄRJEDALEN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21122-2019</t>
        </is>
      </c>
      <c r="B2101" s="1" t="n">
        <v>43578</v>
      </c>
      <c r="C2101" s="1" t="n">
        <v>45363</v>
      </c>
      <c r="D2101" t="inlineStr">
        <is>
          <t>JÄMTLANDS LÄN</t>
        </is>
      </c>
      <c r="E2101" t="inlineStr">
        <is>
          <t>RAGUNDA</t>
        </is>
      </c>
      <c r="F2101" t="inlineStr">
        <is>
          <t>SCA</t>
        </is>
      </c>
      <c r="G2101" t="n">
        <v>72.09999999999999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21116-2019</t>
        </is>
      </c>
      <c r="B2102" s="1" t="n">
        <v>43578</v>
      </c>
      <c r="C2102" s="1" t="n">
        <v>45363</v>
      </c>
      <c r="D2102" t="inlineStr">
        <is>
          <t>JÄMTLANDS LÄN</t>
        </is>
      </c>
      <c r="E2102" t="inlineStr">
        <is>
          <t>BRÄCKE</t>
        </is>
      </c>
      <c r="F2102" t="inlineStr">
        <is>
          <t>SCA</t>
        </is>
      </c>
      <c r="G2102" t="n">
        <v>70</v>
      </c>
      <c r="H2102" t="n">
        <v>0</v>
      </c>
      <c r="I2102" t="n">
        <v>0</v>
      </c>
      <c r="J2102" t="n">
        <v>0</v>
      </c>
      <c r="K2102" t="n">
        <v>0</v>
      </c>
      <c r="L2102" t="n">
        <v>0</v>
      </c>
      <c r="M2102" t="n">
        <v>0</v>
      </c>
      <c r="N2102" t="n">
        <v>0</v>
      </c>
      <c r="O2102" t="n">
        <v>0</v>
      </c>
      <c r="P2102" t="n">
        <v>0</v>
      </c>
      <c r="Q2102" t="n">
        <v>0</v>
      </c>
      <c r="R2102" s="2" t="inlineStr"/>
    </row>
    <row r="2103" ht="15" customHeight="1">
      <c r="A2103" t="inlineStr">
        <is>
          <t>A 21225-2019</t>
        </is>
      </c>
      <c r="B2103" s="1" t="n">
        <v>43579</v>
      </c>
      <c r="C2103" s="1" t="n">
        <v>45363</v>
      </c>
      <c r="D2103" t="inlineStr">
        <is>
          <t>JÄMTLANDS LÄN</t>
        </is>
      </c>
      <c r="E2103" t="inlineStr">
        <is>
          <t>BERG</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21189-2019</t>
        </is>
      </c>
      <c r="B2104" s="1" t="n">
        <v>43579</v>
      </c>
      <c r="C2104" s="1" t="n">
        <v>45363</v>
      </c>
      <c r="D2104" t="inlineStr">
        <is>
          <t>JÄMTLANDS LÄN</t>
        </is>
      </c>
      <c r="E2104" t="inlineStr">
        <is>
          <t>HÄRJEDALEN</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21269-2019</t>
        </is>
      </c>
      <c r="B2105" s="1" t="n">
        <v>43579</v>
      </c>
      <c r="C2105" s="1" t="n">
        <v>45363</v>
      </c>
      <c r="D2105" t="inlineStr">
        <is>
          <t>JÄMTLANDS LÄN</t>
        </is>
      </c>
      <c r="E2105" t="inlineStr">
        <is>
          <t>KROKOM</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21454-2019</t>
        </is>
      </c>
      <c r="B2106" s="1" t="n">
        <v>43580</v>
      </c>
      <c r="C2106" s="1" t="n">
        <v>45363</v>
      </c>
      <c r="D2106" t="inlineStr">
        <is>
          <t>JÄMTLANDS LÄN</t>
        </is>
      </c>
      <c r="E2106" t="inlineStr">
        <is>
          <t>BRÄCKE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21532-2019</t>
        </is>
      </c>
      <c r="B2107" s="1" t="n">
        <v>43580</v>
      </c>
      <c r="C2107" s="1" t="n">
        <v>45363</v>
      </c>
      <c r="D2107" t="inlineStr">
        <is>
          <t>JÄMTLANDS LÄN</t>
        </is>
      </c>
      <c r="E2107" t="inlineStr">
        <is>
          <t>ÅRE</t>
        </is>
      </c>
      <c r="G2107" t="n">
        <v>20.1</v>
      </c>
      <c r="H2107" t="n">
        <v>0</v>
      </c>
      <c r="I2107" t="n">
        <v>0</v>
      </c>
      <c r="J2107" t="n">
        <v>0</v>
      </c>
      <c r="K2107" t="n">
        <v>0</v>
      </c>
      <c r="L2107" t="n">
        <v>0</v>
      </c>
      <c r="M2107" t="n">
        <v>0</v>
      </c>
      <c r="N2107" t="n">
        <v>0</v>
      </c>
      <c r="O2107" t="n">
        <v>0</v>
      </c>
      <c r="P2107" t="n">
        <v>0</v>
      </c>
      <c r="Q2107" t="n">
        <v>0</v>
      </c>
      <c r="R2107" s="2" t="inlineStr"/>
    </row>
    <row r="2108" ht="15" customHeight="1">
      <c r="A2108" t="inlineStr">
        <is>
          <t>A 21421-2019</t>
        </is>
      </c>
      <c r="B2108" s="1" t="n">
        <v>43580</v>
      </c>
      <c r="C2108" s="1" t="n">
        <v>45363</v>
      </c>
      <c r="D2108" t="inlineStr">
        <is>
          <t>JÄMTLANDS LÄN</t>
        </is>
      </c>
      <c r="E2108" t="inlineStr">
        <is>
          <t>KROKOM</t>
        </is>
      </c>
      <c r="G2108" t="n">
        <v>13.1</v>
      </c>
      <c r="H2108" t="n">
        <v>0</v>
      </c>
      <c r="I2108" t="n">
        <v>0</v>
      </c>
      <c r="J2108" t="n">
        <v>0</v>
      </c>
      <c r="K2108" t="n">
        <v>0</v>
      </c>
      <c r="L2108" t="n">
        <v>0</v>
      </c>
      <c r="M2108" t="n">
        <v>0</v>
      </c>
      <c r="N2108" t="n">
        <v>0</v>
      </c>
      <c r="O2108" t="n">
        <v>0</v>
      </c>
      <c r="P2108" t="n">
        <v>0</v>
      </c>
      <c r="Q2108" t="n">
        <v>0</v>
      </c>
      <c r="R2108" s="2" t="inlineStr"/>
    </row>
    <row r="2109" ht="15" customHeight="1">
      <c r="A2109" t="inlineStr">
        <is>
          <t>A 21438-2019</t>
        </is>
      </c>
      <c r="B2109" s="1" t="n">
        <v>43580</v>
      </c>
      <c r="C2109" s="1" t="n">
        <v>45363</v>
      </c>
      <c r="D2109" t="inlineStr">
        <is>
          <t>JÄMTLANDS LÄN</t>
        </is>
      </c>
      <c r="E2109" t="inlineStr">
        <is>
          <t>BRÄCKE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21428-2019</t>
        </is>
      </c>
      <c r="B2110" s="1" t="n">
        <v>43580</v>
      </c>
      <c r="C2110" s="1" t="n">
        <v>45363</v>
      </c>
      <c r="D2110" t="inlineStr">
        <is>
          <t>JÄMTLANDS LÄN</t>
        </is>
      </c>
      <c r="E2110" t="inlineStr">
        <is>
          <t>BRÄCKE</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21669-2019</t>
        </is>
      </c>
      <c r="B2111" s="1" t="n">
        <v>43581</v>
      </c>
      <c r="C2111" s="1" t="n">
        <v>45363</v>
      </c>
      <c r="D2111" t="inlineStr">
        <is>
          <t>JÄMTLANDS LÄN</t>
        </is>
      </c>
      <c r="E2111" t="inlineStr">
        <is>
          <t>KROKOM</t>
        </is>
      </c>
      <c r="G2111" t="n">
        <v>13.2</v>
      </c>
      <c r="H2111" t="n">
        <v>0</v>
      </c>
      <c r="I2111" t="n">
        <v>0</v>
      </c>
      <c r="J2111" t="n">
        <v>0</v>
      </c>
      <c r="K2111" t="n">
        <v>0</v>
      </c>
      <c r="L2111" t="n">
        <v>0</v>
      </c>
      <c r="M2111" t="n">
        <v>0</v>
      </c>
      <c r="N2111" t="n">
        <v>0</v>
      </c>
      <c r="O2111" t="n">
        <v>0</v>
      </c>
      <c r="P2111" t="n">
        <v>0</v>
      </c>
      <c r="Q2111" t="n">
        <v>0</v>
      </c>
      <c r="R2111" s="2" t="inlineStr"/>
    </row>
    <row r="2112" ht="15" customHeight="1">
      <c r="A2112" t="inlineStr">
        <is>
          <t>A 21702-2019</t>
        </is>
      </c>
      <c r="B2112" s="1" t="n">
        <v>43581</v>
      </c>
      <c r="C2112" s="1" t="n">
        <v>45363</v>
      </c>
      <c r="D2112" t="inlineStr">
        <is>
          <t>JÄMTLANDS LÄN</t>
        </is>
      </c>
      <c r="E2112" t="inlineStr">
        <is>
          <t>STRÖMSUND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21716-2019</t>
        </is>
      </c>
      <c r="B2113" s="1" t="n">
        <v>43581</v>
      </c>
      <c r="C2113" s="1" t="n">
        <v>45363</v>
      </c>
      <c r="D2113" t="inlineStr">
        <is>
          <t>JÄMTLANDS LÄN</t>
        </is>
      </c>
      <c r="E2113" t="inlineStr">
        <is>
          <t>KROKOM</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21676-2019</t>
        </is>
      </c>
      <c r="B2114" s="1" t="n">
        <v>43581</v>
      </c>
      <c r="C2114" s="1" t="n">
        <v>45363</v>
      </c>
      <c r="D2114" t="inlineStr">
        <is>
          <t>JÄMTLANDS LÄN</t>
        </is>
      </c>
      <c r="E2114" t="inlineStr">
        <is>
          <t>STRÖMSUND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21792-2019</t>
        </is>
      </c>
      <c r="B2115" s="1" t="n">
        <v>43581</v>
      </c>
      <c r="C2115" s="1" t="n">
        <v>45363</v>
      </c>
      <c r="D2115" t="inlineStr">
        <is>
          <t>JÄMTLANDS LÄN</t>
        </is>
      </c>
      <c r="E2115" t="inlineStr">
        <is>
          <t>BRÄCKE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21696-2019</t>
        </is>
      </c>
      <c r="B2116" s="1" t="n">
        <v>43581</v>
      </c>
      <c r="C2116" s="1" t="n">
        <v>45363</v>
      </c>
      <c r="D2116" t="inlineStr">
        <is>
          <t>JÄMTLANDS LÄN</t>
        </is>
      </c>
      <c r="E2116" t="inlineStr">
        <is>
          <t>STRÖMSUND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21727-2019</t>
        </is>
      </c>
      <c r="B2117" s="1" t="n">
        <v>43581</v>
      </c>
      <c r="C2117" s="1" t="n">
        <v>45363</v>
      </c>
      <c r="D2117" t="inlineStr">
        <is>
          <t>JÄMTLANDS LÄN</t>
        </is>
      </c>
      <c r="E2117" t="inlineStr">
        <is>
          <t>ÖSTERSUND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21763-2019</t>
        </is>
      </c>
      <c r="B2118" s="1" t="n">
        <v>43581</v>
      </c>
      <c r="C2118" s="1" t="n">
        <v>45363</v>
      </c>
      <c r="D2118" t="inlineStr">
        <is>
          <t>JÄMTLANDS LÄN</t>
        </is>
      </c>
      <c r="E2118" t="inlineStr">
        <is>
          <t>STRÖMSUND</t>
        </is>
      </c>
      <c r="G2118" t="n">
        <v>12.7</v>
      </c>
      <c r="H2118" t="n">
        <v>0</v>
      </c>
      <c r="I2118" t="n">
        <v>0</v>
      </c>
      <c r="J2118" t="n">
        <v>0</v>
      </c>
      <c r="K2118" t="n">
        <v>0</v>
      </c>
      <c r="L2118" t="n">
        <v>0</v>
      </c>
      <c r="M2118" t="n">
        <v>0</v>
      </c>
      <c r="N2118" t="n">
        <v>0</v>
      </c>
      <c r="O2118" t="n">
        <v>0</v>
      </c>
      <c r="P2118" t="n">
        <v>0</v>
      </c>
      <c r="Q2118" t="n">
        <v>0</v>
      </c>
      <c r="R2118" s="2" t="inlineStr"/>
    </row>
    <row r="2119" ht="15" customHeight="1">
      <c r="A2119" t="inlineStr">
        <is>
          <t>A 21793-2019</t>
        </is>
      </c>
      <c r="B2119" s="1" t="n">
        <v>43581</v>
      </c>
      <c r="C2119" s="1" t="n">
        <v>45363</v>
      </c>
      <c r="D2119" t="inlineStr">
        <is>
          <t>JÄMTLANDS LÄN</t>
        </is>
      </c>
      <c r="E2119" t="inlineStr">
        <is>
          <t>ÖSTERSUND</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21798-2019</t>
        </is>
      </c>
      <c r="B2120" s="1" t="n">
        <v>43581</v>
      </c>
      <c r="C2120" s="1" t="n">
        <v>45363</v>
      </c>
      <c r="D2120" t="inlineStr">
        <is>
          <t>JÄMTLANDS LÄN</t>
        </is>
      </c>
      <c r="E2120" t="inlineStr">
        <is>
          <t>BRÄCKE</t>
        </is>
      </c>
      <c r="F2120" t="inlineStr">
        <is>
          <t>SCA</t>
        </is>
      </c>
      <c r="G2120" t="n">
        <v>7.3</v>
      </c>
      <c r="H2120" t="n">
        <v>0</v>
      </c>
      <c r="I2120" t="n">
        <v>0</v>
      </c>
      <c r="J2120" t="n">
        <v>0</v>
      </c>
      <c r="K2120" t="n">
        <v>0</v>
      </c>
      <c r="L2120" t="n">
        <v>0</v>
      </c>
      <c r="M2120" t="n">
        <v>0</v>
      </c>
      <c r="N2120" t="n">
        <v>0</v>
      </c>
      <c r="O2120" t="n">
        <v>0</v>
      </c>
      <c r="P2120" t="n">
        <v>0</v>
      </c>
      <c r="Q2120" t="n">
        <v>0</v>
      </c>
      <c r="R2120" s="2" t="inlineStr"/>
      <c r="U2120">
        <f>HYPERLINK("https://klasma.github.io/Logging_2305/knärot/A 21798-2019 karta knärot.png", "A 21798-2019")</f>
        <v/>
      </c>
      <c r="V2120">
        <f>HYPERLINK("https://klasma.github.io/Logging_2305/klagomål/A 21798-2019 FSC-klagomål.docx", "A 21798-2019")</f>
        <v/>
      </c>
      <c r="W2120">
        <f>HYPERLINK("https://klasma.github.io/Logging_2305/klagomålsmail/A 21798-2019 FSC-klagomål mail.docx", "A 21798-2019")</f>
        <v/>
      </c>
      <c r="X2120">
        <f>HYPERLINK("https://klasma.github.io/Logging_2305/tillsyn/A 21798-2019 tillsynsbegäran.docx", "A 21798-2019")</f>
        <v/>
      </c>
      <c r="Y2120">
        <f>HYPERLINK("https://klasma.github.io/Logging_2305/tillsynsmail/A 21798-2019 tillsynsbegäran mail.docx", "A 21798-2019")</f>
        <v/>
      </c>
    </row>
    <row r="2121" ht="15" customHeight="1">
      <c r="A2121" t="inlineStr">
        <is>
          <t>A 21883-2019</t>
        </is>
      </c>
      <c r="B2121" s="1" t="n">
        <v>43584</v>
      </c>
      <c r="C2121" s="1" t="n">
        <v>45363</v>
      </c>
      <c r="D2121" t="inlineStr">
        <is>
          <t>JÄMTLANDS LÄN</t>
        </is>
      </c>
      <c r="E2121" t="inlineStr">
        <is>
          <t>ÅRE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21914-2019</t>
        </is>
      </c>
      <c r="B2122" s="1" t="n">
        <v>43584</v>
      </c>
      <c r="C2122" s="1" t="n">
        <v>45363</v>
      </c>
      <c r="D2122" t="inlineStr">
        <is>
          <t>JÄMTLANDS LÄN</t>
        </is>
      </c>
      <c r="E2122" t="inlineStr">
        <is>
          <t>RAGUNDA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22113-2019</t>
        </is>
      </c>
      <c r="B2123" s="1" t="n">
        <v>43584</v>
      </c>
      <c r="C2123" s="1" t="n">
        <v>45363</v>
      </c>
      <c r="D2123" t="inlineStr">
        <is>
          <t>JÄMTLANDS LÄN</t>
        </is>
      </c>
      <c r="E2123" t="inlineStr">
        <is>
          <t>STRÖMSUND</t>
        </is>
      </c>
      <c r="G2123" t="n">
        <v>3.3</v>
      </c>
      <c r="H2123" t="n">
        <v>0</v>
      </c>
      <c r="I2123" t="n">
        <v>0</v>
      </c>
      <c r="J2123" t="n">
        <v>0</v>
      </c>
      <c r="K2123" t="n">
        <v>0</v>
      </c>
      <c r="L2123" t="n">
        <v>0</v>
      </c>
      <c r="M2123" t="n">
        <v>0</v>
      </c>
      <c r="N2123" t="n">
        <v>0</v>
      </c>
      <c r="O2123" t="n">
        <v>0</v>
      </c>
      <c r="P2123" t="n">
        <v>0</v>
      </c>
      <c r="Q2123" t="n">
        <v>0</v>
      </c>
      <c r="R2123" s="2" t="inlineStr"/>
      <c r="U2123">
        <f>HYPERLINK("https://klasma.github.io/Logging_2313/knärot/A 22113-2019 karta knärot.png", "A 22113-2019")</f>
        <v/>
      </c>
      <c r="V2123">
        <f>HYPERLINK("https://klasma.github.io/Logging_2313/klagomål/A 22113-2019 FSC-klagomål.docx", "A 22113-2019")</f>
        <v/>
      </c>
      <c r="W2123">
        <f>HYPERLINK("https://klasma.github.io/Logging_2313/klagomålsmail/A 22113-2019 FSC-klagomål mail.docx", "A 22113-2019")</f>
        <v/>
      </c>
      <c r="X2123">
        <f>HYPERLINK("https://klasma.github.io/Logging_2313/tillsyn/A 22113-2019 tillsynsbegäran.docx", "A 22113-2019")</f>
        <v/>
      </c>
      <c r="Y2123">
        <f>HYPERLINK("https://klasma.github.io/Logging_2313/tillsynsmail/A 22113-2019 tillsynsbegäran mail.docx", "A 22113-2019")</f>
        <v/>
      </c>
    </row>
    <row r="2124" ht="15" customHeight="1">
      <c r="A2124" t="inlineStr">
        <is>
          <t>A 22119-2019</t>
        </is>
      </c>
      <c r="B2124" s="1" t="n">
        <v>43584</v>
      </c>
      <c r="C2124" s="1" t="n">
        <v>45363</v>
      </c>
      <c r="D2124" t="inlineStr">
        <is>
          <t>JÄMTLANDS LÄN</t>
        </is>
      </c>
      <c r="E2124" t="inlineStr">
        <is>
          <t>ÖSTERSUND</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21933-2019</t>
        </is>
      </c>
      <c r="B2125" s="1" t="n">
        <v>43584</v>
      </c>
      <c r="C2125" s="1" t="n">
        <v>45363</v>
      </c>
      <c r="D2125" t="inlineStr">
        <is>
          <t>JÄMTLANDS LÄN</t>
        </is>
      </c>
      <c r="E2125" t="inlineStr">
        <is>
          <t>KROKOM</t>
        </is>
      </c>
      <c r="G2125" t="n">
        <v>12.8</v>
      </c>
      <c r="H2125" t="n">
        <v>0</v>
      </c>
      <c r="I2125" t="n">
        <v>0</v>
      </c>
      <c r="J2125" t="n">
        <v>0</v>
      </c>
      <c r="K2125" t="n">
        <v>0</v>
      </c>
      <c r="L2125" t="n">
        <v>0</v>
      </c>
      <c r="M2125" t="n">
        <v>0</v>
      </c>
      <c r="N2125" t="n">
        <v>0</v>
      </c>
      <c r="O2125" t="n">
        <v>0</v>
      </c>
      <c r="P2125" t="n">
        <v>0</v>
      </c>
      <c r="Q2125" t="n">
        <v>0</v>
      </c>
      <c r="R2125" s="2" t="inlineStr"/>
    </row>
    <row r="2126" ht="15" customHeight="1">
      <c r="A2126" t="inlineStr">
        <is>
          <t>A 22115-2019</t>
        </is>
      </c>
      <c r="B2126" s="1" t="n">
        <v>43584</v>
      </c>
      <c r="C2126" s="1" t="n">
        <v>45363</v>
      </c>
      <c r="D2126" t="inlineStr">
        <is>
          <t>JÄMTLANDS LÄN</t>
        </is>
      </c>
      <c r="E2126" t="inlineStr">
        <is>
          <t>ÖSTERSUND</t>
        </is>
      </c>
      <c r="G2126" t="n">
        <v>15.1</v>
      </c>
      <c r="H2126" t="n">
        <v>0</v>
      </c>
      <c r="I2126" t="n">
        <v>0</v>
      </c>
      <c r="J2126" t="n">
        <v>0</v>
      </c>
      <c r="K2126" t="n">
        <v>0</v>
      </c>
      <c r="L2126" t="n">
        <v>0</v>
      </c>
      <c r="M2126" t="n">
        <v>0</v>
      </c>
      <c r="N2126" t="n">
        <v>0</v>
      </c>
      <c r="O2126" t="n">
        <v>0</v>
      </c>
      <c r="P2126" t="n">
        <v>0</v>
      </c>
      <c r="Q2126" t="n">
        <v>0</v>
      </c>
      <c r="R2126" s="2" t="inlineStr"/>
    </row>
    <row r="2127" ht="15" customHeight="1">
      <c r="A2127" t="inlineStr">
        <is>
          <t>A 22208-2019</t>
        </is>
      </c>
      <c r="B2127" s="1" t="n">
        <v>43585</v>
      </c>
      <c r="C2127" s="1" t="n">
        <v>45363</v>
      </c>
      <c r="D2127" t="inlineStr">
        <is>
          <t>JÄMTLANDS LÄN</t>
        </is>
      </c>
      <c r="E2127" t="inlineStr">
        <is>
          <t>KROKOM</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22293-2019</t>
        </is>
      </c>
      <c r="B2128" s="1" t="n">
        <v>43585</v>
      </c>
      <c r="C2128" s="1" t="n">
        <v>45363</v>
      </c>
      <c r="D2128" t="inlineStr">
        <is>
          <t>JÄMTLANDS LÄN</t>
        </is>
      </c>
      <c r="E2128" t="inlineStr">
        <is>
          <t>STRÖMSUND</t>
        </is>
      </c>
      <c r="F2128" t="inlineStr">
        <is>
          <t>SCA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22135-2019</t>
        </is>
      </c>
      <c r="B2129" s="1" t="n">
        <v>43585</v>
      </c>
      <c r="C2129" s="1" t="n">
        <v>45363</v>
      </c>
      <c r="D2129" t="inlineStr">
        <is>
          <t>JÄMTLANDS LÄN</t>
        </is>
      </c>
      <c r="E2129" t="inlineStr">
        <is>
          <t>KROKOM</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22299-2019</t>
        </is>
      </c>
      <c r="B2130" s="1" t="n">
        <v>43585</v>
      </c>
      <c r="C2130" s="1" t="n">
        <v>45363</v>
      </c>
      <c r="D2130" t="inlineStr">
        <is>
          <t>JÄMTLANDS LÄN</t>
        </is>
      </c>
      <c r="E2130" t="inlineStr">
        <is>
          <t>BRÄCKE</t>
        </is>
      </c>
      <c r="F2130" t="inlineStr">
        <is>
          <t>SCA</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22305-2019</t>
        </is>
      </c>
      <c r="B2131" s="1" t="n">
        <v>43585</v>
      </c>
      <c r="C2131" s="1" t="n">
        <v>45363</v>
      </c>
      <c r="D2131" t="inlineStr">
        <is>
          <t>JÄMTLANDS LÄN</t>
        </is>
      </c>
      <c r="E2131" t="inlineStr">
        <is>
          <t>STRÖMSUND</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22291-2019</t>
        </is>
      </c>
      <c r="B2132" s="1" t="n">
        <v>43585</v>
      </c>
      <c r="C2132" s="1" t="n">
        <v>45363</v>
      </c>
      <c r="D2132" t="inlineStr">
        <is>
          <t>JÄMTLANDS LÄN</t>
        </is>
      </c>
      <c r="E2132" t="inlineStr">
        <is>
          <t>STRÖMSUND</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22129-2019</t>
        </is>
      </c>
      <c r="B2133" s="1" t="n">
        <v>43585</v>
      </c>
      <c r="C2133" s="1" t="n">
        <v>45363</v>
      </c>
      <c r="D2133" t="inlineStr">
        <is>
          <t>JÄMTLANDS LÄN</t>
        </is>
      </c>
      <c r="E2133" t="inlineStr">
        <is>
          <t>KROKOM</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22521-2019</t>
        </is>
      </c>
      <c r="B2134" s="1" t="n">
        <v>43587</v>
      </c>
      <c r="C2134" s="1" t="n">
        <v>45363</v>
      </c>
      <c r="D2134" t="inlineStr">
        <is>
          <t>JÄMTLANDS LÄN</t>
        </is>
      </c>
      <c r="E2134" t="inlineStr">
        <is>
          <t>KROKOM</t>
        </is>
      </c>
      <c r="F2134" t="inlineStr">
        <is>
          <t>Kyrkan</t>
        </is>
      </c>
      <c r="G2134" t="n">
        <v>14.5</v>
      </c>
      <c r="H2134" t="n">
        <v>0</v>
      </c>
      <c r="I2134" t="n">
        <v>0</v>
      </c>
      <c r="J2134" t="n">
        <v>0</v>
      </c>
      <c r="K2134" t="n">
        <v>0</v>
      </c>
      <c r="L2134" t="n">
        <v>0</v>
      </c>
      <c r="M2134" t="n">
        <v>0</v>
      </c>
      <c r="N2134" t="n">
        <v>0</v>
      </c>
      <c r="O2134" t="n">
        <v>0</v>
      </c>
      <c r="P2134" t="n">
        <v>0</v>
      </c>
      <c r="Q2134" t="n">
        <v>0</v>
      </c>
      <c r="R2134" s="2" t="inlineStr"/>
    </row>
    <row r="2135" ht="15" customHeight="1">
      <c r="A2135" t="inlineStr">
        <is>
          <t>A 22533-2019</t>
        </is>
      </c>
      <c r="B2135" s="1" t="n">
        <v>43587</v>
      </c>
      <c r="C2135" s="1" t="n">
        <v>45363</v>
      </c>
      <c r="D2135" t="inlineStr">
        <is>
          <t>JÄMTLANDS LÄN</t>
        </is>
      </c>
      <c r="E2135" t="inlineStr">
        <is>
          <t>KROKOM</t>
        </is>
      </c>
      <c r="F2135" t="inlineStr">
        <is>
          <t>Kyrkan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22558-2019</t>
        </is>
      </c>
      <c r="B2136" s="1" t="n">
        <v>43587</v>
      </c>
      <c r="C2136" s="1" t="n">
        <v>45363</v>
      </c>
      <c r="D2136" t="inlineStr">
        <is>
          <t>JÄMTLANDS LÄN</t>
        </is>
      </c>
      <c r="E2136" t="inlineStr">
        <is>
          <t>ÅRE</t>
        </is>
      </c>
      <c r="G2136" t="n">
        <v>79.09999999999999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22622-2019</t>
        </is>
      </c>
      <c r="B2137" s="1" t="n">
        <v>43588</v>
      </c>
      <c r="C2137" s="1" t="n">
        <v>45363</v>
      </c>
      <c r="D2137" t="inlineStr">
        <is>
          <t>JÄMTLANDS LÄN</t>
        </is>
      </c>
      <c r="E2137" t="inlineStr">
        <is>
          <t>HÄRJEDALEN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22799-2019</t>
        </is>
      </c>
      <c r="B2138" s="1" t="n">
        <v>43589</v>
      </c>
      <c r="C2138" s="1" t="n">
        <v>45363</v>
      </c>
      <c r="D2138" t="inlineStr">
        <is>
          <t>JÄMTLANDS LÄN</t>
        </is>
      </c>
      <c r="E2138" t="inlineStr">
        <is>
          <t>RAGUNDA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22777-2019</t>
        </is>
      </c>
      <c r="B2139" s="1" t="n">
        <v>43589</v>
      </c>
      <c r="C2139" s="1" t="n">
        <v>45363</v>
      </c>
      <c r="D2139" t="inlineStr">
        <is>
          <t>JÄMTLANDS LÄN</t>
        </is>
      </c>
      <c r="E2139" t="inlineStr">
        <is>
          <t>STRÖMSUND</t>
        </is>
      </c>
      <c r="F2139" t="inlineStr">
        <is>
          <t>SCA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22778-2019</t>
        </is>
      </c>
      <c r="B2140" s="1" t="n">
        <v>43589</v>
      </c>
      <c r="C2140" s="1" t="n">
        <v>45363</v>
      </c>
      <c r="D2140" t="inlineStr">
        <is>
          <t>JÄMTLANDS LÄN</t>
        </is>
      </c>
      <c r="E2140" t="inlineStr">
        <is>
          <t>BRÄCKE</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22877-2019</t>
        </is>
      </c>
      <c r="B2141" s="1" t="n">
        <v>43591</v>
      </c>
      <c r="C2141" s="1" t="n">
        <v>45363</v>
      </c>
      <c r="D2141" t="inlineStr">
        <is>
          <t>JÄMTLANDS LÄN</t>
        </is>
      </c>
      <c r="E2141" t="inlineStr">
        <is>
          <t>KROKOM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23040-2019</t>
        </is>
      </c>
      <c r="B2142" s="1" t="n">
        <v>43591</v>
      </c>
      <c r="C2142" s="1" t="n">
        <v>45363</v>
      </c>
      <c r="D2142" t="inlineStr">
        <is>
          <t>JÄMTLANDS LÄN</t>
        </is>
      </c>
      <c r="E2142" t="inlineStr">
        <is>
          <t>STRÖMSUND</t>
        </is>
      </c>
      <c r="G2142" t="n">
        <v>30.4</v>
      </c>
      <c r="H2142" t="n">
        <v>0</v>
      </c>
      <c r="I2142" t="n">
        <v>0</v>
      </c>
      <c r="J2142" t="n">
        <v>0</v>
      </c>
      <c r="K2142" t="n">
        <v>0</v>
      </c>
      <c r="L2142" t="n">
        <v>0</v>
      </c>
      <c r="M2142" t="n">
        <v>0</v>
      </c>
      <c r="N2142" t="n">
        <v>0</v>
      </c>
      <c r="O2142" t="n">
        <v>0</v>
      </c>
      <c r="P2142" t="n">
        <v>0</v>
      </c>
      <c r="Q2142" t="n">
        <v>0</v>
      </c>
      <c r="R2142" s="2" t="inlineStr"/>
    </row>
    <row r="2143" ht="15" customHeight="1">
      <c r="A2143" t="inlineStr">
        <is>
          <t>A 23480-2019</t>
        </is>
      </c>
      <c r="B2143" s="1" t="n">
        <v>43593</v>
      </c>
      <c r="C2143" s="1" t="n">
        <v>45363</v>
      </c>
      <c r="D2143" t="inlineStr">
        <is>
          <t>JÄMTLANDS LÄN</t>
        </is>
      </c>
      <c r="E2143" t="inlineStr">
        <is>
          <t>BRÄCKE</t>
        </is>
      </c>
      <c r="F2143" t="inlineStr">
        <is>
          <t>SCA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23481-2019</t>
        </is>
      </c>
      <c r="B2144" s="1" t="n">
        <v>43593</v>
      </c>
      <c r="C2144" s="1" t="n">
        <v>45363</v>
      </c>
      <c r="D2144" t="inlineStr">
        <is>
          <t>JÄMTLANDS LÄN</t>
        </is>
      </c>
      <c r="E2144" t="inlineStr">
        <is>
          <t>STRÖMSUND</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23698-2019</t>
        </is>
      </c>
      <c r="B2145" s="1" t="n">
        <v>43594</v>
      </c>
      <c r="C2145" s="1" t="n">
        <v>45363</v>
      </c>
      <c r="D2145" t="inlineStr">
        <is>
          <t>JÄMTLANDS LÄN</t>
        </is>
      </c>
      <c r="E2145" t="inlineStr">
        <is>
          <t>KROKOM</t>
        </is>
      </c>
      <c r="G2145" t="n">
        <v>14.3</v>
      </c>
      <c r="H2145" t="n">
        <v>0</v>
      </c>
      <c r="I2145" t="n">
        <v>0</v>
      </c>
      <c r="J2145" t="n">
        <v>0</v>
      </c>
      <c r="K2145" t="n">
        <v>0</v>
      </c>
      <c r="L2145" t="n">
        <v>0</v>
      </c>
      <c r="M2145" t="n">
        <v>0</v>
      </c>
      <c r="N2145" t="n">
        <v>0</v>
      </c>
      <c r="O2145" t="n">
        <v>0</v>
      </c>
      <c r="P2145" t="n">
        <v>0</v>
      </c>
      <c r="Q2145" t="n">
        <v>0</v>
      </c>
      <c r="R2145" s="2" t="inlineStr"/>
    </row>
    <row r="2146" ht="15" customHeight="1">
      <c r="A2146" t="inlineStr">
        <is>
          <t>A 23740-2019</t>
        </is>
      </c>
      <c r="B2146" s="1" t="n">
        <v>43594</v>
      </c>
      <c r="C2146" s="1" t="n">
        <v>45363</v>
      </c>
      <c r="D2146" t="inlineStr">
        <is>
          <t>JÄMTLANDS LÄN</t>
        </is>
      </c>
      <c r="E2146" t="inlineStr">
        <is>
          <t>RAGUNDA</t>
        </is>
      </c>
      <c r="F2146" t="inlineStr">
        <is>
          <t>SCA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23743-2019</t>
        </is>
      </c>
      <c r="B2147" s="1" t="n">
        <v>43594</v>
      </c>
      <c r="C2147" s="1" t="n">
        <v>45363</v>
      </c>
      <c r="D2147" t="inlineStr">
        <is>
          <t>JÄMTLANDS LÄN</t>
        </is>
      </c>
      <c r="E2147" t="inlineStr">
        <is>
          <t>BRÄCKE</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23609-2019</t>
        </is>
      </c>
      <c r="B2148" s="1" t="n">
        <v>43594</v>
      </c>
      <c r="C2148" s="1" t="n">
        <v>45363</v>
      </c>
      <c r="D2148" t="inlineStr">
        <is>
          <t>JÄMTLANDS LÄN</t>
        </is>
      </c>
      <c r="E2148" t="inlineStr">
        <is>
          <t>ÖSTERSUND</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23821-2019</t>
        </is>
      </c>
      <c r="B2149" s="1" t="n">
        <v>43594</v>
      </c>
      <c r="C2149" s="1" t="n">
        <v>45363</v>
      </c>
      <c r="D2149" t="inlineStr">
        <is>
          <t>JÄMTLANDS LÄN</t>
        </is>
      </c>
      <c r="E2149" t="inlineStr">
        <is>
          <t>RAGUNDA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23736-2019</t>
        </is>
      </c>
      <c r="B2150" s="1" t="n">
        <v>43594</v>
      </c>
      <c r="C2150" s="1" t="n">
        <v>45363</v>
      </c>
      <c r="D2150" t="inlineStr">
        <is>
          <t>JÄMTLANDS LÄN</t>
        </is>
      </c>
      <c r="E2150" t="inlineStr">
        <is>
          <t>BRÄCKE</t>
        </is>
      </c>
      <c r="F2150" t="inlineStr">
        <is>
          <t>SCA</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23941-2019</t>
        </is>
      </c>
      <c r="B2151" s="1" t="n">
        <v>43595</v>
      </c>
      <c r="C2151" s="1" t="n">
        <v>45363</v>
      </c>
      <c r="D2151" t="inlineStr">
        <is>
          <t>JÄMTLANDS LÄN</t>
        </is>
      </c>
      <c r="E2151" t="inlineStr">
        <is>
          <t>STRÖMSUND</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23940-2019</t>
        </is>
      </c>
      <c r="B2152" s="1" t="n">
        <v>43595</v>
      </c>
      <c r="C2152" s="1" t="n">
        <v>45363</v>
      </c>
      <c r="D2152" t="inlineStr">
        <is>
          <t>JÄMTLANDS LÄN</t>
        </is>
      </c>
      <c r="E2152" t="inlineStr">
        <is>
          <t>ÖSTERSUND</t>
        </is>
      </c>
      <c r="F2152" t="inlineStr">
        <is>
          <t>SCA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23945-2019</t>
        </is>
      </c>
      <c r="B2153" s="1" t="n">
        <v>43596</v>
      </c>
      <c r="C2153" s="1" t="n">
        <v>45363</v>
      </c>
      <c r="D2153" t="inlineStr">
        <is>
          <t>JÄMTLANDS LÄN</t>
        </is>
      </c>
      <c r="E2153" t="inlineStr">
        <is>
          <t>STRÖMSUND</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23958-2019</t>
        </is>
      </c>
      <c r="B2154" s="1" t="n">
        <v>43597</v>
      </c>
      <c r="C2154" s="1" t="n">
        <v>45363</v>
      </c>
      <c r="D2154" t="inlineStr">
        <is>
          <t>JÄMTLANDS LÄN</t>
        </is>
      </c>
      <c r="E2154" t="inlineStr">
        <is>
          <t>STRÖMSUND</t>
        </is>
      </c>
      <c r="G2154" t="n">
        <v>20.7</v>
      </c>
      <c r="H2154" t="n">
        <v>0</v>
      </c>
      <c r="I2154" t="n">
        <v>0</v>
      </c>
      <c r="J2154" t="n">
        <v>0</v>
      </c>
      <c r="K2154" t="n">
        <v>0</v>
      </c>
      <c r="L2154" t="n">
        <v>0</v>
      </c>
      <c r="M2154" t="n">
        <v>0</v>
      </c>
      <c r="N2154" t="n">
        <v>0</v>
      </c>
      <c r="O2154" t="n">
        <v>0</v>
      </c>
      <c r="P2154" t="n">
        <v>0</v>
      </c>
      <c r="Q2154" t="n">
        <v>0</v>
      </c>
      <c r="R2154" s="2" t="inlineStr"/>
    </row>
    <row r="2155" ht="15" customHeight="1">
      <c r="A2155" t="inlineStr">
        <is>
          <t>A 24122-2019</t>
        </is>
      </c>
      <c r="B2155" s="1" t="n">
        <v>43598</v>
      </c>
      <c r="C2155" s="1" t="n">
        <v>45363</v>
      </c>
      <c r="D2155" t="inlineStr">
        <is>
          <t>JÄMTLANDS LÄN</t>
        </is>
      </c>
      <c r="E2155" t="inlineStr">
        <is>
          <t>BRÄCKE</t>
        </is>
      </c>
      <c r="F2155" t="inlineStr">
        <is>
          <t>Kyrkan</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24525-2019</t>
        </is>
      </c>
      <c r="B2156" s="1" t="n">
        <v>43598</v>
      </c>
      <c r="C2156" s="1" t="n">
        <v>45363</v>
      </c>
      <c r="D2156" t="inlineStr">
        <is>
          <t>JÄMTLANDS LÄN</t>
        </is>
      </c>
      <c r="E2156" t="inlineStr">
        <is>
          <t>STRÖMSUND</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24162-2019</t>
        </is>
      </c>
      <c r="B2157" s="1" t="n">
        <v>43598</v>
      </c>
      <c r="C2157" s="1" t="n">
        <v>45363</v>
      </c>
      <c r="D2157" t="inlineStr">
        <is>
          <t>JÄMTLANDS LÄN</t>
        </is>
      </c>
      <c r="E2157" t="inlineStr">
        <is>
          <t>STRÖMSUND</t>
        </is>
      </c>
      <c r="F2157" t="inlineStr">
        <is>
          <t>SCA</t>
        </is>
      </c>
      <c r="G2157" t="n">
        <v>18.9</v>
      </c>
      <c r="H2157" t="n">
        <v>0</v>
      </c>
      <c r="I2157" t="n">
        <v>0</v>
      </c>
      <c r="J2157" t="n">
        <v>0</v>
      </c>
      <c r="K2157" t="n">
        <v>0</v>
      </c>
      <c r="L2157" t="n">
        <v>0</v>
      </c>
      <c r="M2157" t="n">
        <v>0</v>
      </c>
      <c r="N2157" t="n">
        <v>0</v>
      </c>
      <c r="O2157" t="n">
        <v>0</v>
      </c>
      <c r="P2157" t="n">
        <v>0</v>
      </c>
      <c r="Q2157" t="n">
        <v>0</v>
      </c>
      <c r="R2157" s="2" t="inlineStr"/>
    </row>
    <row r="2158" ht="15" customHeight="1">
      <c r="A2158" t="inlineStr">
        <is>
          <t>A 24030-2019</t>
        </is>
      </c>
      <c r="B2158" s="1" t="n">
        <v>43598</v>
      </c>
      <c r="C2158" s="1" t="n">
        <v>45363</v>
      </c>
      <c r="D2158" t="inlineStr">
        <is>
          <t>JÄMTLANDS LÄN</t>
        </is>
      </c>
      <c r="E2158" t="inlineStr">
        <is>
          <t>HÄRJEDALEN</t>
        </is>
      </c>
      <c r="F2158" t="inlineStr">
        <is>
          <t>Sveaskog</t>
        </is>
      </c>
      <c r="G2158" t="n">
        <v>39.9</v>
      </c>
      <c r="H2158" t="n">
        <v>0</v>
      </c>
      <c r="I2158" t="n">
        <v>0</v>
      </c>
      <c r="J2158" t="n">
        <v>0</v>
      </c>
      <c r="K2158" t="n">
        <v>0</v>
      </c>
      <c r="L2158" t="n">
        <v>0</v>
      </c>
      <c r="M2158" t="n">
        <v>0</v>
      </c>
      <c r="N2158" t="n">
        <v>0</v>
      </c>
      <c r="O2158" t="n">
        <v>0</v>
      </c>
      <c r="P2158" t="n">
        <v>0</v>
      </c>
      <c r="Q2158" t="n">
        <v>0</v>
      </c>
      <c r="R2158" s="2" t="inlineStr"/>
    </row>
    <row r="2159" ht="15" customHeight="1">
      <c r="A2159" t="inlineStr">
        <is>
          <t>A 24900-2019</t>
        </is>
      </c>
      <c r="B2159" s="1" t="n">
        <v>43599</v>
      </c>
      <c r="C2159" s="1" t="n">
        <v>45363</v>
      </c>
      <c r="D2159" t="inlineStr">
        <is>
          <t>JÄMTLANDS LÄN</t>
        </is>
      </c>
      <c r="E2159" t="inlineStr">
        <is>
          <t>KROKOM</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24577-2019</t>
        </is>
      </c>
      <c r="B2160" s="1" t="n">
        <v>43600</v>
      </c>
      <c r="C2160" s="1" t="n">
        <v>45363</v>
      </c>
      <c r="D2160" t="inlineStr">
        <is>
          <t>JÄMTLANDS LÄN</t>
        </is>
      </c>
      <c r="E2160" t="inlineStr">
        <is>
          <t>STRÖMSUND</t>
        </is>
      </c>
      <c r="F2160" t="inlineStr">
        <is>
          <t>SCA</t>
        </is>
      </c>
      <c r="G2160" t="n">
        <v>138.7</v>
      </c>
      <c r="H2160" t="n">
        <v>0</v>
      </c>
      <c r="I2160" t="n">
        <v>0</v>
      </c>
      <c r="J2160" t="n">
        <v>0</v>
      </c>
      <c r="K2160" t="n">
        <v>0</v>
      </c>
      <c r="L2160" t="n">
        <v>0</v>
      </c>
      <c r="M2160" t="n">
        <v>0</v>
      </c>
      <c r="N2160" t="n">
        <v>0</v>
      </c>
      <c r="O2160" t="n">
        <v>0</v>
      </c>
      <c r="P2160" t="n">
        <v>0</v>
      </c>
      <c r="Q2160" t="n">
        <v>0</v>
      </c>
      <c r="R2160" s="2" t="inlineStr"/>
    </row>
    <row r="2161" ht="15" customHeight="1">
      <c r="A2161" t="inlineStr">
        <is>
          <t>A 25205-2019</t>
        </is>
      </c>
      <c r="B2161" s="1" t="n">
        <v>43600</v>
      </c>
      <c r="C2161" s="1" t="n">
        <v>45363</v>
      </c>
      <c r="D2161" t="inlineStr">
        <is>
          <t>JÄMTLANDS LÄN</t>
        </is>
      </c>
      <c r="E2161" t="inlineStr">
        <is>
          <t>ÖSTERSUND</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24710-2019</t>
        </is>
      </c>
      <c r="B2162" s="1" t="n">
        <v>43601</v>
      </c>
      <c r="C2162" s="1" t="n">
        <v>45363</v>
      </c>
      <c r="D2162" t="inlineStr">
        <is>
          <t>JÄMTLANDS LÄN</t>
        </is>
      </c>
      <c r="E2162" t="inlineStr">
        <is>
          <t>BERG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24787-2019</t>
        </is>
      </c>
      <c r="B2163" s="1" t="n">
        <v>43601</v>
      </c>
      <c r="C2163" s="1" t="n">
        <v>45363</v>
      </c>
      <c r="D2163" t="inlineStr">
        <is>
          <t>JÄMTLANDS LÄN</t>
        </is>
      </c>
      <c r="E2163" t="inlineStr">
        <is>
          <t>STRÖMSUND</t>
        </is>
      </c>
      <c r="F2163" t="inlineStr">
        <is>
          <t>SCA</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24760-2019</t>
        </is>
      </c>
      <c r="B2164" s="1" t="n">
        <v>43601</v>
      </c>
      <c r="C2164" s="1" t="n">
        <v>45363</v>
      </c>
      <c r="D2164" t="inlineStr">
        <is>
          <t>JÄMTLANDS LÄN</t>
        </is>
      </c>
      <c r="E2164" t="inlineStr">
        <is>
          <t>HÄRJEDALEN</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25641-2019</t>
        </is>
      </c>
      <c r="B2165" s="1" t="n">
        <v>43602</v>
      </c>
      <c r="C2165" s="1" t="n">
        <v>45363</v>
      </c>
      <c r="D2165" t="inlineStr">
        <is>
          <t>JÄMTLANDS LÄN</t>
        </is>
      </c>
      <c r="E2165" t="inlineStr">
        <is>
          <t>KROKOM</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25018-2019</t>
        </is>
      </c>
      <c r="B2166" s="1" t="n">
        <v>43602</v>
      </c>
      <c r="C2166" s="1" t="n">
        <v>45363</v>
      </c>
      <c r="D2166" t="inlineStr">
        <is>
          <t>JÄMTLANDS LÄN</t>
        </is>
      </c>
      <c r="E2166" t="inlineStr">
        <is>
          <t>BRÄCKE</t>
        </is>
      </c>
      <c r="F2166" t="inlineStr">
        <is>
          <t>SCA</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25644-2019</t>
        </is>
      </c>
      <c r="B2167" s="1" t="n">
        <v>43602</v>
      </c>
      <c r="C2167" s="1" t="n">
        <v>45363</v>
      </c>
      <c r="D2167" t="inlineStr">
        <is>
          <t>JÄMTLANDS LÄN</t>
        </is>
      </c>
      <c r="E2167" t="inlineStr">
        <is>
          <t>KROKOM</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25634-2019</t>
        </is>
      </c>
      <c r="B2168" s="1" t="n">
        <v>43602</v>
      </c>
      <c r="C2168" s="1" t="n">
        <v>45363</v>
      </c>
      <c r="D2168" t="inlineStr">
        <is>
          <t>JÄMTLANDS LÄN</t>
        </is>
      </c>
      <c r="E2168" t="inlineStr">
        <is>
          <t>KROKOM</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24839-2019</t>
        </is>
      </c>
      <c r="B2169" s="1" t="n">
        <v>43602</v>
      </c>
      <c r="C2169" s="1" t="n">
        <v>45363</v>
      </c>
      <c r="D2169" t="inlineStr">
        <is>
          <t>JÄMTLANDS LÄN</t>
        </is>
      </c>
      <c r="E2169" t="inlineStr">
        <is>
          <t>BERG</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25115-2019</t>
        </is>
      </c>
      <c r="B2170" s="1" t="n">
        <v>43605</v>
      </c>
      <c r="C2170" s="1" t="n">
        <v>45363</v>
      </c>
      <c r="D2170" t="inlineStr">
        <is>
          <t>JÄMTLANDS LÄN</t>
        </is>
      </c>
      <c r="E2170" t="inlineStr">
        <is>
          <t>KROKOM</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25844-2019</t>
        </is>
      </c>
      <c r="B2171" s="1" t="n">
        <v>43605</v>
      </c>
      <c r="C2171" s="1" t="n">
        <v>45363</v>
      </c>
      <c r="D2171" t="inlineStr">
        <is>
          <t>JÄMTLANDS LÄN</t>
        </is>
      </c>
      <c r="E2171" t="inlineStr">
        <is>
          <t>BERG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25309-2019</t>
        </is>
      </c>
      <c r="B2172" s="1" t="n">
        <v>43605</v>
      </c>
      <c r="C2172" s="1" t="n">
        <v>45363</v>
      </c>
      <c r="D2172" t="inlineStr">
        <is>
          <t>JÄMTLANDS LÄN</t>
        </is>
      </c>
      <c r="E2172" t="inlineStr">
        <is>
          <t>HÄRJEDALEN</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25099-2019</t>
        </is>
      </c>
      <c r="B2173" s="1" t="n">
        <v>43605</v>
      </c>
      <c r="C2173" s="1" t="n">
        <v>45363</v>
      </c>
      <c r="D2173" t="inlineStr">
        <is>
          <t>JÄMTLANDS LÄN</t>
        </is>
      </c>
      <c r="E2173" t="inlineStr">
        <is>
          <t>ÅRE</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25470-2019</t>
        </is>
      </c>
      <c r="B2174" s="1" t="n">
        <v>43606</v>
      </c>
      <c r="C2174" s="1" t="n">
        <v>45363</v>
      </c>
      <c r="D2174" t="inlineStr">
        <is>
          <t>JÄMTLANDS LÄN</t>
        </is>
      </c>
      <c r="E2174" t="inlineStr">
        <is>
          <t>HÄRJEDALEN</t>
        </is>
      </c>
      <c r="G2174" t="n">
        <v>36.8</v>
      </c>
      <c r="H2174" t="n">
        <v>0</v>
      </c>
      <c r="I2174" t="n">
        <v>0</v>
      </c>
      <c r="J2174" t="n">
        <v>0</v>
      </c>
      <c r="K2174" t="n">
        <v>0</v>
      </c>
      <c r="L2174" t="n">
        <v>0</v>
      </c>
      <c r="M2174" t="n">
        <v>0</v>
      </c>
      <c r="N2174" t="n">
        <v>0</v>
      </c>
      <c r="O2174" t="n">
        <v>0</v>
      </c>
      <c r="P2174" t="n">
        <v>0</v>
      </c>
      <c r="Q2174" t="n">
        <v>0</v>
      </c>
      <c r="R2174" s="2" t="inlineStr"/>
    </row>
    <row r="2175" ht="15" customHeight="1">
      <c r="A2175" t="inlineStr">
        <is>
          <t>A 25588-2019</t>
        </is>
      </c>
      <c r="B2175" s="1" t="n">
        <v>43607</v>
      </c>
      <c r="C2175" s="1" t="n">
        <v>45363</v>
      </c>
      <c r="D2175" t="inlineStr">
        <is>
          <t>JÄMTLANDS LÄN</t>
        </is>
      </c>
      <c r="E2175" t="inlineStr">
        <is>
          <t>BERG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25923-2019</t>
        </is>
      </c>
      <c r="B2176" s="1" t="n">
        <v>43608</v>
      </c>
      <c r="C2176" s="1" t="n">
        <v>45363</v>
      </c>
      <c r="D2176" t="inlineStr">
        <is>
          <t>JÄMTLANDS LÄN</t>
        </is>
      </c>
      <c r="E2176" t="inlineStr">
        <is>
          <t>STRÖMSUND</t>
        </is>
      </c>
      <c r="F2176" t="inlineStr">
        <is>
          <t>Kommuner</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25915-2019</t>
        </is>
      </c>
      <c r="B2177" s="1" t="n">
        <v>43608</v>
      </c>
      <c r="C2177" s="1" t="n">
        <v>45363</v>
      </c>
      <c r="D2177" t="inlineStr">
        <is>
          <t>JÄMTLANDS LÄN</t>
        </is>
      </c>
      <c r="E2177" t="inlineStr">
        <is>
          <t>STRÖMSUND</t>
        </is>
      </c>
      <c r="F2177" t="inlineStr">
        <is>
          <t>Kommuner</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25925-2019</t>
        </is>
      </c>
      <c r="B2178" s="1" t="n">
        <v>43608</v>
      </c>
      <c r="C2178" s="1" t="n">
        <v>45363</v>
      </c>
      <c r="D2178" t="inlineStr">
        <is>
          <t>JÄMTLANDS LÄN</t>
        </is>
      </c>
      <c r="E2178" t="inlineStr">
        <is>
          <t>STRÖMSUND</t>
        </is>
      </c>
      <c r="F2178" t="inlineStr">
        <is>
          <t>Kommuner</t>
        </is>
      </c>
      <c r="G2178" t="n">
        <v>12.6</v>
      </c>
      <c r="H2178" t="n">
        <v>0</v>
      </c>
      <c r="I2178" t="n">
        <v>0</v>
      </c>
      <c r="J2178" t="n">
        <v>0</v>
      </c>
      <c r="K2178" t="n">
        <v>0</v>
      </c>
      <c r="L2178" t="n">
        <v>0</v>
      </c>
      <c r="M2178" t="n">
        <v>0</v>
      </c>
      <c r="N2178" t="n">
        <v>0</v>
      </c>
      <c r="O2178" t="n">
        <v>0</v>
      </c>
      <c r="P2178" t="n">
        <v>0</v>
      </c>
      <c r="Q2178" t="n">
        <v>0</v>
      </c>
      <c r="R2178" s="2" t="inlineStr"/>
    </row>
    <row r="2179" ht="15" customHeight="1">
      <c r="A2179" t="inlineStr">
        <is>
          <t>A 25910-2019</t>
        </is>
      </c>
      <c r="B2179" s="1" t="n">
        <v>43608</v>
      </c>
      <c r="C2179" s="1" t="n">
        <v>45363</v>
      </c>
      <c r="D2179" t="inlineStr">
        <is>
          <t>JÄMTLANDS LÄN</t>
        </is>
      </c>
      <c r="E2179" t="inlineStr">
        <is>
          <t>STRÖMSUND</t>
        </is>
      </c>
      <c r="F2179" t="inlineStr">
        <is>
          <t>Kommuner</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25918-2019</t>
        </is>
      </c>
      <c r="B2180" s="1" t="n">
        <v>43608</v>
      </c>
      <c r="C2180" s="1" t="n">
        <v>45363</v>
      </c>
      <c r="D2180" t="inlineStr">
        <is>
          <t>JÄMTLANDS LÄN</t>
        </is>
      </c>
      <c r="E2180" t="inlineStr">
        <is>
          <t>STRÖMSUND</t>
        </is>
      </c>
      <c r="F2180" t="inlineStr">
        <is>
          <t>Kommuner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25950-2019</t>
        </is>
      </c>
      <c r="B2181" s="1" t="n">
        <v>43608</v>
      </c>
      <c r="C2181" s="1" t="n">
        <v>45363</v>
      </c>
      <c r="D2181" t="inlineStr">
        <is>
          <t>JÄMTLANDS LÄN</t>
        </is>
      </c>
      <c r="E2181" t="inlineStr">
        <is>
          <t>STRÖMSUND</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26012-2019</t>
        </is>
      </c>
      <c r="B2182" s="1" t="n">
        <v>43608</v>
      </c>
      <c r="C2182" s="1" t="n">
        <v>45363</v>
      </c>
      <c r="D2182" t="inlineStr">
        <is>
          <t>JÄMTLANDS LÄN</t>
        </is>
      </c>
      <c r="E2182" t="inlineStr">
        <is>
          <t>STRÖMSUND</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25858-2019</t>
        </is>
      </c>
      <c r="B2183" s="1" t="n">
        <v>43608</v>
      </c>
      <c r="C2183" s="1" t="n">
        <v>45363</v>
      </c>
      <c r="D2183" t="inlineStr">
        <is>
          <t>JÄMTLANDS LÄN</t>
        </is>
      </c>
      <c r="E2183" t="inlineStr">
        <is>
          <t>KROKOM</t>
        </is>
      </c>
      <c r="F2183" t="inlineStr">
        <is>
          <t>Övriga Aktiebolag</t>
        </is>
      </c>
      <c r="G2183" t="n">
        <v>32.2</v>
      </c>
      <c r="H2183" t="n">
        <v>0</v>
      </c>
      <c r="I2183" t="n">
        <v>0</v>
      </c>
      <c r="J2183" t="n">
        <v>0</v>
      </c>
      <c r="K2183" t="n">
        <v>0</v>
      </c>
      <c r="L2183" t="n">
        <v>0</v>
      </c>
      <c r="M2183" t="n">
        <v>0</v>
      </c>
      <c r="N2183" t="n">
        <v>0</v>
      </c>
      <c r="O2183" t="n">
        <v>0</v>
      </c>
      <c r="P2183" t="n">
        <v>0</v>
      </c>
      <c r="Q2183" t="n">
        <v>0</v>
      </c>
      <c r="R2183" s="2" t="inlineStr"/>
    </row>
    <row r="2184" ht="15" customHeight="1">
      <c r="A2184" t="inlineStr">
        <is>
          <t>A 25921-2019</t>
        </is>
      </c>
      <c r="B2184" s="1" t="n">
        <v>43608</v>
      </c>
      <c r="C2184" s="1" t="n">
        <v>45363</v>
      </c>
      <c r="D2184" t="inlineStr">
        <is>
          <t>JÄMTLANDS LÄN</t>
        </is>
      </c>
      <c r="E2184" t="inlineStr">
        <is>
          <t>STRÖMSUND</t>
        </is>
      </c>
      <c r="F2184" t="inlineStr">
        <is>
          <t>Kommuner</t>
        </is>
      </c>
      <c r="G2184" t="n">
        <v>23.9</v>
      </c>
      <c r="H2184" t="n">
        <v>0</v>
      </c>
      <c r="I2184" t="n">
        <v>0</v>
      </c>
      <c r="J2184" t="n">
        <v>0</v>
      </c>
      <c r="K2184" t="n">
        <v>0</v>
      </c>
      <c r="L2184" t="n">
        <v>0</v>
      </c>
      <c r="M2184" t="n">
        <v>0</v>
      </c>
      <c r="N2184" t="n">
        <v>0</v>
      </c>
      <c r="O2184" t="n">
        <v>0</v>
      </c>
      <c r="P2184" t="n">
        <v>0</v>
      </c>
      <c r="Q2184" t="n">
        <v>0</v>
      </c>
      <c r="R2184" s="2" t="inlineStr"/>
    </row>
    <row r="2185" ht="15" customHeight="1">
      <c r="A2185" t="inlineStr">
        <is>
          <t>A 26001-2019</t>
        </is>
      </c>
      <c r="B2185" s="1" t="n">
        <v>43608</v>
      </c>
      <c r="C2185" s="1" t="n">
        <v>45363</v>
      </c>
      <c r="D2185" t="inlineStr">
        <is>
          <t>JÄMTLANDS LÄN</t>
        </is>
      </c>
      <c r="E2185" t="inlineStr">
        <is>
          <t>BRÄCKE</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25984-2019</t>
        </is>
      </c>
      <c r="B2186" s="1" t="n">
        <v>43608</v>
      </c>
      <c r="C2186" s="1" t="n">
        <v>45363</v>
      </c>
      <c r="D2186" t="inlineStr">
        <is>
          <t>JÄMTLANDS LÄN</t>
        </is>
      </c>
      <c r="E2186" t="inlineStr">
        <is>
          <t>STRÖMSUND</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25969-2019</t>
        </is>
      </c>
      <c r="B2187" s="1" t="n">
        <v>43608</v>
      </c>
      <c r="C2187" s="1" t="n">
        <v>45363</v>
      </c>
      <c r="D2187" t="inlineStr">
        <is>
          <t>JÄMTLANDS LÄN</t>
        </is>
      </c>
      <c r="E2187" t="inlineStr">
        <is>
          <t>BERG</t>
        </is>
      </c>
      <c r="F2187" t="inlineStr">
        <is>
          <t>SCA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26166-2019</t>
        </is>
      </c>
      <c r="B2188" s="1" t="n">
        <v>43609</v>
      </c>
      <c r="C2188" s="1" t="n">
        <v>45363</v>
      </c>
      <c r="D2188" t="inlineStr">
        <is>
          <t>JÄMTLANDS LÄN</t>
        </is>
      </c>
      <c r="E2188" t="inlineStr">
        <is>
          <t>HÄRJEDALEN</t>
        </is>
      </c>
      <c r="G2188" t="n">
        <v>85.2</v>
      </c>
      <c r="H2188" t="n">
        <v>0</v>
      </c>
      <c r="I2188" t="n">
        <v>0</v>
      </c>
      <c r="J2188" t="n">
        <v>0</v>
      </c>
      <c r="K2188" t="n">
        <v>0</v>
      </c>
      <c r="L2188" t="n">
        <v>0</v>
      </c>
      <c r="M2188" t="n">
        <v>0</v>
      </c>
      <c r="N2188" t="n">
        <v>0</v>
      </c>
      <c r="O2188" t="n">
        <v>0</v>
      </c>
      <c r="P2188" t="n">
        <v>0</v>
      </c>
      <c r="Q2188" t="n">
        <v>0</v>
      </c>
      <c r="R2188" s="2" t="inlineStr"/>
    </row>
    <row r="2189" ht="15" customHeight="1">
      <c r="A2189" t="inlineStr">
        <is>
          <t>A 26252-2019</t>
        </is>
      </c>
      <c r="B2189" s="1" t="n">
        <v>43609</v>
      </c>
      <c r="C2189" s="1" t="n">
        <v>45363</v>
      </c>
      <c r="D2189" t="inlineStr">
        <is>
          <t>JÄMTLANDS LÄN</t>
        </is>
      </c>
      <c r="E2189" t="inlineStr">
        <is>
          <t>STRÖMSUND</t>
        </is>
      </c>
      <c r="F2189" t="inlineStr">
        <is>
          <t>SCA</t>
        </is>
      </c>
      <c r="G2189" t="n">
        <v>10.5</v>
      </c>
      <c r="H2189" t="n">
        <v>0</v>
      </c>
      <c r="I2189" t="n">
        <v>0</v>
      </c>
      <c r="J2189" t="n">
        <v>0</v>
      </c>
      <c r="K2189" t="n">
        <v>0</v>
      </c>
      <c r="L2189" t="n">
        <v>0</v>
      </c>
      <c r="M2189" t="n">
        <v>0</v>
      </c>
      <c r="N2189" t="n">
        <v>0</v>
      </c>
      <c r="O2189" t="n">
        <v>0</v>
      </c>
      <c r="P2189" t="n">
        <v>0</v>
      </c>
      <c r="Q2189" t="n">
        <v>0</v>
      </c>
      <c r="R2189" s="2" t="inlineStr"/>
    </row>
    <row r="2190" ht="15" customHeight="1">
      <c r="A2190" t="inlineStr">
        <is>
          <t>A 26237-2019</t>
        </is>
      </c>
      <c r="B2190" s="1" t="n">
        <v>43609</v>
      </c>
      <c r="C2190" s="1" t="n">
        <v>45363</v>
      </c>
      <c r="D2190" t="inlineStr">
        <is>
          <t>JÄMTLANDS LÄN</t>
        </is>
      </c>
      <c r="E2190" t="inlineStr">
        <is>
          <t>BRÄCKE</t>
        </is>
      </c>
      <c r="G2190" t="n">
        <v>22.7</v>
      </c>
      <c r="H2190" t="n">
        <v>0</v>
      </c>
      <c r="I2190" t="n">
        <v>0</v>
      </c>
      <c r="J2190" t="n">
        <v>0</v>
      </c>
      <c r="K2190" t="n">
        <v>0</v>
      </c>
      <c r="L2190" t="n">
        <v>0</v>
      </c>
      <c r="M2190" t="n">
        <v>0</v>
      </c>
      <c r="N2190" t="n">
        <v>0</v>
      </c>
      <c r="O2190" t="n">
        <v>0</v>
      </c>
      <c r="P2190" t="n">
        <v>0</v>
      </c>
      <c r="Q2190" t="n">
        <v>0</v>
      </c>
      <c r="R2190" s="2" t="inlineStr"/>
    </row>
    <row r="2191" ht="15" customHeight="1">
      <c r="A2191" t="inlineStr">
        <is>
          <t>A 26251-2019</t>
        </is>
      </c>
      <c r="B2191" s="1" t="n">
        <v>43609</v>
      </c>
      <c r="C2191" s="1" t="n">
        <v>45363</v>
      </c>
      <c r="D2191" t="inlineStr">
        <is>
          <t>JÄMTLANDS LÄN</t>
        </is>
      </c>
      <c r="E2191" t="inlineStr">
        <is>
          <t>STRÖMSUND</t>
        </is>
      </c>
      <c r="F2191" t="inlineStr">
        <is>
          <t>SCA</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26486-2019</t>
        </is>
      </c>
      <c r="B2192" s="1" t="n">
        <v>43612</v>
      </c>
      <c r="C2192" s="1" t="n">
        <v>45363</v>
      </c>
      <c r="D2192" t="inlineStr">
        <is>
          <t>JÄMTLANDS LÄN</t>
        </is>
      </c>
      <c r="E2192" t="inlineStr">
        <is>
          <t>KROKOM</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26408-2019</t>
        </is>
      </c>
      <c r="B2193" s="1" t="n">
        <v>43612</v>
      </c>
      <c r="C2193" s="1" t="n">
        <v>45363</v>
      </c>
      <c r="D2193" t="inlineStr">
        <is>
          <t>JÄMTLANDS LÄN</t>
        </is>
      </c>
      <c r="E2193" t="inlineStr">
        <is>
          <t>KROKOM</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26310-2019</t>
        </is>
      </c>
      <c r="B2194" s="1" t="n">
        <v>43612</v>
      </c>
      <c r="C2194" s="1" t="n">
        <v>45363</v>
      </c>
      <c r="D2194" t="inlineStr">
        <is>
          <t>JÄMTLANDS LÄN</t>
        </is>
      </c>
      <c r="E2194" t="inlineStr">
        <is>
          <t>HÄRJEDALEN</t>
        </is>
      </c>
      <c r="F2194" t="inlineStr">
        <is>
          <t>Holmen skog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26423-2019</t>
        </is>
      </c>
      <c r="B2195" s="1" t="n">
        <v>43612</v>
      </c>
      <c r="C2195" s="1" t="n">
        <v>45363</v>
      </c>
      <c r="D2195" t="inlineStr">
        <is>
          <t>JÄMTLANDS LÄN</t>
        </is>
      </c>
      <c r="E2195" t="inlineStr">
        <is>
          <t>HÄRJEDALEN</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26624-2019</t>
        </is>
      </c>
      <c r="B2196" s="1" t="n">
        <v>43612</v>
      </c>
      <c r="C2196" s="1" t="n">
        <v>45363</v>
      </c>
      <c r="D2196" t="inlineStr">
        <is>
          <t>JÄMTLANDS LÄN</t>
        </is>
      </c>
      <c r="E2196" t="inlineStr">
        <is>
          <t>ÅRE</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26638-2019</t>
        </is>
      </c>
      <c r="B2197" s="1" t="n">
        <v>43612</v>
      </c>
      <c r="C2197" s="1" t="n">
        <v>45363</v>
      </c>
      <c r="D2197" t="inlineStr">
        <is>
          <t>JÄMTLANDS LÄN</t>
        </is>
      </c>
      <c r="E2197" t="inlineStr">
        <is>
          <t>BRÄCKE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26626-2019</t>
        </is>
      </c>
      <c r="B2198" s="1" t="n">
        <v>43612</v>
      </c>
      <c r="C2198" s="1" t="n">
        <v>45363</v>
      </c>
      <c r="D2198" t="inlineStr">
        <is>
          <t>JÄMTLANDS LÄN</t>
        </is>
      </c>
      <c r="E2198" t="inlineStr">
        <is>
          <t>ÅRE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27536-2019</t>
        </is>
      </c>
      <c r="B2199" s="1" t="n">
        <v>43612</v>
      </c>
      <c r="C2199" s="1" t="n">
        <v>45363</v>
      </c>
      <c r="D2199" t="inlineStr">
        <is>
          <t>JÄMTLANDS LÄN</t>
        </is>
      </c>
      <c r="E2199" t="inlineStr">
        <is>
          <t>STRÖMSUND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26937-2019</t>
        </is>
      </c>
      <c r="B2200" s="1" t="n">
        <v>43613</v>
      </c>
      <c r="C2200" s="1" t="n">
        <v>45363</v>
      </c>
      <c r="D2200" t="inlineStr">
        <is>
          <t>JÄMTLANDS LÄN</t>
        </is>
      </c>
      <c r="E2200" t="inlineStr">
        <is>
          <t>STRÖMSUND</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28077-2019</t>
        </is>
      </c>
      <c r="B2201" s="1" t="n">
        <v>43613</v>
      </c>
      <c r="C2201" s="1" t="n">
        <v>45363</v>
      </c>
      <c r="D2201" t="inlineStr">
        <is>
          <t>JÄMTLANDS LÄN</t>
        </is>
      </c>
      <c r="E2201" t="inlineStr">
        <is>
          <t>KROKOM</t>
        </is>
      </c>
      <c r="F2201" t="inlineStr">
        <is>
          <t>Övriga Aktiebolag</t>
        </is>
      </c>
      <c r="G2201" t="n">
        <v>26.1</v>
      </c>
      <c r="H2201" t="n">
        <v>0</v>
      </c>
      <c r="I2201" t="n">
        <v>0</v>
      </c>
      <c r="J2201" t="n">
        <v>0</v>
      </c>
      <c r="K2201" t="n">
        <v>0</v>
      </c>
      <c r="L2201" t="n">
        <v>0</v>
      </c>
      <c r="M2201" t="n">
        <v>0</v>
      </c>
      <c r="N2201" t="n">
        <v>0</v>
      </c>
      <c r="O2201" t="n">
        <v>0</v>
      </c>
      <c r="P2201" t="n">
        <v>0</v>
      </c>
      <c r="Q2201" t="n">
        <v>0</v>
      </c>
      <c r="R2201" s="2" t="inlineStr"/>
    </row>
    <row r="2202" ht="15" customHeight="1">
      <c r="A2202" t="inlineStr">
        <is>
          <t>A 27229-2019</t>
        </is>
      </c>
      <c r="B2202" s="1" t="n">
        <v>43614</v>
      </c>
      <c r="C2202" s="1" t="n">
        <v>45363</v>
      </c>
      <c r="D2202" t="inlineStr">
        <is>
          <t>JÄMTLANDS LÄN</t>
        </is>
      </c>
      <c r="E2202" t="inlineStr">
        <is>
          <t>BRÄCKE</t>
        </is>
      </c>
      <c r="F2202" t="inlineStr">
        <is>
          <t>SCA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27031-2019</t>
        </is>
      </c>
      <c r="B2203" s="1" t="n">
        <v>43614</v>
      </c>
      <c r="C2203" s="1" t="n">
        <v>45363</v>
      </c>
      <c r="D2203" t="inlineStr">
        <is>
          <t>JÄMTLANDS LÄN</t>
        </is>
      </c>
      <c r="E2203" t="inlineStr">
        <is>
          <t>KROKOM</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27249-2019</t>
        </is>
      </c>
      <c r="B2204" s="1" t="n">
        <v>43614</v>
      </c>
      <c r="C2204" s="1" t="n">
        <v>45363</v>
      </c>
      <c r="D2204" t="inlineStr">
        <is>
          <t>JÄMTLANDS LÄN</t>
        </is>
      </c>
      <c r="E2204" t="inlineStr">
        <is>
          <t>STRÖMSUND</t>
        </is>
      </c>
      <c r="F2204" t="inlineStr">
        <is>
          <t>SCA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27367-2019</t>
        </is>
      </c>
      <c r="B2205" s="1" t="n">
        <v>43616</v>
      </c>
      <c r="C2205" s="1" t="n">
        <v>45363</v>
      </c>
      <c r="D2205" t="inlineStr">
        <is>
          <t>JÄMTLANDS LÄN</t>
        </is>
      </c>
      <c r="E2205" t="inlineStr">
        <is>
          <t>STRÖMSUND</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28788-2019</t>
        </is>
      </c>
      <c r="B2206" s="1" t="n">
        <v>43616</v>
      </c>
      <c r="C2206" s="1" t="n">
        <v>45363</v>
      </c>
      <c r="D2206" t="inlineStr">
        <is>
          <t>JÄMTLANDS LÄN</t>
        </is>
      </c>
      <c r="E2206" t="inlineStr">
        <is>
          <t>BERG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27348-2019</t>
        </is>
      </c>
      <c r="B2207" s="1" t="n">
        <v>43616</v>
      </c>
      <c r="C2207" s="1" t="n">
        <v>45363</v>
      </c>
      <c r="D2207" t="inlineStr">
        <is>
          <t>JÄMTLANDS LÄN</t>
        </is>
      </c>
      <c r="E2207" t="inlineStr">
        <is>
          <t>KROKOM</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27683-2019</t>
        </is>
      </c>
      <c r="B2208" s="1" t="n">
        <v>43619</v>
      </c>
      <c r="C2208" s="1" t="n">
        <v>45363</v>
      </c>
      <c r="D2208" t="inlineStr">
        <is>
          <t>JÄMTLANDS LÄN</t>
        </is>
      </c>
      <c r="E2208" t="inlineStr">
        <is>
          <t>HÄRJEDALEN</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27514-2019</t>
        </is>
      </c>
      <c r="B2209" s="1" t="n">
        <v>43619</v>
      </c>
      <c r="C2209" s="1" t="n">
        <v>45363</v>
      </c>
      <c r="D2209" t="inlineStr">
        <is>
          <t>JÄMTLANDS LÄN</t>
        </is>
      </c>
      <c r="E2209" t="inlineStr">
        <is>
          <t>STRÖMSUND</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27540-2019</t>
        </is>
      </c>
      <c r="B2210" s="1" t="n">
        <v>43619</v>
      </c>
      <c r="C2210" s="1" t="n">
        <v>45363</v>
      </c>
      <c r="D2210" t="inlineStr">
        <is>
          <t>JÄMTLANDS LÄN</t>
        </is>
      </c>
      <c r="E2210" t="inlineStr">
        <is>
          <t>BERG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27765-2019</t>
        </is>
      </c>
      <c r="B2211" s="1" t="n">
        <v>43619</v>
      </c>
      <c r="C2211" s="1" t="n">
        <v>45363</v>
      </c>
      <c r="D2211" t="inlineStr">
        <is>
          <t>JÄMTLANDS LÄN</t>
        </is>
      </c>
      <c r="E2211" t="inlineStr">
        <is>
          <t>KROKOM</t>
        </is>
      </c>
      <c r="G2211" t="n">
        <v>20.1</v>
      </c>
      <c r="H2211" t="n">
        <v>0</v>
      </c>
      <c r="I2211" t="n">
        <v>0</v>
      </c>
      <c r="J2211" t="n">
        <v>0</v>
      </c>
      <c r="K2211" t="n">
        <v>0</v>
      </c>
      <c r="L2211" t="n">
        <v>0</v>
      </c>
      <c r="M2211" t="n">
        <v>0</v>
      </c>
      <c r="N2211" t="n">
        <v>0</v>
      </c>
      <c r="O2211" t="n">
        <v>0</v>
      </c>
      <c r="P2211" t="n">
        <v>0</v>
      </c>
      <c r="Q2211" t="n">
        <v>0</v>
      </c>
      <c r="R2211" s="2" t="inlineStr"/>
    </row>
    <row r="2212" ht="15" customHeight="1">
      <c r="A2212" t="inlineStr">
        <is>
          <t>A 27766-2019</t>
        </is>
      </c>
      <c r="B2212" s="1" t="n">
        <v>43619</v>
      </c>
      <c r="C2212" s="1" t="n">
        <v>45363</v>
      </c>
      <c r="D2212" t="inlineStr">
        <is>
          <t>JÄMTLANDS LÄN</t>
        </is>
      </c>
      <c r="E2212" t="inlineStr">
        <is>
          <t>KROKOM</t>
        </is>
      </c>
      <c r="G2212" t="n">
        <v>17.7</v>
      </c>
      <c r="H2212" t="n">
        <v>0</v>
      </c>
      <c r="I2212" t="n">
        <v>0</v>
      </c>
      <c r="J2212" t="n">
        <v>0</v>
      </c>
      <c r="K2212" t="n">
        <v>0</v>
      </c>
      <c r="L2212" t="n">
        <v>0</v>
      </c>
      <c r="M2212" t="n">
        <v>0</v>
      </c>
      <c r="N2212" t="n">
        <v>0</v>
      </c>
      <c r="O2212" t="n">
        <v>0</v>
      </c>
      <c r="P2212" t="n">
        <v>0</v>
      </c>
      <c r="Q2212" t="n">
        <v>0</v>
      </c>
      <c r="R2212" s="2" t="inlineStr"/>
    </row>
    <row r="2213" ht="15" customHeight="1">
      <c r="A2213" t="inlineStr">
        <is>
          <t>A 28892-2019</t>
        </is>
      </c>
      <c r="B2213" s="1" t="n">
        <v>43619</v>
      </c>
      <c r="C2213" s="1" t="n">
        <v>45363</v>
      </c>
      <c r="D2213" t="inlineStr">
        <is>
          <t>JÄMTLANDS LÄN</t>
        </is>
      </c>
      <c r="E2213" t="inlineStr">
        <is>
          <t>ÖSTERSUND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27764-2019</t>
        </is>
      </c>
      <c r="B2214" s="1" t="n">
        <v>43619</v>
      </c>
      <c r="C2214" s="1" t="n">
        <v>45363</v>
      </c>
      <c r="D2214" t="inlineStr">
        <is>
          <t>JÄMTLANDS LÄN</t>
        </is>
      </c>
      <c r="E2214" t="inlineStr">
        <is>
          <t>KROKOM</t>
        </is>
      </c>
      <c r="G2214" t="n">
        <v>41.8</v>
      </c>
      <c r="H2214" t="n">
        <v>0</v>
      </c>
      <c r="I2214" t="n">
        <v>0</v>
      </c>
      <c r="J2214" t="n">
        <v>0</v>
      </c>
      <c r="K2214" t="n">
        <v>0</v>
      </c>
      <c r="L2214" t="n">
        <v>0</v>
      </c>
      <c r="M2214" t="n">
        <v>0</v>
      </c>
      <c r="N2214" t="n">
        <v>0</v>
      </c>
      <c r="O2214" t="n">
        <v>0</v>
      </c>
      <c r="P2214" t="n">
        <v>0</v>
      </c>
      <c r="Q2214" t="n">
        <v>0</v>
      </c>
      <c r="R2214" s="2" t="inlineStr"/>
    </row>
    <row r="2215" ht="15" customHeight="1">
      <c r="A2215" t="inlineStr">
        <is>
          <t>A 28899-2019</t>
        </is>
      </c>
      <c r="B2215" s="1" t="n">
        <v>43619</v>
      </c>
      <c r="C2215" s="1" t="n">
        <v>45363</v>
      </c>
      <c r="D2215" t="inlineStr">
        <is>
          <t>JÄMTLANDS LÄN</t>
        </is>
      </c>
      <c r="E2215" t="inlineStr">
        <is>
          <t>ÖSTERSUND</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28884-2019</t>
        </is>
      </c>
      <c r="B2216" s="1" t="n">
        <v>43619</v>
      </c>
      <c r="C2216" s="1" t="n">
        <v>45363</v>
      </c>
      <c r="D2216" t="inlineStr">
        <is>
          <t>JÄMTLANDS LÄN</t>
        </is>
      </c>
      <c r="E2216" t="inlineStr">
        <is>
          <t>ÖSTERSUND</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27763-2019</t>
        </is>
      </c>
      <c r="B2217" s="1" t="n">
        <v>43619</v>
      </c>
      <c r="C2217" s="1" t="n">
        <v>45363</v>
      </c>
      <c r="D2217" t="inlineStr">
        <is>
          <t>JÄMTLANDS LÄN</t>
        </is>
      </c>
      <c r="E2217" t="inlineStr">
        <is>
          <t>KROKOM</t>
        </is>
      </c>
      <c r="G2217" t="n">
        <v>15.1</v>
      </c>
      <c r="H2217" t="n">
        <v>0</v>
      </c>
      <c r="I2217" t="n">
        <v>0</v>
      </c>
      <c r="J2217" t="n">
        <v>0</v>
      </c>
      <c r="K2217" t="n">
        <v>0</v>
      </c>
      <c r="L2217" t="n">
        <v>0</v>
      </c>
      <c r="M2217" t="n">
        <v>0</v>
      </c>
      <c r="N2217" t="n">
        <v>0</v>
      </c>
      <c r="O2217" t="n">
        <v>0</v>
      </c>
      <c r="P2217" t="n">
        <v>0</v>
      </c>
      <c r="Q2217" t="n">
        <v>0</v>
      </c>
      <c r="R2217" s="2" t="inlineStr"/>
    </row>
    <row r="2218" ht="15" customHeight="1">
      <c r="A2218" t="inlineStr">
        <is>
          <t>A 27903-2019</t>
        </is>
      </c>
      <c r="B2218" s="1" t="n">
        <v>43620</v>
      </c>
      <c r="C2218" s="1" t="n">
        <v>45363</v>
      </c>
      <c r="D2218" t="inlineStr">
        <is>
          <t>JÄMTLANDS LÄN</t>
        </is>
      </c>
      <c r="E2218" t="inlineStr">
        <is>
          <t>HÄRJEDALEN</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27977-2019</t>
        </is>
      </c>
      <c r="B2219" s="1" t="n">
        <v>43620</v>
      </c>
      <c r="C2219" s="1" t="n">
        <v>45363</v>
      </c>
      <c r="D2219" t="inlineStr">
        <is>
          <t>JÄMTLANDS LÄN</t>
        </is>
      </c>
      <c r="E2219" t="inlineStr">
        <is>
          <t>ÖSTERSUND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27817-2019</t>
        </is>
      </c>
      <c r="B2220" s="1" t="n">
        <v>43620</v>
      </c>
      <c r="C2220" s="1" t="n">
        <v>45363</v>
      </c>
      <c r="D2220" t="inlineStr">
        <is>
          <t>JÄMTLANDS LÄN</t>
        </is>
      </c>
      <c r="E2220" t="inlineStr">
        <is>
          <t>STRÖMSUND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28215-2019</t>
        </is>
      </c>
      <c r="B2221" s="1" t="n">
        <v>43622</v>
      </c>
      <c r="C2221" s="1" t="n">
        <v>45363</v>
      </c>
      <c r="D2221" t="inlineStr">
        <is>
          <t>JÄMTLANDS LÄN</t>
        </is>
      </c>
      <c r="E2221" t="inlineStr">
        <is>
          <t>STRÖMSUND</t>
        </is>
      </c>
      <c r="F2221" t="inlineStr">
        <is>
          <t>SCA</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29058-2019</t>
        </is>
      </c>
      <c r="B2222" s="1" t="n">
        <v>43621</v>
      </c>
      <c r="C2222" s="1" t="n">
        <v>45363</v>
      </c>
      <c r="D2222" t="inlineStr">
        <is>
          <t>JÄMTLANDS LÄN</t>
        </is>
      </c>
      <c r="E2222" t="inlineStr">
        <is>
          <t>ÖSTERSUND</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28251-2019</t>
        </is>
      </c>
      <c r="B2223" s="1" t="n">
        <v>43622</v>
      </c>
      <c r="C2223" s="1" t="n">
        <v>45363</v>
      </c>
      <c r="D2223" t="inlineStr">
        <is>
          <t>JÄMTLANDS LÄN</t>
        </is>
      </c>
      <c r="E2223" t="inlineStr">
        <is>
          <t>RAGUNDA</t>
        </is>
      </c>
      <c r="F2223" t="inlineStr">
        <is>
          <t>SCA</t>
        </is>
      </c>
      <c r="G2223" t="n">
        <v>25.7</v>
      </c>
      <c r="H2223" t="n">
        <v>0</v>
      </c>
      <c r="I2223" t="n">
        <v>0</v>
      </c>
      <c r="J2223" t="n">
        <v>0</v>
      </c>
      <c r="K2223" t="n">
        <v>0</v>
      </c>
      <c r="L2223" t="n">
        <v>0</v>
      </c>
      <c r="M2223" t="n">
        <v>0</v>
      </c>
      <c r="N2223" t="n">
        <v>0</v>
      </c>
      <c r="O2223" t="n">
        <v>0</v>
      </c>
      <c r="P2223" t="n">
        <v>0</v>
      </c>
      <c r="Q2223" t="n">
        <v>0</v>
      </c>
      <c r="R2223" s="2" t="inlineStr"/>
    </row>
    <row r="2224" ht="15" customHeight="1">
      <c r="A2224" t="inlineStr">
        <is>
          <t>A 28250-2019</t>
        </is>
      </c>
      <c r="B2224" s="1" t="n">
        <v>43622</v>
      </c>
      <c r="C2224" s="1" t="n">
        <v>45363</v>
      </c>
      <c r="D2224" t="inlineStr">
        <is>
          <t>JÄMTLANDS LÄN</t>
        </is>
      </c>
      <c r="E2224" t="inlineStr">
        <is>
          <t>BERG</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29270-2019</t>
        </is>
      </c>
      <c r="B2225" s="1" t="n">
        <v>43623</v>
      </c>
      <c r="C2225" s="1" t="n">
        <v>45363</v>
      </c>
      <c r="D2225" t="inlineStr">
        <is>
          <t>JÄMTLANDS LÄN</t>
        </is>
      </c>
      <c r="E2225" t="inlineStr">
        <is>
          <t>KROKOM</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28312-2019</t>
        </is>
      </c>
      <c r="B2226" s="1" t="n">
        <v>43623</v>
      </c>
      <c r="C2226" s="1" t="n">
        <v>45363</v>
      </c>
      <c r="D2226" t="inlineStr">
        <is>
          <t>JÄMTLANDS LÄN</t>
        </is>
      </c>
      <c r="E2226" t="inlineStr">
        <is>
          <t>HÄRJEDALEN</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29222-2019</t>
        </is>
      </c>
      <c r="B2227" s="1" t="n">
        <v>43623</v>
      </c>
      <c r="C2227" s="1" t="n">
        <v>45363</v>
      </c>
      <c r="D2227" t="inlineStr">
        <is>
          <t>JÄMTLANDS LÄN</t>
        </is>
      </c>
      <c r="E2227" t="inlineStr">
        <is>
          <t>KROKOM</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28326-2019</t>
        </is>
      </c>
      <c r="B2228" s="1" t="n">
        <v>43623</v>
      </c>
      <c r="C2228" s="1" t="n">
        <v>45363</v>
      </c>
      <c r="D2228" t="inlineStr">
        <is>
          <t>JÄMTLANDS LÄN</t>
        </is>
      </c>
      <c r="E2228" t="inlineStr">
        <is>
          <t>HÄRJEDALEN</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29211-2019</t>
        </is>
      </c>
      <c r="B2229" s="1" t="n">
        <v>43623</v>
      </c>
      <c r="C2229" s="1" t="n">
        <v>45363</v>
      </c>
      <c r="D2229" t="inlineStr">
        <is>
          <t>JÄMTLANDS LÄN</t>
        </is>
      </c>
      <c r="E2229" t="inlineStr">
        <is>
          <t>KROKOM</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28513-2019</t>
        </is>
      </c>
      <c r="B2230" s="1" t="n">
        <v>43626</v>
      </c>
      <c r="C2230" s="1" t="n">
        <v>45363</v>
      </c>
      <c r="D2230" t="inlineStr">
        <is>
          <t>JÄMTLANDS LÄN</t>
        </is>
      </c>
      <c r="E2230" t="inlineStr">
        <is>
          <t>HÄRJEDALEN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28521-2019</t>
        </is>
      </c>
      <c r="B2231" s="1" t="n">
        <v>43626</v>
      </c>
      <c r="C2231" s="1" t="n">
        <v>45363</v>
      </c>
      <c r="D2231" t="inlineStr">
        <is>
          <t>JÄMTLANDS LÄN</t>
        </is>
      </c>
      <c r="E2231" t="inlineStr">
        <is>
          <t>KROKOM</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29339-2019</t>
        </is>
      </c>
      <c r="B2232" s="1" t="n">
        <v>43626</v>
      </c>
      <c r="C2232" s="1" t="n">
        <v>45363</v>
      </c>
      <c r="D2232" t="inlineStr">
        <is>
          <t>JÄMTLANDS LÄN</t>
        </is>
      </c>
      <c r="E2232" t="inlineStr">
        <is>
          <t>BERG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28766-2019</t>
        </is>
      </c>
      <c r="B2233" s="1" t="n">
        <v>43627</v>
      </c>
      <c r="C2233" s="1" t="n">
        <v>45363</v>
      </c>
      <c r="D2233" t="inlineStr">
        <is>
          <t>JÄMTLANDS LÄN</t>
        </is>
      </c>
      <c r="E2233" t="inlineStr">
        <is>
          <t>STRÖMSUND</t>
        </is>
      </c>
      <c r="G2233" t="n">
        <v>19.8</v>
      </c>
      <c r="H2233" t="n">
        <v>0</v>
      </c>
      <c r="I2233" t="n">
        <v>0</v>
      </c>
      <c r="J2233" t="n">
        <v>0</v>
      </c>
      <c r="K2233" t="n">
        <v>0</v>
      </c>
      <c r="L2233" t="n">
        <v>0</v>
      </c>
      <c r="M2233" t="n">
        <v>0</v>
      </c>
      <c r="N2233" t="n">
        <v>0</v>
      </c>
      <c r="O2233" t="n">
        <v>0</v>
      </c>
      <c r="P2233" t="n">
        <v>0</v>
      </c>
      <c r="Q2233" t="n">
        <v>0</v>
      </c>
      <c r="R2233" s="2" t="inlineStr"/>
    </row>
    <row r="2234" ht="15" customHeight="1">
      <c r="A2234" t="inlineStr">
        <is>
          <t>A 28671-2019</t>
        </is>
      </c>
      <c r="B2234" s="1" t="n">
        <v>43627</v>
      </c>
      <c r="C2234" s="1" t="n">
        <v>45363</v>
      </c>
      <c r="D2234" t="inlineStr">
        <is>
          <t>JÄMTLANDS LÄN</t>
        </is>
      </c>
      <c r="E2234" t="inlineStr">
        <is>
          <t>STRÖMSUND</t>
        </is>
      </c>
      <c r="G2234" t="n">
        <v>21.3</v>
      </c>
      <c r="H2234" t="n">
        <v>0</v>
      </c>
      <c r="I2234" t="n">
        <v>0</v>
      </c>
      <c r="J2234" t="n">
        <v>0</v>
      </c>
      <c r="K2234" t="n">
        <v>0</v>
      </c>
      <c r="L2234" t="n">
        <v>0</v>
      </c>
      <c r="M2234" t="n">
        <v>0</v>
      </c>
      <c r="N2234" t="n">
        <v>0</v>
      </c>
      <c r="O2234" t="n">
        <v>0</v>
      </c>
      <c r="P2234" t="n">
        <v>0</v>
      </c>
      <c r="Q2234" t="n">
        <v>0</v>
      </c>
      <c r="R2234" s="2" t="inlineStr"/>
    </row>
    <row r="2235" ht="15" customHeight="1">
      <c r="A2235" t="inlineStr">
        <is>
          <t>A 28793-2019</t>
        </is>
      </c>
      <c r="B2235" s="1" t="n">
        <v>43627</v>
      </c>
      <c r="C2235" s="1" t="n">
        <v>45363</v>
      </c>
      <c r="D2235" t="inlineStr">
        <is>
          <t>JÄMTLANDS LÄN</t>
        </is>
      </c>
      <c r="E2235" t="inlineStr">
        <is>
          <t>ÅRE</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28950-2019</t>
        </is>
      </c>
      <c r="B2236" s="1" t="n">
        <v>43628</v>
      </c>
      <c r="C2236" s="1" t="n">
        <v>45363</v>
      </c>
      <c r="D2236" t="inlineStr">
        <is>
          <t>JÄMTLANDS LÄN</t>
        </is>
      </c>
      <c r="E2236" t="inlineStr">
        <is>
          <t>BRÄCKE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29166-2019</t>
        </is>
      </c>
      <c r="B2237" s="1" t="n">
        <v>43628</v>
      </c>
      <c r="C2237" s="1" t="n">
        <v>45363</v>
      </c>
      <c r="D2237" t="inlineStr">
        <is>
          <t>JÄMTLANDS LÄN</t>
        </is>
      </c>
      <c r="E2237" t="inlineStr">
        <is>
          <t>STRÖMSUND</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29153-2019</t>
        </is>
      </c>
      <c r="B2238" s="1" t="n">
        <v>43628</v>
      </c>
      <c r="C2238" s="1" t="n">
        <v>45363</v>
      </c>
      <c r="D2238" t="inlineStr">
        <is>
          <t>JÄMTLANDS LÄN</t>
        </is>
      </c>
      <c r="E2238" t="inlineStr">
        <is>
          <t>KROKOM</t>
        </is>
      </c>
      <c r="F2238" t="inlineStr">
        <is>
          <t>SCA</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29705-2019</t>
        </is>
      </c>
      <c r="B2239" s="1" t="n">
        <v>43628</v>
      </c>
      <c r="C2239" s="1" t="n">
        <v>45363</v>
      </c>
      <c r="D2239" t="inlineStr">
        <is>
          <t>JÄMTLANDS LÄN</t>
        </is>
      </c>
      <c r="E2239" t="inlineStr">
        <is>
          <t>KROKOM</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29272-2019</t>
        </is>
      </c>
      <c r="B2240" s="1" t="n">
        <v>43629</v>
      </c>
      <c r="C2240" s="1" t="n">
        <v>45363</v>
      </c>
      <c r="D2240" t="inlineStr">
        <is>
          <t>JÄMTLANDS LÄN</t>
        </is>
      </c>
      <c r="E2240" t="inlineStr">
        <is>
          <t>ÅRE</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29359-2019</t>
        </is>
      </c>
      <c r="B2241" s="1" t="n">
        <v>43629</v>
      </c>
      <c r="C2241" s="1" t="n">
        <v>45363</v>
      </c>
      <c r="D2241" t="inlineStr">
        <is>
          <t>JÄMTLANDS LÄN</t>
        </is>
      </c>
      <c r="E2241" t="inlineStr">
        <is>
          <t>STRÖMSUND</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29378-2019</t>
        </is>
      </c>
      <c r="B2242" s="1" t="n">
        <v>43629</v>
      </c>
      <c r="C2242" s="1" t="n">
        <v>45363</v>
      </c>
      <c r="D2242" t="inlineStr">
        <is>
          <t>JÄMTLANDS LÄN</t>
        </is>
      </c>
      <c r="E2242" t="inlineStr">
        <is>
          <t>STRÖMSUND</t>
        </is>
      </c>
      <c r="G2242" t="n">
        <v>33.5</v>
      </c>
      <c r="H2242" t="n">
        <v>0</v>
      </c>
      <c r="I2242" t="n">
        <v>0</v>
      </c>
      <c r="J2242" t="n">
        <v>0</v>
      </c>
      <c r="K2242" t="n">
        <v>0</v>
      </c>
      <c r="L2242" t="n">
        <v>0</v>
      </c>
      <c r="M2242" t="n">
        <v>0</v>
      </c>
      <c r="N2242" t="n">
        <v>0</v>
      </c>
      <c r="O2242" t="n">
        <v>0</v>
      </c>
      <c r="P2242" t="n">
        <v>0</v>
      </c>
      <c r="Q2242" t="n">
        <v>0</v>
      </c>
      <c r="R2242" s="2" t="inlineStr"/>
    </row>
    <row r="2243" ht="15" customHeight="1">
      <c r="A2243" t="inlineStr">
        <is>
          <t>A 29476-2019</t>
        </is>
      </c>
      <c r="B2243" s="1" t="n">
        <v>43629</v>
      </c>
      <c r="C2243" s="1" t="n">
        <v>45363</v>
      </c>
      <c r="D2243" t="inlineStr">
        <is>
          <t>JÄMTLANDS LÄN</t>
        </is>
      </c>
      <c r="E2243" t="inlineStr">
        <is>
          <t>BRÄCKE</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29263-2019</t>
        </is>
      </c>
      <c r="B2244" s="1" t="n">
        <v>43629</v>
      </c>
      <c r="C2244" s="1" t="n">
        <v>45363</v>
      </c>
      <c r="D2244" t="inlineStr">
        <is>
          <t>JÄMTLANDS LÄN</t>
        </is>
      </c>
      <c r="E2244" t="inlineStr">
        <is>
          <t>HÄRJEDALEN</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29202-2019</t>
        </is>
      </c>
      <c r="B2245" s="1" t="n">
        <v>43629</v>
      </c>
      <c r="C2245" s="1" t="n">
        <v>45363</v>
      </c>
      <c r="D2245" t="inlineStr">
        <is>
          <t>JÄMTLANDS LÄN</t>
        </is>
      </c>
      <c r="E2245" t="inlineStr">
        <is>
          <t>BERG</t>
        </is>
      </c>
      <c r="F2245" t="inlineStr">
        <is>
          <t>Sveaskog</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29728-2019</t>
        </is>
      </c>
      <c r="B2246" s="1" t="n">
        <v>43630</v>
      </c>
      <c r="C2246" s="1" t="n">
        <v>45363</v>
      </c>
      <c r="D2246" t="inlineStr">
        <is>
          <t>JÄMTLANDS LÄN</t>
        </is>
      </c>
      <c r="E2246" t="inlineStr">
        <is>
          <t>BERG</t>
        </is>
      </c>
      <c r="G2246" t="n">
        <v>8.1</v>
      </c>
      <c r="H2246" t="n">
        <v>0</v>
      </c>
      <c r="I2246" t="n">
        <v>0</v>
      </c>
      <c r="J2246" t="n">
        <v>0</v>
      </c>
      <c r="K2246" t="n">
        <v>0</v>
      </c>
      <c r="L2246" t="n">
        <v>0</v>
      </c>
      <c r="M2246" t="n">
        <v>0</v>
      </c>
      <c r="N2246" t="n">
        <v>0</v>
      </c>
      <c r="O2246" t="n">
        <v>0</v>
      </c>
      <c r="P2246" t="n">
        <v>0</v>
      </c>
      <c r="Q2246" t="n">
        <v>0</v>
      </c>
      <c r="R2246" s="2" t="inlineStr"/>
    </row>
    <row r="2247" ht="15" customHeight="1">
      <c r="A2247" t="inlineStr">
        <is>
          <t>A 29740-2019</t>
        </is>
      </c>
      <c r="B2247" s="1" t="n">
        <v>43630</v>
      </c>
      <c r="C2247" s="1" t="n">
        <v>45363</v>
      </c>
      <c r="D2247" t="inlineStr">
        <is>
          <t>JÄMTLANDS LÄN</t>
        </is>
      </c>
      <c r="E2247" t="inlineStr">
        <is>
          <t>STRÖMSUND</t>
        </is>
      </c>
      <c r="F2247" t="inlineStr">
        <is>
          <t>SCA</t>
        </is>
      </c>
      <c r="G2247" t="n">
        <v>62.8</v>
      </c>
      <c r="H2247" t="n">
        <v>0</v>
      </c>
      <c r="I2247" t="n">
        <v>0</v>
      </c>
      <c r="J2247" t="n">
        <v>0</v>
      </c>
      <c r="K2247" t="n">
        <v>0</v>
      </c>
      <c r="L2247" t="n">
        <v>0</v>
      </c>
      <c r="M2247" t="n">
        <v>0</v>
      </c>
      <c r="N2247" t="n">
        <v>0</v>
      </c>
      <c r="O2247" t="n">
        <v>0</v>
      </c>
      <c r="P2247" t="n">
        <v>0</v>
      </c>
      <c r="Q2247" t="n">
        <v>0</v>
      </c>
      <c r="R2247" s="2" t="inlineStr"/>
    </row>
    <row r="2248" ht="15" customHeight="1">
      <c r="A2248" t="inlineStr">
        <is>
          <t>A 29769-2019</t>
        </is>
      </c>
      <c r="B2248" s="1" t="n">
        <v>43632</v>
      </c>
      <c r="C2248" s="1" t="n">
        <v>45363</v>
      </c>
      <c r="D2248" t="inlineStr">
        <is>
          <t>JÄMTLANDS LÄN</t>
        </is>
      </c>
      <c r="E2248" t="inlineStr">
        <is>
          <t>ÅRE</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29822-2019</t>
        </is>
      </c>
      <c r="B2249" s="1" t="n">
        <v>43633</v>
      </c>
      <c r="C2249" s="1" t="n">
        <v>45363</v>
      </c>
      <c r="D2249" t="inlineStr">
        <is>
          <t>JÄMTLANDS LÄN</t>
        </is>
      </c>
      <c r="E2249" t="inlineStr">
        <is>
          <t>HÄRJEDALEN</t>
        </is>
      </c>
      <c r="G2249" t="n">
        <v>9.300000000000001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29925-2019</t>
        </is>
      </c>
      <c r="B2250" s="1" t="n">
        <v>43633</v>
      </c>
      <c r="C2250" s="1" t="n">
        <v>45363</v>
      </c>
      <c r="D2250" t="inlineStr">
        <is>
          <t>JÄMTLANDS LÄN</t>
        </is>
      </c>
      <c r="E2250" t="inlineStr">
        <is>
          <t>KROKOM</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29823-2019</t>
        </is>
      </c>
      <c r="B2251" s="1" t="n">
        <v>43633</v>
      </c>
      <c r="C2251" s="1" t="n">
        <v>45363</v>
      </c>
      <c r="D2251" t="inlineStr">
        <is>
          <t>JÄMTLANDS LÄN</t>
        </is>
      </c>
      <c r="E2251" t="inlineStr">
        <is>
          <t>KROKOM</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29916-2019</t>
        </is>
      </c>
      <c r="B2252" s="1" t="n">
        <v>43633</v>
      </c>
      <c r="C2252" s="1" t="n">
        <v>45363</v>
      </c>
      <c r="D2252" t="inlineStr">
        <is>
          <t>JÄMTLANDS LÄN</t>
        </is>
      </c>
      <c r="E2252" t="inlineStr">
        <is>
          <t>ÅRE</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30030-2019</t>
        </is>
      </c>
      <c r="B2253" s="1" t="n">
        <v>43633</v>
      </c>
      <c r="C2253" s="1" t="n">
        <v>45363</v>
      </c>
      <c r="D2253" t="inlineStr">
        <is>
          <t>JÄMTLANDS LÄN</t>
        </is>
      </c>
      <c r="E2253" t="inlineStr">
        <is>
          <t>RAGUNDA</t>
        </is>
      </c>
      <c r="G2253" t="n">
        <v>10.6</v>
      </c>
      <c r="H2253" t="n">
        <v>0</v>
      </c>
      <c r="I2253" t="n">
        <v>0</v>
      </c>
      <c r="J2253" t="n">
        <v>0</v>
      </c>
      <c r="K2253" t="n">
        <v>0</v>
      </c>
      <c r="L2253" t="n">
        <v>0</v>
      </c>
      <c r="M2253" t="n">
        <v>0</v>
      </c>
      <c r="N2253" t="n">
        <v>0</v>
      </c>
      <c r="O2253" t="n">
        <v>0</v>
      </c>
      <c r="P2253" t="n">
        <v>0</v>
      </c>
      <c r="Q2253" t="n">
        <v>0</v>
      </c>
      <c r="R2253" s="2" t="inlineStr"/>
    </row>
    <row r="2254" ht="15" customHeight="1">
      <c r="A2254" t="inlineStr">
        <is>
          <t>A 30032-2019</t>
        </is>
      </c>
      <c r="B2254" s="1" t="n">
        <v>43633</v>
      </c>
      <c r="C2254" s="1" t="n">
        <v>45363</v>
      </c>
      <c r="D2254" t="inlineStr">
        <is>
          <t>JÄMTLANDS LÄN</t>
        </is>
      </c>
      <c r="E2254" t="inlineStr">
        <is>
          <t>KROKOM</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30076-2019</t>
        </is>
      </c>
      <c r="B2255" s="1" t="n">
        <v>43633</v>
      </c>
      <c r="C2255" s="1" t="n">
        <v>45363</v>
      </c>
      <c r="D2255" t="inlineStr">
        <is>
          <t>JÄMTLANDS LÄN</t>
        </is>
      </c>
      <c r="E2255" t="inlineStr">
        <is>
          <t>BRÄCKE</t>
        </is>
      </c>
      <c r="F2255" t="inlineStr">
        <is>
          <t>SCA</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30072-2019</t>
        </is>
      </c>
      <c r="B2256" s="1" t="n">
        <v>43633</v>
      </c>
      <c r="C2256" s="1" t="n">
        <v>45363</v>
      </c>
      <c r="D2256" t="inlineStr">
        <is>
          <t>JÄMTLANDS LÄN</t>
        </is>
      </c>
      <c r="E2256" t="inlineStr">
        <is>
          <t>BRÄCKE</t>
        </is>
      </c>
      <c r="F2256" t="inlineStr">
        <is>
          <t>Naturvårdsverket</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30071-2019</t>
        </is>
      </c>
      <c r="B2257" s="1" t="n">
        <v>43633</v>
      </c>
      <c r="C2257" s="1" t="n">
        <v>45363</v>
      </c>
      <c r="D2257" t="inlineStr">
        <is>
          <t>JÄMTLANDS LÄN</t>
        </is>
      </c>
      <c r="E2257" t="inlineStr">
        <is>
          <t>BRÄCKE</t>
        </is>
      </c>
      <c r="F2257" t="inlineStr">
        <is>
          <t>SCA</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30034-2019</t>
        </is>
      </c>
      <c r="B2258" s="1" t="n">
        <v>43633</v>
      </c>
      <c r="C2258" s="1" t="n">
        <v>45363</v>
      </c>
      <c r="D2258" t="inlineStr">
        <is>
          <t>JÄMTLANDS LÄN</t>
        </is>
      </c>
      <c r="E2258" t="inlineStr">
        <is>
          <t>RAGUNDA</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30136-2019</t>
        </is>
      </c>
      <c r="B2259" s="1" t="n">
        <v>43634</v>
      </c>
      <c r="C2259" s="1" t="n">
        <v>45363</v>
      </c>
      <c r="D2259" t="inlineStr">
        <is>
          <t>JÄMTLANDS LÄN</t>
        </is>
      </c>
      <c r="E2259" t="inlineStr">
        <is>
          <t>STRÖMSUND</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30378-2019</t>
        </is>
      </c>
      <c r="B2260" s="1" t="n">
        <v>43634</v>
      </c>
      <c r="C2260" s="1" t="n">
        <v>45363</v>
      </c>
      <c r="D2260" t="inlineStr">
        <is>
          <t>JÄMTLANDS LÄN</t>
        </is>
      </c>
      <c r="E2260" t="inlineStr">
        <is>
          <t>STRÖMSUND</t>
        </is>
      </c>
      <c r="F2260" t="inlineStr">
        <is>
          <t>SCA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30139-2019</t>
        </is>
      </c>
      <c r="B2261" s="1" t="n">
        <v>43634</v>
      </c>
      <c r="C2261" s="1" t="n">
        <v>45363</v>
      </c>
      <c r="D2261" t="inlineStr">
        <is>
          <t>JÄMTLANDS LÄN</t>
        </is>
      </c>
      <c r="E2261" t="inlineStr">
        <is>
          <t>STRÖMSUND</t>
        </is>
      </c>
      <c r="F2261" t="inlineStr">
        <is>
          <t>Sveaskog</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30138-2019</t>
        </is>
      </c>
      <c r="B2262" s="1" t="n">
        <v>43634</v>
      </c>
      <c r="C2262" s="1" t="n">
        <v>45363</v>
      </c>
      <c r="D2262" t="inlineStr">
        <is>
          <t>JÄMTLANDS LÄN</t>
        </is>
      </c>
      <c r="E2262" t="inlineStr">
        <is>
          <t>KROKOM</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30384-2019</t>
        </is>
      </c>
      <c r="B2263" s="1" t="n">
        <v>43634</v>
      </c>
      <c r="C2263" s="1" t="n">
        <v>45363</v>
      </c>
      <c r="D2263" t="inlineStr">
        <is>
          <t>JÄMTLANDS LÄN</t>
        </is>
      </c>
      <c r="E2263" t="inlineStr">
        <is>
          <t>ÅRE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30625-2019</t>
        </is>
      </c>
      <c r="B2264" s="1" t="n">
        <v>43635</v>
      </c>
      <c r="C2264" s="1" t="n">
        <v>45363</v>
      </c>
      <c r="D2264" t="inlineStr">
        <is>
          <t>JÄMTLANDS LÄN</t>
        </is>
      </c>
      <c r="E2264" t="inlineStr">
        <is>
          <t>BRÄCKE</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31189-2019</t>
        </is>
      </c>
      <c r="B2265" s="1" t="n">
        <v>43635</v>
      </c>
      <c r="C2265" s="1" t="n">
        <v>45363</v>
      </c>
      <c r="D2265" t="inlineStr">
        <is>
          <t>JÄMTLANDS LÄN</t>
        </is>
      </c>
      <c r="E2265" t="inlineStr">
        <is>
          <t>ÖSTERSUND</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30627-2019</t>
        </is>
      </c>
      <c r="B2266" s="1" t="n">
        <v>43635</v>
      </c>
      <c r="C2266" s="1" t="n">
        <v>45363</v>
      </c>
      <c r="D2266" t="inlineStr">
        <is>
          <t>JÄMTLANDS LÄN</t>
        </is>
      </c>
      <c r="E2266" t="inlineStr">
        <is>
          <t>BRÄCKE</t>
        </is>
      </c>
      <c r="F2266" t="inlineStr">
        <is>
          <t>SCA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30678-2019</t>
        </is>
      </c>
      <c r="B2267" s="1" t="n">
        <v>43636</v>
      </c>
      <c r="C2267" s="1" t="n">
        <v>45363</v>
      </c>
      <c r="D2267" t="inlineStr">
        <is>
          <t>JÄMTLANDS LÄN</t>
        </is>
      </c>
      <c r="E2267" t="inlineStr">
        <is>
          <t>BRÄCKE</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30691-2019</t>
        </is>
      </c>
      <c r="B2268" s="1" t="n">
        <v>43636</v>
      </c>
      <c r="C2268" s="1" t="n">
        <v>45363</v>
      </c>
      <c r="D2268" t="inlineStr">
        <is>
          <t>JÄMTLANDS LÄN</t>
        </is>
      </c>
      <c r="E2268" t="inlineStr">
        <is>
          <t>KROKOM</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30758-2019</t>
        </is>
      </c>
      <c r="B2269" s="1" t="n">
        <v>43636</v>
      </c>
      <c r="C2269" s="1" t="n">
        <v>45363</v>
      </c>
      <c r="D2269" t="inlineStr">
        <is>
          <t>JÄMTLANDS LÄN</t>
        </is>
      </c>
      <c r="E2269" t="inlineStr">
        <is>
          <t>KROKOM</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30915-2019</t>
        </is>
      </c>
      <c r="B2270" s="1" t="n">
        <v>43636</v>
      </c>
      <c r="C2270" s="1" t="n">
        <v>45363</v>
      </c>
      <c r="D2270" t="inlineStr">
        <is>
          <t>JÄMTLANDS LÄN</t>
        </is>
      </c>
      <c r="E2270" t="inlineStr">
        <is>
          <t>STRÖMSUND</t>
        </is>
      </c>
      <c r="F2270" t="inlineStr">
        <is>
          <t>SCA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30940-2019</t>
        </is>
      </c>
      <c r="B2271" s="1" t="n">
        <v>43637</v>
      </c>
      <c r="C2271" s="1" t="n">
        <v>45363</v>
      </c>
      <c r="D2271" t="inlineStr">
        <is>
          <t>JÄMTLANDS LÄN</t>
        </is>
      </c>
      <c r="E2271" t="inlineStr">
        <is>
          <t>ÖSTERSUND</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30935-2019</t>
        </is>
      </c>
      <c r="B2272" s="1" t="n">
        <v>43636</v>
      </c>
      <c r="C2272" s="1" t="n">
        <v>45363</v>
      </c>
      <c r="D2272" t="inlineStr">
        <is>
          <t>JÄMTLANDS LÄN</t>
        </is>
      </c>
      <c r="E2272" t="inlineStr">
        <is>
          <t>BRÄCKE</t>
        </is>
      </c>
      <c r="F2272" t="inlineStr">
        <is>
          <t>SCA</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30946-2019</t>
        </is>
      </c>
      <c r="B2273" s="1" t="n">
        <v>43636</v>
      </c>
      <c r="C2273" s="1" t="n">
        <v>45363</v>
      </c>
      <c r="D2273" t="inlineStr">
        <is>
          <t>JÄMTLANDS LÄN</t>
        </is>
      </c>
      <c r="E2273" t="inlineStr">
        <is>
          <t>ÖSTERSUND</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31070-2019</t>
        </is>
      </c>
      <c r="B2274" s="1" t="n">
        <v>43640</v>
      </c>
      <c r="C2274" s="1" t="n">
        <v>45363</v>
      </c>
      <c r="D2274" t="inlineStr">
        <is>
          <t>JÄMTLANDS LÄN</t>
        </is>
      </c>
      <c r="E2274" t="inlineStr">
        <is>
          <t>KROKOM</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31032-2019</t>
        </is>
      </c>
      <c r="B2275" s="1" t="n">
        <v>43640</v>
      </c>
      <c r="C2275" s="1" t="n">
        <v>45363</v>
      </c>
      <c r="D2275" t="inlineStr">
        <is>
          <t>JÄMTLANDS LÄN</t>
        </is>
      </c>
      <c r="E2275" t="inlineStr">
        <is>
          <t>KROKOM</t>
        </is>
      </c>
      <c r="F2275" t="inlineStr">
        <is>
          <t>Övriga Aktiebolag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31071-2019</t>
        </is>
      </c>
      <c r="B2276" s="1" t="n">
        <v>43640</v>
      </c>
      <c r="C2276" s="1" t="n">
        <v>45363</v>
      </c>
      <c r="D2276" t="inlineStr">
        <is>
          <t>JÄMTLANDS LÄN</t>
        </is>
      </c>
      <c r="E2276" t="inlineStr">
        <is>
          <t>KROKOM</t>
        </is>
      </c>
      <c r="F2276" t="inlineStr">
        <is>
          <t>Övriga Aktiebolag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31292-2019</t>
        </is>
      </c>
      <c r="B2277" s="1" t="n">
        <v>43640</v>
      </c>
      <c r="C2277" s="1" t="n">
        <v>45363</v>
      </c>
      <c r="D2277" t="inlineStr">
        <is>
          <t>JÄMTLANDS LÄN</t>
        </is>
      </c>
      <c r="E2277" t="inlineStr">
        <is>
          <t>BRÄCKE</t>
        </is>
      </c>
      <c r="F2277" t="inlineStr">
        <is>
          <t>SCA</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31617-2019</t>
        </is>
      </c>
      <c r="B2278" s="1" t="n">
        <v>43640</v>
      </c>
      <c r="C2278" s="1" t="n">
        <v>45363</v>
      </c>
      <c r="D2278" t="inlineStr">
        <is>
          <t>JÄMTLANDS LÄN</t>
        </is>
      </c>
      <c r="E2278" t="inlineStr">
        <is>
          <t>ÖSTERSUND</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31299-2019</t>
        </is>
      </c>
      <c r="B2279" s="1" t="n">
        <v>43640</v>
      </c>
      <c r="C2279" s="1" t="n">
        <v>45363</v>
      </c>
      <c r="D2279" t="inlineStr">
        <is>
          <t>JÄMTLANDS LÄN</t>
        </is>
      </c>
      <c r="E2279" t="inlineStr">
        <is>
          <t>RAGUNDA</t>
        </is>
      </c>
      <c r="F2279" t="inlineStr">
        <is>
          <t>SCA</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31238-2019</t>
        </is>
      </c>
      <c r="B2280" s="1" t="n">
        <v>43640</v>
      </c>
      <c r="C2280" s="1" t="n">
        <v>45363</v>
      </c>
      <c r="D2280" t="inlineStr">
        <is>
          <t>JÄMTLANDS LÄN</t>
        </is>
      </c>
      <c r="E2280" t="inlineStr">
        <is>
          <t>BERG</t>
        </is>
      </c>
      <c r="F2280" t="inlineStr">
        <is>
          <t>Sveaskog</t>
        </is>
      </c>
      <c r="G2280" t="n">
        <v>9.6</v>
      </c>
      <c r="H2280" t="n">
        <v>0</v>
      </c>
      <c r="I2280" t="n">
        <v>0</v>
      </c>
      <c r="J2280" t="n">
        <v>0</v>
      </c>
      <c r="K2280" t="n">
        <v>0</v>
      </c>
      <c r="L2280" t="n">
        <v>0</v>
      </c>
      <c r="M2280" t="n">
        <v>0</v>
      </c>
      <c r="N2280" t="n">
        <v>0</v>
      </c>
      <c r="O2280" t="n">
        <v>0</v>
      </c>
      <c r="P2280" t="n">
        <v>0</v>
      </c>
      <c r="Q2280" t="n">
        <v>0</v>
      </c>
      <c r="R2280" s="2" t="inlineStr"/>
    </row>
    <row r="2281" ht="15" customHeight="1">
      <c r="A2281" t="inlineStr">
        <is>
          <t>A 31206-2019</t>
        </is>
      </c>
      <c r="B2281" s="1" t="n">
        <v>43640</v>
      </c>
      <c r="C2281" s="1" t="n">
        <v>45363</v>
      </c>
      <c r="D2281" t="inlineStr">
        <is>
          <t>JÄMTLANDS LÄN</t>
        </is>
      </c>
      <c r="E2281" t="inlineStr">
        <is>
          <t>BERG</t>
        </is>
      </c>
      <c r="F2281" t="inlineStr">
        <is>
          <t>Sveaskog</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31291-2019</t>
        </is>
      </c>
      <c r="B2282" s="1" t="n">
        <v>43640</v>
      </c>
      <c r="C2282" s="1" t="n">
        <v>45363</v>
      </c>
      <c r="D2282" t="inlineStr">
        <is>
          <t>JÄMTLANDS LÄN</t>
        </is>
      </c>
      <c r="E2282" t="inlineStr">
        <is>
          <t>BRÄCKE</t>
        </is>
      </c>
      <c r="F2282" t="inlineStr">
        <is>
          <t>SCA</t>
        </is>
      </c>
      <c r="G2282" t="n">
        <v>18.7</v>
      </c>
      <c r="H2282" t="n">
        <v>0</v>
      </c>
      <c r="I2282" t="n">
        <v>0</v>
      </c>
      <c r="J2282" t="n">
        <v>0</v>
      </c>
      <c r="K2282" t="n">
        <v>0</v>
      </c>
      <c r="L2282" t="n">
        <v>0</v>
      </c>
      <c r="M2282" t="n">
        <v>0</v>
      </c>
      <c r="N2282" t="n">
        <v>0</v>
      </c>
      <c r="O2282" t="n">
        <v>0</v>
      </c>
      <c r="P2282" t="n">
        <v>0</v>
      </c>
      <c r="Q2282" t="n">
        <v>0</v>
      </c>
      <c r="R2282" s="2" t="inlineStr"/>
    </row>
    <row r="2283" ht="15" customHeight="1">
      <c r="A2283" t="inlineStr">
        <is>
          <t>A 31621-2019</t>
        </is>
      </c>
      <c r="B2283" s="1" t="n">
        <v>43640</v>
      </c>
      <c r="C2283" s="1" t="n">
        <v>45363</v>
      </c>
      <c r="D2283" t="inlineStr">
        <is>
          <t>JÄMTLANDS LÄN</t>
        </is>
      </c>
      <c r="E2283" t="inlineStr">
        <is>
          <t>ÖSTERSUND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31568-2019</t>
        </is>
      </c>
      <c r="B2284" s="1" t="n">
        <v>43641</v>
      </c>
      <c r="C2284" s="1" t="n">
        <v>45363</v>
      </c>
      <c r="D2284" t="inlineStr">
        <is>
          <t>JÄMTLANDS LÄN</t>
        </is>
      </c>
      <c r="E2284" t="inlineStr">
        <is>
          <t>BERG</t>
        </is>
      </c>
      <c r="F2284" t="inlineStr">
        <is>
          <t>SCA</t>
        </is>
      </c>
      <c r="G2284" t="n">
        <v>16.4</v>
      </c>
      <c r="H2284" t="n">
        <v>0</v>
      </c>
      <c r="I2284" t="n">
        <v>0</v>
      </c>
      <c r="J2284" t="n">
        <v>0</v>
      </c>
      <c r="K2284" t="n">
        <v>0</v>
      </c>
      <c r="L2284" t="n">
        <v>0</v>
      </c>
      <c r="M2284" t="n">
        <v>0</v>
      </c>
      <c r="N2284" t="n">
        <v>0</v>
      </c>
      <c r="O2284" t="n">
        <v>0</v>
      </c>
      <c r="P2284" t="n">
        <v>0</v>
      </c>
      <c r="Q2284" t="n">
        <v>0</v>
      </c>
      <c r="R2284" s="2" t="inlineStr"/>
    </row>
    <row r="2285" ht="15" customHeight="1">
      <c r="A2285" t="inlineStr">
        <is>
          <t>A 31562-2019</t>
        </is>
      </c>
      <c r="B2285" s="1" t="n">
        <v>43641</v>
      </c>
      <c r="C2285" s="1" t="n">
        <v>45363</v>
      </c>
      <c r="D2285" t="inlineStr">
        <is>
          <t>JÄMTLANDS LÄN</t>
        </is>
      </c>
      <c r="E2285" t="inlineStr">
        <is>
          <t>RAGUNDA</t>
        </is>
      </c>
      <c r="F2285" t="inlineStr">
        <is>
          <t>SCA</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31574-2019</t>
        </is>
      </c>
      <c r="B2286" s="1" t="n">
        <v>43641</v>
      </c>
      <c r="C2286" s="1" t="n">
        <v>45363</v>
      </c>
      <c r="D2286" t="inlineStr">
        <is>
          <t>JÄMTLANDS LÄN</t>
        </is>
      </c>
      <c r="E2286" t="inlineStr">
        <is>
          <t>KROKOM</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31563-2019</t>
        </is>
      </c>
      <c r="B2287" s="1" t="n">
        <v>43641</v>
      </c>
      <c r="C2287" s="1" t="n">
        <v>45363</v>
      </c>
      <c r="D2287" t="inlineStr">
        <is>
          <t>JÄMTLANDS LÄN</t>
        </is>
      </c>
      <c r="E2287" t="inlineStr">
        <is>
          <t>RAGUNDA</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31575-2019</t>
        </is>
      </c>
      <c r="B2288" s="1" t="n">
        <v>43641</v>
      </c>
      <c r="C2288" s="1" t="n">
        <v>45363</v>
      </c>
      <c r="D2288" t="inlineStr">
        <is>
          <t>JÄMTLANDS LÄN</t>
        </is>
      </c>
      <c r="E2288" t="inlineStr">
        <is>
          <t>KROKOM</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31911-2019</t>
        </is>
      </c>
      <c r="B2289" s="1" t="n">
        <v>43642</v>
      </c>
      <c r="C2289" s="1" t="n">
        <v>45363</v>
      </c>
      <c r="D2289" t="inlineStr">
        <is>
          <t>JÄMTLANDS LÄN</t>
        </is>
      </c>
      <c r="E2289" t="inlineStr">
        <is>
          <t>KROKOM</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32053-2019</t>
        </is>
      </c>
      <c r="B2290" s="1" t="n">
        <v>43642</v>
      </c>
      <c r="C2290" s="1" t="n">
        <v>45363</v>
      </c>
      <c r="D2290" t="inlineStr">
        <is>
          <t>JÄMTLANDS LÄN</t>
        </is>
      </c>
      <c r="E2290" t="inlineStr">
        <is>
          <t>KROKOM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32054-2019</t>
        </is>
      </c>
      <c r="B2291" s="1" t="n">
        <v>43643</v>
      </c>
      <c r="C2291" s="1" t="n">
        <v>45363</v>
      </c>
      <c r="D2291" t="inlineStr">
        <is>
          <t>JÄMTLANDS LÄN</t>
        </is>
      </c>
      <c r="E2291" t="inlineStr">
        <is>
          <t>BERG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32123-2019</t>
        </is>
      </c>
      <c r="B2292" s="1" t="n">
        <v>43643</v>
      </c>
      <c r="C2292" s="1" t="n">
        <v>45363</v>
      </c>
      <c r="D2292" t="inlineStr">
        <is>
          <t>JÄMTLANDS LÄN</t>
        </is>
      </c>
      <c r="E2292" t="inlineStr">
        <is>
          <t>BERG</t>
        </is>
      </c>
      <c r="F2292" t="inlineStr">
        <is>
          <t>Sveaskog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32121-2019</t>
        </is>
      </c>
      <c r="B2293" s="1" t="n">
        <v>43643</v>
      </c>
      <c r="C2293" s="1" t="n">
        <v>45363</v>
      </c>
      <c r="D2293" t="inlineStr">
        <is>
          <t>JÄMTLANDS LÄN</t>
        </is>
      </c>
      <c r="E2293" t="inlineStr">
        <is>
          <t>BERG</t>
        </is>
      </c>
      <c r="F2293" t="inlineStr">
        <is>
          <t>Sveaskog</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32156-2019</t>
        </is>
      </c>
      <c r="B2294" s="1" t="n">
        <v>43643</v>
      </c>
      <c r="C2294" s="1" t="n">
        <v>45363</v>
      </c>
      <c r="D2294" t="inlineStr">
        <is>
          <t>JÄMTLANDS LÄN</t>
        </is>
      </c>
      <c r="E2294" t="inlineStr">
        <is>
          <t>BERG</t>
        </is>
      </c>
      <c r="F2294" t="inlineStr">
        <is>
          <t>Sveaskog</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32211-2019</t>
        </is>
      </c>
      <c r="B2295" s="1" t="n">
        <v>43643</v>
      </c>
      <c r="C2295" s="1" t="n">
        <v>45363</v>
      </c>
      <c r="D2295" t="inlineStr">
        <is>
          <t>JÄMTLANDS LÄN</t>
        </is>
      </c>
      <c r="E2295" t="inlineStr">
        <is>
          <t>RAGUNDA</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32482-2019</t>
        </is>
      </c>
      <c r="B2296" s="1" t="n">
        <v>43644</v>
      </c>
      <c r="C2296" s="1" t="n">
        <v>45363</v>
      </c>
      <c r="D2296" t="inlineStr">
        <is>
          <t>JÄMTLANDS LÄN</t>
        </is>
      </c>
      <c r="E2296" t="inlineStr">
        <is>
          <t>STRÖMSUND</t>
        </is>
      </c>
      <c r="F2296" t="inlineStr">
        <is>
          <t>SCA</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32572-2019</t>
        </is>
      </c>
      <c r="B2297" s="1" t="n">
        <v>43647</v>
      </c>
      <c r="C2297" s="1" t="n">
        <v>45363</v>
      </c>
      <c r="D2297" t="inlineStr">
        <is>
          <t>JÄMTLANDS LÄN</t>
        </is>
      </c>
      <c r="E2297" t="inlineStr">
        <is>
          <t>BRÄCKE</t>
        </is>
      </c>
      <c r="F2297" t="inlineStr">
        <is>
          <t>Övriga Aktiebolag</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32739-2019</t>
        </is>
      </c>
      <c r="B2298" s="1" t="n">
        <v>43647</v>
      </c>
      <c r="C2298" s="1" t="n">
        <v>45363</v>
      </c>
      <c r="D2298" t="inlineStr">
        <is>
          <t>JÄMTLANDS LÄN</t>
        </is>
      </c>
      <c r="E2298" t="inlineStr">
        <is>
          <t>STRÖMSUND</t>
        </is>
      </c>
      <c r="F2298" t="inlineStr">
        <is>
          <t>SCA</t>
        </is>
      </c>
      <c r="G2298" t="n">
        <v>174.6</v>
      </c>
      <c r="H2298" t="n">
        <v>0</v>
      </c>
      <c r="I2298" t="n">
        <v>0</v>
      </c>
      <c r="J2298" t="n">
        <v>0</v>
      </c>
      <c r="K2298" t="n">
        <v>0</v>
      </c>
      <c r="L2298" t="n">
        <v>0</v>
      </c>
      <c r="M2298" t="n">
        <v>0</v>
      </c>
      <c r="N2298" t="n">
        <v>0</v>
      </c>
      <c r="O2298" t="n">
        <v>0</v>
      </c>
      <c r="P2298" t="n">
        <v>0</v>
      </c>
      <c r="Q2298" t="n">
        <v>0</v>
      </c>
      <c r="R2298" s="2" t="inlineStr"/>
    </row>
    <row r="2299" ht="15" customHeight="1">
      <c r="A2299" t="inlineStr">
        <is>
          <t>A 32748-2019</t>
        </is>
      </c>
      <c r="B2299" s="1" t="n">
        <v>43647</v>
      </c>
      <c r="C2299" s="1" t="n">
        <v>45363</v>
      </c>
      <c r="D2299" t="inlineStr">
        <is>
          <t>JÄMTLANDS LÄN</t>
        </is>
      </c>
      <c r="E2299" t="inlineStr">
        <is>
          <t>STRÖMSUND</t>
        </is>
      </c>
      <c r="F2299" t="inlineStr">
        <is>
          <t>SCA</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34618-2019</t>
        </is>
      </c>
      <c r="B2300" s="1" t="n">
        <v>43647</v>
      </c>
      <c r="C2300" s="1" t="n">
        <v>45363</v>
      </c>
      <c r="D2300" t="inlineStr">
        <is>
          <t>JÄMTLANDS LÄN</t>
        </is>
      </c>
      <c r="E2300" t="inlineStr">
        <is>
          <t>HÄRJEDALEN</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32974-2019</t>
        </is>
      </c>
      <c r="B2301" s="1" t="n">
        <v>43648</v>
      </c>
      <c r="C2301" s="1" t="n">
        <v>45363</v>
      </c>
      <c r="D2301" t="inlineStr">
        <is>
          <t>JÄMTLANDS LÄN</t>
        </is>
      </c>
      <c r="E2301" t="inlineStr">
        <is>
          <t>STRÖMSUND</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32878-2019</t>
        </is>
      </c>
      <c r="B2302" s="1" t="n">
        <v>43648</v>
      </c>
      <c r="C2302" s="1" t="n">
        <v>45363</v>
      </c>
      <c r="D2302" t="inlineStr">
        <is>
          <t>JÄMTLANDS LÄN</t>
        </is>
      </c>
      <c r="E2302" t="inlineStr">
        <is>
          <t>HÄRJEDALEN</t>
        </is>
      </c>
      <c r="F2302" t="inlineStr">
        <is>
          <t>Övriga Aktiebolag</t>
        </is>
      </c>
      <c r="G2302" t="n">
        <v>91.8</v>
      </c>
      <c r="H2302" t="n">
        <v>0</v>
      </c>
      <c r="I2302" t="n">
        <v>0</v>
      </c>
      <c r="J2302" t="n">
        <v>0</v>
      </c>
      <c r="K2302" t="n">
        <v>0</v>
      </c>
      <c r="L2302" t="n">
        <v>0</v>
      </c>
      <c r="M2302" t="n">
        <v>0</v>
      </c>
      <c r="N2302" t="n">
        <v>0</v>
      </c>
      <c r="O2302" t="n">
        <v>0</v>
      </c>
      <c r="P2302" t="n">
        <v>0</v>
      </c>
      <c r="Q2302" t="n">
        <v>0</v>
      </c>
      <c r="R2302" s="2" t="inlineStr"/>
    </row>
    <row r="2303" ht="15" customHeight="1">
      <c r="A2303" t="inlineStr">
        <is>
          <t>A 32973-2019</t>
        </is>
      </c>
      <c r="B2303" s="1" t="n">
        <v>43648</v>
      </c>
      <c r="C2303" s="1" t="n">
        <v>45363</v>
      </c>
      <c r="D2303" t="inlineStr">
        <is>
          <t>JÄMTLANDS LÄN</t>
        </is>
      </c>
      <c r="E2303" t="inlineStr">
        <is>
          <t>STRÖMSUND</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32971-2019</t>
        </is>
      </c>
      <c r="B2304" s="1" t="n">
        <v>43648</v>
      </c>
      <c r="C2304" s="1" t="n">
        <v>45363</v>
      </c>
      <c r="D2304" t="inlineStr">
        <is>
          <t>JÄMTLANDS LÄN</t>
        </is>
      </c>
      <c r="E2304" t="inlineStr">
        <is>
          <t>STRÖMSUND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34658-2019</t>
        </is>
      </c>
      <c r="B2305" s="1" t="n">
        <v>43648</v>
      </c>
      <c r="C2305" s="1" t="n">
        <v>45363</v>
      </c>
      <c r="D2305" t="inlineStr">
        <is>
          <t>JÄMTLANDS LÄN</t>
        </is>
      </c>
      <c r="E2305" t="inlineStr">
        <is>
          <t>BRÄCKE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32975-2019</t>
        </is>
      </c>
      <c r="B2306" s="1" t="n">
        <v>43648</v>
      </c>
      <c r="C2306" s="1" t="n">
        <v>45363</v>
      </c>
      <c r="D2306" t="inlineStr">
        <is>
          <t>JÄMTLANDS LÄN</t>
        </is>
      </c>
      <c r="E2306" t="inlineStr">
        <is>
          <t>STRÖMSUND</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33001-2019</t>
        </is>
      </c>
      <c r="B2307" s="1" t="n">
        <v>43649</v>
      </c>
      <c r="C2307" s="1" t="n">
        <v>45363</v>
      </c>
      <c r="D2307" t="inlineStr">
        <is>
          <t>JÄMTLANDS LÄN</t>
        </is>
      </c>
      <c r="E2307" t="inlineStr">
        <is>
          <t>KROKOM</t>
        </is>
      </c>
      <c r="F2307" t="inlineStr">
        <is>
          <t>Övriga Aktiebolag</t>
        </is>
      </c>
      <c r="G2307" t="n">
        <v>7.8</v>
      </c>
      <c r="H2307" t="n">
        <v>0</v>
      </c>
      <c r="I2307" t="n">
        <v>0</v>
      </c>
      <c r="J2307" t="n">
        <v>0</v>
      </c>
      <c r="K2307" t="n">
        <v>0</v>
      </c>
      <c r="L2307" t="n">
        <v>0</v>
      </c>
      <c r="M2307" t="n">
        <v>0</v>
      </c>
      <c r="N2307" t="n">
        <v>0</v>
      </c>
      <c r="O2307" t="n">
        <v>0</v>
      </c>
      <c r="P2307" t="n">
        <v>0</v>
      </c>
      <c r="Q2307" t="n">
        <v>0</v>
      </c>
      <c r="R2307" s="2" t="inlineStr"/>
    </row>
    <row r="2308" ht="15" customHeight="1">
      <c r="A2308" t="inlineStr">
        <is>
          <t>A 33015-2019</t>
        </is>
      </c>
      <c r="B2308" s="1" t="n">
        <v>43649</v>
      </c>
      <c r="C2308" s="1" t="n">
        <v>45363</v>
      </c>
      <c r="D2308" t="inlineStr">
        <is>
          <t>JÄMTLANDS LÄN</t>
        </is>
      </c>
      <c r="E2308" t="inlineStr">
        <is>
          <t>KROKOM</t>
        </is>
      </c>
      <c r="F2308" t="inlineStr">
        <is>
          <t>Övriga Aktiebolag</t>
        </is>
      </c>
      <c r="G2308" t="n">
        <v>12.7</v>
      </c>
      <c r="H2308" t="n">
        <v>0</v>
      </c>
      <c r="I2308" t="n">
        <v>0</v>
      </c>
      <c r="J2308" t="n">
        <v>0</v>
      </c>
      <c r="K2308" t="n">
        <v>0</v>
      </c>
      <c r="L2308" t="n">
        <v>0</v>
      </c>
      <c r="M2308" t="n">
        <v>0</v>
      </c>
      <c r="N2308" t="n">
        <v>0</v>
      </c>
      <c r="O2308" t="n">
        <v>0</v>
      </c>
      <c r="P2308" t="n">
        <v>0</v>
      </c>
      <c r="Q2308" t="n">
        <v>0</v>
      </c>
      <c r="R2308" s="2" t="inlineStr"/>
    </row>
    <row r="2309" ht="15" customHeight="1">
      <c r="A2309" t="inlineStr">
        <is>
          <t>A 34758-2019</t>
        </is>
      </c>
      <c r="B2309" s="1" t="n">
        <v>43649</v>
      </c>
      <c r="C2309" s="1" t="n">
        <v>45363</v>
      </c>
      <c r="D2309" t="inlineStr">
        <is>
          <t>JÄMTLANDS LÄN</t>
        </is>
      </c>
      <c r="E2309" t="inlineStr">
        <is>
          <t>STRÖMSUND</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33222-2019</t>
        </is>
      </c>
      <c r="B2310" s="1" t="n">
        <v>43649</v>
      </c>
      <c r="C2310" s="1" t="n">
        <v>45363</v>
      </c>
      <c r="D2310" t="inlineStr">
        <is>
          <t>JÄMTLANDS LÄN</t>
        </is>
      </c>
      <c r="E2310" t="inlineStr">
        <is>
          <t>BRÄCKE</t>
        </is>
      </c>
      <c r="F2310" t="inlineStr">
        <is>
          <t>SCA</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33341-2019</t>
        </is>
      </c>
      <c r="B2311" s="1" t="n">
        <v>43650</v>
      </c>
      <c r="C2311" s="1" t="n">
        <v>45363</v>
      </c>
      <c r="D2311" t="inlineStr">
        <is>
          <t>JÄMTLANDS LÄN</t>
        </is>
      </c>
      <c r="E2311" t="inlineStr">
        <is>
          <t>RAGUNDA</t>
        </is>
      </c>
      <c r="F2311" t="inlineStr">
        <is>
          <t>Kommuner</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33360-2019</t>
        </is>
      </c>
      <c r="B2312" s="1" t="n">
        <v>43650</v>
      </c>
      <c r="C2312" s="1" t="n">
        <v>45363</v>
      </c>
      <c r="D2312" t="inlineStr">
        <is>
          <t>JÄMTLANDS LÄN</t>
        </is>
      </c>
      <c r="E2312" t="inlineStr">
        <is>
          <t>KROKOM</t>
        </is>
      </c>
      <c r="G2312" t="n">
        <v>15.8</v>
      </c>
      <c r="H2312" t="n">
        <v>0</v>
      </c>
      <c r="I2312" t="n">
        <v>0</v>
      </c>
      <c r="J2312" t="n">
        <v>0</v>
      </c>
      <c r="K2312" t="n">
        <v>0</v>
      </c>
      <c r="L2312" t="n">
        <v>0</v>
      </c>
      <c r="M2312" t="n">
        <v>0</v>
      </c>
      <c r="N2312" t="n">
        <v>0</v>
      </c>
      <c r="O2312" t="n">
        <v>0</v>
      </c>
      <c r="P2312" t="n">
        <v>0</v>
      </c>
      <c r="Q2312" t="n">
        <v>0</v>
      </c>
      <c r="R2312" s="2" t="inlineStr"/>
    </row>
    <row r="2313" ht="15" customHeight="1">
      <c r="A2313" t="inlineStr">
        <is>
          <t>A 33379-2019</t>
        </is>
      </c>
      <c r="B2313" s="1" t="n">
        <v>43650</v>
      </c>
      <c r="C2313" s="1" t="n">
        <v>45363</v>
      </c>
      <c r="D2313" t="inlineStr">
        <is>
          <t>JÄMTLANDS LÄN</t>
        </is>
      </c>
      <c r="E2313" t="inlineStr">
        <is>
          <t>BRÄCKE</t>
        </is>
      </c>
      <c r="F2313" t="inlineStr">
        <is>
          <t>Övriga Aktiebolag</t>
        </is>
      </c>
      <c r="G2313" t="n">
        <v>32.7</v>
      </c>
      <c r="H2313" t="n">
        <v>0</v>
      </c>
      <c r="I2313" t="n">
        <v>0</v>
      </c>
      <c r="J2313" t="n">
        <v>0</v>
      </c>
      <c r="K2313" t="n">
        <v>0</v>
      </c>
      <c r="L2313" t="n">
        <v>0</v>
      </c>
      <c r="M2313" t="n">
        <v>0</v>
      </c>
      <c r="N2313" t="n">
        <v>0</v>
      </c>
      <c r="O2313" t="n">
        <v>0</v>
      </c>
      <c r="P2313" t="n">
        <v>0</v>
      </c>
      <c r="Q2313" t="n">
        <v>0</v>
      </c>
      <c r="R2313" s="2" t="inlineStr"/>
    </row>
    <row r="2314" ht="15" customHeight="1">
      <c r="A2314" t="inlineStr">
        <is>
          <t>A 34903-2019</t>
        </is>
      </c>
      <c r="B2314" s="1" t="n">
        <v>43650</v>
      </c>
      <c r="C2314" s="1" t="n">
        <v>45363</v>
      </c>
      <c r="D2314" t="inlineStr">
        <is>
          <t>JÄMTLANDS LÄN</t>
        </is>
      </c>
      <c r="E2314" t="inlineStr">
        <is>
          <t>ÖSTERSUND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33496-2019</t>
        </is>
      </c>
      <c r="B2315" s="1" t="n">
        <v>43651</v>
      </c>
      <c r="C2315" s="1" t="n">
        <v>45363</v>
      </c>
      <c r="D2315" t="inlineStr">
        <is>
          <t>JÄMTLANDS LÄN</t>
        </is>
      </c>
      <c r="E2315" t="inlineStr">
        <is>
          <t>HÄRJEDALEN</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33497-2019</t>
        </is>
      </c>
      <c r="B2316" s="1" t="n">
        <v>43651</v>
      </c>
      <c r="C2316" s="1" t="n">
        <v>45363</v>
      </c>
      <c r="D2316" t="inlineStr">
        <is>
          <t>JÄMTLANDS LÄN</t>
        </is>
      </c>
      <c r="E2316" t="inlineStr">
        <is>
          <t>HÄRJEDALEN</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33538-2019</t>
        </is>
      </c>
      <c r="B2317" s="1" t="n">
        <v>43651</v>
      </c>
      <c r="C2317" s="1" t="n">
        <v>45363</v>
      </c>
      <c r="D2317" t="inlineStr">
        <is>
          <t>JÄMTLANDS LÄN</t>
        </is>
      </c>
      <c r="E2317" t="inlineStr">
        <is>
          <t>STRÖMSUND</t>
        </is>
      </c>
      <c r="F2317" t="inlineStr">
        <is>
          <t>Holmen skog AB</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33701-2019</t>
        </is>
      </c>
      <c r="B2318" s="1" t="n">
        <v>43651</v>
      </c>
      <c r="C2318" s="1" t="n">
        <v>45363</v>
      </c>
      <c r="D2318" t="inlineStr">
        <is>
          <t>JÄMTLANDS LÄN</t>
        </is>
      </c>
      <c r="E2318" t="inlineStr">
        <is>
          <t>STRÖMSUND</t>
        </is>
      </c>
      <c r="F2318" t="inlineStr">
        <is>
          <t>Holmen skog AB</t>
        </is>
      </c>
      <c r="G2318" t="n">
        <v>21.7</v>
      </c>
      <c r="H2318" t="n">
        <v>0</v>
      </c>
      <c r="I2318" t="n">
        <v>0</v>
      </c>
      <c r="J2318" t="n">
        <v>0</v>
      </c>
      <c r="K2318" t="n">
        <v>0</v>
      </c>
      <c r="L2318" t="n">
        <v>0</v>
      </c>
      <c r="M2318" t="n">
        <v>0</v>
      </c>
      <c r="N2318" t="n">
        <v>0</v>
      </c>
      <c r="O2318" t="n">
        <v>0</v>
      </c>
      <c r="P2318" t="n">
        <v>0</v>
      </c>
      <c r="Q2318" t="n">
        <v>0</v>
      </c>
      <c r="R2318" s="2" t="inlineStr"/>
    </row>
    <row r="2319" ht="15" customHeight="1">
      <c r="A2319" t="inlineStr">
        <is>
          <t>A 33825-2019</t>
        </is>
      </c>
      <c r="B2319" s="1" t="n">
        <v>43651</v>
      </c>
      <c r="C2319" s="1" t="n">
        <v>45363</v>
      </c>
      <c r="D2319" t="inlineStr">
        <is>
          <t>JÄMTLANDS LÄN</t>
        </is>
      </c>
      <c r="E2319" t="inlineStr">
        <is>
          <t>STRÖMSUND</t>
        </is>
      </c>
      <c r="F2319" t="inlineStr">
        <is>
          <t>SCA</t>
        </is>
      </c>
      <c r="G2319" t="n">
        <v>15.6</v>
      </c>
      <c r="H2319" t="n">
        <v>0</v>
      </c>
      <c r="I2319" t="n">
        <v>0</v>
      </c>
      <c r="J2319" t="n">
        <v>0</v>
      </c>
      <c r="K2319" t="n">
        <v>0</v>
      </c>
      <c r="L2319" t="n">
        <v>0</v>
      </c>
      <c r="M2319" t="n">
        <v>0</v>
      </c>
      <c r="N2319" t="n">
        <v>0</v>
      </c>
      <c r="O2319" t="n">
        <v>0</v>
      </c>
      <c r="P2319" t="n">
        <v>0</v>
      </c>
      <c r="Q2319" t="n">
        <v>0</v>
      </c>
      <c r="R2319" s="2" t="inlineStr"/>
    </row>
    <row r="2320" ht="15" customHeight="1">
      <c r="A2320" t="inlineStr">
        <is>
          <t>A 35288-2019</t>
        </is>
      </c>
      <c r="B2320" s="1" t="n">
        <v>43651</v>
      </c>
      <c r="C2320" s="1" t="n">
        <v>45363</v>
      </c>
      <c r="D2320" t="inlineStr">
        <is>
          <t>JÄMTLANDS LÄN</t>
        </is>
      </c>
      <c r="E2320" t="inlineStr">
        <is>
          <t>KROKOM</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33830-2019</t>
        </is>
      </c>
      <c r="B2321" s="1" t="n">
        <v>43651</v>
      </c>
      <c r="C2321" s="1" t="n">
        <v>45363</v>
      </c>
      <c r="D2321" t="inlineStr">
        <is>
          <t>JÄMTLANDS LÄN</t>
        </is>
      </c>
      <c r="E2321" t="inlineStr">
        <is>
          <t>BRÄCKE</t>
        </is>
      </c>
      <c r="F2321" t="inlineStr">
        <is>
          <t>SCA</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35337-2019</t>
        </is>
      </c>
      <c r="B2322" s="1" t="n">
        <v>43651</v>
      </c>
      <c r="C2322" s="1" t="n">
        <v>45363</v>
      </c>
      <c r="D2322" t="inlineStr">
        <is>
          <t>JÄMTLANDS LÄN</t>
        </is>
      </c>
      <c r="E2322" t="inlineStr">
        <is>
          <t>KROKOM</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35264-2019</t>
        </is>
      </c>
      <c r="B2323" s="1" t="n">
        <v>43651</v>
      </c>
      <c r="C2323" s="1" t="n">
        <v>45363</v>
      </c>
      <c r="D2323" t="inlineStr">
        <is>
          <t>JÄMTLANDS LÄN</t>
        </is>
      </c>
      <c r="E2323" t="inlineStr">
        <is>
          <t>KROKOM</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35466-2019</t>
        </is>
      </c>
      <c r="B2324" s="1" t="n">
        <v>43651</v>
      </c>
      <c r="C2324" s="1" t="n">
        <v>45363</v>
      </c>
      <c r="D2324" t="inlineStr">
        <is>
          <t>JÄMTLANDS LÄN</t>
        </is>
      </c>
      <c r="E2324" t="inlineStr">
        <is>
          <t>RAGUNDA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33552-2019</t>
        </is>
      </c>
      <c r="B2325" s="1" t="n">
        <v>43651</v>
      </c>
      <c r="C2325" s="1" t="n">
        <v>45363</v>
      </c>
      <c r="D2325" t="inlineStr">
        <is>
          <t>JÄMTLANDS LÄN</t>
        </is>
      </c>
      <c r="E2325" t="inlineStr">
        <is>
          <t>STRÖMSUND</t>
        </is>
      </c>
      <c r="F2325" t="inlineStr">
        <is>
          <t>Holmen skog AB</t>
        </is>
      </c>
      <c r="G2325" t="n">
        <v>15.9</v>
      </c>
      <c r="H2325" t="n">
        <v>0</v>
      </c>
      <c r="I2325" t="n">
        <v>0</v>
      </c>
      <c r="J2325" t="n">
        <v>0</v>
      </c>
      <c r="K2325" t="n">
        <v>0</v>
      </c>
      <c r="L2325" t="n">
        <v>0</v>
      </c>
      <c r="M2325" t="n">
        <v>0</v>
      </c>
      <c r="N2325" t="n">
        <v>0</v>
      </c>
      <c r="O2325" t="n">
        <v>0</v>
      </c>
      <c r="P2325" t="n">
        <v>0</v>
      </c>
      <c r="Q2325" t="n">
        <v>0</v>
      </c>
      <c r="R2325" s="2" t="inlineStr"/>
    </row>
    <row r="2326" ht="15" customHeight="1">
      <c r="A2326" t="inlineStr">
        <is>
          <t>A 35500-2019</t>
        </is>
      </c>
      <c r="B2326" s="1" t="n">
        <v>43651</v>
      </c>
      <c r="C2326" s="1" t="n">
        <v>45363</v>
      </c>
      <c r="D2326" t="inlineStr">
        <is>
          <t>JÄMTLANDS LÄN</t>
        </is>
      </c>
      <c r="E2326" t="inlineStr">
        <is>
          <t>ÖSTERSUND</t>
        </is>
      </c>
      <c r="F2326" t="inlineStr">
        <is>
          <t>SCA</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35339-2019</t>
        </is>
      </c>
      <c r="B2327" s="1" t="n">
        <v>43651</v>
      </c>
      <c r="C2327" s="1" t="n">
        <v>45363</v>
      </c>
      <c r="D2327" t="inlineStr">
        <is>
          <t>JÄMTLANDS LÄN</t>
        </is>
      </c>
      <c r="E2327" t="inlineStr">
        <is>
          <t>KROKOM</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35266-2019</t>
        </is>
      </c>
      <c r="B2328" s="1" t="n">
        <v>43651</v>
      </c>
      <c r="C2328" s="1" t="n">
        <v>45363</v>
      </c>
      <c r="D2328" t="inlineStr">
        <is>
          <t>JÄMTLANDS LÄN</t>
        </is>
      </c>
      <c r="E2328" t="inlineStr">
        <is>
          <t>KROKOM</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33856-2019</t>
        </is>
      </c>
      <c r="B2329" s="1" t="n">
        <v>43652</v>
      </c>
      <c r="C2329" s="1" t="n">
        <v>45363</v>
      </c>
      <c r="D2329" t="inlineStr">
        <is>
          <t>JÄMTLANDS LÄN</t>
        </is>
      </c>
      <c r="E2329" t="inlineStr">
        <is>
          <t>ÅRE</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34065-2019</t>
        </is>
      </c>
      <c r="B2330" s="1" t="n">
        <v>43654</v>
      </c>
      <c r="C2330" s="1" t="n">
        <v>45363</v>
      </c>
      <c r="D2330" t="inlineStr">
        <is>
          <t>JÄMTLANDS LÄN</t>
        </is>
      </c>
      <c r="E2330" t="inlineStr">
        <is>
          <t>KROKOM</t>
        </is>
      </c>
      <c r="G2330" t="n">
        <v>12.3</v>
      </c>
      <c r="H2330" t="n">
        <v>0</v>
      </c>
      <c r="I2330" t="n">
        <v>0</v>
      </c>
      <c r="J2330" t="n">
        <v>0</v>
      </c>
      <c r="K2330" t="n">
        <v>0</v>
      </c>
      <c r="L2330" t="n">
        <v>0</v>
      </c>
      <c r="M2330" t="n">
        <v>0</v>
      </c>
      <c r="N2330" t="n">
        <v>0</v>
      </c>
      <c r="O2330" t="n">
        <v>0</v>
      </c>
      <c r="P2330" t="n">
        <v>0</v>
      </c>
      <c r="Q2330" t="n">
        <v>0</v>
      </c>
      <c r="R2330" s="2" t="inlineStr"/>
    </row>
    <row r="2331" ht="15" customHeight="1">
      <c r="A2331" t="inlineStr">
        <is>
          <t>A 34119-2019</t>
        </is>
      </c>
      <c r="B2331" s="1" t="n">
        <v>43654</v>
      </c>
      <c r="C2331" s="1" t="n">
        <v>45363</v>
      </c>
      <c r="D2331" t="inlineStr">
        <is>
          <t>JÄMTLANDS LÄN</t>
        </is>
      </c>
      <c r="E2331" t="inlineStr">
        <is>
          <t>RAGUNDA</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34103-2019</t>
        </is>
      </c>
      <c r="B2332" s="1" t="n">
        <v>43654</v>
      </c>
      <c r="C2332" s="1" t="n">
        <v>45363</v>
      </c>
      <c r="D2332" t="inlineStr">
        <is>
          <t>JÄMTLANDS LÄN</t>
        </is>
      </c>
      <c r="E2332" t="inlineStr">
        <is>
          <t>BRÄCKE</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34108-2019</t>
        </is>
      </c>
      <c r="B2333" s="1" t="n">
        <v>43655</v>
      </c>
      <c r="C2333" s="1" t="n">
        <v>45363</v>
      </c>
      <c r="D2333" t="inlineStr">
        <is>
          <t>JÄMTLANDS LÄN</t>
        </is>
      </c>
      <c r="E2333" t="inlineStr">
        <is>
          <t>KROKOM</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34121-2019</t>
        </is>
      </c>
      <c r="B2334" s="1" t="n">
        <v>43654</v>
      </c>
      <c r="C2334" s="1" t="n">
        <v>45363</v>
      </c>
      <c r="D2334" t="inlineStr">
        <is>
          <t>JÄMTLANDS LÄN</t>
        </is>
      </c>
      <c r="E2334" t="inlineStr">
        <is>
          <t>RAGUNDA</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35535-2019</t>
        </is>
      </c>
      <c r="B2335" s="1" t="n">
        <v>43654</v>
      </c>
      <c r="C2335" s="1" t="n">
        <v>45363</v>
      </c>
      <c r="D2335" t="inlineStr">
        <is>
          <t>JÄMTLANDS LÄN</t>
        </is>
      </c>
      <c r="E2335" t="inlineStr">
        <is>
          <t>ÖSTERSUND</t>
        </is>
      </c>
      <c r="G2335" t="n">
        <v>9.800000000000001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34109-2019</t>
        </is>
      </c>
      <c r="B2336" s="1" t="n">
        <v>43654</v>
      </c>
      <c r="C2336" s="1" t="n">
        <v>45363</v>
      </c>
      <c r="D2336" t="inlineStr">
        <is>
          <t>JÄMTLANDS LÄN</t>
        </is>
      </c>
      <c r="E2336" t="inlineStr">
        <is>
          <t>ÖSTERSUND</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34125-2019</t>
        </is>
      </c>
      <c r="B2337" s="1" t="n">
        <v>43654</v>
      </c>
      <c r="C2337" s="1" t="n">
        <v>45363</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34144-2019</t>
        </is>
      </c>
      <c r="B2338" s="1" t="n">
        <v>43655</v>
      </c>
      <c r="C2338" s="1" t="n">
        <v>45363</v>
      </c>
      <c r="D2338" t="inlineStr">
        <is>
          <t>JÄMTLANDS LÄN</t>
        </is>
      </c>
      <c r="E2338" t="inlineStr">
        <is>
          <t>STRÖMSUND</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34156-2019</t>
        </is>
      </c>
      <c r="B2339" s="1" t="n">
        <v>43655</v>
      </c>
      <c r="C2339" s="1" t="n">
        <v>45363</v>
      </c>
      <c r="D2339" t="inlineStr">
        <is>
          <t>JÄMTLANDS LÄN</t>
        </is>
      </c>
      <c r="E2339" t="inlineStr">
        <is>
          <t>STRÖMSUND</t>
        </is>
      </c>
      <c r="F2339" t="inlineStr">
        <is>
          <t>Sveaskog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34152-2019</t>
        </is>
      </c>
      <c r="B2340" s="1" t="n">
        <v>43655</v>
      </c>
      <c r="C2340" s="1" t="n">
        <v>45363</v>
      </c>
      <c r="D2340" t="inlineStr">
        <is>
          <t>JÄMTLANDS LÄN</t>
        </is>
      </c>
      <c r="E2340" t="inlineStr">
        <is>
          <t>STRÖMSUND</t>
        </is>
      </c>
      <c r="F2340" t="inlineStr">
        <is>
          <t>Sveaskog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34233-2019</t>
        </is>
      </c>
      <c r="B2341" s="1" t="n">
        <v>43655</v>
      </c>
      <c r="C2341" s="1" t="n">
        <v>45363</v>
      </c>
      <c r="D2341" t="inlineStr">
        <is>
          <t>JÄMTLANDS LÄN</t>
        </is>
      </c>
      <c r="E2341" t="inlineStr">
        <is>
          <t>STRÖMSUND</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34146-2019</t>
        </is>
      </c>
      <c r="B2342" s="1" t="n">
        <v>43655</v>
      </c>
      <c r="C2342" s="1" t="n">
        <v>45363</v>
      </c>
      <c r="D2342" t="inlineStr">
        <is>
          <t>JÄMTLANDS LÄN</t>
        </is>
      </c>
      <c r="E2342" t="inlineStr">
        <is>
          <t>STRÖMSUND</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34246-2019</t>
        </is>
      </c>
      <c r="B2343" s="1" t="n">
        <v>43655</v>
      </c>
      <c r="C2343" s="1" t="n">
        <v>45363</v>
      </c>
      <c r="D2343" t="inlineStr">
        <is>
          <t>JÄMTLANDS LÄN</t>
        </is>
      </c>
      <c r="E2343" t="inlineStr">
        <is>
          <t>ÖSTERSUND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35668-2019</t>
        </is>
      </c>
      <c r="B2344" s="1" t="n">
        <v>43655</v>
      </c>
      <c r="C2344" s="1" t="n">
        <v>45363</v>
      </c>
      <c r="D2344" t="inlineStr">
        <is>
          <t>JÄMTLANDS LÄN</t>
        </is>
      </c>
      <c r="E2344" t="inlineStr">
        <is>
          <t>KROKOM</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35674-2019</t>
        </is>
      </c>
      <c r="B2345" s="1" t="n">
        <v>43655</v>
      </c>
      <c r="C2345" s="1" t="n">
        <v>45363</v>
      </c>
      <c r="D2345" t="inlineStr">
        <is>
          <t>JÄMTLANDS LÄN</t>
        </is>
      </c>
      <c r="E2345" t="inlineStr">
        <is>
          <t>STRÖMSUND</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34219-2019</t>
        </is>
      </c>
      <c r="B2346" s="1" t="n">
        <v>43655</v>
      </c>
      <c r="C2346" s="1" t="n">
        <v>45363</v>
      </c>
      <c r="D2346" t="inlineStr">
        <is>
          <t>JÄMTLANDS LÄN</t>
        </is>
      </c>
      <c r="E2346" t="inlineStr">
        <is>
          <t>STRÖMSUND</t>
        </is>
      </c>
      <c r="F2346" t="inlineStr">
        <is>
          <t>Sveaskog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34469-2019</t>
        </is>
      </c>
      <c r="B2347" s="1" t="n">
        <v>43656</v>
      </c>
      <c r="C2347" s="1" t="n">
        <v>45363</v>
      </c>
      <c r="D2347" t="inlineStr">
        <is>
          <t>JÄMTLANDS LÄN</t>
        </is>
      </c>
      <c r="E2347" t="inlineStr">
        <is>
          <t>BERG</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35678-2019</t>
        </is>
      </c>
      <c r="B2348" s="1" t="n">
        <v>43656</v>
      </c>
      <c r="C2348" s="1" t="n">
        <v>45363</v>
      </c>
      <c r="D2348" t="inlineStr">
        <is>
          <t>JÄMTLANDS LÄN</t>
        </is>
      </c>
      <c r="E2348" t="inlineStr">
        <is>
          <t>ÖSTERSUND</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34468-2019</t>
        </is>
      </c>
      <c r="B2349" s="1" t="n">
        <v>43656</v>
      </c>
      <c r="C2349" s="1" t="n">
        <v>45363</v>
      </c>
      <c r="D2349" t="inlineStr">
        <is>
          <t>JÄMTLANDS LÄN</t>
        </is>
      </c>
      <c r="E2349" t="inlineStr">
        <is>
          <t>BERG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34490-2019</t>
        </is>
      </c>
      <c r="B2350" s="1" t="n">
        <v>43656</v>
      </c>
      <c r="C2350" s="1" t="n">
        <v>45363</v>
      </c>
      <c r="D2350" t="inlineStr">
        <is>
          <t>JÄMTLANDS LÄN</t>
        </is>
      </c>
      <c r="E2350" t="inlineStr">
        <is>
          <t>RAGUNDA</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35688-2019</t>
        </is>
      </c>
      <c r="B2351" s="1" t="n">
        <v>43656</v>
      </c>
      <c r="C2351" s="1" t="n">
        <v>45363</v>
      </c>
      <c r="D2351" t="inlineStr">
        <is>
          <t>JÄMTLANDS LÄN</t>
        </is>
      </c>
      <c r="E2351" t="inlineStr">
        <is>
          <t>ÖSTERSUND</t>
        </is>
      </c>
      <c r="G2351" t="n">
        <v>12.6</v>
      </c>
      <c r="H2351" t="n">
        <v>0</v>
      </c>
      <c r="I2351" t="n">
        <v>0</v>
      </c>
      <c r="J2351" t="n">
        <v>0</v>
      </c>
      <c r="K2351" t="n">
        <v>0</v>
      </c>
      <c r="L2351" t="n">
        <v>0</v>
      </c>
      <c r="M2351" t="n">
        <v>0</v>
      </c>
      <c r="N2351" t="n">
        <v>0</v>
      </c>
      <c r="O2351" t="n">
        <v>0</v>
      </c>
      <c r="P2351" t="n">
        <v>0</v>
      </c>
      <c r="Q2351" t="n">
        <v>0</v>
      </c>
      <c r="R2351" s="2" t="inlineStr"/>
    </row>
    <row r="2352" ht="15" customHeight="1">
      <c r="A2352" t="inlineStr">
        <is>
          <t>A 35754-2019</t>
        </is>
      </c>
      <c r="B2352" s="1" t="n">
        <v>43656</v>
      </c>
      <c r="C2352" s="1" t="n">
        <v>45363</v>
      </c>
      <c r="D2352" t="inlineStr">
        <is>
          <t>JÄMTLANDS LÄN</t>
        </is>
      </c>
      <c r="E2352" t="inlineStr">
        <is>
          <t>KROKOM</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34741-2019</t>
        </is>
      </c>
      <c r="B2353" s="1" t="n">
        <v>43657</v>
      </c>
      <c r="C2353" s="1" t="n">
        <v>45363</v>
      </c>
      <c r="D2353" t="inlineStr">
        <is>
          <t>JÄMTLANDS LÄN</t>
        </is>
      </c>
      <c r="E2353" t="inlineStr">
        <is>
          <t>STRÖMSUND</t>
        </is>
      </c>
      <c r="F2353" t="inlineStr">
        <is>
          <t>SCA</t>
        </is>
      </c>
      <c r="G2353" t="n">
        <v>11.3</v>
      </c>
      <c r="H2353" t="n">
        <v>0</v>
      </c>
      <c r="I2353" t="n">
        <v>0</v>
      </c>
      <c r="J2353" t="n">
        <v>0</v>
      </c>
      <c r="K2353" t="n">
        <v>0</v>
      </c>
      <c r="L2353" t="n">
        <v>0</v>
      </c>
      <c r="M2353" t="n">
        <v>0</v>
      </c>
      <c r="N2353" t="n">
        <v>0</v>
      </c>
      <c r="O2353" t="n">
        <v>0</v>
      </c>
      <c r="P2353" t="n">
        <v>0</v>
      </c>
      <c r="Q2353" t="n">
        <v>0</v>
      </c>
      <c r="R2353" s="2" t="inlineStr"/>
    </row>
    <row r="2354" ht="15" customHeight="1">
      <c r="A2354" t="inlineStr">
        <is>
          <t>A 34688-2019</t>
        </is>
      </c>
      <c r="B2354" s="1" t="n">
        <v>43657</v>
      </c>
      <c r="C2354" s="1" t="n">
        <v>45363</v>
      </c>
      <c r="D2354" t="inlineStr">
        <is>
          <t>JÄMTLANDS LÄN</t>
        </is>
      </c>
      <c r="E2354" t="inlineStr">
        <is>
          <t>HÄRJEDALEN</t>
        </is>
      </c>
      <c r="F2354" t="inlineStr">
        <is>
          <t>Bergvik skog väst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36003-2019</t>
        </is>
      </c>
      <c r="B2355" s="1" t="n">
        <v>43657</v>
      </c>
      <c r="C2355" s="1" t="n">
        <v>45363</v>
      </c>
      <c r="D2355" t="inlineStr">
        <is>
          <t>JÄMTLANDS LÄN</t>
        </is>
      </c>
      <c r="E2355" t="inlineStr">
        <is>
          <t>ÖSTERSUND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34739-2019</t>
        </is>
      </c>
      <c r="B2356" s="1" t="n">
        <v>43657</v>
      </c>
      <c r="C2356" s="1" t="n">
        <v>45363</v>
      </c>
      <c r="D2356" t="inlineStr">
        <is>
          <t>JÄMTLANDS LÄN</t>
        </is>
      </c>
      <c r="E2356" t="inlineStr">
        <is>
          <t>KROKOM</t>
        </is>
      </c>
      <c r="F2356" t="inlineStr">
        <is>
          <t>SCA</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34663-2019</t>
        </is>
      </c>
      <c r="B2357" s="1" t="n">
        <v>43657</v>
      </c>
      <c r="C2357" s="1" t="n">
        <v>45363</v>
      </c>
      <c r="D2357" t="inlineStr">
        <is>
          <t>JÄMTLANDS LÄN</t>
        </is>
      </c>
      <c r="E2357" t="inlineStr">
        <is>
          <t>BERG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36009-2019</t>
        </is>
      </c>
      <c r="B2358" s="1" t="n">
        <v>43657</v>
      </c>
      <c r="C2358" s="1" t="n">
        <v>45363</v>
      </c>
      <c r="D2358" t="inlineStr">
        <is>
          <t>JÄMTLANDS LÄN</t>
        </is>
      </c>
      <c r="E2358" t="inlineStr">
        <is>
          <t>KROKOM</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36193-2019</t>
        </is>
      </c>
      <c r="B2359" s="1" t="n">
        <v>43657</v>
      </c>
      <c r="C2359" s="1" t="n">
        <v>45363</v>
      </c>
      <c r="D2359" t="inlineStr">
        <is>
          <t>JÄMTLANDS LÄN</t>
        </is>
      </c>
      <c r="E2359" t="inlineStr">
        <is>
          <t>STRÖMSUND</t>
        </is>
      </c>
      <c r="F2359" t="inlineStr">
        <is>
          <t>Holmen skog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34794-2019</t>
        </is>
      </c>
      <c r="B2360" s="1" t="n">
        <v>43658</v>
      </c>
      <c r="C2360" s="1" t="n">
        <v>45363</v>
      </c>
      <c r="D2360" t="inlineStr">
        <is>
          <t>JÄMTLANDS LÄN</t>
        </is>
      </c>
      <c r="E2360" t="inlineStr">
        <is>
          <t>STRÖMSUND</t>
        </is>
      </c>
      <c r="F2360" t="inlineStr">
        <is>
          <t>Sveaskog</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34805-2019</t>
        </is>
      </c>
      <c r="B2361" s="1" t="n">
        <v>43658</v>
      </c>
      <c r="C2361" s="1" t="n">
        <v>45363</v>
      </c>
      <c r="D2361" t="inlineStr">
        <is>
          <t>JÄMTLANDS LÄN</t>
        </is>
      </c>
      <c r="E2361" t="inlineStr">
        <is>
          <t>HÄRJEDALEN</t>
        </is>
      </c>
      <c r="F2361" t="inlineStr">
        <is>
          <t>Sveaskog</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34987-2019</t>
        </is>
      </c>
      <c r="B2362" s="1" t="n">
        <v>43659</v>
      </c>
      <c r="C2362" s="1" t="n">
        <v>45363</v>
      </c>
      <c r="D2362" t="inlineStr">
        <is>
          <t>JÄMTLANDS LÄN</t>
        </is>
      </c>
      <c r="E2362" t="inlineStr">
        <is>
          <t>BRÄCKE</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35043-2019</t>
        </is>
      </c>
      <c r="B2363" s="1" t="n">
        <v>43661</v>
      </c>
      <c r="C2363" s="1" t="n">
        <v>45363</v>
      </c>
      <c r="D2363" t="inlineStr">
        <is>
          <t>JÄMTLANDS LÄN</t>
        </is>
      </c>
      <c r="E2363" t="inlineStr">
        <is>
          <t>BERG</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35160-2019</t>
        </is>
      </c>
      <c r="B2364" s="1" t="n">
        <v>43661</v>
      </c>
      <c r="C2364" s="1" t="n">
        <v>45363</v>
      </c>
      <c r="D2364" t="inlineStr">
        <is>
          <t>JÄMTLANDS LÄN</t>
        </is>
      </c>
      <c r="E2364" t="inlineStr">
        <is>
          <t>HÄRJEDALEN</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35131-2019</t>
        </is>
      </c>
      <c r="B2365" s="1" t="n">
        <v>43661</v>
      </c>
      <c r="C2365" s="1" t="n">
        <v>45363</v>
      </c>
      <c r="D2365" t="inlineStr">
        <is>
          <t>JÄMTLANDS LÄN</t>
        </is>
      </c>
      <c r="E2365" t="inlineStr">
        <is>
          <t>KROKOM</t>
        </is>
      </c>
      <c r="G2365" t="n">
        <v>10.4</v>
      </c>
      <c r="H2365" t="n">
        <v>0</v>
      </c>
      <c r="I2365" t="n">
        <v>0</v>
      </c>
      <c r="J2365" t="n">
        <v>0</v>
      </c>
      <c r="K2365" t="n">
        <v>0</v>
      </c>
      <c r="L2365" t="n">
        <v>0</v>
      </c>
      <c r="M2365" t="n">
        <v>0</v>
      </c>
      <c r="N2365" t="n">
        <v>0</v>
      </c>
      <c r="O2365" t="n">
        <v>0</v>
      </c>
      <c r="P2365" t="n">
        <v>0</v>
      </c>
      <c r="Q2365" t="n">
        <v>0</v>
      </c>
      <c r="R2365" s="2" t="inlineStr"/>
    </row>
    <row r="2366" ht="15" customHeight="1">
      <c r="A2366" t="inlineStr">
        <is>
          <t>A 35340-2019</t>
        </is>
      </c>
      <c r="B2366" s="1" t="n">
        <v>43661</v>
      </c>
      <c r="C2366" s="1" t="n">
        <v>45363</v>
      </c>
      <c r="D2366" t="inlineStr">
        <is>
          <t>JÄMTLANDS LÄN</t>
        </is>
      </c>
      <c r="E2366" t="inlineStr">
        <is>
          <t>KROKOM</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35391-2019</t>
        </is>
      </c>
      <c r="B2367" s="1" t="n">
        <v>43661</v>
      </c>
      <c r="C2367" s="1" t="n">
        <v>45363</v>
      </c>
      <c r="D2367" t="inlineStr">
        <is>
          <t>JÄMTLANDS LÄN</t>
        </is>
      </c>
      <c r="E2367" t="inlineStr">
        <is>
          <t>ÅRE</t>
        </is>
      </c>
      <c r="G2367" t="n">
        <v>19.7</v>
      </c>
      <c r="H2367" t="n">
        <v>0</v>
      </c>
      <c r="I2367" t="n">
        <v>0</v>
      </c>
      <c r="J2367" t="n">
        <v>0</v>
      </c>
      <c r="K2367" t="n">
        <v>0</v>
      </c>
      <c r="L2367" t="n">
        <v>0</v>
      </c>
      <c r="M2367" t="n">
        <v>0</v>
      </c>
      <c r="N2367" t="n">
        <v>0</v>
      </c>
      <c r="O2367" t="n">
        <v>0</v>
      </c>
      <c r="P2367" t="n">
        <v>0</v>
      </c>
      <c r="Q2367" t="n">
        <v>0</v>
      </c>
      <c r="R2367" s="2" t="inlineStr"/>
    </row>
    <row r="2368" ht="15" customHeight="1">
      <c r="A2368" t="inlineStr">
        <is>
          <t>A 36271-2019</t>
        </is>
      </c>
      <c r="B2368" s="1" t="n">
        <v>43661</v>
      </c>
      <c r="C2368" s="1" t="n">
        <v>45363</v>
      </c>
      <c r="D2368" t="inlineStr">
        <is>
          <t>JÄMTLANDS LÄN</t>
        </is>
      </c>
      <c r="E2368" t="inlineStr">
        <is>
          <t>KROKOM</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35485-2019</t>
        </is>
      </c>
      <c r="B2369" s="1" t="n">
        <v>43661</v>
      </c>
      <c r="C2369" s="1" t="n">
        <v>45363</v>
      </c>
      <c r="D2369" t="inlineStr">
        <is>
          <t>JÄMTLANDS LÄN</t>
        </is>
      </c>
      <c r="E2369" t="inlineStr">
        <is>
          <t>ÅRE</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35323-2019</t>
        </is>
      </c>
      <c r="B2370" s="1" t="n">
        <v>43662</v>
      </c>
      <c r="C2370" s="1" t="n">
        <v>45363</v>
      </c>
      <c r="D2370" t="inlineStr">
        <is>
          <t>JÄMTLANDS LÄN</t>
        </is>
      </c>
      <c r="E2370" t="inlineStr">
        <is>
          <t>STRÖMSUND</t>
        </is>
      </c>
      <c r="F2370" t="inlineStr">
        <is>
          <t>SCA</t>
        </is>
      </c>
      <c r="G2370" t="n">
        <v>9.300000000000001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36343-2019</t>
        </is>
      </c>
      <c r="B2371" s="1" t="n">
        <v>43662</v>
      </c>
      <c r="C2371" s="1" t="n">
        <v>45363</v>
      </c>
      <c r="D2371" t="inlineStr">
        <is>
          <t>JÄMTLANDS LÄN</t>
        </is>
      </c>
      <c r="E2371" t="inlineStr">
        <is>
          <t>HÄRJEDALEN</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36375-2019</t>
        </is>
      </c>
      <c r="B2372" s="1" t="n">
        <v>43662</v>
      </c>
      <c r="C2372" s="1" t="n">
        <v>45363</v>
      </c>
      <c r="D2372" t="inlineStr">
        <is>
          <t>JÄMTLANDS LÄN</t>
        </is>
      </c>
      <c r="E2372" t="inlineStr">
        <is>
          <t>BERG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35472-2019</t>
        </is>
      </c>
      <c r="B2373" s="1" t="n">
        <v>43663</v>
      </c>
      <c r="C2373" s="1" t="n">
        <v>45363</v>
      </c>
      <c r="D2373" t="inlineStr">
        <is>
          <t>JÄMTLANDS LÄN</t>
        </is>
      </c>
      <c r="E2373" t="inlineStr">
        <is>
          <t>STRÖMSUND</t>
        </is>
      </c>
      <c r="F2373" t="inlineStr">
        <is>
          <t>Holmen skog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35442-2019</t>
        </is>
      </c>
      <c r="B2374" s="1" t="n">
        <v>43663</v>
      </c>
      <c r="C2374" s="1" t="n">
        <v>45363</v>
      </c>
      <c r="D2374" t="inlineStr">
        <is>
          <t>JÄMTLANDS LÄN</t>
        </is>
      </c>
      <c r="E2374" t="inlineStr">
        <is>
          <t>STRÖMSUND</t>
        </is>
      </c>
      <c r="F2374" t="inlineStr">
        <is>
          <t>Holmen skog AB</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35621-2019</t>
        </is>
      </c>
      <c r="B2375" s="1" t="n">
        <v>43664</v>
      </c>
      <c r="C2375" s="1" t="n">
        <v>45363</v>
      </c>
      <c r="D2375" t="inlineStr">
        <is>
          <t>JÄMTLANDS LÄN</t>
        </is>
      </c>
      <c r="E2375" t="inlineStr">
        <is>
          <t>STRÖMSUND</t>
        </is>
      </c>
      <c r="G2375" t="n">
        <v>35.5</v>
      </c>
      <c r="H2375" t="n">
        <v>0</v>
      </c>
      <c r="I2375" t="n">
        <v>0</v>
      </c>
      <c r="J2375" t="n">
        <v>0</v>
      </c>
      <c r="K2375" t="n">
        <v>0</v>
      </c>
      <c r="L2375" t="n">
        <v>0</v>
      </c>
      <c r="M2375" t="n">
        <v>0</v>
      </c>
      <c r="N2375" t="n">
        <v>0</v>
      </c>
      <c r="O2375" t="n">
        <v>0</v>
      </c>
      <c r="P2375" t="n">
        <v>0</v>
      </c>
      <c r="Q2375" t="n">
        <v>0</v>
      </c>
      <c r="R2375" s="2" t="inlineStr"/>
    </row>
    <row r="2376" ht="15" customHeight="1">
      <c r="A2376" t="inlineStr">
        <is>
          <t>A 36451-2019</t>
        </is>
      </c>
      <c r="B2376" s="1" t="n">
        <v>43664</v>
      </c>
      <c r="C2376" s="1" t="n">
        <v>45363</v>
      </c>
      <c r="D2376" t="inlineStr">
        <is>
          <t>JÄMTLANDS LÄN</t>
        </is>
      </c>
      <c r="E2376" t="inlineStr">
        <is>
          <t>BRÄCKE</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35713-2019</t>
        </is>
      </c>
      <c r="B2377" s="1" t="n">
        <v>43664</v>
      </c>
      <c r="C2377" s="1" t="n">
        <v>45363</v>
      </c>
      <c r="D2377" t="inlineStr">
        <is>
          <t>JÄMTLANDS LÄN</t>
        </is>
      </c>
      <c r="E2377" t="inlineStr">
        <is>
          <t>BRÄCKE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36182-2019</t>
        </is>
      </c>
      <c r="B2378" s="1" t="n">
        <v>43668</v>
      </c>
      <c r="C2378" s="1" t="n">
        <v>45363</v>
      </c>
      <c r="D2378" t="inlineStr">
        <is>
          <t>JÄMTLANDS LÄN</t>
        </is>
      </c>
      <c r="E2378" t="inlineStr">
        <is>
          <t>BRÄCKE</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36230-2019</t>
        </is>
      </c>
      <c r="B2379" s="1" t="n">
        <v>43669</v>
      </c>
      <c r="C2379" s="1" t="n">
        <v>45363</v>
      </c>
      <c r="D2379" t="inlineStr">
        <is>
          <t>JÄMTLANDS LÄN</t>
        </is>
      </c>
      <c r="E2379" t="inlineStr">
        <is>
          <t>RAGUNDA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36652-2019</t>
        </is>
      </c>
      <c r="B2380" s="1" t="n">
        <v>43670</v>
      </c>
      <c r="C2380" s="1" t="n">
        <v>45363</v>
      </c>
      <c r="D2380" t="inlineStr">
        <is>
          <t>JÄMTLANDS LÄN</t>
        </is>
      </c>
      <c r="E2380" t="inlineStr">
        <is>
          <t>ÖSTERSUND</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36702-2019</t>
        </is>
      </c>
      <c r="B2381" s="1" t="n">
        <v>43671</v>
      </c>
      <c r="C2381" s="1" t="n">
        <v>45363</v>
      </c>
      <c r="D2381" t="inlineStr">
        <is>
          <t>JÄMTLANDS LÄN</t>
        </is>
      </c>
      <c r="E2381" t="inlineStr">
        <is>
          <t>BERG</t>
        </is>
      </c>
      <c r="F2381" t="inlineStr">
        <is>
          <t>SCA</t>
        </is>
      </c>
      <c r="G2381" t="n">
        <v>16.6</v>
      </c>
      <c r="H2381" t="n">
        <v>0</v>
      </c>
      <c r="I2381" t="n">
        <v>0</v>
      </c>
      <c r="J2381" t="n">
        <v>0</v>
      </c>
      <c r="K2381" t="n">
        <v>0</v>
      </c>
      <c r="L2381" t="n">
        <v>0</v>
      </c>
      <c r="M2381" t="n">
        <v>0</v>
      </c>
      <c r="N2381" t="n">
        <v>0</v>
      </c>
      <c r="O2381" t="n">
        <v>0</v>
      </c>
      <c r="P2381" t="n">
        <v>0</v>
      </c>
      <c r="Q2381" t="n">
        <v>0</v>
      </c>
      <c r="R2381" s="2" t="inlineStr"/>
    </row>
    <row r="2382" ht="15" customHeight="1">
      <c r="A2382" t="inlineStr">
        <is>
          <t>A 36953-2019</t>
        </is>
      </c>
      <c r="B2382" s="1" t="n">
        <v>43675</v>
      </c>
      <c r="C2382" s="1" t="n">
        <v>45363</v>
      </c>
      <c r="D2382" t="inlineStr">
        <is>
          <t>JÄMTLANDS LÄN</t>
        </is>
      </c>
      <c r="E2382" t="inlineStr">
        <is>
          <t>BRÄCKE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36975-2019</t>
        </is>
      </c>
      <c r="B2383" s="1" t="n">
        <v>43676</v>
      </c>
      <c r="C2383" s="1" t="n">
        <v>45363</v>
      </c>
      <c r="D2383" t="inlineStr">
        <is>
          <t>JÄMTLANDS LÄN</t>
        </is>
      </c>
      <c r="E2383" t="inlineStr">
        <is>
          <t>ÅRE</t>
        </is>
      </c>
      <c r="F2383" t="inlineStr">
        <is>
          <t>Sveaskog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37133-2019</t>
        </is>
      </c>
      <c r="B2384" s="1" t="n">
        <v>43676</v>
      </c>
      <c r="C2384" s="1" t="n">
        <v>45363</v>
      </c>
      <c r="D2384" t="inlineStr">
        <is>
          <t>JÄMTLANDS LÄN</t>
        </is>
      </c>
      <c r="E2384" t="inlineStr">
        <is>
          <t>BRÄCKE</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37222-2019</t>
        </is>
      </c>
      <c r="B2385" s="1" t="n">
        <v>43676</v>
      </c>
      <c r="C2385" s="1" t="n">
        <v>45363</v>
      </c>
      <c r="D2385" t="inlineStr">
        <is>
          <t>JÄMTLANDS LÄN</t>
        </is>
      </c>
      <c r="E2385" t="inlineStr">
        <is>
          <t>ÖSTERSUND</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37129-2019</t>
        </is>
      </c>
      <c r="B2386" s="1" t="n">
        <v>43676</v>
      </c>
      <c r="C2386" s="1" t="n">
        <v>45363</v>
      </c>
      <c r="D2386" t="inlineStr">
        <is>
          <t>JÄMTLANDS LÄN</t>
        </is>
      </c>
      <c r="E2386" t="inlineStr">
        <is>
          <t>BRÄCKE</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37086-2019</t>
        </is>
      </c>
      <c r="B2387" s="1" t="n">
        <v>43676</v>
      </c>
      <c r="C2387" s="1" t="n">
        <v>45363</v>
      </c>
      <c r="D2387" t="inlineStr">
        <is>
          <t>JÄMTLANDS LÄN</t>
        </is>
      </c>
      <c r="E2387" t="inlineStr">
        <is>
          <t>RAGUNDA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37295-2019</t>
        </is>
      </c>
      <c r="B2388" s="1" t="n">
        <v>43677</v>
      </c>
      <c r="C2388" s="1" t="n">
        <v>45363</v>
      </c>
      <c r="D2388" t="inlineStr">
        <is>
          <t>JÄMTLANDS LÄN</t>
        </is>
      </c>
      <c r="E2388" t="inlineStr">
        <is>
          <t>BRÄCKE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37369-2019</t>
        </is>
      </c>
      <c r="B2389" s="1" t="n">
        <v>43678</v>
      </c>
      <c r="C2389" s="1" t="n">
        <v>45363</v>
      </c>
      <c r="D2389" t="inlineStr">
        <is>
          <t>JÄMTLANDS LÄN</t>
        </is>
      </c>
      <c r="E2389" t="inlineStr">
        <is>
          <t>KROKOM</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37426-2019</t>
        </is>
      </c>
      <c r="B2390" s="1" t="n">
        <v>43678</v>
      </c>
      <c r="C2390" s="1" t="n">
        <v>45363</v>
      </c>
      <c r="D2390" t="inlineStr">
        <is>
          <t>JÄMTLANDS LÄN</t>
        </is>
      </c>
      <c r="E2390" t="inlineStr">
        <is>
          <t>BERG</t>
        </is>
      </c>
      <c r="F2390" t="inlineStr">
        <is>
          <t>SCA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37441-2019</t>
        </is>
      </c>
      <c r="B2391" s="1" t="n">
        <v>43678</v>
      </c>
      <c r="C2391" s="1" t="n">
        <v>45363</v>
      </c>
      <c r="D2391" t="inlineStr">
        <is>
          <t>JÄMTLANDS LÄN</t>
        </is>
      </c>
      <c r="E2391" t="inlineStr">
        <is>
          <t>RAGUNDA</t>
        </is>
      </c>
      <c r="F2391" t="inlineStr">
        <is>
          <t>SCA</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37756-2019</t>
        </is>
      </c>
      <c r="B2392" s="1" t="n">
        <v>43682</v>
      </c>
      <c r="C2392" s="1" t="n">
        <v>45363</v>
      </c>
      <c r="D2392" t="inlineStr">
        <is>
          <t>JÄMTLANDS LÄN</t>
        </is>
      </c>
      <c r="E2392" t="inlineStr">
        <is>
          <t>KROKOM</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37879-2019</t>
        </is>
      </c>
      <c r="B2393" s="1" t="n">
        <v>43682</v>
      </c>
      <c r="C2393" s="1" t="n">
        <v>45363</v>
      </c>
      <c r="D2393" t="inlineStr">
        <is>
          <t>JÄMTLANDS LÄN</t>
        </is>
      </c>
      <c r="E2393" t="inlineStr">
        <is>
          <t>STRÖMSUND</t>
        </is>
      </c>
      <c r="F2393" t="inlineStr">
        <is>
          <t>SCA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37890-2019</t>
        </is>
      </c>
      <c r="B2394" s="1" t="n">
        <v>43682</v>
      </c>
      <c r="C2394" s="1" t="n">
        <v>45363</v>
      </c>
      <c r="D2394" t="inlineStr">
        <is>
          <t>JÄMTLANDS LÄN</t>
        </is>
      </c>
      <c r="E2394" t="inlineStr">
        <is>
          <t>BERG</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37880-2019</t>
        </is>
      </c>
      <c r="B2395" s="1" t="n">
        <v>43682</v>
      </c>
      <c r="C2395" s="1" t="n">
        <v>45363</v>
      </c>
      <c r="D2395" t="inlineStr">
        <is>
          <t>JÄMTLANDS LÄN</t>
        </is>
      </c>
      <c r="E2395" t="inlineStr">
        <is>
          <t>STRÖMSUND</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38122-2019</t>
        </is>
      </c>
      <c r="B2396" s="1" t="n">
        <v>43683</v>
      </c>
      <c r="C2396" s="1" t="n">
        <v>45363</v>
      </c>
      <c r="D2396" t="inlineStr">
        <is>
          <t>JÄMTLANDS LÄN</t>
        </is>
      </c>
      <c r="E2396" t="inlineStr">
        <is>
          <t>STRÖMSUND</t>
        </is>
      </c>
      <c r="F2396" t="inlineStr">
        <is>
          <t>SCA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38208-2019</t>
        </is>
      </c>
      <c r="B2397" s="1" t="n">
        <v>43684</v>
      </c>
      <c r="C2397" s="1" t="n">
        <v>45363</v>
      </c>
      <c r="D2397" t="inlineStr">
        <is>
          <t>JÄMTLANDS LÄN</t>
        </is>
      </c>
      <c r="E2397" t="inlineStr">
        <is>
          <t>KROKOM</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38319-2019</t>
        </is>
      </c>
      <c r="B2398" s="1" t="n">
        <v>43684</v>
      </c>
      <c r="C2398" s="1" t="n">
        <v>45363</v>
      </c>
      <c r="D2398" t="inlineStr">
        <is>
          <t>JÄMTLANDS LÄN</t>
        </is>
      </c>
      <c r="E2398" t="inlineStr">
        <is>
          <t>BERG</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38283-2019</t>
        </is>
      </c>
      <c r="B2399" s="1" t="n">
        <v>43684</v>
      </c>
      <c r="C2399" s="1" t="n">
        <v>45363</v>
      </c>
      <c r="D2399" t="inlineStr">
        <is>
          <t>JÄMTLANDS LÄN</t>
        </is>
      </c>
      <c r="E2399" t="inlineStr">
        <is>
          <t>HÄRJEDALEN</t>
        </is>
      </c>
      <c r="F2399" t="inlineStr">
        <is>
          <t>Bergvik skog väst AB</t>
        </is>
      </c>
      <c r="G2399" t="n">
        <v>29.5</v>
      </c>
      <c r="H2399" t="n">
        <v>0</v>
      </c>
      <c r="I2399" t="n">
        <v>0</v>
      </c>
      <c r="J2399" t="n">
        <v>0</v>
      </c>
      <c r="K2399" t="n">
        <v>0</v>
      </c>
      <c r="L2399" t="n">
        <v>0</v>
      </c>
      <c r="M2399" t="n">
        <v>0</v>
      </c>
      <c r="N2399" t="n">
        <v>0</v>
      </c>
      <c r="O2399" t="n">
        <v>0</v>
      </c>
      <c r="P2399" t="n">
        <v>0</v>
      </c>
      <c r="Q2399" t="n">
        <v>0</v>
      </c>
      <c r="R2399" s="2" t="inlineStr"/>
    </row>
    <row r="2400" ht="15" customHeight="1">
      <c r="A2400" t="inlineStr">
        <is>
          <t>A 38320-2019</t>
        </is>
      </c>
      <c r="B2400" s="1" t="n">
        <v>43685</v>
      </c>
      <c r="C2400" s="1" t="n">
        <v>45363</v>
      </c>
      <c r="D2400" t="inlineStr">
        <is>
          <t>JÄMTLANDS LÄN</t>
        </is>
      </c>
      <c r="E2400" t="inlineStr">
        <is>
          <t>BRÄCKE</t>
        </is>
      </c>
      <c r="F2400" t="inlineStr">
        <is>
          <t>SCA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38312-2019</t>
        </is>
      </c>
      <c r="B2401" s="1" t="n">
        <v>43684</v>
      </c>
      <c r="C2401" s="1" t="n">
        <v>45363</v>
      </c>
      <c r="D2401" t="inlineStr">
        <is>
          <t>JÄMTLANDS LÄN</t>
        </is>
      </c>
      <c r="E2401" t="inlineStr">
        <is>
          <t>STRÖMSUND</t>
        </is>
      </c>
      <c r="F2401" t="inlineStr">
        <is>
          <t>SCA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38662-2019</t>
        </is>
      </c>
      <c r="B2402" s="1" t="n">
        <v>43684</v>
      </c>
      <c r="C2402" s="1" t="n">
        <v>45363</v>
      </c>
      <c r="D2402" t="inlineStr">
        <is>
          <t>JÄMTLANDS LÄN</t>
        </is>
      </c>
      <c r="E2402" t="inlineStr">
        <is>
          <t>ÖSTERSUND</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38578-2019</t>
        </is>
      </c>
      <c r="B2403" s="1" t="n">
        <v>43685</v>
      </c>
      <c r="C2403" s="1" t="n">
        <v>45363</v>
      </c>
      <c r="D2403" t="inlineStr">
        <is>
          <t>JÄMTLANDS LÄN</t>
        </is>
      </c>
      <c r="E2403" t="inlineStr">
        <is>
          <t>STRÖMSUND</t>
        </is>
      </c>
      <c r="F2403" t="inlineStr">
        <is>
          <t>SCA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38577-2019</t>
        </is>
      </c>
      <c r="B2404" s="1" t="n">
        <v>43685</v>
      </c>
      <c r="C2404" s="1" t="n">
        <v>45363</v>
      </c>
      <c r="D2404" t="inlineStr">
        <is>
          <t>JÄMTLANDS LÄN</t>
        </is>
      </c>
      <c r="E2404" t="inlineStr">
        <is>
          <t>STRÖMSUND</t>
        </is>
      </c>
      <c r="F2404" t="inlineStr">
        <is>
          <t>SCA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38777-2019</t>
        </is>
      </c>
      <c r="B2405" s="1" t="n">
        <v>43686</v>
      </c>
      <c r="C2405" s="1" t="n">
        <v>45363</v>
      </c>
      <c r="D2405" t="inlineStr">
        <is>
          <t>JÄMTLANDS LÄN</t>
        </is>
      </c>
      <c r="E2405" t="inlineStr">
        <is>
          <t>BRÄCKE</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38757-2019</t>
        </is>
      </c>
      <c r="B2406" s="1" t="n">
        <v>43686</v>
      </c>
      <c r="C2406" s="1" t="n">
        <v>45363</v>
      </c>
      <c r="D2406" t="inlineStr">
        <is>
          <t>JÄMTLANDS LÄN</t>
        </is>
      </c>
      <c r="E2406" t="inlineStr">
        <is>
          <t>RAGUNDA</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39459-2019</t>
        </is>
      </c>
      <c r="B2407" s="1" t="n">
        <v>43686</v>
      </c>
      <c r="C2407" s="1" t="n">
        <v>45363</v>
      </c>
      <c r="D2407" t="inlineStr">
        <is>
          <t>JÄMTLANDS LÄN</t>
        </is>
      </c>
      <c r="E2407" t="inlineStr">
        <is>
          <t>ÖSTERSUND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38859-2019</t>
        </is>
      </c>
      <c r="B2408" s="1" t="n">
        <v>43689</v>
      </c>
      <c r="C2408" s="1" t="n">
        <v>45363</v>
      </c>
      <c r="D2408" t="inlineStr">
        <is>
          <t>JÄMTLANDS LÄN</t>
        </is>
      </c>
      <c r="E2408" t="inlineStr">
        <is>
          <t>HÄRJEDALEN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39111-2019</t>
        </is>
      </c>
      <c r="B2409" s="1" t="n">
        <v>43689</v>
      </c>
      <c r="C2409" s="1" t="n">
        <v>45363</v>
      </c>
      <c r="D2409" t="inlineStr">
        <is>
          <t>JÄMTLANDS LÄN</t>
        </is>
      </c>
      <c r="E2409" t="inlineStr">
        <is>
          <t>BRÄCKE</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39128-2019</t>
        </is>
      </c>
      <c r="B2410" s="1" t="n">
        <v>43689</v>
      </c>
      <c r="C2410" s="1" t="n">
        <v>45363</v>
      </c>
      <c r="D2410" t="inlineStr">
        <is>
          <t>JÄMTLANDS LÄN</t>
        </is>
      </c>
      <c r="E2410" t="inlineStr">
        <is>
          <t>BERG</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39127-2019</t>
        </is>
      </c>
      <c r="B2411" s="1" t="n">
        <v>43689</v>
      </c>
      <c r="C2411" s="1" t="n">
        <v>45363</v>
      </c>
      <c r="D2411" t="inlineStr">
        <is>
          <t>JÄMTLANDS LÄN</t>
        </is>
      </c>
      <c r="E2411" t="inlineStr">
        <is>
          <t>BERG</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39113-2019</t>
        </is>
      </c>
      <c r="B2412" s="1" t="n">
        <v>43690</v>
      </c>
      <c r="C2412" s="1" t="n">
        <v>45363</v>
      </c>
      <c r="D2412" t="inlineStr">
        <is>
          <t>JÄMTLANDS LÄN</t>
        </is>
      </c>
      <c r="E2412" t="inlineStr">
        <is>
          <t>BRÄCKE</t>
        </is>
      </c>
      <c r="F2412" t="inlineStr">
        <is>
          <t>SCA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39129-2019</t>
        </is>
      </c>
      <c r="B2413" s="1" t="n">
        <v>43689</v>
      </c>
      <c r="C2413" s="1" t="n">
        <v>45363</v>
      </c>
      <c r="D2413" t="inlineStr">
        <is>
          <t>JÄMTLANDS LÄN</t>
        </is>
      </c>
      <c r="E2413" t="inlineStr">
        <is>
          <t>STRÖMSUND</t>
        </is>
      </c>
      <c r="F2413" t="inlineStr">
        <is>
          <t>SCA</t>
        </is>
      </c>
      <c r="G2413" t="n">
        <v>67.2</v>
      </c>
      <c r="H2413" t="n">
        <v>0</v>
      </c>
      <c r="I2413" t="n">
        <v>0</v>
      </c>
      <c r="J2413" t="n">
        <v>0</v>
      </c>
      <c r="K2413" t="n">
        <v>0</v>
      </c>
      <c r="L2413" t="n">
        <v>0</v>
      </c>
      <c r="M2413" t="n">
        <v>0</v>
      </c>
      <c r="N2413" t="n">
        <v>0</v>
      </c>
      <c r="O2413" t="n">
        <v>0</v>
      </c>
      <c r="P2413" t="n">
        <v>0</v>
      </c>
      <c r="Q2413" t="n">
        <v>0</v>
      </c>
      <c r="R2413" s="2" t="inlineStr"/>
    </row>
    <row r="2414" ht="15" customHeight="1">
      <c r="A2414" t="inlineStr">
        <is>
          <t>A 38884-2019</t>
        </is>
      </c>
      <c r="B2414" s="1" t="n">
        <v>43689</v>
      </c>
      <c r="C2414" s="1" t="n">
        <v>45363</v>
      </c>
      <c r="D2414" t="inlineStr">
        <is>
          <t>JÄMTLANDS LÄN</t>
        </is>
      </c>
      <c r="E2414" t="inlineStr">
        <is>
          <t>HÄRJEDALEN</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39130-2019</t>
        </is>
      </c>
      <c r="B2415" s="1" t="n">
        <v>43689</v>
      </c>
      <c r="C2415" s="1" t="n">
        <v>45363</v>
      </c>
      <c r="D2415" t="inlineStr">
        <is>
          <t>JÄMTLANDS LÄN</t>
        </is>
      </c>
      <c r="E2415" t="inlineStr">
        <is>
          <t>BERG</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39226-2019</t>
        </is>
      </c>
      <c r="B2416" s="1" t="n">
        <v>43690</v>
      </c>
      <c r="C2416" s="1" t="n">
        <v>45363</v>
      </c>
      <c r="D2416" t="inlineStr">
        <is>
          <t>JÄMTLANDS LÄN</t>
        </is>
      </c>
      <c r="E2416" t="inlineStr">
        <is>
          <t>STRÖMSUND</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39282-2019</t>
        </is>
      </c>
      <c r="B2417" s="1" t="n">
        <v>43690</v>
      </c>
      <c r="C2417" s="1" t="n">
        <v>45363</v>
      </c>
      <c r="D2417" t="inlineStr">
        <is>
          <t>JÄMTLANDS LÄN</t>
        </is>
      </c>
      <c r="E2417" t="inlineStr">
        <is>
          <t>STRÖMSUND</t>
        </is>
      </c>
      <c r="F2417" t="inlineStr">
        <is>
          <t>Holmen skog AB</t>
        </is>
      </c>
      <c r="G2417" t="n">
        <v>21.2</v>
      </c>
      <c r="H2417" t="n">
        <v>0</v>
      </c>
      <c r="I2417" t="n">
        <v>0</v>
      </c>
      <c r="J2417" t="n">
        <v>0</v>
      </c>
      <c r="K2417" t="n">
        <v>0</v>
      </c>
      <c r="L2417" t="n">
        <v>0</v>
      </c>
      <c r="M2417" t="n">
        <v>0</v>
      </c>
      <c r="N2417" t="n">
        <v>0</v>
      </c>
      <c r="O2417" t="n">
        <v>0</v>
      </c>
      <c r="P2417" t="n">
        <v>0</v>
      </c>
      <c r="Q2417" t="n">
        <v>0</v>
      </c>
      <c r="R2417" s="2" t="inlineStr"/>
    </row>
    <row r="2418" ht="15" customHeight="1">
      <c r="A2418" t="inlineStr">
        <is>
          <t>A 39353-2019</t>
        </is>
      </c>
      <c r="B2418" s="1" t="n">
        <v>43690</v>
      </c>
      <c r="C2418" s="1" t="n">
        <v>45363</v>
      </c>
      <c r="D2418" t="inlineStr">
        <is>
          <t>JÄMTLANDS LÄN</t>
        </is>
      </c>
      <c r="E2418" t="inlineStr">
        <is>
          <t>KROKOM</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39587-2019</t>
        </is>
      </c>
      <c r="B2419" s="1" t="n">
        <v>43691</v>
      </c>
      <c r="C2419" s="1" t="n">
        <v>45363</v>
      </c>
      <c r="D2419" t="inlineStr">
        <is>
          <t>JÄMTLANDS LÄN</t>
        </is>
      </c>
      <c r="E2419" t="inlineStr">
        <is>
          <t>KROKOM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39645-2019</t>
        </is>
      </c>
      <c r="B2420" s="1" t="n">
        <v>43691</v>
      </c>
      <c r="C2420" s="1" t="n">
        <v>45363</v>
      </c>
      <c r="D2420" t="inlineStr">
        <is>
          <t>JÄMTLANDS LÄN</t>
        </is>
      </c>
      <c r="E2420" t="inlineStr">
        <is>
          <t>BRÄCKE</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39924-2019</t>
        </is>
      </c>
      <c r="B2421" s="1" t="n">
        <v>43692</v>
      </c>
      <c r="C2421" s="1" t="n">
        <v>45363</v>
      </c>
      <c r="D2421" t="inlineStr">
        <is>
          <t>JÄMTLANDS LÄN</t>
        </is>
      </c>
      <c r="E2421" t="inlineStr">
        <is>
          <t>STRÖMSUND</t>
        </is>
      </c>
      <c r="F2421" t="inlineStr">
        <is>
          <t>Holmen skog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39956-2019</t>
        </is>
      </c>
      <c r="B2422" s="1" t="n">
        <v>43692</v>
      </c>
      <c r="C2422" s="1" t="n">
        <v>45363</v>
      </c>
      <c r="D2422" t="inlineStr">
        <is>
          <t>JÄMTLANDS LÄN</t>
        </is>
      </c>
      <c r="E2422" t="inlineStr">
        <is>
          <t>KROKOM</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39943-2019</t>
        </is>
      </c>
      <c r="B2423" s="1" t="n">
        <v>43692</v>
      </c>
      <c r="C2423" s="1" t="n">
        <v>45363</v>
      </c>
      <c r="D2423" t="inlineStr">
        <is>
          <t>JÄMTLANDS LÄN</t>
        </is>
      </c>
      <c r="E2423" t="inlineStr">
        <is>
          <t>KROKOM</t>
        </is>
      </c>
      <c r="G2423" t="n">
        <v>17.9</v>
      </c>
      <c r="H2423" t="n">
        <v>0</v>
      </c>
      <c r="I2423" t="n">
        <v>0</v>
      </c>
      <c r="J2423" t="n">
        <v>0</v>
      </c>
      <c r="K2423" t="n">
        <v>0</v>
      </c>
      <c r="L2423" t="n">
        <v>0</v>
      </c>
      <c r="M2423" t="n">
        <v>0</v>
      </c>
      <c r="N2423" t="n">
        <v>0</v>
      </c>
      <c r="O2423" t="n">
        <v>0</v>
      </c>
      <c r="P2423" t="n">
        <v>0</v>
      </c>
      <c r="Q2423" t="n">
        <v>0</v>
      </c>
      <c r="R2423" s="2" t="inlineStr"/>
    </row>
    <row r="2424" ht="15" customHeight="1">
      <c r="A2424" t="inlineStr">
        <is>
          <t>A 40929-2019</t>
        </is>
      </c>
      <c r="B2424" s="1" t="n">
        <v>43693</v>
      </c>
      <c r="C2424" s="1" t="n">
        <v>45363</v>
      </c>
      <c r="D2424" t="inlineStr">
        <is>
          <t>JÄMTLANDS LÄN</t>
        </is>
      </c>
      <c r="E2424" t="inlineStr">
        <is>
          <t>KROKOM</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40244-2019</t>
        </is>
      </c>
      <c r="B2425" s="1" t="n">
        <v>43694</v>
      </c>
      <c r="C2425" s="1" t="n">
        <v>45363</v>
      </c>
      <c r="D2425" t="inlineStr">
        <is>
          <t>JÄMTLANDS LÄN</t>
        </is>
      </c>
      <c r="E2425" t="inlineStr">
        <is>
          <t>HÄRJEDALEN</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40478-2019</t>
        </is>
      </c>
      <c r="B2426" s="1" t="n">
        <v>43696</v>
      </c>
      <c r="C2426" s="1" t="n">
        <v>45363</v>
      </c>
      <c r="D2426" t="inlineStr">
        <is>
          <t>JÄMTLANDS LÄN</t>
        </is>
      </c>
      <c r="E2426" t="inlineStr">
        <is>
          <t>BERG</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40509-2019</t>
        </is>
      </c>
      <c r="B2427" s="1" t="n">
        <v>43696</v>
      </c>
      <c r="C2427" s="1" t="n">
        <v>45363</v>
      </c>
      <c r="D2427" t="inlineStr">
        <is>
          <t>JÄMTLANDS LÄN</t>
        </is>
      </c>
      <c r="E2427" t="inlineStr">
        <is>
          <t>STRÖMSUND</t>
        </is>
      </c>
      <c r="G2427" t="n">
        <v>16.4</v>
      </c>
      <c r="H2427" t="n">
        <v>0</v>
      </c>
      <c r="I2427" t="n">
        <v>0</v>
      </c>
      <c r="J2427" t="n">
        <v>0</v>
      </c>
      <c r="K2427" t="n">
        <v>0</v>
      </c>
      <c r="L2427" t="n">
        <v>0</v>
      </c>
      <c r="M2427" t="n">
        <v>0</v>
      </c>
      <c r="N2427" t="n">
        <v>0</v>
      </c>
      <c r="O2427" t="n">
        <v>0</v>
      </c>
      <c r="P2427" t="n">
        <v>0</v>
      </c>
      <c r="Q2427" t="n">
        <v>0</v>
      </c>
      <c r="R2427" s="2" t="inlineStr"/>
    </row>
    <row r="2428" ht="15" customHeight="1">
      <c r="A2428" t="inlineStr">
        <is>
          <t>A 40530-2019</t>
        </is>
      </c>
      <c r="B2428" s="1" t="n">
        <v>43696</v>
      </c>
      <c r="C2428" s="1" t="n">
        <v>45363</v>
      </c>
      <c r="D2428" t="inlineStr">
        <is>
          <t>JÄMTLANDS LÄN</t>
        </is>
      </c>
      <c r="E2428" t="inlineStr">
        <is>
          <t>ÖSTERSUND</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40529-2019</t>
        </is>
      </c>
      <c r="B2429" s="1" t="n">
        <v>43696</v>
      </c>
      <c r="C2429" s="1" t="n">
        <v>45363</v>
      </c>
      <c r="D2429" t="inlineStr">
        <is>
          <t>JÄMTLANDS LÄN</t>
        </is>
      </c>
      <c r="E2429" t="inlineStr">
        <is>
          <t>BERG</t>
        </is>
      </c>
      <c r="F2429" t="inlineStr">
        <is>
          <t>SCA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40661-2019</t>
        </is>
      </c>
      <c r="B2430" s="1" t="n">
        <v>43696</v>
      </c>
      <c r="C2430" s="1" t="n">
        <v>45363</v>
      </c>
      <c r="D2430" t="inlineStr">
        <is>
          <t>JÄMTLANDS LÄN</t>
        </is>
      </c>
      <c r="E2430" t="inlineStr">
        <is>
          <t>STRÖMSUND</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41364-2019</t>
        </is>
      </c>
      <c r="B2431" s="1" t="n">
        <v>43696</v>
      </c>
      <c r="C2431" s="1" t="n">
        <v>45363</v>
      </c>
      <c r="D2431" t="inlineStr">
        <is>
          <t>JÄMTLANDS LÄN</t>
        </is>
      </c>
      <c r="E2431" t="inlineStr">
        <is>
          <t>ÖSTERSUND</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40479-2019</t>
        </is>
      </c>
      <c r="B2432" s="1" t="n">
        <v>43696</v>
      </c>
      <c r="C2432" s="1" t="n">
        <v>45363</v>
      </c>
      <c r="D2432" t="inlineStr">
        <is>
          <t>JÄMTLANDS LÄN</t>
        </is>
      </c>
      <c r="E2432" t="inlineStr">
        <is>
          <t>BERG</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40491-2019</t>
        </is>
      </c>
      <c r="B2433" s="1" t="n">
        <v>43696</v>
      </c>
      <c r="C2433" s="1" t="n">
        <v>45363</v>
      </c>
      <c r="D2433" t="inlineStr">
        <is>
          <t>JÄMTLANDS LÄN</t>
        </is>
      </c>
      <c r="E2433" t="inlineStr">
        <is>
          <t>KROKOM</t>
        </is>
      </c>
      <c r="F2433" t="inlineStr">
        <is>
          <t>SCA</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40668-2019</t>
        </is>
      </c>
      <c r="B2434" s="1" t="n">
        <v>43696</v>
      </c>
      <c r="C2434" s="1" t="n">
        <v>45363</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40670-2019</t>
        </is>
      </c>
      <c r="B2435" s="1" t="n">
        <v>43696</v>
      </c>
      <c r="C2435" s="1" t="n">
        <v>45363</v>
      </c>
      <c r="D2435" t="inlineStr">
        <is>
          <t>JÄMTLANDS LÄN</t>
        </is>
      </c>
      <c r="E2435" t="inlineStr">
        <is>
          <t>STRÖMSUND</t>
        </is>
      </c>
      <c r="F2435" t="inlineStr">
        <is>
          <t>SCA</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40508-2019</t>
        </is>
      </c>
      <c r="B2436" s="1" t="n">
        <v>43696</v>
      </c>
      <c r="C2436" s="1" t="n">
        <v>45363</v>
      </c>
      <c r="D2436" t="inlineStr">
        <is>
          <t>JÄMTLANDS LÄN</t>
        </is>
      </c>
      <c r="E2436" t="inlineStr">
        <is>
          <t>STRÖMSUND</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40531-2019</t>
        </is>
      </c>
      <c r="B2437" s="1" t="n">
        <v>43696</v>
      </c>
      <c r="C2437" s="1" t="n">
        <v>45363</v>
      </c>
      <c r="D2437" t="inlineStr">
        <is>
          <t>JÄMTLANDS LÄN</t>
        </is>
      </c>
      <c r="E2437" t="inlineStr">
        <is>
          <t>ÖSTERSUND</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40584-2019</t>
        </is>
      </c>
      <c r="B2438" s="1" t="n">
        <v>43696</v>
      </c>
      <c r="C2438" s="1" t="n">
        <v>45363</v>
      </c>
      <c r="D2438" t="inlineStr">
        <is>
          <t>JÄMTLANDS LÄN</t>
        </is>
      </c>
      <c r="E2438" t="inlineStr">
        <is>
          <t>BERG</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41556-2019</t>
        </is>
      </c>
      <c r="B2439" s="1" t="n">
        <v>43696</v>
      </c>
      <c r="C2439" s="1" t="n">
        <v>45363</v>
      </c>
      <c r="D2439" t="inlineStr">
        <is>
          <t>JÄMTLANDS LÄN</t>
        </is>
      </c>
      <c r="E2439" t="inlineStr">
        <is>
          <t>ÖSTERSUND</t>
        </is>
      </c>
      <c r="F2439" t="inlineStr">
        <is>
          <t>SCA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40667-2019</t>
        </is>
      </c>
      <c r="B2440" s="1" t="n">
        <v>43697</v>
      </c>
      <c r="C2440" s="1" t="n">
        <v>45363</v>
      </c>
      <c r="D2440" t="inlineStr">
        <is>
          <t>JÄMTLANDS LÄN</t>
        </is>
      </c>
      <c r="E2440" t="inlineStr">
        <is>
          <t>BRÄCKE</t>
        </is>
      </c>
      <c r="F2440" t="inlineStr">
        <is>
          <t>SCA</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41033-2019</t>
        </is>
      </c>
      <c r="B2441" s="1" t="n">
        <v>43697</v>
      </c>
      <c r="C2441" s="1" t="n">
        <v>45363</v>
      </c>
      <c r="D2441" t="inlineStr">
        <is>
          <t>JÄMTLANDS LÄN</t>
        </is>
      </c>
      <c r="E2441" t="inlineStr">
        <is>
          <t>BRÄCKE</t>
        </is>
      </c>
      <c r="F2441" t="inlineStr">
        <is>
          <t>SCA</t>
        </is>
      </c>
      <c r="G2441" t="n">
        <v>27.1</v>
      </c>
      <c r="H2441" t="n">
        <v>0</v>
      </c>
      <c r="I2441" t="n">
        <v>0</v>
      </c>
      <c r="J2441" t="n">
        <v>0</v>
      </c>
      <c r="K2441" t="n">
        <v>0</v>
      </c>
      <c r="L2441" t="n">
        <v>0</v>
      </c>
      <c r="M2441" t="n">
        <v>0</v>
      </c>
      <c r="N2441" t="n">
        <v>0</v>
      </c>
      <c r="O2441" t="n">
        <v>0</v>
      </c>
      <c r="P2441" t="n">
        <v>0</v>
      </c>
      <c r="Q2441" t="n">
        <v>0</v>
      </c>
      <c r="R2441" s="2" t="inlineStr"/>
    </row>
    <row r="2442" ht="15" customHeight="1">
      <c r="A2442" t="inlineStr">
        <is>
          <t>A 41028-2019</t>
        </is>
      </c>
      <c r="B2442" s="1" t="n">
        <v>43697</v>
      </c>
      <c r="C2442" s="1" t="n">
        <v>45363</v>
      </c>
      <c r="D2442" t="inlineStr">
        <is>
          <t>JÄMTLANDS LÄN</t>
        </is>
      </c>
      <c r="E2442" t="inlineStr">
        <is>
          <t>BRÄCKE</t>
        </is>
      </c>
      <c r="F2442" t="inlineStr">
        <is>
          <t>SCA</t>
        </is>
      </c>
      <c r="G2442" t="n">
        <v>16.5</v>
      </c>
      <c r="H2442" t="n">
        <v>0</v>
      </c>
      <c r="I2442" t="n">
        <v>0</v>
      </c>
      <c r="J2442" t="n">
        <v>0</v>
      </c>
      <c r="K2442" t="n">
        <v>0</v>
      </c>
      <c r="L2442" t="n">
        <v>0</v>
      </c>
      <c r="M2442" t="n">
        <v>0</v>
      </c>
      <c r="N2442" t="n">
        <v>0</v>
      </c>
      <c r="O2442" t="n">
        <v>0</v>
      </c>
      <c r="P2442" t="n">
        <v>0</v>
      </c>
      <c r="Q2442" t="n">
        <v>0</v>
      </c>
      <c r="R2442" s="2" t="inlineStr"/>
    </row>
    <row r="2443" ht="15" customHeight="1">
      <c r="A2443" t="inlineStr">
        <is>
          <t>A 41007-2019</t>
        </is>
      </c>
      <c r="B2443" s="1" t="n">
        <v>43697</v>
      </c>
      <c r="C2443" s="1" t="n">
        <v>45363</v>
      </c>
      <c r="D2443" t="inlineStr">
        <is>
          <t>JÄMTLANDS LÄN</t>
        </is>
      </c>
      <c r="E2443" t="inlineStr">
        <is>
          <t>STRÖMSUND</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41029-2019</t>
        </is>
      </c>
      <c r="B2444" s="1" t="n">
        <v>43697</v>
      </c>
      <c r="C2444" s="1" t="n">
        <v>45363</v>
      </c>
      <c r="D2444" t="inlineStr">
        <is>
          <t>JÄMTLANDS LÄN</t>
        </is>
      </c>
      <c r="E2444" t="inlineStr">
        <is>
          <t>BRÄCKE</t>
        </is>
      </c>
      <c r="F2444" t="inlineStr">
        <is>
          <t>SCA</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41042-2019</t>
        </is>
      </c>
      <c r="B2445" s="1" t="n">
        <v>43697</v>
      </c>
      <c r="C2445" s="1" t="n">
        <v>45363</v>
      </c>
      <c r="D2445" t="inlineStr">
        <is>
          <t>JÄMTLANDS LÄN</t>
        </is>
      </c>
      <c r="E2445" t="inlineStr">
        <is>
          <t>STRÖMSUND</t>
        </is>
      </c>
      <c r="F2445" t="inlineStr">
        <is>
          <t>SCA</t>
        </is>
      </c>
      <c r="G2445" t="n">
        <v>58.2</v>
      </c>
      <c r="H2445" t="n">
        <v>0</v>
      </c>
      <c r="I2445" t="n">
        <v>0</v>
      </c>
      <c r="J2445" t="n">
        <v>0</v>
      </c>
      <c r="K2445" t="n">
        <v>0</v>
      </c>
      <c r="L2445" t="n">
        <v>0</v>
      </c>
      <c r="M2445" t="n">
        <v>0</v>
      </c>
      <c r="N2445" t="n">
        <v>0</v>
      </c>
      <c r="O2445" t="n">
        <v>0</v>
      </c>
      <c r="P2445" t="n">
        <v>0</v>
      </c>
      <c r="Q2445" t="n">
        <v>0</v>
      </c>
      <c r="R2445" s="2" t="inlineStr"/>
    </row>
    <row r="2446" ht="15" customHeight="1">
      <c r="A2446" t="inlineStr">
        <is>
          <t>A 41332-2019</t>
        </is>
      </c>
      <c r="B2446" s="1" t="n">
        <v>43698</v>
      </c>
      <c r="C2446" s="1" t="n">
        <v>45363</v>
      </c>
      <c r="D2446" t="inlineStr">
        <is>
          <t>JÄMTLANDS LÄN</t>
        </is>
      </c>
      <c r="E2446" t="inlineStr">
        <is>
          <t>BRÄCKE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41452-2019</t>
        </is>
      </c>
      <c r="B2447" s="1" t="n">
        <v>43699</v>
      </c>
      <c r="C2447" s="1" t="n">
        <v>45363</v>
      </c>
      <c r="D2447" t="inlineStr">
        <is>
          <t>JÄMTLANDS LÄN</t>
        </is>
      </c>
      <c r="E2447" t="inlineStr">
        <is>
          <t>BERG</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41107-2019</t>
        </is>
      </c>
      <c r="B2448" s="1" t="n">
        <v>43698</v>
      </c>
      <c r="C2448" s="1" t="n">
        <v>45363</v>
      </c>
      <c r="D2448" t="inlineStr">
        <is>
          <t>JÄMTLANDS LÄN</t>
        </is>
      </c>
      <c r="E2448" t="inlineStr">
        <is>
          <t>ÅRE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41491-2019</t>
        </is>
      </c>
      <c r="B2449" s="1" t="n">
        <v>43699</v>
      </c>
      <c r="C2449" s="1" t="n">
        <v>45363</v>
      </c>
      <c r="D2449" t="inlineStr">
        <is>
          <t>JÄMTLANDS LÄN</t>
        </is>
      </c>
      <c r="E2449" t="inlineStr">
        <is>
          <t>KROKOM</t>
        </is>
      </c>
      <c r="G2449" t="n">
        <v>9.1</v>
      </c>
      <c r="H2449" t="n">
        <v>0</v>
      </c>
      <c r="I2449" t="n">
        <v>0</v>
      </c>
      <c r="J2449" t="n">
        <v>0</v>
      </c>
      <c r="K2449" t="n">
        <v>0</v>
      </c>
      <c r="L2449" t="n">
        <v>0</v>
      </c>
      <c r="M2449" t="n">
        <v>0</v>
      </c>
      <c r="N2449" t="n">
        <v>0</v>
      </c>
      <c r="O2449" t="n">
        <v>0</v>
      </c>
      <c r="P2449" t="n">
        <v>0</v>
      </c>
      <c r="Q2449" t="n">
        <v>0</v>
      </c>
      <c r="R2449" s="2" t="inlineStr"/>
    </row>
    <row r="2450" ht="15" customHeight="1">
      <c r="A2450" t="inlineStr">
        <is>
          <t>A 41588-2019</t>
        </is>
      </c>
      <c r="B2450" s="1" t="n">
        <v>43699</v>
      </c>
      <c r="C2450" s="1" t="n">
        <v>45363</v>
      </c>
      <c r="D2450" t="inlineStr">
        <is>
          <t>JÄMTLANDS LÄN</t>
        </is>
      </c>
      <c r="E2450" t="inlineStr">
        <is>
          <t>ÖSTERSUND</t>
        </is>
      </c>
      <c r="G2450" t="n">
        <v>26.7</v>
      </c>
      <c r="H2450" t="n">
        <v>0</v>
      </c>
      <c r="I2450" t="n">
        <v>0</v>
      </c>
      <c r="J2450" t="n">
        <v>0</v>
      </c>
      <c r="K2450" t="n">
        <v>0</v>
      </c>
      <c r="L2450" t="n">
        <v>0</v>
      </c>
      <c r="M2450" t="n">
        <v>0</v>
      </c>
      <c r="N2450" t="n">
        <v>0</v>
      </c>
      <c r="O2450" t="n">
        <v>0</v>
      </c>
      <c r="P2450" t="n">
        <v>0</v>
      </c>
      <c r="Q2450" t="n">
        <v>0</v>
      </c>
      <c r="R2450" s="2" t="inlineStr"/>
    </row>
    <row r="2451" ht="15" customHeight="1">
      <c r="A2451" t="inlineStr">
        <is>
          <t>A 41781-2019</t>
        </is>
      </c>
      <c r="B2451" s="1" t="n">
        <v>43699</v>
      </c>
      <c r="C2451" s="1" t="n">
        <v>45363</v>
      </c>
      <c r="D2451" t="inlineStr">
        <is>
          <t>JÄMTLANDS LÄN</t>
        </is>
      </c>
      <c r="E2451" t="inlineStr">
        <is>
          <t>BRÄCKE</t>
        </is>
      </c>
      <c r="F2451" t="inlineStr">
        <is>
          <t>SCA</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42311-2019</t>
        </is>
      </c>
      <c r="B2452" s="1" t="n">
        <v>43699</v>
      </c>
      <c r="C2452" s="1" t="n">
        <v>45363</v>
      </c>
      <c r="D2452" t="inlineStr">
        <is>
          <t>JÄMTLANDS LÄN</t>
        </is>
      </c>
      <c r="E2452" t="inlineStr">
        <is>
          <t>ÅRE</t>
        </is>
      </c>
      <c r="G2452" t="n">
        <v>13.7</v>
      </c>
      <c r="H2452" t="n">
        <v>0</v>
      </c>
      <c r="I2452" t="n">
        <v>0</v>
      </c>
      <c r="J2452" t="n">
        <v>0</v>
      </c>
      <c r="K2452" t="n">
        <v>0</v>
      </c>
      <c r="L2452" t="n">
        <v>0</v>
      </c>
      <c r="M2452" t="n">
        <v>0</v>
      </c>
      <c r="N2452" t="n">
        <v>0</v>
      </c>
      <c r="O2452" t="n">
        <v>0</v>
      </c>
      <c r="P2452" t="n">
        <v>0</v>
      </c>
      <c r="Q2452" t="n">
        <v>0</v>
      </c>
      <c r="R2452" s="2" t="inlineStr"/>
    </row>
    <row r="2453" ht="15" customHeight="1">
      <c r="A2453" t="inlineStr">
        <is>
          <t>A 41896-2019</t>
        </is>
      </c>
      <c r="B2453" s="1" t="n">
        <v>43700</v>
      </c>
      <c r="C2453" s="1" t="n">
        <v>45363</v>
      </c>
      <c r="D2453" t="inlineStr">
        <is>
          <t>JÄMTLANDS LÄN</t>
        </is>
      </c>
      <c r="E2453" t="inlineStr">
        <is>
          <t>BRÄCKE</t>
        </is>
      </c>
      <c r="F2453" t="inlineStr">
        <is>
          <t>Sveaskog</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42123-2019</t>
        </is>
      </c>
      <c r="B2454" s="1" t="n">
        <v>43703</v>
      </c>
      <c r="C2454" s="1" t="n">
        <v>45363</v>
      </c>
      <c r="D2454" t="inlineStr">
        <is>
          <t>JÄMTLANDS LÄN</t>
        </is>
      </c>
      <c r="E2454" t="inlineStr">
        <is>
          <t>HÄRJEDALEN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42258-2019</t>
        </is>
      </c>
      <c r="B2455" s="1" t="n">
        <v>43703</v>
      </c>
      <c r="C2455" s="1" t="n">
        <v>45363</v>
      </c>
      <c r="D2455" t="inlineStr">
        <is>
          <t>JÄMTLANDS LÄN</t>
        </is>
      </c>
      <c r="E2455" t="inlineStr">
        <is>
          <t>KROKOM</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42237-2019</t>
        </is>
      </c>
      <c r="B2456" s="1" t="n">
        <v>43703</v>
      </c>
      <c r="C2456" s="1" t="n">
        <v>45363</v>
      </c>
      <c r="D2456" t="inlineStr">
        <is>
          <t>JÄMTLANDS LÄN</t>
        </is>
      </c>
      <c r="E2456" t="inlineStr">
        <is>
          <t>KROKOM</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43249-2019</t>
        </is>
      </c>
      <c r="B2457" s="1" t="n">
        <v>43703</v>
      </c>
      <c r="C2457" s="1" t="n">
        <v>45363</v>
      </c>
      <c r="D2457" t="inlineStr">
        <is>
          <t>JÄMTLANDS LÄN</t>
        </is>
      </c>
      <c r="E2457" t="inlineStr">
        <is>
          <t>ÖSTERSUND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43425-2019</t>
        </is>
      </c>
      <c r="B2458" s="1" t="n">
        <v>43703</v>
      </c>
      <c r="C2458" s="1" t="n">
        <v>45363</v>
      </c>
      <c r="D2458" t="inlineStr">
        <is>
          <t>JÄMTLANDS LÄN</t>
        </is>
      </c>
      <c r="E2458" t="inlineStr">
        <is>
          <t>ÖSTERSUND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42420-2019</t>
        </is>
      </c>
      <c r="B2459" s="1" t="n">
        <v>43703</v>
      </c>
      <c r="C2459" s="1" t="n">
        <v>45363</v>
      </c>
      <c r="D2459" t="inlineStr">
        <is>
          <t>JÄMTLANDS LÄN</t>
        </is>
      </c>
      <c r="E2459" t="inlineStr">
        <is>
          <t>STRÖMSUND</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42537-2019</t>
        </is>
      </c>
      <c r="B2460" s="1" t="n">
        <v>43704</v>
      </c>
      <c r="C2460" s="1" t="n">
        <v>45363</v>
      </c>
      <c r="D2460" t="inlineStr">
        <is>
          <t>JÄMTLANDS LÄN</t>
        </is>
      </c>
      <c r="E2460" t="inlineStr">
        <is>
          <t>KROKOM</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42547-2019</t>
        </is>
      </c>
      <c r="B2461" s="1" t="n">
        <v>43704</v>
      </c>
      <c r="C2461" s="1" t="n">
        <v>45363</v>
      </c>
      <c r="D2461" t="inlineStr">
        <is>
          <t>JÄMTLANDS LÄN</t>
        </is>
      </c>
      <c r="E2461" t="inlineStr">
        <is>
          <t>KROKOM</t>
        </is>
      </c>
      <c r="F2461" t="inlineStr">
        <is>
          <t>Övriga Aktiebolag</t>
        </is>
      </c>
      <c r="G2461" t="n">
        <v>27.5</v>
      </c>
      <c r="H2461" t="n">
        <v>0</v>
      </c>
      <c r="I2461" t="n">
        <v>0</v>
      </c>
      <c r="J2461" t="n">
        <v>0</v>
      </c>
      <c r="K2461" t="n">
        <v>0</v>
      </c>
      <c r="L2461" t="n">
        <v>0</v>
      </c>
      <c r="M2461" t="n">
        <v>0</v>
      </c>
      <c r="N2461" t="n">
        <v>0</v>
      </c>
      <c r="O2461" t="n">
        <v>0</v>
      </c>
      <c r="P2461" t="n">
        <v>0</v>
      </c>
      <c r="Q2461" t="n">
        <v>0</v>
      </c>
      <c r="R2461" s="2" t="inlineStr"/>
    </row>
    <row r="2462" ht="15" customHeight="1">
      <c r="A2462" t="inlineStr">
        <is>
          <t>A 42498-2019</t>
        </is>
      </c>
      <c r="B2462" s="1" t="n">
        <v>43704</v>
      </c>
      <c r="C2462" s="1" t="n">
        <v>45363</v>
      </c>
      <c r="D2462" t="inlineStr">
        <is>
          <t>JÄMTLANDS LÄN</t>
        </is>
      </c>
      <c r="E2462" t="inlineStr">
        <is>
          <t>KROKOM</t>
        </is>
      </c>
      <c r="F2462" t="inlineStr">
        <is>
          <t>Övriga Aktiebolag</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42602-2019</t>
        </is>
      </c>
      <c r="B2463" s="1" t="n">
        <v>43704</v>
      </c>
      <c r="C2463" s="1" t="n">
        <v>45363</v>
      </c>
      <c r="D2463" t="inlineStr">
        <is>
          <t>JÄMTLANDS LÄN</t>
        </is>
      </c>
      <c r="E2463" t="inlineStr">
        <is>
          <t>KROKOM</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42786-2019</t>
        </is>
      </c>
      <c r="B2464" s="1" t="n">
        <v>43704</v>
      </c>
      <c r="C2464" s="1" t="n">
        <v>45363</v>
      </c>
      <c r="D2464" t="inlineStr">
        <is>
          <t>JÄMTLANDS LÄN</t>
        </is>
      </c>
      <c r="E2464" t="inlineStr">
        <is>
          <t>RAGUNDA</t>
        </is>
      </c>
      <c r="F2464" t="inlineStr">
        <is>
          <t>SCA</t>
        </is>
      </c>
      <c r="G2464" t="n">
        <v>9.699999999999999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42788-2019</t>
        </is>
      </c>
      <c r="B2465" s="1" t="n">
        <v>43704</v>
      </c>
      <c r="C2465" s="1" t="n">
        <v>45363</v>
      </c>
      <c r="D2465" t="inlineStr">
        <is>
          <t>JÄMTLANDS LÄN</t>
        </is>
      </c>
      <c r="E2465" t="inlineStr">
        <is>
          <t>RAGUNDA</t>
        </is>
      </c>
      <c r="F2465" t="inlineStr">
        <is>
          <t>SCA</t>
        </is>
      </c>
      <c r="G2465" t="n">
        <v>20.3</v>
      </c>
      <c r="H2465" t="n">
        <v>0</v>
      </c>
      <c r="I2465" t="n">
        <v>0</v>
      </c>
      <c r="J2465" t="n">
        <v>0</v>
      </c>
      <c r="K2465" t="n">
        <v>0</v>
      </c>
      <c r="L2465" t="n">
        <v>0</v>
      </c>
      <c r="M2465" t="n">
        <v>0</v>
      </c>
      <c r="N2465" t="n">
        <v>0</v>
      </c>
      <c r="O2465" t="n">
        <v>0</v>
      </c>
      <c r="P2465" t="n">
        <v>0</v>
      </c>
      <c r="Q2465" t="n">
        <v>0</v>
      </c>
      <c r="R2465" s="2" t="inlineStr"/>
    </row>
    <row r="2466" ht="15" customHeight="1">
      <c r="A2466" t="inlineStr">
        <is>
          <t>A 42785-2019</t>
        </is>
      </c>
      <c r="B2466" s="1" t="n">
        <v>43704</v>
      </c>
      <c r="C2466" s="1" t="n">
        <v>45363</v>
      </c>
      <c r="D2466" t="inlineStr">
        <is>
          <t>JÄMTLANDS LÄN</t>
        </is>
      </c>
      <c r="E2466" t="inlineStr">
        <is>
          <t>RAGUNDA</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42512-2019</t>
        </is>
      </c>
      <c r="B2467" s="1" t="n">
        <v>43704</v>
      </c>
      <c r="C2467" s="1" t="n">
        <v>45363</v>
      </c>
      <c r="D2467" t="inlineStr">
        <is>
          <t>JÄMTLANDS LÄN</t>
        </is>
      </c>
      <c r="E2467" t="inlineStr">
        <is>
          <t>KROKOM</t>
        </is>
      </c>
      <c r="F2467" t="inlineStr">
        <is>
          <t>Övriga Aktiebolag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42635-2019</t>
        </is>
      </c>
      <c r="B2468" s="1" t="n">
        <v>43704</v>
      </c>
      <c r="C2468" s="1" t="n">
        <v>45363</v>
      </c>
      <c r="D2468" t="inlineStr">
        <is>
          <t>JÄMTLANDS LÄN</t>
        </is>
      </c>
      <c r="E2468" t="inlineStr">
        <is>
          <t>KROKOM</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43103-2019</t>
        </is>
      </c>
      <c r="B2469" s="1" t="n">
        <v>43705</v>
      </c>
      <c r="C2469" s="1" t="n">
        <v>45363</v>
      </c>
      <c r="D2469" t="inlineStr">
        <is>
          <t>JÄMTLANDS LÄN</t>
        </is>
      </c>
      <c r="E2469" t="inlineStr">
        <is>
          <t>HÄRJEDALEN</t>
        </is>
      </c>
      <c r="G2469" t="n">
        <v>38.6</v>
      </c>
      <c r="H2469" t="n">
        <v>0</v>
      </c>
      <c r="I2469" t="n">
        <v>0</v>
      </c>
      <c r="J2469" t="n">
        <v>0</v>
      </c>
      <c r="K2469" t="n">
        <v>0</v>
      </c>
      <c r="L2469" t="n">
        <v>0</v>
      </c>
      <c r="M2469" t="n">
        <v>0</v>
      </c>
      <c r="N2469" t="n">
        <v>0</v>
      </c>
      <c r="O2469" t="n">
        <v>0</v>
      </c>
      <c r="P2469" t="n">
        <v>0</v>
      </c>
      <c r="Q2469" t="n">
        <v>0</v>
      </c>
      <c r="R2469" s="2" t="inlineStr"/>
    </row>
    <row r="2470" ht="15" customHeight="1">
      <c r="A2470" t="inlineStr">
        <is>
          <t>A 43210-2019</t>
        </is>
      </c>
      <c r="B2470" s="1" t="n">
        <v>43705</v>
      </c>
      <c r="C2470" s="1" t="n">
        <v>45363</v>
      </c>
      <c r="D2470" t="inlineStr">
        <is>
          <t>JÄMTLANDS LÄN</t>
        </is>
      </c>
      <c r="E2470" t="inlineStr">
        <is>
          <t>BERG</t>
        </is>
      </c>
      <c r="F2470" t="inlineStr">
        <is>
          <t>SCA</t>
        </is>
      </c>
      <c r="G2470" t="n">
        <v>11.7</v>
      </c>
      <c r="H2470" t="n">
        <v>0</v>
      </c>
      <c r="I2470" t="n">
        <v>0</v>
      </c>
      <c r="J2470" t="n">
        <v>0</v>
      </c>
      <c r="K2470" t="n">
        <v>0</v>
      </c>
      <c r="L2470" t="n">
        <v>0</v>
      </c>
      <c r="M2470" t="n">
        <v>0</v>
      </c>
      <c r="N2470" t="n">
        <v>0</v>
      </c>
      <c r="O2470" t="n">
        <v>0</v>
      </c>
      <c r="P2470" t="n">
        <v>0</v>
      </c>
      <c r="Q2470" t="n">
        <v>0</v>
      </c>
      <c r="R2470" s="2" t="inlineStr"/>
    </row>
    <row r="2471" ht="15" customHeight="1">
      <c r="A2471" t="inlineStr">
        <is>
          <t>A 43142-2019</t>
        </is>
      </c>
      <c r="B2471" s="1" t="n">
        <v>43705</v>
      </c>
      <c r="C2471" s="1" t="n">
        <v>45363</v>
      </c>
      <c r="D2471" t="inlineStr">
        <is>
          <t>JÄMTLANDS LÄN</t>
        </is>
      </c>
      <c r="E2471" t="inlineStr">
        <is>
          <t>HÄRJEDALEN</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43180-2019</t>
        </is>
      </c>
      <c r="B2472" s="1" t="n">
        <v>43705</v>
      </c>
      <c r="C2472" s="1" t="n">
        <v>45363</v>
      </c>
      <c r="D2472" t="inlineStr">
        <is>
          <t>JÄMTLANDS LÄN</t>
        </is>
      </c>
      <c r="E2472" t="inlineStr">
        <is>
          <t>STRÖMSUND</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43208-2019</t>
        </is>
      </c>
      <c r="B2473" s="1" t="n">
        <v>43705</v>
      </c>
      <c r="C2473" s="1" t="n">
        <v>45363</v>
      </c>
      <c r="D2473" t="inlineStr">
        <is>
          <t>JÄMTLANDS LÄN</t>
        </is>
      </c>
      <c r="E2473" t="inlineStr">
        <is>
          <t>BRÄCKE</t>
        </is>
      </c>
      <c r="F2473" t="inlineStr">
        <is>
          <t>SCA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43206-2019</t>
        </is>
      </c>
      <c r="B2474" s="1" t="n">
        <v>43705</v>
      </c>
      <c r="C2474" s="1" t="n">
        <v>45363</v>
      </c>
      <c r="D2474" t="inlineStr">
        <is>
          <t>JÄMTLANDS LÄN</t>
        </is>
      </c>
      <c r="E2474" t="inlineStr">
        <is>
          <t>BRÄCKE</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42875-2019</t>
        </is>
      </c>
      <c r="B2475" s="1" t="n">
        <v>43705</v>
      </c>
      <c r="C2475" s="1" t="n">
        <v>45363</v>
      </c>
      <c r="D2475" t="inlineStr">
        <is>
          <t>JÄMTLANDS LÄN</t>
        </is>
      </c>
      <c r="E2475" t="inlineStr">
        <is>
          <t>BRÄCKE</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43412-2019</t>
        </is>
      </c>
      <c r="B2476" s="1" t="n">
        <v>43706</v>
      </c>
      <c r="C2476" s="1" t="n">
        <v>45363</v>
      </c>
      <c r="D2476" t="inlineStr">
        <is>
          <t>JÄMTLANDS LÄN</t>
        </is>
      </c>
      <c r="E2476" t="inlineStr">
        <is>
          <t>RAGUNDA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43649-2019</t>
        </is>
      </c>
      <c r="B2477" s="1" t="n">
        <v>43707</v>
      </c>
      <c r="C2477" s="1" t="n">
        <v>45363</v>
      </c>
      <c r="D2477" t="inlineStr">
        <is>
          <t>JÄMTLANDS LÄN</t>
        </is>
      </c>
      <c r="E2477" t="inlineStr">
        <is>
          <t>HÄRJEDALEN</t>
        </is>
      </c>
      <c r="F2477" t="inlineStr">
        <is>
          <t>Sveaskog</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43708-2019</t>
        </is>
      </c>
      <c r="B2478" s="1" t="n">
        <v>43707</v>
      </c>
      <c r="C2478" s="1" t="n">
        <v>45363</v>
      </c>
      <c r="D2478" t="inlineStr">
        <is>
          <t>JÄMTLANDS LÄN</t>
        </is>
      </c>
      <c r="E2478" t="inlineStr">
        <is>
          <t>KROKOM</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43721-2019</t>
        </is>
      </c>
      <c r="B2479" s="1" t="n">
        <v>43707</v>
      </c>
      <c r="C2479" s="1" t="n">
        <v>45363</v>
      </c>
      <c r="D2479" t="inlineStr">
        <is>
          <t>JÄMTLANDS LÄN</t>
        </is>
      </c>
      <c r="E2479" t="inlineStr">
        <is>
          <t>KROKOM</t>
        </is>
      </c>
      <c r="G2479" t="n">
        <v>7.1</v>
      </c>
      <c r="H2479" t="n">
        <v>0</v>
      </c>
      <c r="I2479" t="n">
        <v>0</v>
      </c>
      <c r="J2479" t="n">
        <v>0</v>
      </c>
      <c r="K2479" t="n">
        <v>0</v>
      </c>
      <c r="L2479" t="n">
        <v>0</v>
      </c>
      <c r="M2479" t="n">
        <v>0</v>
      </c>
      <c r="N2479" t="n">
        <v>0</v>
      </c>
      <c r="O2479" t="n">
        <v>0</v>
      </c>
      <c r="P2479" t="n">
        <v>0</v>
      </c>
      <c r="Q2479" t="n">
        <v>0</v>
      </c>
      <c r="R2479" s="2" t="inlineStr"/>
    </row>
    <row r="2480" ht="15" customHeight="1">
      <c r="A2480" t="inlineStr">
        <is>
          <t>A 43678-2019</t>
        </is>
      </c>
      <c r="B2480" s="1" t="n">
        <v>43707</v>
      </c>
      <c r="C2480" s="1" t="n">
        <v>45363</v>
      </c>
      <c r="D2480" t="inlineStr">
        <is>
          <t>JÄMTLANDS LÄN</t>
        </is>
      </c>
      <c r="E2480" t="inlineStr">
        <is>
          <t>ÅRE</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43683-2019</t>
        </is>
      </c>
      <c r="B2481" s="1" t="n">
        <v>43707</v>
      </c>
      <c r="C2481" s="1" t="n">
        <v>45363</v>
      </c>
      <c r="D2481" t="inlineStr">
        <is>
          <t>JÄMTLANDS LÄN</t>
        </is>
      </c>
      <c r="E2481" t="inlineStr">
        <is>
          <t>ÅRE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43707-2019</t>
        </is>
      </c>
      <c r="B2482" s="1" t="n">
        <v>43707</v>
      </c>
      <c r="C2482" s="1" t="n">
        <v>45363</v>
      </c>
      <c r="D2482" t="inlineStr">
        <is>
          <t>JÄMTLANDS LÄN</t>
        </is>
      </c>
      <c r="E2482" t="inlineStr">
        <is>
          <t>STRÖMSUND</t>
        </is>
      </c>
      <c r="F2482" t="inlineStr">
        <is>
          <t>Sveaskog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43896-2019</t>
        </is>
      </c>
      <c r="B2483" s="1" t="n">
        <v>43707</v>
      </c>
      <c r="C2483" s="1" t="n">
        <v>45363</v>
      </c>
      <c r="D2483" t="inlineStr">
        <is>
          <t>JÄMTLANDS LÄN</t>
        </is>
      </c>
      <c r="E2483" t="inlineStr">
        <is>
          <t>HÄRJEDALEN</t>
        </is>
      </c>
      <c r="F2483" t="inlineStr">
        <is>
          <t>Sveaskog</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43943-2019</t>
        </is>
      </c>
      <c r="B2484" s="1" t="n">
        <v>43707</v>
      </c>
      <c r="C2484" s="1" t="n">
        <v>45363</v>
      </c>
      <c r="D2484" t="inlineStr">
        <is>
          <t>JÄMTLANDS LÄN</t>
        </is>
      </c>
      <c r="E2484" t="inlineStr">
        <is>
          <t>STRÖMSUND</t>
        </is>
      </c>
      <c r="F2484" t="inlineStr">
        <is>
          <t>SCA</t>
        </is>
      </c>
      <c r="G2484" t="n">
        <v>11.9</v>
      </c>
      <c r="H2484" t="n">
        <v>0</v>
      </c>
      <c r="I2484" t="n">
        <v>0</v>
      </c>
      <c r="J2484" t="n">
        <v>0</v>
      </c>
      <c r="K2484" t="n">
        <v>0</v>
      </c>
      <c r="L2484" t="n">
        <v>0</v>
      </c>
      <c r="M2484" t="n">
        <v>0</v>
      </c>
      <c r="N2484" t="n">
        <v>0</v>
      </c>
      <c r="O2484" t="n">
        <v>0</v>
      </c>
      <c r="P2484" t="n">
        <v>0</v>
      </c>
      <c r="Q2484" t="n">
        <v>0</v>
      </c>
      <c r="R2484" s="2" t="inlineStr"/>
    </row>
    <row r="2485" ht="15" customHeight="1">
      <c r="A2485" t="inlineStr">
        <is>
          <t>A 43942-2019</t>
        </is>
      </c>
      <c r="B2485" s="1" t="n">
        <v>43707</v>
      </c>
      <c r="C2485" s="1" t="n">
        <v>45363</v>
      </c>
      <c r="D2485" t="inlineStr">
        <is>
          <t>JÄMTLANDS LÄN</t>
        </is>
      </c>
      <c r="E2485" t="inlineStr">
        <is>
          <t>BERG</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43793-2019</t>
        </is>
      </c>
      <c r="B2486" s="1" t="n">
        <v>43707</v>
      </c>
      <c r="C2486" s="1" t="n">
        <v>45363</v>
      </c>
      <c r="D2486" t="inlineStr">
        <is>
          <t>JÄMTLANDS LÄN</t>
        </is>
      </c>
      <c r="E2486" t="inlineStr">
        <is>
          <t>STRÖMSUND</t>
        </is>
      </c>
      <c r="F2486" t="inlineStr">
        <is>
          <t>Sveaskog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45171-2019</t>
        </is>
      </c>
      <c r="B2487" s="1" t="n">
        <v>43707</v>
      </c>
      <c r="C2487" s="1" t="n">
        <v>45363</v>
      </c>
      <c r="D2487" t="inlineStr">
        <is>
          <t>JÄMTLANDS LÄN</t>
        </is>
      </c>
      <c r="E2487" t="inlineStr">
        <is>
          <t>STRÖMSUND</t>
        </is>
      </c>
      <c r="F2487" t="inlineStr">
        <is>
          <t>SCA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44010-2019</t>
        </is>
      </c>
      <c r="B2488" s="1" t="n">
        <v>43709</v>
      </c>
      <c r="C2488" s="1" t="n">
        <v>45363</v>
      </c>
      <c r="D2488" t="inlineStr">
        <is>
          <t>JÄMTLANDS LÄN</t>
        </is>
      </c>
      <c r="E2488" t="inlineStr">
        <is>
          <t>STRÖMSUND</t>
        </is>
      </c>
      <c r="F2488" t="inlineStr">
        <is>
          <t>SCA</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44128-2019</t>
        </is>
      </c>
      <c r="B2489" s="1" t="n">
        <v>43710</v>
      </c>
      <c r="C2489" s="1" t="n">
        <v>45363</v>
      </c>
      <c r="D2489" t="inlineStr">
        <is>
          <t>JÄMTLANDS LÄN</t>
        </is>
      </c>
      <c r="E2489" t="inlineStr">
        <is>
          <t>KROKOM</t>
        </is>
      </c>
      <c r="G2489" t="n">
        <v>8.1</v>
      </c>
      <c r="H2489" t="n">
        <v>0</v>
      </c>
      <c r="I2489" t="n">
        <v>0</v>
      </c>
      <c r="J2489" t="n">
        <v>0</v>
      </c>
      <c r="K2489" t="n">
        <v>0</v>
      </c>
      <c r="L2489" t="n">
        <v>0</v>
      </c>
      <c r="M2489" t="n">
        <v>0</v>
      </c>
      <c r="N2489" t="n">
        <v>0</v>
      </c>
      <c r="O2489" t="n">
        <v>0</v>
      </c>
      <c r="P2489" t="n">
        <v>0</v>
      </c>
      <c r="Q2489" t="n">
        <v>0</v>
      </c>
      <c r="R2489" s="2" t="inlineStr"/>
    </row>
    <row r="2490" ht="15" customHeight="1">
      <c r="A2490" t="inlineStr">
        <is>
          <t>A 44190-2019</t>
        </is>
      </c>
      <c r="B2490" s="1" t="n">
        <v>43710</v>
      </c>
      <c r="C2490" s="1" t="n">
        <v>45363</v>
      </c>
      <c r="D2490" t="inlineStr">
        <is>
          <t>JÄMTLANDS LÄN</t>
        </is>
      </c>
      <c r="E2490" t="inlineStr">
        <is>
          <t>KROKOM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44329-2019</t>
        </is>
      </c>
      <c r="B2491" s="1" t="n">
        <v>43710</v>
      </c>
      <c r="C2491" s="1" t="n">
        <v>45363</v>
      </c>
      <c r="D2491" t="inlineStr">
        <is>
          <t>JÄMTLANDS LÄN</t>
        </is>
      </c>
      <c r="E2491" t="inlineStr">
        <is>
          <t>ÅRE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44535-2019</t>
        </is>
      </c>
      <c r="B2492" s="1" t="n">
        <v>43711</v>
      </c>
      <c r="C2492" s="1" t="n">
        <v>45363</v>
      </c>
      <c r="D2492" t="inlineStr">
        <is>
          <t>JÄMTLANDS LÄN</t>
        </is>
      </c>
      <c r="E2492" t="inlineStr">
        <is>
          <t>STRÖMSUND</t>
        </is>
      </c>
      <c r="G2492" t="n">
        <v>23.8</v>
      </c>
      <c r="H2492" t="n">
        <v>0</v>
      </c>
      <c r="I2492" t="n">
        <v>0</v>
      </c>
      <c r="J2492" t="n">
        <v>0</v>
      </c>
      <c r="K2492" t="n">
        <v>0</v>
      </c>
      <c r="L2492" t="n">
        <v>0</v>
      </c>
      <c r="M2492" t="n">
        <v>0</v>
      </c>
      <c r="N2492" t="n">
        <v>0</v>
      </c>
      <c r="O2492" t="n">
        <v>0</v>
      </c>
      <c r="P2492" t="n">
        <v>0</v>
      </c>
      <c r="Q2492" t="n">
        <v>0</v>
      </c>
      <c r="R2492" s="2" t="inlineStr"/>
    </row>
    <row r="2493" ht="15" customHeight="1">
      <c r="A2493" t="inlineStr">
        <is>
          <t>A 44604-2019</t>
        </is>
      </c>
      <c r="B2493" s="1" t="n">
        <v>43711</v>
      </c>
      <c r="C2493" s="1" t="n">
        <v>45363</v>
      </c>
      <c r="D2493" t="inlineStr">
        <is>
          <t>JÄMTLANDS LÄN</t>
        </is>
      </c>
      <c r="E2493" t="inlineStr">
        <is>
          <t>STRÖMSUND</t>
        </is>
      </c>
      <c r="F2493" t="inlineStr">
        <is>
          <t>SCA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45773-2019</t>
        </is>
      </c>
      <c r="B2494" s="1" t="n">
        <v>43711</v>
      </c>
      <c r="C2494" s="1" t="n">
        <v>45363</v>
      </c>
      <c r="D2494" t="inlineStr">
        <is>
          <t>JÄMTLANDS LÄN</t>
        </is>
      </c>
      <c r="E2494" t="inlineStr">
        <is>
          <t>STRÖMSUND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44605-2019</t>
        </is>
      </c>
      <c r="B2495" s="1" t="n">
        <v>43711</v>
      </c>
      <c r="C2495" s="1" t="n">
        <v>45363</v>
      </c>
      <c r="D2495" t="inlineStr">
        <is>
          <t>JÄMTLANDS LÄN</t>
        </is>
      </c>
      <c r="E2495" t="inlineStr">
        <is>
          <t>STRÖMSUND</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45737-2019</t>
        </is>
      </c>
      <c r="B2496" s="1" t="n">
        <v>43711</v>
      </c>
      <c r="C2496" s="1" t="n">
        <v>45363</v>
      </c>
      <c r="D2496" t="inlineStr">
        <is>
          <t>JÄMTLANDS LÄN</t>
        </is>
      </c>
      <c r="E2496" t="inlineStr">
        <is>
          <t>STRÖMSUND</t>
        </is>
      </c>
      <c r="F2496" t="inlineStr">
        <is>
          <t>Holmen skog AB</t>
        </is>
      </c>
      <c r="G2496" t="n">
        <v>9.5</v>
      </c>
      <c r="H2496" t="n">
        <v>0</v>
      </c>
      <c r="I2496" t="n">
        <v>0</v>
      </c>
      <c r="J2496" t="n">
        <v>0</v>
      </c>
      <c r="K2496" t="n">
        <v>0</v>
      </c>
      <c r="L2496" t="n">
        <v>0</v>
      </c>
      <c r="M2496" t="n">
        <v>0</v>
      </c>
      <c r="N2496" t="n">
        <v>0</v>
      </c>
      <c r="O2496" t="n">
        <v>0</v>
      </c>
      <c r="P2496" t="n">
        <v>0</v>
      </c>
      <c r="Q2496" t="n">
        <v>0</v>
      </c>
      <c r="R2496" s="2" t="inlineStr"/>
    </row>
    <row r="2497" ht="15" customHeight="1">
      <c r="A2497" t="inlineStr">
        <is>
          <t>A 45776-2019</t>
        </is>
      </c>
      <c r="B2497" s="1" t="n">
        <v>43711</v>
      </c>
      <c r="C2497" s="1" t="n">
        <v>45363</v>
      </c>
      <c r="D2497" t="inlineStr">
        <is>
          <t>JÄMTLANDS LÄN</t>
        </is>
      </c>
      <c r="E2497" t="inlineStr">
        <is>
          <t>STRÖMSUND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44774-2019</t>
        </is>
      </c>
      <c r="B2498" s="1" t="n">
        <v>43712</v>
      </c>
      <c r="C2498" s="1" t="n">
        <v>45363</v>
      </c>
      <c r="D2498" t="inlineStr">
        <is>
          <t>JÄMTLANDS LÄN</t>
        </is>
      </c>
      <c r="E2498" t="inlineStr">
        <is>
          <t>STRÖMSUND</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44810-2019</t>
        </is>
      </c>
      <c r="B2499" s="1" t="n">
        <v>43712</v>
      </c>
      <c r="C2499" s="1" t="n">
        <v>45363</v>
      </c>
      <c r="D2499" t="inlineStr">
        <is>
          <t>JÄMTLANDS LÄN</t>
        </is>
      </c>
      <c r="E2499" t="inlineStr">
        <is>
          <t>BERG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44631-2019</t>
        </is>
      </c>
      <c r="B2500" s="1" t="n">
        <v>43712</v>
      </c>
      <c r="C2500" s="1" t="n">
        <v>45363</v>
      </c>
      <c r="D2500" t="inlineStr">
        <is>
          <t>JÄMTLANDS LÄN</t>
        </is>
      </c>
      <c r="E2500" t="inlineStr">
        <is>
          <t>BERG</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44653-2019</t>
        </is>
      </c>
      <c r="B2501" s="1" t="n">
        <v>43712</v>
      </c>
      <c r="C2501" s="1" t="n">
        <v>45363</v>
      </c>
      <c r="D2501" t="inlineStr">
        <is>
          <t>JÄMTLANDS LÄN</t>
        </is>
      </c>
      <c r="E2501" t="inlineStr">
        <is>
          <t>KROKOM</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44809-2019</t>
        </is>
      </c>
      <c r="B2502" s="1" t="n">
        <v>43712</v>
      </c>
      <c r="C2502" s="1" t="n">
        <v>45363</v>
      </c>
      <c r="D2502" t="inlineStr">
        <is>
          <t>JÄMTLANDS LÄN</t>
        </is>
      </c>
      <c r="E2502" t="inlineStr">
        <is>
          <t>STRÖMSUND</t>
        </is>
      </c>
      <c r="F2502" t="inlineStr">
        <is>
          <t>Kommuner</t>
        </is>
      </c>
      <c r="G2502" t="n">
        <v>13.4</v>
      </c>
      <c r="H2502" t="n">
        <v>0</v>
      </c>
      <c r="I2502" t="n">
        <v>0</v>
      </c>
      <c r="J2502" t="n">
        <v>0</v>
      </c>
      <c r="K2502" t="n">
        <v>0</v>
      </c>
      <c r="L2502" t="n">
        <v>0</v>
      </c>
      <c r="M2502" t="n">
        <v>0</v>
      </c>
      <c r="N2502" t="n">
        <v>0</v>
      </c>
      <c r="O2502" t="n">
        <v>0</v>
      </c>
      <c r="P2502" t="n">
        <v>0</v>
      </c>
      <c r="Q2502" t="n">
        <v>0</v>
      </c>
      <c r="R2502" s="2" t="inlineStr"/>
    </row>
    <row r="2503" ht="15" customHeight="1">
      <c r="A2503" t="inlineStr">
        <is>
          <t>A 44882-2019</t>
        </is>
      </c>
      <c r="B2503" s="1" t="n">
        <v>43712</v>
      </c>
      <c r="C2503" s="1" t="n">
        <v>45363</v>
      </c>
      <c r="D2503" t="inlineStr">
        <is>
          <t>JÄMTLANDS LÄN</t>
        </is>
      </c>
      <c r="E2503" t="inlineStr">
        <is>
          <t>STRÖMSUND</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45075-2019</t>
        </is>
      </c>
      <c r="B2504" s="1" t="n">
        <v>43713</v>
      </c>
      <c r="C2504" s="1" t="n">
        <v>45363</v>
      </c>
      <c r="D2504" t="inlineStr">
        <is>
          <t>JÄMTLANDS LÄN</t>
        </is>
      </c>
      <c r="E2504" t="inlineStr">
        <is>
          <t>RAGUNDA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45054-2019</t>
        </is>
      </c>
      <c r="B2505" s="1" t="n">
        <v>43713</v>
      </c>
      <c r="C2505" s="1" t="n">
        <v>45363</v>
      </c>
      <c r="D2505" t="inlineStr">
        <is>
          <t>JÄMTLANDS LÄN</t>
        </is>
      </c>
      <c r="E2505" t="inlineStr">
        <is>
          <t>BRÄCKE</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44956-2019</t>
        </is>
      </c>
      <c r="B2506" s="1" t="n">
        <v>43713</v>
      </c>
      <c r="C2506" s="1" t="n">
        <v>45363</v>
      </c>
      <c r="D2506" t="inlineStr">
        <is>
          <t>JÄMTLANDS LÄN</t>
        </is>
      </c>
      <c r="E2506" t="inlineStr">
        <is>
          <t>STRÖMSUND</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45061-2019</t>
        </is>
      </c>
      <c r="B2507" s="1" t="n">
        <v>43713</v>
      </c>
      <c r="C2507" s="1" t="n">
        <v>45363</v>
      </c>
      <c r="D2507" t="inlineStr">
        <is>
          <t>JÄMTLANDS LÄN</t>
        </is>
      </c>
      <c r="E2507" t="inlineStr">
        <is>
          <t>RAGUNDA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45167-2019</t>
        </is>
      </c>
      <c r="B2508" s="1" t="n">
        <v>43713</v>
      </c>
      <c r="C2508" s="1" t="n">
        <v>45363</v>
      </c>
      <c r="D2508" t="inlineStr">
        <is>
          <t>JÄMTLANDS LÄN</t>
        </is>
      </c>
      <c r="E2508" t="inlineStr">
        <is>
          <t>HÄRJEDALEN</t>
        </is>
      </c>
      <c r="F2508" t="inlineStr">
        <is>
          <t>Holmen skog AB</t>
        </is>
      </c>
      <c r="G2508" t="n">
        <v>15.9</v>
      </c>
      <c r="H2508" t="n">
        <v>0</v>
      </c>
      <c r="I2508" t="n">
        <v>0</v>
      </c>
      <c r="J2508" t="n">
        <v>0</v>
      </c>
      <c r="K2508" t="n">
        <v>0</v>
      </c>
      <c r="L2508" t="n">
        <v>0</v>
      </c>
      <c r="M2508" t="n">
        <v>0</v>
      </c>
      <c r="N2508" t="n">
        <v>0</v>
      </c>
      <c r="O2508" t="n">
        <v>0</v>
      </c>
      <c r="P2508" t="n">
        <v>0</v>
      </c>
      <c r="Q2508" t="n">
        <v>0</v>
      </c>
      <c r="R2508" s="2" t="inlineStr"/>
    </row>
    <row r="2509" ht="15" customHeight="1">
      <c r="A2509" t="inlineStr">
        <is>
          <t>A 45165-2019</t>
        </is>
      </c>
      <c r="B2509" s="1" t="n">
        <v>43713</v>
      </c>
      <c r="C2509" s="1" t="n">
        <v>45363</v>
      </c>
      <c r="D2509" t="inlineStr">
        <is>
          <t>JÄMTLANDS LÄN</t>
        </is>
      </c>
      <c r="E2509" t="inlineStr">
        <is>
          <t>STRÖMSUND</t>
        </is>
      </c>
      <c r="F2509" t="inlineStr">
        <is>
          <t>Holmen skog AB</t>
        </is>
      </c>
      <c r="G2509" t="n">
        <v>25.4</v>
      </c>
      <c r="H2509" t="n">
        <v>0</v>
      </c>
      <c r="I2509" t="n">
        <v>0</v>
      </c>
      <c r="J2509" t="n">
        <v>0</v>
      </c>
      <c r="K2509" t="n">
        <v>0</v>
      </c>
      <c r="L2509" t="n">
        <v>0</v>
      </c>
      <c r="M2509" t="n">
        <v>0</v>
      </c>
      <c r="N2509" t="n">
        <v>0</v>
      </c>
      <c r="O2509" t="n">
        <v>0</v>
      </c>
      <c r="P2509" t="n">
        <v>0</v>
      </c>
      <c r="Q2509" t="n">
        <v>0</v>
      </c>
      <c r="R2509" s="2" t="inlineStr"/>
    </row>
    <row r="2510" ht="15" customHeight="1">
      <c r="A2510" t="inlineStr">
        <is>
          <t>A 44939-2019</t>
        </is>
      </c>
      <c r="B2510" s="1" t="n">
        <v>43713</v>
      </c>
      <c r="C2510" s="1" t="n">
        <v>45363</v>
      </c>
      <c r="D2510" t="inlineStr">
        <is>
          <t>JÄMTLANDS LÄN</t>
        </is>
      </c>
      <c r="E2510" t="inlineStr">
        <is>
          <t>HÄRJEDALEN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45362-2019</t>
        </is>
      </c>
      <c r="B2511" s="1" t="n">
        <v>43714</v>
      </c>
      <c r="C2511" s="1" t="n">
        <v>45363</v>
      </c>
      <c r="D2511" t="inlineStr">
        <is>
          <t>JÄMTLANDS LÄN</t>
        </is>
      </c>
      <c r="E2511" t="inlineStr">
        <is>
          <t>STRÖMSUND</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45539-2019</t>
        </is>
      </c>
      <c r="B2512" s="1" t="n">
        <v>43714</v>
      </c>
      <c r="C2512" s="1" t="n">
        <v>45363</v>
      </c>
      <c r="D2512" t="inlineStr">
        <is>
          <t>JÄMTLANDS LÄN</t>
        </is>
      </c>
      <c r="E2512" t="inlineStr">
        <is>
          <t>BRÄCKE</t>
        </is>
      </c>
      <c r="F2512" t="inlineStr">
        <is>
          <t>SCA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45649-2019</t>
        </is>
      </c>
      <c r="B2513" s="1" t="n">
        <v>43717</v>
      </c>
      <c r="C2513" s="1" t="n">
        <v>45363</v>
      </c>
      <c r="D2513" t="inlineStr">
        <is>
          <t>JÄMTLANDS LÄN</t>
        </is>
      </c>
      <c r="E2513" t="inlineStr">
        <is>
          <t>STRÖMSUND</t>
        </is>
      </c>
      <c r="F2513" t="inlineStr">
        <is>
          <t>Holmen skog AB</t>
        </is>
      </c>
      <c r="G2513" t="n">
        <v>24.2</v>
      </c>
      <c r="H2513" t="n">
        <v>0</v>
      </c>
      <c r="I2513" t="n">
        <v>0</v>
      </c>
      <c r="J2513" t="n">
        <v>0</v>
      </c>
      <c r="K2513" t="n">
        <v>0</v>
      </c>
      <c r="L2513" t="n">
        <v>0</v>
      </c>
      <c r="M2513" t="n">
        <v>0</v>
      </c>
      <c r="N2513" t="n">
        <v>0</v>
      </c>
      <c r="O2513" t="n">
        <v>0</v>
      </c>
      <c r="P2513" t="n">
        <v>0</v>
      </c>
      <c r="Q2513" t="n">
        <v>0</v>
      </c>
      <c r="R2513" s="2" t="inlineStr"/>
    </row>
    <row r="2514" ht="15" customHeight="1">
      <c r="A2514" t="inlineStr">
        <is>
          <t>A 45623-2019</t>
        </is>
      </c>
      <c r="B2514" s="1" t="n">
        <v>43717</v>
      </c>
      <c r="C2514" s="1" t="n">
        <v>45363</v>
      </c>
      <c r="D2514" t="inlineStr">
        <is>
          <t>JÄMTLANDS LÄN</t>
        </is>
      </c>
      <c r="E2514" t="inlineStr">
        <is>
          <t>BERG</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45794-2019</t>
        </is>
      </c>
      <c r="B2515" s="1" t="n">
        <v>43717</v>
      </c>
      <c r="C2515" s="1" t="n">
        <v>45363</v>
      </c>
      <c r="D2515" t="inlineStr">
        <is>
          <t>JÄMTLANDS LÄN</t>
        </is>
      </c>
      <c r="E2515" t="inlineStr">
        <is>
          <t>ÅRE</t>
        </is>
      </c>
      <c r="G2515" t="n">
        <v>37.7</v>
      </c>
      <c r="H2515" t="n">
        <v>0</v>
      </c>
      <c r="I2515" t="n">
        <v>0</v>
      </c>
      <c r="J2515" t="n">
        <v>0</v>
      </c>
      <c r="K2515" t="n">
        <v>0</v>
      </c>
      <c r="L2515" t="n">
        <v>0</v>
      </c>
      <c r="M2515" t="n">
        <v>0</v>
      </c>
      <c r="N2515" t="n">
        <v>0</v>
      </c>
      <c r="O2515" t="n">
        <v>0</v>
      </c>
      <c r="P2515" t="n">
        <v>0</v>
      </c>
      <c r="Q2515" t="n">
        <v>0</v>
      </c>
      <c r="R2515" s="2" t="inlineStr"/>
    </row>
    <row r="2516" ht="15" customHeight="1">
      <c r="A2516" t="inlineStr">
        <is>
          <t>A 45858-2019</t>
        </is>
      </c>
      <c r="B2516" s="1" t="n">
        <v>43717</v>
      </c>
      <c r="C2516" s="1" t="n">
        <v>45363</v>
      </c>
      <c r="D2516" t="inlineStr">
        <is>
          <t>JÄMTLANDS LÄN</t>
        </is>
      </c>
      <c r="E2516" t="inlineStr">
        <is>
          <t>HÄRJEDALEN</t>
        </is>
      </c>
      <c r="F2516" t="inlineStr">
        <is>
          <t>Holmen skog AB</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45918-2019</t>
        </is>
      </c>
      <c r="B2517" s="1" t="n">
        <v>43717</v>
      </c>
      <c r="C2517" s="1" t="n">
        <v>45363</v>
      </c>
      <c r="D2517" t="inlineStr">
        <is>
          <t>JÄMTLANDS LÄN</t>
        </is>
      </c>
      <c r="E2517" t="inlineStr">
        <is>
          <t>STRÖMSUND</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46288-2019</t>
        </is>
      </c>
      <c r="B2518" s="1" t="n">
        <v>43717</v>
      </c>
      <c r="C2518" s="1" t="n">
        <v>45363</v>
      </c>
      <c r="D2518" t="inlineStr">
        <is>
          <t>JÄMTLANDS LÄN</t>
        </is>
      </c>
      <c r="E2518" t="inlineStr">
        <is>
          <t>KROKOM</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45798-2019</t>
        </is>
      </c>
      <c r="B2519" s="1" t="n">
        <v>43717</v>
      </c>
      <c r="C2519" s="1" t="n">
        <v>45363</v>
      </c>
      <c r="D2519" t="inlineStr">
        <is>
          <t>JÄMTLANDS LÄN</t>
        </is>
      </c>
      <c r="E2519" t="inlineStr">
        <is>
          <t>ÅRE</t>
        </is>
      </c>
      <c r="G2519" t="n">
        <v>14.6</v>
      </c>
      <c r="H2519" t="n">
        <v>0</v>
      </c>
      <c r="I2519" t="n">
        <v>0</v>
      </c>
      <c r="J2519" t="n">
        <v>0</v>
      </c>
      <c r="K2519" t="n">
        <v>0</v>
      </c>
      <c r="L2519" t="n">
        <v>0</v>
      </c>
      <c r="M2519" t="n">
        <v>0</v>
      </c>
      <c r="N2519" t="n">
        <v>0</v>
      </c>
      <c r="O2519" t="n">
        <v>0</v>
      </c>
      <c r="P2519" t="n">
        <v>0</v>
      </c>
      <c r="Q2519" t="n">
        <v>0</v>
      </c>
      <c r="R2519" s="2" t="inlineStr"/>
    </row>
    <row r="2520" ht="15" customHeight="1">
      <c r="A2520" t="inlineStr">
        <is>
          <t>A 45781-2019</t>
        </is>
      </c>
      <c r="B2520" s="1" t="n">
        <v>43717</v>
      </c>
      <c r="C2520" s="1" t="n">
        <v>45363</v>
      </c>
      <c r="D2520" t="inlineStr">
        <is>
          <t>JÄMTLANDS LÄN</t>
        </is>
      </c>
      <c r="E2520" t="inlineStr">
        <is>
          <t>HÄRJEDALEN</t>
        </is>
      </c>
      <c r="F2520" t="inlineStr">
        <is>
          <t>Holmen skog AB</t>
        </is>
      </c>
      <c r="G2520" t="n">
        <v>13.8</v>
      </c>
      <c r="H2520" t="n">
        <v>0</v>
      </c>
      <c r="I2520" t="n">
        <v>0</v>
      </c>
      <c r="J2520" t="n">
        <v>0</v>
      </c>
      <c r="K2520" t="n">
        <v>0</v>
      </c>
      <c r="L2520" t="n">
        <v>0</v>
      </c>
      <c r="M2520" t="n">
        <v>0</v>
      </c>
      <c r="N2520" t="n">
        <v>0</v>
      </c>
      <c r="O2520" t="n">
        <v>0</v>
      </c>
      <c r="P2520" t="n">
        <v>0</v>
      </c>
      <c r="Q2520" t="n">
        <v>0</v>
      </c>
      <c r="R2520" s="2" t="inlineStr"/>
    </row>
    <row r="2521" ht="15" customHeight="1">
      <c r="A2521" t="inlineStr">
        <is>
          <t>A 45917-2019</t>
        </is>
      </c>
      <c r="B2521" s="1" t="n">
        <v>43717</v>
      </c>
      <c r="C2521" s="1" t="n">
        <v>45363</v>
      </c>
      <c r="D2521" t="inlineStr">
        <is>
          <t>JÄMTLANDS LÄN</t>
        </is>
      </c>
      <c r="E2521" t="inlineStr">
        <is>
          <t>STRÖMSUND</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45835-2019</t>
        </is>
      </c>
      <c r="B2522" s="1" t="n">
        <v>43717</v>
      </c>
      <c r="C2522" s="1" t="n">
        <v>45363</v>
      </c>
      <c r="D2522" t="inlineStr">
        <is>
          <t>JÄMTLANDS LÄN</t>
        </is>
      </c>
      <c r="E2522" t="inlineStr">
        <is>
          <t>STRÖMSUND</t>
        </is>
      </c>
      <c r="F2522" t="inlineStr">
        <is>
          <t>Holmen skog AB</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46346-2019</t>
        </is>
      </c>
      <c r="B2523" s="1" t="n">
        <v>43718</v>
      </c>
      <c r="C2523" s="1" t="n">
        <v>45363</v>
      </c>
      <c r="D2523" t="inlineStr">
        <is>
          <t>JÄMTLANDS LÄN</t>
        </is>
      </c>
      <c r="E2523" t="inlineStr">
        <is>
          <t>ÖSTERSUND</t>
        </is>
      </c>
      <c r="F2523" t="inlineStr">
        <is>
          <t>SCA</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45963-2019</t>
        </is>
      </c>
      <c r="B2524" s="1" t="n">
        <v>43718</v>
      </c>
      <c r="C2524" s="1" t="n">
        <v>45363</v>
      </c>
      <c r="D2524" t="inlineStr">
        <is>
          <t>JÄMTLANDS LÄN</t>
        </is>
      </c>
      <c r="E2524" t="inlineStr">
        <is>
          <t>STRÖMSUND</t>
        </is>
      </c>
      <c r="F2524" t="inlineStr">
        <is>
          <t>Holmen skog AB</t>
        </is>
      </c>
      <c r="G2524" t="n">
        <v>11.8</v>
      </c>
      <c r="H2524" t="n">
        <v>0</v>
      </c>
      <c r="I2524" t="n">
        <v>0</v>
      </c>
      <c r="J2524" t="n">
        <v>0</v>
      </c>
      <c r="K2524" t="n">
        <v>0</v>
      </c>
      <c r="L2524" t="n">
        <v>0</v>
      </c>
      <c r="M2524" t="n">
        <v>0</v>
      </c>
      <c r="N2524" t="n">
        <v>0</v>
      </c>
      <c r="O2524" t="n">
        <v>0</v>
      </c>
      <c r="P2524" t="n">
        <v>0</v>
      </c>
      <c r="Q2524" t="n">
        <v>0</v>
      </c>
      <c r="R2524" s="2" t="inlineStr"/>
    </row>
    <row r="2525" ht="15" customHeight="1">
      <c r="A2525" t="inlineStr">
        <is>
          <t>A 46156-2019</t>
        </is>
      </c>
      <c r="B2525" s="1" t="n">
        <v>43718</v>
      </c>
      <c r="C2525" s="1" t="n">
        <v>45363</v>
      </c>
      <c r="D2525" t="inlineStr">
        <is>
          <t>JÄMTLANDS LÄN</t>
        </is>
      </c>
      <c r="E2525" t="inlineStr">
        <is>
          <t>HÄRJEDALEN</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46133-2019</t>
        </is>
      </c>
      <c r="B2526" s="1" t="n">
        <v>43718</v>
      </c>
      <c r="C2526" s="1" t="n">
        <v>45363</v>
      </c>
      <c r="D2526" t="inlineStr">
        <is>
          <t>JÄMTLANDS LÄN</t>
        </is>
      </c>
      <c r="E2526" t="inlineStr">
        <is>
          <t>HÄRJEDALEN</t>
        </is>
      </c>
      <c r="G2526" t="n">
        <v>17.6</v>
      </c>
      <c r="H2526" t="n">
        <v>0</v>
      </c>
      <c r="I2526" t="n">
        <v>0</v>
      </c>
      <c r="J2526" t="n">
        <v>0</v>
      </c>
      <c r="K2526" t="n">
        <v>0</v>
      </c>
      <c r="L2526" t="n">
        <v>0</v>
      </c>
      <c r="M2526" t="n">
        <v>0</v>
      </c>
      <c r="N2526" t="n">
        <v>0</v>
      </c>
      <c r="O2526" t="n">
        <v>0</v>
      </c>
      <c r="P2526" t="n">
        <v>0</v>
      </c>
      <c r="Q2526" t="n">
        <v>0</v>
      </c>
      <c r="R2526" s="2" t="inlineStr"/>
    </row>
    <row r="2527" ht="15" customHeight="1">
      <c r="A2527" t="inlineStr">
        <is>
          <t>A 46163-2019</t>
        </is>
      </c>
      <c r="B2527" s="1" t="n">
        <v>43718</v>
      </c>
      <c r="C2527" s="1" t="n">
        <v>45363</v>
      </c>
      <c r="D2527" t="inlineStr">
        <is>
          <t>JÄMTLANDS LÄN</t>
        </is>
      </c>
      <c r="E2527" t="inlineStr">
        <is>
          <t>HÄRJEDALEN</t>
        </is>
      </c>
      <c r="G2527" t="n">
        <v>28.9</v>
      </c>
      <c r="H2527" t="n">
        <v>0</v>
      </c>
      <c r="I2527" t="n">
        <v>0</v>
      </c>
      <c r="J2527" t="n">
        <v>0</v>
      </c>
      <c r="K2527" t="n">
        <v>0</v>
      </c>
      <c r="L2527" t="n">
        <v>0</v>
      </c>
      <c r="M2527" t="n">
        <v>0</v>
      </c>
      <c r="N2527" t="n">
        <v>0</v>
      </c>
      <c r="O2527" t="n">
        <v>0</v>
      </c>
      <c r="P2527" t="n">
        <v>0</v>
      </c>
      <c r="Q2527" t="n">
        <v>0</v>
      </c>
      <c r="R2527" s="2" t="inlineStr"/>
    </row>
    <row r="2528" ht="15" customHeight="1">
      <c r="A2528" t="inlineStr">
        <is>
          <t>A 46844-2019</t>
        </is>
      </c>
      <c r="B2528" s="1" t="n">
        <v>43720</v>
      </c>
      <c r="C2528" s="1" t="n">
        <v>45363</v>
      </c>
      <c r="D2528" t="inlineStr">
        <is>
          <t>JÄMTLANDS LÄN</t>
        </is>
      </c>
      <c r="E2528" t="inlineStr">
        <is>
          <t>BRÄCKE</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47004-2019</t>
        </is>
      </c>
      <c r="B2529" s="1" t="n">
        <v>43720</v>
      </c>
      <c r="C2529" s="1" t="n">
        <v>45363</v>
      </c>
      <c r="D2529" t="inlineStr">
        <is>
          <t>JÄMTLANDS LÄN</t>
        </is>
      </c>
      <c r="E2529" t="inlineStr">
        <is>
          <t>HÄRJEDALEN</t>
        </is>
      </c>
      <c r="F2529" t="inlineStr">
        <is>
          <t>Bergvik skog väst AB</t>
        </is>
      </c>
      <c r="G2529" t="n">
        <v>13.7</v>
      </c>
      <c r="H2529" t="n">
        <v>0</v>
      </c>
      <c r="I2529" t="n">
        <v>0</v>
      </c>
      <c r="J2529" t="n">
        <v>0</v>
      </c>
      <c r="K2529" t="n">
        <v>0</v>
      </c>
      <c r="L2529" t="n">
        <v>0</v>
      </c>
      <c r="M2529" t="n">
        <v>0</v>
      </c>
      <c r="N2529" t="n">
        <v>0</v>
      </c>
      <c r="O2529" t="n">
        <v>0</v>
      </c>
      <c r="P2529" t="n">
        <v>0</v>
      </c>
      <c r="Q2529" t="n">
        <v>0</v>
      </c>
      <c r="R2529" s="2" t="inlineStr"/>
    </row>
    <row r="2530" ht="15" customHeight="1">
      <c r="A2530" t="inlineStr">
        <is>
          <t>A 47074-2019</t>
        </is>
      </c>
      <c r="B2530" s="1" t="n">
        <v>43720</v>
      </c>
      <c r="C2530" s="1" t="n">
        <v>45363</v>
      </c>
      <c r="D2530" t="inlineStr">
        <is>
          <t>JÄMTLANDS LÄN</t>
        </is>
      </c>
      <c r="E2530" t="inlineStr">
        <is>
          <t>BRÄCKE</t>
        </is>
      </c>
      <c r="F2530" t="inlineStr">
        <is>
          <t>SCA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47082-2019</t>
        </is>
      </c>
      <c r="B2531" s="1" t="n">
        <v>43720</v>
      </c>
      <c r="C2531" s="1" t="n">
        <v>45363</v>
      </c>
      <c r="D2531" t="inlineStr">
        <is>
          <t>JÄMTLANDS LÄN</t>
        </is>
      </c>
      <c r="E2531" t="inlineStr">
        <is>
          <t>STRÖMSUND</t>
        </is>
      </c>
      <c r="F2531" t="inlineStr">
        <is>
          <t>SCA</t>
        </is>
      </c>
      <c r="G2531" t="n">
        <v>11.6</v>
      </c>
      <c r="H2531" t="n">
        <v>0</v>
      </c>
      <c r="I2531" t="n">
        <v>0</v>
      </c>
      <c r="J2531" t="n">
        <v>0</v>
      </c>
      <c r="K2531" t="n">
        <v>0</v>
      </c>
      <c r="L2531" t="n">
        <v>0</v>
      </c>
      <c r="M2531" t="n">
        <v>0</v>
      </c>
      <c r="N2531" t="n">
        <v>0</v>
      </c>
      <c r="O2531" t="n">
        <v>0</v>
      </c>
      <c r="P2531" t="n">
        <v>0</v>
      </c>
      <c r="Q2531" t="n">
        <v>0</v>
      </c>
      <c r="R2531" s="2" t="inlineStr"/>
    </row>
    <row r="2532" ht="15" customHeight="1">
      <c r="A2532" t="inlineStr">
        <is>
          <t>A 47259-2019</t>
        </is>
      </c>
      <c r="B2532" s="1" t="n">
        <v>43721</v>
      </c>
      <c r="C2532" s="1" t="n">
        <v>45363</v>
      </c>
      <c r="D2532" t="inlineStr">
        <is>
          <t>JÄMTLANDS LÄN</t>
        </is>
      </c>
      <c r="E2532" t="inlineStr">
        <is>
          <t>ÅRE</t>
        </is>
      </c>
      <c r="G2532" t="n">
        <v>12.7</v>
      </c>
      <c r="H2532" t="n">
        <v>0</v>
      </c>
      <c r="I2532" t="n">
        <v>0</v>
      </c>
      <c r="J2532" t="n">
        <v>0</v>
      </c>
      <c r="K2532" t="n">
        <v>0</v>
      </c>
      <c r="L2532" t="n">
        <v>0</v>
      </c>
      <c r="M2532" t="n">
        <v>0</v>
      </c>
      <c r="N2532" t="n">
        <v>0</v>
      </c>
      <c r="O2532" t="n">
        <v>0</v>
      </c>
      <c r="P2532" t="n">
        <v>0</v>
      </c>
      <c r="Q2532" t="n">
        <v>0</v>
      </c>
      <c r="R2532" s="2" t="inlineStr"/>
    </row>
    <row r="2533" ht="15" customHeight="1">
      <c r="A2533" t="inlineStr">
        <is>
          <t>A 47406-2019</t>
        </is>
      </c>
      <c r="B2533" s="1" t="n">
        <v>43722</v>
      </c>
      <c r="C2533" s="1" t="n">
        <v>45363</v>
      </c>
      <c r="D2533" t="inlineStr">
        <is>
          <t>JÄMTLANDS LÄN</t>
        </is>
      </c>
      <c r="E2533" t="inlineStr">
        <is>
          <t>KROKOM</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47410-2019</t>
        </is>
      </c>
      <c r="B2534" s="1" t="n">
        <v>43723</v>
      </c>
      <c r="C2534" s="1" t="n">
        <v>45363</v>
      </c>
      <c r="D2534" t="inlineStr">
        <is>
          <t>JÄMTLANDS LÄN</t>
        </is>
      </c>
      <c r="E2534" t="inlineStr">
        <is>
          <t>STRÖMSUND</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47531-2019</t>
        </is>
      </c>
      <c r="B2535" s="1" t="n">
        <v>43724</v>
      </c>
      <c r="C2535" s="1" t="n">
        <v>45363</v>
      </c>
      <c r="D2535" t="inlineStr">
        <is>
          <t>JÄMTLANDS LÄN</t>
        </is>
      </c>
      <c r="E2535" t="inlineStr">
        <is>
          <t>STRÖMSUND</t>
        </is>
      </c>
      <c r="G2535" t="n">
        <v>30.4</v>
      </c>
      <c r="H2535" t="n">
        <v>0</v>
      </c>
      <c r="I2535" t="n">
        <v>0</v>
      </c>
      <c r="J2535" t="n">
        <v>0</v>
      </c>
      <c r="K2535" t="n">
        <v>0</v>
      </c>
      <c r="L2535" t="n">
        <v>0</v>
      </c>
      <c r="M2535" t="n">
        <v>0</v>
      </c>
      <c r="N2535" t="n">
        <v>0</v>
      </c>
      <c r="O2535" t="n">
        <v>0</v>
      </c>
      <c r="P2535" t="n">
        <v>0</v>
      </c>
      <c r="Q2535" t="n">
        <v>0</v>
      </c>
      <c r="R2535" s="2" t="inlineStr"/>
    </row>
    <row r="2536" ht="15" customHeight="1">
      <c r="A2536" t="inlineStr">
        <is>
          <t>A 47811-2019</t>
        </is>
      </c>
      <c r="B2536" s="1" t="n">
        <v>43724</v>
      </c>
      <c r="C2536" s="1" t="n">
        <v>45363</v>
      </c>
      <c r="D2536" t="inlineStr">
        <is>
          <t>JÄMTLANDS LÄN</t>
        </is>
      </c>
      <c r="E2536" t="inlineStr">
        <is>
          <t>STRÖMSUND</t>
        </is>
      </c>
      <c r="F2536" t="inlineStr">
        <is>
          <t>SCA</t>
        </is>
      </c>
      <c r="G2536" t="n">
        <v>14.6</v>
      </c>
      <c r="H2536" t="n">
        <v>0</v>
      </c>
      <c r="I2536" t="n">
        <v>0</v>
      </c>
      <c r="J2536" t="n">
        <v>0</v>
      </c>
      <c r="K2536" t="n">
        <v>0</v>
      </c>
      <c r="L2536" t="n">
        <v>0</v>
      </c>
      <c r="M2536" t="n">
        <v>0</v>
      </c>
      <c r="N2536" t="n">
        <v>0</v>
      </c>
      <c r="O2536" t="n">
        <v>0</v>
      </c>
      <c r="P2536" t="n">
        <v>0</v>
      </c>
      <c r="Q2536" t="n">
        <v>0</v>
      </c>
      <c r="R2536" s="2" t="inlineStr"/>
    </row>
    <row r="2537" ht="15" customHeight="1">
      <c r="A2537" t="inlineStr">
        <is>
          <t>A 47810-2019</t>
        </is>
      </c>
      <c r="B2537" s="1" t="n">
        <v>43724</v>
      </c>
      <c r="C2537" s="1" t="n">
        <v>45363</v>
      </c>
      <c r="D2537" t="inlineStr">
        <is>
          <t>JÄMTLANDS LÄN</t>
        </is>
      </c>
      <c r="E2537" t="inlineStr">
        <is>
          <t>ÖSTERSUND</t>
        </is>
      </c>
      <c r="F2537" t="inlineStr">
        <is>
          <t>SCA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48052-2019</t>
        </is>
      </c>
      <c r="B2538" s="1" t="n">
        <v>43725</v>
      </c>
      <c r="C2538" s="1" t="n">
        <v>45363</v>
      </c>
      <c r="D2538" t="inlineStr">
        <is>
          <t>JÄMTLANDS LÄN</t>
        </is>
      </c>
      <c r="E2538" t="inlineStr">
        <is>
          <t>STRÖMSUND</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47918-2019</t>
        </is>
      </c>
      <c r="B2539" s="1" t="n">
        <v>43725</v>
      </c>
      <c r="C2539" s="1" t="n">
        <v>45363</v>
      </c>
      <c r="D2539" t="inlineStr">
        <is>
          <t>JÄMTLANDS LÄN</t>
        </is>
      </c>
      <c r="E2539" t="inlineStr">
        <is>
          <t>BERG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48115-2019</t>
        </is>
      </c>
      <c r="B2540" s="1" t="n">
        <v>43725</v>
      </c>
      <c r="C2540" s="1" t="n">
        <v>45363</v>
      </c>
      <c r="D2540" t="inlineStr">
        <is>
          <t>JÄMTLANDS LÄN</t>
        </is>
      </c>
      <c r="E2540" t="inlineStr">
        <is>
          <t>ÖSTERSUND</t>
        </is>
      </c>
      <c r="F2540" t="inlineStr">
        <is>
          <t>SCA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48291-2019</t>
        </is>
      </c>
      <c r="B2541" s="1" t="n">
        <v>43726</v>
      </c>
      <c r="C2541" s="1" t="n">
        <v>45363</v>
      </c>
      <c r="D2541" t="inlineStr">
        <is>
          <t>JÄMTLANDS LÄN</t>
        </is>
      </c>
      <c r="E2541" t="inlineStr">
        <is>
          <t>ÅRE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48311-2019</t>
        </is>
      </c>
      <c r="B2542" s="1" t="n">
        <v>43726</v>
      </c>
      <c r="C2542" s="1" t="n">
        <v>45363</v>
      </c>
      <c r="D2542" t="inlineStr">
        <is>
          <t>JÄMTLANDS LÄN</t>
        </is>
      </c>
      <c r="E2542" t="inlineStr">
        <is>
          <t>KROKOM</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48578-2019</t>
        </is>
      </c>
      <c r="B2543" s="1" t="n">
        <v>43727</v>
      </c>
      <c r="C2543" s="1" t="n">
        <v>45363</v>
      </c>
      <c r="D2543" t="inlineStr">
        <is>
          <t>JÄMTLANDS LÄN</t>
        </is>
      </c>
      <c r="E2543" t="inlineStr">
        <is>
          <t>STRÖMSUND</t>
        </is>
      </c>
      <c r="G2543" t="n">
        <v>20.8</v>
      </c>
      <c r="H2543" t="n">
        <v>0</v>
      </c>
      <c r="I2543" t="n">
        <v>0</v>
      </c>
      <c r="J2543" t="n">
        <v>0</v>
      </c>
      <c r="K2543" t="n">
        <v>0</v>
      </c>
      <c r="L2543" t="n">
        <v>0</v>
      </c>
      <c r="M2543" t="n">
        <v>0</v>
      </c>
      <c r="N2543" t="n">
        <v>0</v>
      </c>
      <c r="O2543" t="n">
        <v>0</v>
      </c>
      <c r="P2543" t="n">
        <v>0</v>
      </c>
      <c r="Q2543" t="n">
        <v>0</v>
      </c>
      <c r="R2543" s="2" t="inlineStr"/>
    </row>
    <row r="2544" ht="15" customHeight="1">
      <c r="A2544" t="inlineStr">
        <is>
          <t>A 48613-2019</t>
        </is>
      </c>
      <c r="B2544" s="1" t="n">
        <v>43727</v>
      </c>
      <c r="C2544" s="1" t="n">
        <v>45363</v>
      </c>
      <c r="D2544" t="inlineStr">
        <is>
          <t>JÄMTLANDS LÄN</t>
        </is>
      </c>
      <c r="E2544" t="inlineStr">
        <is>
          <t>KROKOM</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48565-2019</t>
        </is>
      </c>
      <c r="B2545" s="1" t="n">
        <v>43727</v>
      </c>
      <c r="C2545" s="1" t="n">
        <v>45363</v>
      </c>
      <c r="D2545" t="inlineStr">
        <is>
          <t>JÄMTLANDS LÄN</t>
        </is>
      </c>
      <c r="E2545" t="inlineStr">
        <is>
          <t>STRÖMSUND</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48620-2019</t>
        </is>
      </c>
      <c r="B2546" s="1" t="n">
        <v>43727</v>
      </c>
      <c r="C2546" s="1" t="n">
        <v>45363</v>
      </c>
      <c r="D2546" t="inlineStr">
        <is>
          <t>JÄMTLANDS LÄN</t>
        </is>
      </c>
      <c r="E2546" t="inlineStr">
        <is>
          <t>STRÖMSUND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48573-2019</t>
        </is>
      </c>
      <c r="B2547" s="1" t="n">
        <v>43727</v>
      </c>
      <c r="C2547" s="1" t="n">
        <v>45363</v>
      </c>
      <c r="D2547" t="inlineStr">
        <is>
          <t>JÄMTLANDS LÄN</t>
        </is>
      </c>
      <c r="E2547" t="inlineStr">
        <is>
          <t>STRÖMSUND</t>
        </is>
      </c>
      <c r="G2547" t="n">
        <v>7.5</v>
      </c>
      <c r="H2547" t="n">
        <v>0</v>
      </c>
      <c r="I2547" t="n">
        <v>0</v>
      </c>
      <c r="J2547" t="n">
        <v>0</v>
      </c>
      <c r="K2547" t="n">
        <v>0</v>
      </c>
      <c r="L2547" t="n">
        <v>0</v>
      </c>
      <c r="M2547" t="n">
        <v>0</v>
      </c>
      <c r="N2547" t="n">
        <v>0</v>
      </c>
      <c r="O2547" t="n">
        <v>0</v>
      </c>
      <c r="P2547" t="n">
        <v>0</v>
      </c>
      <c r="Q2547" t="n">
        <v>0</v>
      </c>
      <c r="R2547" s="2" t="inlineStr"/>
    </row>
    <row r="2548" ht="15" customHeight="1">
      <c r="A2548" t="inlineStr">
        <is>
          <t>A 48680-2019</t>
        </is>
      </c>
      <c r="B2548" s="1" t="n">
        <v>43727</v>
      </c>
      <c r="C2548" s="1" t="n">
        <v>45363</v>
      </c>
      <c r="D2548" t="inlineStr">
        <is>
          <t>JÄMTLANDS LÄN</t>
        </is>
      </c>
      <c r="E2548" t="inlineStr">
        <is>
          <t>ÖSTERSUND</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48951-2019</t>
        </is>
      </c>
      <c r="B2549" s="1" t="n">
        <v>43728</v>
      </c>
      <c r="C2549" s="1" t="n">
        <v>45363</v>
      </c>
      <c r="D2549" t="inlineStr">
        <is>
          <t>JÄMTLANDS LÄN</t>
        </is>
      </c>
      <c r="E2549" t="inlineStr">
        <is>
          <t>STRÖMSUND</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48965-2019</t>
        </is>
      </c>
      <c r="B2550" s="1" t="n">
        <v>43728</v>
      </c>
      <c r="C2550" s="1" t="n">
        <v>45363</v>
      </c>
      <c r="D2550" t="inlineStr">
        <is>
          <t>JÄMTLANDS LÄN</t>
        </is>
      </c>
      <c r="E2550" t="inlineStr">
        <is>
          <t>STRÖMSUND</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48961-2019</t>
        </is>
      </c>
      <c r="B2551" s="1" t="n">
        <v>43728</v>
      </c>
      <c r="C2551" s="1" t="n">
        <v>45363</v>
      </c>
      <c r="D2551" t="inlineStr">
        <is>
          <t>JÄMTLANDS LÄN</t>
        </is>
      </c>
      <c r="E2551" t="inlineStr">
        <is>
          <t>RAGUNDA</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49213-2019</t>
        </is>
      </c>
      <c r="B2552" s="1" t="n">
        <v>43731</v>
      </c>
      <c r="C2552" s="1" t="n">
        <v>45363</v>
      </c>
      <c r="D2552" t="inlineStr">
        <is>
          <t>JÄMTLANDS LÄN</t>
        </is>
      </c>
      <c r="E2552" t="inlineStr">
        <is>
          <t>KROKOM</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49291-2019</t>
        </is>
      </c>
      <c r="B2553" s="1" t="n">
        <v>43731</v>
      </c>
      <c r="C2553" s="1" t="n">
        <v>45363</v>
      </c>
      <c r="D2553" t="inlineStr">
        <is>
          <t>JÄMTLANDS LÄN</t>
        </is>
      </c>
      <c r="E2553" t="inlineStr">
        <is>
          <t>STRÖMSUND</t>
        </is>
      </c>
      <c r="G2553" t="n">
        <v>20.7</v>
      </c>
      <c r="H2553" t="n">
        <v>0</v>
      </c>
      <c r="I2553" t="n">
        <v>0</v>
      </c>
      <c r="J2553" t="n">
        <v>0</v>
      </c>
      <c r="K2553" t="n">
        <v>0</v>
      </c>
      <c r="L2553" t="n">
        <v>0</v>
      </c>
      <c r="M2553" t="n">
        <v>0</v>
      </c>
      <c r="N2553" t="n">
        <v>0</v>
      </c>
      <c r="O2553" t="n">
        <v>0</v>
      </c>
      <c r="P2553" t="n">
        <v>0</v>
      </c>
      <c r="Q2553" t="n">
        <v>0</v>
      </c>
      <c r="R2553" s="2" t="inlineStr"/>
    </row>
    <row r="2554" ht="15" customHeight="1">
      <c r="A2554" t="inlineStr">
        <is>
          <t>A 49328-2019</t>
        </is>
      </c>
      <c r="B2554" s="1" t="n">
        <v>43731</v>
      </c>
      <c r="C2554" s="1" t="n">
        <v>45363</v>
      </c>
      <c r="D2554" t="inlineStr">
        <is>
          <t>JÄMTLANDS LÄN</t>
        </is>
      </c>
      <c r="E2554" t="inlineStr">
        <is>
          <t>HÄRJEDALEN</t>
        </is>
      </c>
      <c r="F2554" t="inlineStr">
        <is>
          <t>Sveaskog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49367-2019</t>
        </is>
      </c>
      <c r="B2555" s="1" t="n">
        <v>43731</v>
      </c>
      <c r="C2555" s="1" t="n">
        <v>45363</v>
      </c>
      <c r="D2555" t="inlineStr">
        <is>
          <t>JÄMTLANDS LÄN</t>
        </is>
      </c>
      <c r="E2555" t="inlineStr">
        <is>
          <t>BRÄCKE</t>
        </is>
      </c>
      <c r="F2555" t="inlineStr">
        <is>
          <t>SCA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50104-2019</t>
        </is>
      </c>
      <c r="B2556" s="1" t="n">
        <v>43731</v>
      </c>
      <c r="C2556" s="1" t="n">
        <v>45363</v>
      </c>
      <c r="D2556" t="inlineStr">
        <is>
          <t>JÄMTLANDS LÄN</t>
        </is>
      </c>
      <c r="E2556" t="inlineStr">
        <is>
          <t>KROKOM</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50115-2019</t>
        </is>
      </c>
      <c r="B2557" s="1" t="n">
        <v>43731</v>
      </c>
      <c r="C2557" s="1" t="n">
        <v>45363</v>
      </c>
      <c r="D2557" t="inlineStr">
        <is>
          <t>JÄMTLANDS LÄN</t>
        </is>
      </c>
      <c r="E2557" t="inlineStr">
        <is>
          <t>KROKOM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49316-2019</t>
        </is>
      </c>
      <c r="B2558" s="1" t="n">
        <v>43731</v>
      </c>
      <c r="C2558" s="1" t="n">
        <v>45363</v>
      </c>
      <c r="D2558" t="inlineStr">
        <is>
          <t>JÄMTLANDS LÄN</t>
        </is>
      </c>
      <c r="E2558" t="inlineStr">
        <is>
          <t>STRÖMSUND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50084-2019</t>
        </is>
      </c>
      <c r="B2559" s="1" t="n">
        <v>43731</v>
      </c>
      <c r="C2559" s="1" t="n">
        <v>45363</v>
      </c>
      <c r="D2559" t="inlineStr">
        <is>
          <t>JÄMTLANDS LÄN</t>
        </is>
      </c>
      <c r="E2559" t="inlineStr">
        <is>
          <t>KROKOM</t>
        </is>
      </c>
      <c r="G2559" t="n">
        <v>12.5</v>
      </c>
      <c r="H2559" t="n">
        <v>0</v>
      </c>
      <c r="I2559" t="n">
        <v>0</v>
      </c>
      <c r="J2559" t="n">
        <v>0</v>
      </c>
      <c r="K2559" t="n">
        <v>0</v>
      </c>
      <c r="L2559" t="n">
        <v>0</v>
      </c>
      <c r="M2559" t="n">
        <v>0</v>
      </c>
      <c r="N2559" t="n">
        <v>0</v>
      </c>
      <c r="O2559" t="n">
        <v>0</v>
      </c>
      <c r="P2559" t="n">
        <v>0</v>
      </c>
      <c r="Q2559" t="n">
        <v>0</v>
      </c>
      <c r="R2559" s="2" t="inlineStr"/>
    </row>
    <row r="2560" ht="15" customHeight="1">
      <c r="A2560" t="inlineStr">
        <is>
          <t>A 49336-2019</t>
        </is>
      </c>
      <c r="B2560" s="1" t="n">
        <v>43731</v>
      </c>
      <c r="C2560" s="1" t="n">
        <v>45363</v>
      </c>
      <c r="D2560" t="inlineStr">
        <is>
          <t>JÄMTLANDS LÄN</t>
        </is>
      </c>
      <c r="E2560" t="inlineStr">
        <is>
          <t>HÄRJEDALEN</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50112-2019</t>
        </is>
      </c>
      <c r="B2561" s="1" t="n">
        <v>43731</v>
      </c>
      <c r="C2561" s="1" t="n">
        <v>45363</v>
      </c>
      <c r="D2561" t="inlineStr">
        <is>
          <t>JÄMTLANDS LÄN</t>
        </is>
      </c>
      <c r="E2561" t="inlineStr">
        <is>
          <t>KROKOM</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49629-2019</t>
        </is>
      </c>
      <c r="B2562" s="1" t="n">
        <v>43732</v>
      </c>
      <c r="C2562" s="1" t="n">
        <v>45363</v>
      </c>
      <c r="D2562" t="inlineStr">
        <is>
          <t>JÄMTLANDS LÄN</t>
        </is>
      </c>
      <c r="E2562" t="inlineStr">
        <is>
          <t>ÖSTERSUND</t>
        </is>
      </c>
      <c r="F2562" t="inlineStr">
        <is>
          <t>Övriga Aktiebolag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49690-2019</t>
        </is>
      </c>
      <c r="B2563" s="1" t="n">
        <v>43732</v>
      </c>
      <c r="C2563" s="1" t="n">
        <v>45363</v>
      </c>
      <c r="D2563" t="inlineStr">
        <is>
          <t>JÄMTLANDS LÄN</t>
        </is>
      </c>
      <c r="E2563" t="inlineStr">
        <is>
          <t>BRÄCKE</t>
        </is>
      </c>
      <c r="F2563" t="inlineStr">
        <is>
          <t>SCA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51347-2019</t>
        </is>
      </c>
      <c r="B2564" s="1" t="n">
        <v>43732</v>
      </c>
      <c r="C2564" s="1" t="n">
        <v>45363</v>
      </c>
      <c r="D2564" t="inlineStr">
        <is>
          <t>JÄMTLANDS LÄN</t>
        </is>
      </c>
      <c r="E2564" t="inlineStr">
        <is>
          <t>ÖSTERSUND</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49867-2019</t>
        </is>
      </c>
      <c r="B2565" s="1" t="n">
        <v>43733</v>
      </c>
      <c r="C2565" s="1" t="n">
        <v>45363</v>
      </c>
      <c r="D2565" t="inlineStr">
        <is>
          <t>JÄMTLANDS LÄN</t>
        </is>
      </c>
      <c r="E2565" t="inlineStr">
        <is>
          <t>ÅRE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49863-2019</t>
        </is>
      </c>
      <c r="B2566" s="1" t="n">
        <v>43733</v>
      </c>
      <c r="C2566" s="1" t="n">
        <v>45363</v>
      </c>
      <c r="D2566" t="inlineStr">
        <is>
          <t>JÄMTLANDS LÄN</t>
        </is>
      </c>
      <c r="E2566" t="inlineStr">
        <is>
          <t>ÅRE</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49875-2019</t>
        </is>
      </c>
      <c r="B2567" s="1" t="n">
        <v>43733</v>
      </c>
      <c r="C2567" s="1" t="n">
        <v>45363</v>
      </c>
      <c r="D2567" t="inlineStr">
        <is>
          <t>JÄMTLANDS LÄN</t>
        </is>
      </c>
      <c r="E2567" t="inlineStr">
        <is>
          <t>RAGUNDA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49945-2019</t>
        </is>
      </c>
      <c r="B2568" s="1" t="n">
        <v>43733</v>
      </c>
      <c r="C2568" s="1" t="n">
        <v>45363</v>
      </c>
      <c r="D2568" t="inlineStr">
        <is>
          <t>JÄMTLANDS LÄN</t>
        </is>
      </c>
      <c r="E2568" t="inlineStr">
        <is>
          <t>RAGUNDA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49858-2019</t>
        </is>
      </c>
      <c r="B2569" s="1" t="n">
        <v>43733</v>
      </c>
      <c r="C2569" s="1" t="n">
        <v>45363</v>
      </c>
      <c r="D2569" t="inlineStr">
        <is>
          <t>JÄMTLANDS LÄN</t>
        </is>
      </c>
      <c r="E2569" t="inlineStr">
        <is>
          <t>ÅRE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50001-2019</t>
        </is>
      </c>
      <c r="B2570" s="1" t="n">
        <v>43733</v>
      </c>
      <c r="C2570" s="1" t="n">
        <v>45363</v>
      </c>
      <c r="D2570" t="inlineStr">
        <is>
          <t>JÄMTLANDS LÄN</t>
        </is>
      </c>
      <c r="E2570" t="inlineStr">
        <is>
          <t>STRÖMSUND</t>
        </is>
      </c>
      <c r="F2570" t="inlineStr">
        <is>
          <t>SCA</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50012-2019</t>
        </is>
      </c>
      <c r="B2571" s="1" t="n">
        <v>43733</v>
      </c>
      <c r="C2571" s="1" t="n">
        <v>45363</v>
      </c>
      <c r="D2571" t="inlineStr">
        <is>
          <t>JÄMTLANDS LÄN</t>
        </is>
      </c>
      <c r="E2571" t="inlineStr">
        <is>
          <t>ÅRE</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49997-2019</t>
        </is>
      </c>
      <c r="B2572" s="1" t="n">
        <v>43733</v>
      </c>
      <c r="C2572" s="1" t="n">
        <v>45363</v>
      </c>
      <c r="D2572" t="inlineStr">
        <is>
          <t>JÄMTLANDS LÄN</t>
        </is>
      </c>
      <c r="E2572" t="inlineStr">
        <is>
          <t>ÖSTERSUND</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50144-2019</t>
        </is>
      </c>
      <c r="B2573" s="1" t="n">
        <v>43734</v>
      </c>
      <c r="C2573" s="1" t="n">
        <v>45363</v>
      </c>
      <c r="D2573" t="inlineStr">
        <is>
          <t>JÄMTLANDS LÄN</t>
        </is>
      </c>
      <c r="E2573" t="inlineStr">
        <is>
          <t>KROKOM</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50305-2019</t>
        </is>
      </c>
      <c r="B2574" s="1" t="n">
        <v>43734</v>
      </c>
      <c r="C2574" s="1" t="n">
        <v>45363</v>
      </c>
      <c r="D2574" t="inlineStr">
        <is>
          <t>JÄMTLANDS LÄN</t>
        </is>
      </c>
      <c r="E2574" t="inlineStr">
        <is>
          <t>STRÖMSUND</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50302-2019</t>
        </is>
      </c>
      <c r="B2575" s="1" t="n">
        <v>43734</v>
      </c>
      <c r="C2575" s="1" t="n">
        <v>45363</v>
      </c>
      <c r="D2575" t="inlineStr">
        <is>
          <t>JÄMTLANDS LÄN</t>
        </is>
      </c>
      <c r="E2575" t="inlineStr">
        <is>
          <t>STRÖMSUND</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52056-2019</t>
        </is>
      </c>
      <c r="B2576" s="1" t="n">
        <v>43734</v>
      </c>
      <c r="C2576" s="1" t="n">
        <v>45363</v>
      </c>
      <c r="D2576" t="inlineStr">
        <is>
          <t>JÄMTLANDS LÄN</t>
        </is>
      </c>
      <c r="E2576" t="inlineStr">
        <is>
          <t>ÅRE</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52049-2019</t>
        </is>
      </c>
      <c r="B2577" s="1" t="n">
        <v>43734</v>
      </c>
      <c r="C2577" s="1" t="n">
        <v>45363</v>
      </c>
      <c r="D2577" t="inlineStr">
        <is>
          <t>JÄMTLANDS LÄN</t>
        </is>
      </c>
      <c r="E2577" t="inlineStr">
        <is>
          <t>KROKOM</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50292-2019</t>
        </is>
      </c>
      <c r="B2578" s="1" t="n">
        <v>43735</v>
      </c>
      <c r="C2578" s="1" t="n">
        <v>45363</v>
      </c>
      <c r="D2578" t="inlineStr">
        <is>
          <t>JÄMTLANDS LÄN</t>
        </is>
      </c>
      <c r="E2578" t="inlineStr">
        <is>
          <t>BRÄCKE</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52047-2019</t>
        </is>
      </c>
      <c r="B2579" s="1" t="n">
        <v>43734</v>
      </c>
      <c r="C2579" s="1" t="n">
        <v>45363</v>
      </c>
      <c r="D2579" t="inlineStr">
        <is>
          <t>JÄMTLANDS LÄN</t>
        </is>
      </c>
      <c r="E2579" t="inlineStr">
        <is>
          <t>ÅRE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52028-2019</t>
        </is>
      </c>
      <c r="B2580" s="1" t="n">
        <v>43734</v>
      </c>
      <c r="C2580" s="1" t="n">
        <v>45363</v>
      </c>
      <c r="D2580" t="inlineStr">
        <is>
          <t>JÄMTLANDS LÄN</t>
        </is>
      </c>
      <c r="E2580" t="inlineStr">
        <is>
          <t>KROKOM</t>
        </is>
      </c>
      <c r="F2580" t="inlineStr">
        <is>
          <t>Övriga Aktiebolag</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52059-2019</t>
        </is>
      </c>
      <c r="B2581" s="1" t="n">
        <v>43734</v>
      </c>
      <c r="C2581" s="1" t="n">
        <v>45363</v>
      </c>
      <c r="D2581" t="inlineStr">
        <is>
          <t>JÄMTLANDS LÄN</t>
        </is>
      </c>
      <c r="E2581" t="inlineStr">
        <is>
          <t>KROKOM</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50316-2019</t>
        </is>
      </c>
      <c r="B2582" s="1" t="n">
        <v>43735</v>
      </c>
      <c r="C2582" s="1" t="n">
        <v>45363</v>
      </c>
      <c r="D2582" t="inlineStr">
        <is>
          <t>JÄMTLANDS LÄN</t>
        </is>
      </c>
      <c r="E2582" t="inlineStr">
        <is>
          <t>ÖSTERSUND</t>
        </is>
      </c>
      <c r="G2582" t="n">
        <v>9.5</v>
      </c>
      <c r="H2582" t="n">
        <v>0</v>
      </c>
      <c r="I2582" t="n">
        <v>0</v>
      </c>
      <c r="J2582" t="n">
        <v>0</v>
      </c>
      <c r="K2582" t="n">
        <v>0</v>
      </c>
      <c r="L2582" t="n">
        <v>0</v>
      </c>
      <c r="M2582" t="n">
        <v>0</v>
      </c>
      <c r="N2582" t="n">
        <v>0</v>
      </c>
      <c r="O2582" t="n">
        <v>0</v>
      </c>
      <c r="P2582" t="n">
        <v>0</v>
      </c>
      <c r="Q2582" t="n">
        <v>0</v>
      </c>
      <c r="R2582" s="2" t="inlineStr"/>
    </row>
    <row r="2583" ht="15" customHeight="1">
      <c r="A2583" t="inlineStr">
        <is>
          <t>A 50310-2019</t>
        </is>
      </c>
      <c r="B2583" s="1" t="n">
        <v>43735</v>
      </c>
      <c r="C2583" s="1" t="n">
        <v>45363</v>
      </c>
      <c r="D2583" t="inlineStr">
        <is>
          <t>JÄMTLANDS LÄN</t>
        </is>
      </c>
      <c r="E2583" t="inlineStr">
        <is>
          <t>HÄRJEDALEN</t>
        </is>
      </c>
      <c r="G2583" t="n">
        <v>9.1</v>
      </c>
      <c r="H2583" t="n">
        <v>0</v>
      </c>
      <c r="I2583" t="n">
        <v>0</v>
      </c>
      <c r="J2583" t="n">
        <v>0</v>
      </c>
      <c r="K2583" t="n">
        <v>0</v>
      </c>
      <c r="L2583" t="n">
        <v>0</v>
      </c>
      <c r="M2583" t="n">
        <v>0</v>
      </c>
      <c r="N2583" t="n">
        <v>0</v>
      </c>
      <c r="O2583" t="n">
        <v>0</v>
      </c>
      <c r="P2583" t="n">
        <v>0</v>
      </c>
      <c r="Q2583" t="n">
        <v>0</v>
      </c>
      <c r="R2583" s="2" t="inlineStr"/>
    </row>
    <row r="2584" ht="15" customHeight="1">
      <c r="A2584" t="inlineStr">
        <is>
          <t>A 50360-2019</t>
        </is>
      </c>
      <c r="B2584" s="1" t="n">
        <v>43735</v>
      </c>
      <c r="C2584" s="1" t="n">
        <v>45363</v>
      </c>
      <c r="D2584" t="inlineStr">
        <is>
          <t>JÄMTLANDS LÄN</t>
        </is>
      </c>
      <c r="E2584" t="inlineStr">
        <is>
          <t>KROKOM</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50411-2019</t>
        </is>
      </c>
      <c r="B2585" s="1" t="n">
        <v>43735</v>
      </c>
      <c r="C2585" s="1" t="n">
        <v>45363</v>
      </c>
      <c r="D2585" t="inlineStr">
        <is>
          <t>JÄMTLANDS LÄN</t>
        </is>
      </c>
      <c r="E2585" t="inlineStr">
        <is>
          <t>HÄRJEDALEN</t>
        </is>
      </c>
      <c r="F2585" t="inlineStr">
        <is>
          <t>Sveaskog</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50519-2019</t>
        </is>
      </c>
      <c r="B2586" s="1" t="n">
        <v>43735</v>
      </c>
      <c r="C2586" s="1" t="n">
        <v>45363</v>
      </c>
      <c r="D2586" t="inlineStr">
        <is>
          <t>JÄMTLANDS LÄN</t>
        </is>
      </c>
      <c r="E2586" t="inlineStr">
        <is>
          <t>HÄRJEDALEN</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50587-2019</t>
        </is>
      </c>
      <c r="B2587" s="1" t="n">
        <v>43735</v>
      </c>
      <c r="C2587" s="1" t="n">
        <v>45363</v>
      </c>
      <c r="D2587" t="inlineStr">
        <is>
          <t>JÄMTLANDS LÄN</t>
        </is>
      </c>
      <c r="E2587" t="inlineStr">
        <is>
          <t>BRÄCKE</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50584-2019</t>
        </is>
      </c>
      <c r="B2588" s="1" t="n">
        <v>43735</v>
      </c>
      <c r="C2588" s="1" t="n">
        <v>45363</v>
      </c>
      <c r="D2588" t="inlineStr">
        <is>
          <t>JÄMTLANDS LÄN</t>
        </is>
      </c>
      <c r="E2588" t="inlineStr">
        <is>
          <t>BRÄCKE</t>
        </is>
      </c>
      <c r="F2588" t="inlineStr">
        <is>
          <t>SCA</t>
        </is>
      </c>
      <c r="G2588" t="n">
        <v>19.1</v>
      </c>
      <c r="H2588" t="n">
        <v>0</v>
      </c>
      <c r="I2588" t="n">
        <v>0</v>
      </c>
      <c r="J2588" t="n">
        <v>0</v>
      </c>
      <c r="K2588" t="n">
        <v>0</v>
      </c>
      <c r="L2588" t="n">
        <v>0</v>
      </c>
      <c r="M2588" t="n">
        <v>0</v>
      </c>
      <c r="N2588" t="n">
        <v>0</v>
      </c>
      <c r="O2588" t="n">
        <v>0</v>
      </c>
      <c r="P2588" t="n">
        <v>0</v>
      </c>
      <c r="Q2588" t="n">
        <v>0</v>
      </c>
      <c r="R2588" s="2" t="inlineStr"/>
    </row>
    <row r="2589" ht="15" customHeight="1">
      <c r="A2589" t="inlineStr">
        <is>
          <t>A 50580-2019</t>
        </is>
      </c>
      <c r="B2589" s="1" t="n">
        <v>43735</v>
      </c>
      <c r="C2589" s="1" t="n">
        <v>45363</v>
      </c>
      <c r="D2589" t="inlineStr">
        <is>
          <t>JÄMTLANDS LÄN</t>
        </is>
      </c>
      <c r="E2589" t="inlineStr">
        <is>
          <t>BRÄCKE</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52446-2019</t>
        </is>
      </c>
      <c r="B2590" s="1" t="n">
        <v>43735</v>
      </c>
      <c r="C2590" s="1" t="n">
        <v>45363</v>
      </c>
      <c r="D2590" t="inlineStr">
        <is>
          <t>JÄMTLANDS LÄN</t>
        </is>
      </c>
      <c r="E2590" t="inlineStr">
        <is>
          <t>KROKOM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52098-2019</t>
        </is>
      </c>
      <c r="B2591" s="1" t="n">
        <v>43735</v>
      </c>
      <c r="C2591" s="1" t="n">
        <v>45363</v>
      </c>
      <c r="D2591" t="inlineStr">
        <is>
          <t>JÄMTLANDS LÄN</t>
        </is>
      </c>
      <c r="E2591" t="inlineStr">
        <is>
          <t>RAGUNDA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52462-2019</t>
        </is>
      </c>
      <c r="B2592" s="1" t="n">
        <v>43735</v>
      </c>
      <c r="C2592" s="1" t="n">
        <v>45363</v>
      </c>
      <c r="D2592" t="inlineStr">
        <is>
          <t>JÄMTLANDS LÄN</t>
        </is>
      </c>
      <c r="E2592" t="inlineStr">
        <is>
          <t>KROKOM</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50624-2019</t>
        </is>
      </c>
      <c r="B2593" s="1" t="n">
        <v>43736</v>
      </c>
      <c r="C2593" s="1" t="n">
        <v>45363</v>
      </c>
      <c r="D2593" t="inlineStr">
        <is>
          <t>JÄMTLANDS LÄN</t>
        </is>
      </c>
      <c r="E2593" t="inlineStr">
        <is>
          <t>HÄRJEDALEN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50779-2019</t>
        </is>
      </c>
      <c r="B2594" s="1" t="n">
        <v>43738</v>
      </c>
      <c r="C2594" s="1" t="n">
        <v>45363</v>
      </c>
      <c r="D2594" t="inlineStr">
        <is>
          <t>JÄMTLANDS LÄN</t>
        </is>
      </c>
      <c r="E2594" t="inlineStr">
        <is>
          <t>ÖSTERSUND</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50896-2019</t>
        </is>
      </c>
      <c r="B2595" s="1" t="n">
        <v>43738</v>
      </c>
      <c r="C2595" s="1" t="n">
        <v>45363</v>
      </c>
      <c r="D2595" t="inlineStr">
        <is>
          <t>JÄMTLANDS LÄN</t>
        </is>
      </c>
      <c r="E2595" t="inlineStr">
        <is>
          <t>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50969-2019</t>
        </is>
      </c>
      <c r="B2596" s="1" t="n">
        <v>43738</v>
      </c>
      <c r="C2596" s="1" t="n">
        <v>45363</v>
      </c>
      <c r="D2596" t="inlineStr">
        <is>
          <t>JÄMTLANDS LÄN</t>
        </is>
      </c>
      <c r="E2596" t="inlineStr">
        <is>
          <t>BERG</t>
        </is>
      </c>
      <c r="F2596" t="inlineStr">
        <is>
          <t>SCA</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51008-2019</t>
        </is>
      </c>
      <c r="B2597" s="1" t="n">
        <v>43738</v>
      </c>
      <c r="C2597" s="1" t="n">
        <v>45363</v>
      </c>
      <c r="D2597" t="inlineStr">
        <is>
          <t>JÄMTLANDS LÄN</t>
        </is>
      </c>
      <c r="E2597" t="inlineStr">
        <is>
          <t>STRÖMSUND</t>
        </is>
      </c>
      <c r="F2597" t="inlineStr">
        <is>
          <t>SCA</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50968-2019</t>
        </is>
      </c>
      <c r="B2598" s="1" t="n">
        <v>43738</v>
      </c>
      <c r="C2598" s="1" t="n">
        <v>45363</v>
      </c>
      <c r="D2598" t="inlineStr">
        <is>
          <t>JÄMTLANDS LÄN</t>
        </is>
      </c>
      <c r="E2598" t="inlineStr">
        <is>
          <t>ÖSTERSUND</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51108-2019</t>
        </is>
      </c>
      <c r="B2599" s="1" t="n">
        <v>43739</v>
      </c>
      <c r="C2599" s="1" t="n">
        <v>45363</v>
      </c>
      <c r="D2599" t="inlineStr">
        <is>
          <t>JÄMTLANDS LÄN</t>
        </is>
      </c>
      <c r="E2599" t="inlineStr">
        <is>
          <t>HÄRJEDALEN</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51118-2019</t>
        </is>
      </c>
      <c r="B2600" s="1" t="n">
        <v>43739</v>
      </c>
      <c r="C2600" s="1" t="n">
        <v>45363</v>
      </c>
      <c r="D2600" t="inlineStr">
        <is>
          <t>JÄMTLANDS LÄN</t>
        </is>
      </c>
      <c r="E2600" t="inlineStr">
        <is>
          <t>HÄRJEDALEN</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51123-2019</t>
        </is>
      </c>
      <c r="B2601" s="1" t="n">
        <v>43739</v>
      </c>
      <c r="C2601" s="1" t="n">
        <v>45363</v>
      </c>
      <c r="D2601" t="inlineStr">
        <is>
          <t>JÄMTLANDS LÄN</t>
        </is>
      </c>
      <c r="E2601" t="inlineStr">
        <is>
          <t>HÄRJEDALEN</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51257-2019</t>
        </is>
      </c>
      <c r="B2602" s="1" t="n">
        <v>43739</v>
      </c>
      <c r="C2602" s="1" t="n">
        <v>45363</v>
      </c>
      <c r="D2602" t="inlineStr">
        <is>
          <t>JÄMTLANDS LÄN</t>
        </is>
      </c>
      <c r="E2602" t="inlineStr">
        <is>
          <t>BRÄCKE</t>
        </is>
      </c>
      <c r="F2602" t="inlineStr">
        <is>
          <t>Övriga Aktiebolag</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51329-2019</t>
        </is>
      </c>
      <c r="B2603" s="1" t="n">
        <v>43739</v>
      </c>
      <c r="C2603" s="1" t="n">
        <v>45363</v>
      </c>
      <c r="D2603" t="inlineStr">
        <is>
          <t>JÄMTLANDS LÄN</t>
        </is>
      </c>
      <c r="E2603" t="inlineStr">
        <is>
          <t>BRÄCKE</t>
        </is>
      </c>
      <c r="F2603" t="inlineStr">
        <is>
          <t>SCA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51183-2019</t>
        </is>
      </c>
      <c r="B2604" s="1" t="n">
        <v>43739</v>
      </c>
      <c r="C2604" s="1" t="n">
        <v>45363</v>
      </c>
      <c r="D2604" t="inlineStr">
        <is>
          <t>JÄMTLANDS LÄN</t>
        </is>
      </c>
      <c r="E2604" t="inlineStr">
        <is>
          <t>STRÖMSUND</t>
        </is>
      </c>
      <c r="F2604" t="inlineStr">
        <is>
          <t>Sveaskog</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51328-2019</t>
        </is>
      </c>
      <c r="B2605" s="1" t="n">
        <v>43739</v>
      </c>
      <c r="C2605" s="1" t="n">
        <v>45363</v>
      </c>
      <c r="D2605" t="inlineStr">
        <is>
          <t>JÄMTLANDS LÄN</t>
        </is>
      </c>
      <c r="E2605" t="inlineStr">
        <is>
          <t>BRÄCKE</t>
        </is>
      </c>
      <c r="F2605" t="inlineStr">
        <is>
          <t>SCA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51105-2019</t>
        </is>
      </c>
      <c r="B2606" s="1" t="n">
        <v>43739</v>
      </c>
      <c r="C2606" s="1" t="n">
        <v>45363</v>
      </c>
      <c r="D2606" t="inlineStr">
        <is>
          <t>JÄMTLANDS LÄN</t>
        </is>
      </c>
      <c r="E2606" t="inlineStr">
        <is>
          <t>HÄRJEDALEN</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51206-2019</t>
        </is>
      </c>
      <c r="B2607" s="1" t="n">
        <v>43739</v>
      </c>
      <c r="C2607" s="1" t="n">
        <v>45363</v>
      </c>
      <c r="D2607" t="inlineStr">
        <is>
          <t>JÄMTLANDS LÄN</t>
        </is>
      </c>
      <c r="E2607" t="inlineStr">
        <is>
          <t>BERG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51111-2019</t>
        </is>
      </c>
      <c r="B2608" s="1" t="n">
        <v>43739</v>
      </c>
      <c r="C2608" s="1" t="n">
        <v>45363</v>
      </c>
      <c r="D2608" t="inlineStr">
        <is>
          <t>JÄMTLANDS LÄN</t>
        </is>
      </c>
      <c r="E2608" t="inlineStr">
        <is>
          <t>HÄRJEDALEN</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51015-2019</t>
        </is>
      </c>
      <c r="B2609" s="1" t="n">
        <v>43739</v>
      </c>
      <c r="C2609" s="1" t="n">
        <v>45363</v>
      </c>
      <c r="D2609" t="inlineStr">
        <is>
          <t>JÄMTLANDS LÄN</t>
        </is>
      </c>
      <c r="E2609" t="inlineStr">
        <is>
          <t>STRÖMSUND</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51661-2019</t>
        </is>
      </c>
      <c r="B2610" s="1" t="n">
        <v>43740</v>
      </c>
      <c r="C2610" s="1" t="n">
        <v>45363</v>
      </c>
      <c r="D2610" t="inlineStr">
        <is>
          <t>JÄMTLANDS LÄN</t>
        </is>
      </c>
      <c r="E2610" t="inlineStr">
        <is>
          <t>RAGUNDA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53415-2019</t>
        </is>
      </c>
      <c r="B2611" s="1" t="n">
        <v>43740</v>
      </c>
      <c r="C2611" s="1" t="n">
        <v>45363</v>
      </c>
      <c r="D2611" t="inlineStr">
        <is>
          <t>JÄMTLANDS LÄN</t>
        </is>
      </c>
      <c r="E2611" t="inlineStr">
        <is>
          <t>BERG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51818-2019</t>
        </is>
      </c>
      <c r="B2612" s="1" t="n">
        <v>43741</v>
      </c>
      <c r="C2612" s="1" t="n">
        <v>45363</v>
      </c>
      <c r="D2612" t="inlineStr">
        <is>
          <t>JÄMTLANDS LÄN</t>
        </is>
      </c>
      <c r="E2612" t="inlineStr">
        <is>
          <t>ÅRE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53662-2019</t>
        </is>
      </c>
      <c r="B2613" s="1" t="n">
        <v>43741</v>
      </c>
      <c r="C2613" s="1" t="n">
        <v>45363</v>
      </c>
      <c r="D2613" t="inlineStr">
        <is>
          <t>JÄMTLANDS LÄN</t>
        </is>
      </c>
      <c r="E2613" t="inlineStr">
        <is>
          <t>KROKOM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51951-2019</t>
        </is>
      </c>
      <c r="B2614" s="1" t="n">
        <v>43741</v>
      </c>
      <c r="C2614" s="1" t="n">
        <v>45363</v>
      </c>
      <c r="D2614" t="inlineStr">
        <is>
          <t>JÄMTLANDS LÄN</t>
        </is>
      </c>
      <c r="E2614" t="inlineStr">
        <is>
          <t>STRÖMSUND</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53849-2019</t>
        </is>
      </c>
      <c r="B2615" s="1" t="n">
        <v>43742</v>
      </c>
      <c r="C2615" s="1" t="n">
        <v>45363</v>
      </c>
      <c r="D2615" t="inlineStr">
        <is>
          <t>JÄMTLANDS LÄN</t>
        </is>
      </c>
      <c r="E2615" t="inlineStr">
        <is>
          <t>RAGUNDA</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52258-2019</t>
        </is>
      </c>
      <c r="B2616" s="1" t="n">
        <v>43742</v>
      </c>
      <c r="C2616" s="1" t="n">
        <v>45363</v>
      </c>
      <c r="D2616" t="inlineStr">
        <is>
          <t>JÄMTLANDS LÄN</t>
        </is>
      </c>
      <c r="E2616" t="inlineStr">
        <is>
          <t>STRÖMSUND</t>
        </is>
      </c>
      <c r="F2616" t="inlineStr">
        <is>
          <t>SCA</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52384-2019</t>
        </is>
      </c>
      <c r="B2617" s="1" t="n">
        <v>43745</v>
      </c>
      <c r="C2617" s="1" t="n">
        <v>45363</v>
      </c>
      <c r="D2617" t="inlineStr">
        <is>
          <t>JÄMTLANDS LÄN</t>
        </is>
      </c>
      <c r="E2617" t="inlineStr">
        <is>
          <t>STRÖMSUND</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52470-2019</t>
        </is>
      </c>
      <c r="B2618" s="1" t="n">
        <v>43745</v>
      </c>
      <c r="C2618" s="1" t="n">
        <v>45363</v>
      </c>
      <c r="D2618" t="inlineStr">
        <is>
          <t>JÄMTLANDS LÄN</t>
        </is>
      </c>
      <c r="E2618" t="inlineStr">
        <is>
          <t>BERG</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53874-2019</t>
        </is>
      </c>
      <c r="B2619" s="1" t="n">
        <v>43745</v>
      </c>
      <c r="C2619" s="1" t="n">
        <v>45363</v>
      </c>
      <c r="D2619" t="inlineStr">
        <is>
          <t>JÄMTLANDS LÄN</t>
        </is>
      </c>
      <c r="E2619" t="inlineStr">
        <is>
          <t>STRÖMSUND</t>
        </is>
      </c>
      <c r="G2619" t="n">
        <v>10.1</v>
      </c>
      <c r="H2619" t="n">
        <v>0</v>
      </c>
      <c r="I2619" t="n">
        <v>0</v>
      </c>
      <c r="J2619" t="n">
        <v>0</v>
      </c>
      <c r="K2619" t="n">
        <v>0</v>
      </c>
      <c r="L2619" t="n">
        <v>0</v>
      </c>
      <c r="M2619" t="n">
        <v>0</v>
      </c>
      <c r="N2619" t="n">
        <v>0</v>
      </c>
      <c r="O2619" t="n">
        <v>0</v>
      </c>
      <c r="P2619" t="n">
        <v>0</v>
      </c>
      <c r="Q2619" t="n">
        <v>0</v>
      </c>
      <c r="R2619" s="2" t="inlineStr"/>
    </row>
    <row r="2620" ht="15" customHeight="1">
      <c r="A2620" t="inlineStr">
        <is>
          <t>A 54154-2019</t>
        </is>
      </c>
      <c r="B2620" s="1" t="n">
        <v>43745</v>
      </c>
      <c r="C2620" s="1" t="n">
        <v>45363</v>
      </c>
      <c r="D2620" t="inlineStr">
        <is>
          <t>JÄMTLANDS LÄN</t>
        </is>
      </c>
      <c r="E2620" t="inlineStr">
        <is>
          <t>KROKOM</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52304-2019</t>
        </is>
      </c>
      <c r="B2621" s="1" t="n">
        <v>43745</v>
      </c>
      <c r="C2621" s="1" t="n">
        <v>45363</v>
      </c>
      <c r="D2621" t="inlineStr">
        <is>
          <t>JÄMTLANDS LÄN</t>
        </is>
      </c>
      <c r="E2621" t="inlineStr">
        <is>
          <t>HÄRJEDALEN</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53886-2019</t>
        </is>
      </c>
      <c r="B2622" s="1" t="n">
        <v>43745</v>
      </c>
      <c r="C2622" s="1" t="n">
        <v>45363</v>
      </c>
      <c r="D2622" t="inlineStr">
        <is>
          <t>JÄMTLANDS LÄN</t>
        </is>
      </c>
      <c r="E2622" t="inlineStr">
        <is>
          <t>STRÖMSUND</t>
        </is>
      </c>
      <c r="G2622" t="n">
        <v>15.2</v>
      </c>
      <c r="H2622" t="n">
        <v>0</v>
      </c>
      <c r="I2622" t="n">
        <v>0</v>
      </c>
      <c r="J2622" t="n">
        <v>0</v>
      </c>
      <c r="K2622" t="n">
        <v>0</v>
      </c>
      <c r="L2622" t="n">
        <v>0</v>
      </c>
      <c r="M2622" t="n">
        <v>0</v>
      </c>
      <c r="N2622" t="n">
        <v>0</v>
      </c>
      <c r="O2622" t="n">
        <v>0</v>
      </c>
      <c r="P2622" t="n">
        <v>0</v>
      </c>
      <c r="Q2622" t="n">
        <v>0</v>
      </c>
      <c r="R2622" s="2" t="inlineStr"/>
    </row>
    <row r="2623" ht="15" customHeight="1">
      <c r="A2623" t="inlineStr">
        <is>
          <t>A 52709-2019</t>
        </is>
      </c>
      <c r="B2623" s="1" t="n">
        <v>43746</v>
      </c>
      <c r="C2623" s="1" t="n">
        <v>45363</v>
      </c>
      <c r="D2623" t="inlineStr">
        <is>
          <t>JÄMTLANDS LÄN</t>
        </is>
      </c>
      <c r="E2623" t="inlineStr">
        <is>
          <t>HÄRJEDALEN</t>
        </is>
      </c>
      <c r="G2623" t="n">
        <v>10.6</v>
      </c>
      <c r="H2623" t="n">
        <v>0</v>
      </c>
      <c r="I2623" t="n">
        <v>0</v>
      </c>
      <c r="J2623" t="n">
        <v>0</v>
      </c>
      <c r="K2623" t="n">
        <v>0</v>
      </c>
      <c r="L2623" t="n">
        <v>0</v>
      </c>
      <c r="M2623" t="n">
        <v>0</v>
      </c>
      <c r="N2623" t="n">
        <v>0</v>
      </c>
      <c r="O2623" t="n">
        <v>0</v>
      </c>
      <c r="P2623" t="n">
        <v>0</v>
      </c>
      <c r="Q2623" t="n">
        <v>0</v>
      </c>
      <c r="R2623" s="2" t="inlineStr"/>
    </row>
    <row r="2624" ht="15" customHeight="1">
      <c r="A2624" t="inlineStr">
        <is>
          <t>A 52728-2019</t>
        </is>
      </c>
      <c r="B2624" s="1" t="n">
        <v>43746</v>
      </c>
      <c r="C2624" s="1" t="n">
        <v>45363</v>
      </c>
      <c r="D2624" t="inlineStr">
        <is>
          <t>JÄMTLANDS LÄN</t>
        </is>
      </c>
      <c r="E2624" t="inlineStr">
        <is>
          <t>RAGUNDA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52882-2019</t>
        </is>
      </c>
      <c r="B2625" s="1" t="n">
        <v>43746</v>
      </c>
      <c r="C2625" s="1" t="n">
        <v>45363</v>
      </c>
      <c r="D2625" t="inlineStr">
        <is>
          <t>JÄMTLANDS LÄN</t>
        </is>
      </c>
      <c r="E2625" t="inlineStr">
        <is>
          <t>BRÄCKE</t>
        </is>
      </c>
      <c r="F2625" t="inlineStr">
        <is>
          <t>Övriga Aktiebolag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53023-2019</t>
        </is>
      </c>
      <c r="B2626" s="1" t="n">
        <v>43747</v>
      </c>
      <c r="C2626" s="1" t="n">
        <v>45363</v>
      </c>
      <c r="D2626" t="inlineStr">
        <is>
          <t>JÄMTLANDS LÄN</t>
        </is>
      </c>
      <c r="E2626" t="inlineStr">
        <is>
          <t>KROKOM</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52992-2019</t>
        </is>
      </c>
      <c r="B2627" s="1" t="n">
        <v>43747</v>
      </c>
      <c r="C2627" s="1" t="n">
        <v>45363</v>
      </c>
      <c r="D2627" t="inlineStr">
        <is>
          <t>JÄMTLANDS LÄN</t>
        </is>
      </c>
      <c r="E2627" t="inlineStr">
        <is>
          <t>HÄRJEDALEN</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52985-2019</t>
        </is>
      </c>
      <c r="B2628" s="1" t="n">
        <v>43747</v>
      </c>
      <c r="C2628" s="1" t="n">
        <v>45363</v>
      </c>
      <c r="D2628" t="inlineStr">
        <is>
          <t>JÄMTLANDS LÄN</t>
        </is>
      </c>
      <c r="E2628" t="inlineStr">
        <is>
          <t>BERG</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54494-2019</t>
        </is>
      </c>
      <c r="B2629" s="1" t="n">
        <v>43747</v>
      </c>
      <c r="C2629" s="1" t="n">
        <v>45363</v>
      </c>
      <c r="D2629" t="inlineStr">
        <is>
          <t>JÄMTLANDS LÄN</t>
        </is>
      </c>
      <c r="E2629" t="inlineStr">
        <is>
          <t>KROKOM</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52991-2019</t>
        </is>
      </c>
      <c r="B2630" s="1" t="n">
        <v>43747</v>
      </c>
      <c r="C2630" s="1" t="n">
        <v>45363</v>
      </c>
      <c r="D2630" t="inlineStr">
        <is>
          <t>JÄMTLANDS LÄN</t>
        </is>
      </c>
      <c r="E2630" t="inlineStr">
        <is>
          <t>HÄRJEDALEN</t>
        </is>
      </c>
      <c r="F2630" t="inlineStr">
        <is>
          <t>Sveaskog</t>
        </is>
      </c>
      <c r="G2630" t="n">
        <v>13.6</v>
      </c>
      <c r="H2630" t="n">
        <v>0</v>
      </c>
      <c r="I2630" t="n">
        <v>0</v>
      </c>
      <c r="J2630" t="n">
        <v>0</v>
      </c>
      <c r="K2630" t="n">
        <v>0</v>
      </c>
      <c r="L2630" t="n">
        <v>0</v>
      </c>
      <c r="M2630" t="n">
        <v>0</v>
      </c>
      <c r="N2630" t="n">
        <v>0</v>
      </c>
      <c r="O2630" t="n">
        <v>0</v>
      </c>
      <c r="P2630" t="n">
        <v>0</v>
      </c>
      <c r="Q2630" t="n">
        <v>0</v>
      </c>
      <c r="R2630" s="2" t="inlineStr"/>
    </row>
    <row r="2631" ht="15" customHeight="1">
      <c r="A2631" t="inlineStr">
        <is>
          <t>A 54498-2019</t>
        </is>
      </c>
      <c r="B2631" s="1" t="n">
        <v>43747</v>
      </c>
      <c r="C2631" s="1" t="n">
        <v>45363</v>
      </c>
      <c r="D2631" t="inlineStr">
        <is>
          <t>JÄMTLANDS LÄN</t>
        </is>
      </c>
      <c r="E2631" t="inlineStr">
        <is>
          <t>ÖSTERSUND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53297-2019</t>
        </is>
      </c>
      <c r="B2632" s="1" t="n">
        <v>43748</v>
      </c>
      <c r="C2632" s="1" t="n">
        <v>45363</v>
      </c>
      <c r="D2632" t="inlineStr">
        <is>
          <t>JÄMTLANDS LÄN</t>
        </is>
      </c>
      <c r="E2632" t="inlineStr">
        <is>
          <t>ÖSTERSUND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53485-2019</t>
        </is>
      </c>
      <c r="B2633" s="1" t="n">
        <v>43748</v>
      </c>
      <c r="C2633" s="1" t="n">
        <v>45363</v>
      </c>
      <c r="D2633" t="inlineStr">
        <is>
          <t>JÄMTLANDS LÄN</t>
        </is>
      </c>
      <c r="E2633" t="inlineStr">
        <is>
          <t>BRÄCKE</t>
        </is>
      </c>
      <c r="F2633" t="inlineStr">
        <is>
          <t>SCA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53418-2019</t>
        </is>
      </c>
      <c r="B2634" s="1" t="n">
        <v>43748</v>
      </c>
      <c r="C2634" s="1" t="n">
        <v>45363</v>
      </c>
      <c r="D2634" t="inlineStr">
        <is>
          <t>JÄMTLANDS LÄN</t>
        </is>
      </c>
      <c r="E2634" t="inlineStr">
        <is>
          <t>HÄRJEDALEN</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53483-2019</t>
        </is>
      </c>
      <c r="B2635" s="1" t="n">
        <v>43748</v>
      </c>
      <c r="C2635" s="1" t="n">
        <v>45363</v>
      </c>
      <c r="D2635" t="inlineStr">
        <is>
          <t>JÄMTLANDS LÄN</t>
        </is>
      </c>
      <c r="E2635" t="inlineStr">
        <is>
          <t>STRÖMSUND</t>
        </is>
      </c>
      <c r="F2635" t="inlineStr">
        <is>
          <t>SCA</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54235-2019</t>
        </is>
      </c>
      <c r="B2636" s="1" t="n">
        <v>43748</v>
      </c>
      <c r="C2636" s="1" t="n">
        <v>45363</v>
      </c>
      <c r="D2636" t="inlineStr">
        <is>
          <t>JÄMTLANDS LÄN</t>
        </is>
      </c>
      <c r="E2636" t="inlineStr">
        <is>
          <t>STRÖMSUND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57227-2019</t>
        </is>
      </c>
      <c r="B2637" s="1" t="n">
        <v>43748</v>
      </c>
      <c r="C2637" s="1" t="n">
        <v>45363</v>
      </c>
      <c r="D2637" t="inlineStr">
        <is>
          <t>JÄMTLANDS LÄN</t>
        </is>
      </c>
      <c r="E2637" t="inlineStr">
        <is>
          <t>STRÖMSUND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53898-2019</t>
        </is>
      </c>
      <c r="B2638" s="1" t="n">
        <v>43748</v>
      </c>
      <c r="C2638" s="1" t="n">
        <v>45363</v>
      </c>
      <c r="D2638" t="inlineStr">
        <is>
          <t>JÄMTLANDS LÄN</t>
        </is>
      </c>
      <c r="E2638" t="inlineStr">
        <is>
          <t>STRÖMSUND</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53482-2019</t>
        </is>
      </c>
      <c r="B2639" s="1" t="n">
        <v>43748</v>
      </c>
      <c r="C2639" s="1" t="n">
        <v>45363</v>
      </c>
      <c r="D2639" t="inlineStr">
        <is>
          <t>JÄMTLANDS LÄN</t>
        </is>
      </c>
      <c r="E2639" t="inlineStr">
        <is>
          <t>STRÖMSUND</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53895-2019</t>
        </is>
      </c>
      <c r="B2640" s="1" t="n">
        <v>43748</v>
      </c>
      <c r="C2640" s="1" t="n">
        <v>45363</v>
      </c>
      <c r="D2640" t="inlineStr">
        <is>
          <t>JÄMTLANDS LÄN</t>
        </is>
      </c>
      <c r="E2640" t="inlineStr">
        <is>
          <t>STRÖMSUND</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53533-2019</t>
        </is>
      </c>
      <c r="B2641" s="1" t="n">
        <v>43749</v>
      </c>
      <c r="C2641" s="1" t="n">
        <v>45363</v>
      </c>
      <c r="D2641" t="inlineStr">
        <is>
          <t>JÄMTLANDS LÄN</t>
        </is>
      </c>
      <c r="E2641" t="inlineStr">
        <is>
          <t>ÖSTERSUND</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53952-2019</t>
        </is>
      </c>
      <c r="B2642" s="1" t="n">
        <v>43752</v>
      </c>
      <c r="C2642" s="1" t="n">
        <v>45363</v>
      </c>
      <c r="D2642" t="inlineStr">
        <is>
          <t>JÄMTLANDS LÄN</t>
        </is>
      </c>
      <c r="E2642" t="inlineStr">
        <is>
          <t>HÄRJEDALEN</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53962-2019</t>
        </is>
      </c>
      <c r="B2643" s="1" t="n">
        <v>43752</v>
      </c>
      <c r="C2643" s="1" t="n">
        <v>45363</v>
      </c>
      <c r="D2643" t="inlineStr">
        <is>
          <t>JÄMTLANDS LÄN</t>
        </is>
      </c>
      <c r="E2643" t="inlineStr">
        <is>
          <t>HÄRJEDALEN</t>
        </is>
      </c>
      <c r="G2643" t="n">
        <v>19.4</v>
      </c>
      <c r="H2643" t="n">
        <v>0</v>
      </c>
      <c r="I2643" t="n">
        <v>0</v>
      </c>
      <c r="J2643" t="n">
        <v>0</v>
      </c>
      <c r="K2643" t="n">
        <v>0</v>
      </c>
      <c r="L2643" t="n">
        <v>0</v>
      </c>
      <c r="M2643" t="n">
        <v>0</v>
      </c>
      <c r="N2643" t="n">
        <v>0</v>
      </c>
      <c r="O2643" t="n">
        <v>0</v>
      </c>
      <c r="P2643" t="n">
        <v>0</v>
      </c>
      <c r="Q2643" t="n">
        <v>0</v>
      </c>
      <c r="R2643" s="2" t="inlineStr"/>
    </row>
    <row r="2644" ht="15" customHeight="1">
      <c r="A2644" t="inlineStr">
        <is>
          <t>A 53859-2019</t>
        </is>
      </c>
      <c r="B2644" s="1" t="n">
        <v>43752</v>
      </c>
      <c r="C2644" s="1" t="n">
        <v>45363</v>
      </c>
      <c r="D2644" t="inlineStr">
        <is>
          <t>JÄMTLANDS LÄN</t>
        </is>
      </c>
      <c r="E2644" t="inlineStr">
        <is>
          <t>ÖSTERSUND</t>
        </is>
      </c>
      <c r="F2644" t="inlineStr">
        <is>
          <t>Övriga Aktiebolag</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53941-2019</t>
        </is>
      </c>
      <c r="B2645" s="1" t="n">
        <v>43752</v>
      </c>
      <c r="C2645" s="1" t="n">
        <v>45363</v>
      </c>
      <c r="D2645" t="inlineStr">
        <is>
          <t>JÄMTLANDS LÄN</t>
        </is>
      </c>
      <c r="E2645" t="inlineStr">
        <is>
          <t>KROKOM</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54013-2019</t>
        </is>
      </c>
      <c r="B2646" s="1" t="n">
        <v>43752</v>
      </c>
      <c r="C2646" s="1" t="n">
        <v>45363</v>
      </c>
      <c r="D2646" t="inlineStr">
        <is>
          <t>JÄMTLANDS LÄN</t>
        </is>
      </c>
      <c r="E2646" t="inlineStr">
        <is>
          <t>KROKOM</t>
        </is>
      </c>
      <c r="F2646" t="inlineStr">
        <is>
          <t>Övriga Aktiebolag</t>
        </is>
      </c>
      <c r="G2646" t="n">
        <v>32.6</v>
      </c>
      <c r="H2646" t="n">
        <v>0</v>
      </c>
      <c r="I2646" t="n">
        <v>0</v>
      </c>
      <c r="J2646" t="n">
        <v>0</v>
      </c>
      <c r="K2646" t="n">
        <v>0</v>
      </c>
      <c r="L2646" t="n">
        <v>0</v>
      </c>
      <c r="M2646" t="n">
        <v>0</v>
      </c>
      <c r="N2646" t="n">
        <v>0</v>
      </c>
      <c r="O2646" t="n">
        <v>0</v>
      </c>
      <c r="P2646" t="n">
        <v>0</v>
      </c>
      <c r="Q2646" t="n">
        <v>0</v>
      </c>
      <c r="R2646" s="2" t="inlineStr"/>
    </row>
    <row r="2647" ht="15" customHeight="1">
      <c r="A2647" t="inlineStr">
        <is>
          <t>A 54045-2019</t>
        </is>
      </c>
      <c r="B2647" s="1" t="n">
        <v>43752</v>
      </c>
      <c r="C2647" s="1" t="n">
        <v>45363</v>
      </c>
      <c r="D2647" t="inlineStr">
        <is>
          <t>JÄMTLANDS LÄN</t>
        </is>
      </c>
      <c r="E2647" t="inlineStr">
        <is>
          <t>KROKOM</t>
        </is>
      </c>
      <c r="F2647" t="inlineStr">
        <is>
          <t>Övriga Aktiebolag</t>
        </is>
      </c>
      <c r="G2647" t="n">
        <v>15.2</v>
      </c>
      <c r="H2647" t="n">
        <v>0</v>
      </c>
      <c r="I2647" t="n">
        <v>0</v>
      </c>
      <c r="J2647" t="n">
        <v>0</v>
      </c>
      <c r="K2647" t="n">
        <v>0</v>
      </c>
      <c r="L2647" t="n">
        <v>0</v>
      </c>
      <c r="M2647" t="n">
        <v>0</v>
      </c>
      <c r="N2647" t="n">
        <v>0</v>
      </c>
      <c r="O2647" t="n">
        <v>0</v>
      </c>
      <c r="P2647" t="n">
        <v>0</v>
      </c>
      <c r="Q2647" t="n">
        <v>0</v>
      </c>
      <c r="R2647" s="2" t="inlineStr"/>
    </row>
    <row r="2648" ht="15" customHeight="1">
      <c r="A2648" t="inlineStr">
        <is>
          <t>A 54594-2019</t>
        </is>
      </c>
      <c r="B2648" s="1" t="n">
        <v>43754</v>
      </c>
      <c r="C2648" s="1" t="n">
        <v>45363</v>
      </c>
      <c r="D2648" t="inlineStr">
        <is>
          <t>JÄMTLANDS LÄN</t>
        </is>
      </c>
      <c r="E2648" t="inlineStr">
        <is>
          <t>BERG</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54672-2019</t>
        </is>
      </c>
      <c r="B2649" s="1" t="n">
        <v>43754</v>
      </c>
      <c r="C2649" s="1" t="n">
        <v>45363</v>
      </c>
      <c r="D2649" t="inlineStr">
        <is>
          <t>JÄMTLANDS LÄN</t>
        </is>
      </c>
      <c r="E2649" t="inlineStr">
        <is>
          <t>STRÖMSUND</t>
        </is>
      </c>
      <c r="F2649" t="inlineStr">
        <is>
          <t>SCA</t>
        </is>
      </c>
      <c r="G2649" t="n">
        <v>15.7</v>
      </c>
      <c r="H2649" t="n">
        <v>0</v>
      </c>
      <c r="I2649" t="n">
        <v>0</v>
      </c>
      <c r="J2649" t="n">
        <v>0</v>
      </c>
      <c r="K2649" t="n">
        <v>0</v>
      </c>
      <c r="L2649" t="n">
        <v>0</v>
      </c>
      <c r="M2649" t="n">
        <v>0</v>
      </c>
      <c r="N2649" t="n">
        <v>0</v>
      </c>
      <c r="O2649" t="n">
        <v>0</v>
      </c>
      <c r="P2649" t="n">
        <v>0</v>
      </c>
      <c r="Q2649" t="n">
        <v>0</v>
      </c>
      <c r="R2649" s="2" t="inlineStr"/>
    </row>
    <row r="2650" ht="15" customHeight="1">
      <c r="A2650" t="inlineStr">
        <is>
          <t>A 54820-2019</t>
        </is>
      </c>
      <c r="B2650" s="1" t="n">
        <v>43755</v>
      </c>
      <c r="C2650" s="1" t="n">
        <v>45363</v>
      </c>
      <c r="D2650" t="inlineStr">
        <is>
          <t>JÄMTLANDS LÄN</t>
        </is>
      </c>
      <c r="E2650" t="inlineStr">
        <is>
          <t>KROKOM</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54905-2019</t>
        </is>
      </c>
      <c r="B2651" s="1" t="n">
        <v>43755</v>
      </c>
      <c r="C2651" s="1" t="n">
        <v>45363</v>
      </c>
      <c r="D2651" t="inlineStr">
        <is>
          <t>JÄMTLANDS LÄN</t>
        </is>
      </c>
      <c r="E2651" t="inlineStr">
        <is>
          <t>HÄRJEDALEN</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55013-2019</t>
        </is>
      </c>
      <c r="B2652" s="1" t="n">
        <v>43755</v>
      </c>
      <c r="C2652" s="1" t="n">
        <v>45363</v>
      </c>
      <c r="D2652" t="inlineStr">
        <is>
          <t>JÄMTLANDS LÄN</t>
        </is>
      </c>
      <c r="E2652" t="inlineStr">
        <is>
          <t>KROKOM</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55028-2019</t>
        </is>
      </c>
      <c r="B2653" s="1" t="n">
        <v>43755</v>
      </c>
      <c r="C2653" s="1" t="n">
        <v>45363</v>
      </c>
      <c r="D2653" t="inlineStr">
        <is>
          <t>JÄMTLANDS LÄN</t>
        </is>
      </c>
      <c r="E2653" t="inlineStr">
        <is>
          <t>STRÖMSUND</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55197-2019</t>
        </is>
      </c>
      <c r="B2654" s="1" t="n">
        <v>43756</v>
      </c>
      <c r="C2654" s="1" t="n">
        <v>45363</v>
      </c>
      <c r="D2654" t="inlineStr">
        <is>
          <t>JÄMTLANDS LÄN</t>
        </is>
      </c>
      <c r="E2654" t="inlineStr">
        <is>
          <t>HÄRJEDALEN</t>
        </is>
      </c>
      <c r="F2654" t="inlineStr">
        <is>
          <t>Sveaskog</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55241-2019</t>
        </is>
      </c>
      <c r="B2655" s="1" t="n">
        <v>43756</v>
      </c>
      <c r="C2655" s="1" t="n">
        <v>45363</v>
      </c>
      <c r="D2655" t="inlineStr">
        <is>
          <t>JÄMTLANDS LÄN</t>
        </is>
      </c>
      <c r="E2655" t="inlineStr">
        <is>
          <t>HÄRJEDALEN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55193-2019</t>
        </is>
      </c>
      <c r="B2656" s="1" t="n">
        <v>43756</v>
      </c>
      <c r="C2656" s="1" t="n">
        <v>45363</v>
      </c>
      <c r="D2656" t="inlineStr">
        <is>
          <t>JÄMTLANDS LÄN</t>
        </is>
      </c>
      <c r="E2656" t="inlineStr">
        <is>
          <t>HÄRJEDALEN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55238-2019</t>
        </is>
      </c>
      <c r="B2657" s="1" t="n">
        <v>43756</v>
      </c>
      <c r="C2657" s="1" t="n">
        <v>45363</v>
      </c>
      <c r="D2657" t="inlineStr">
        <is>
          <t>JÄMTLANDS LÄN</t>
        </is>
      </c>
      <c r="E2657" t="inlineStr">
        <is>
          <t>HÄRJEDALEN</t>
        </is>
      </c>
      <c r="F2657" t="inlineStr">
        <is>
          <t>Sveaskog</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55358-2019</t>
        </is>
      </c>
      <c r="B2658" s="1" t="n">
        <v>43756</v>
      </c>
      <c r="C2658" s="1" t="n">
        <v>45363</v>
      </c>
      <c r="D2658" t="inlineStr">
        <is>
          <t>JÄMTLANDS LÄN</t>
        </is>
      </c>
      <c r="E2658" t="inlineStr">
        <is>
          <t>ÅRE</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55353-2019</t>
        </is>
      </c>
      <c r="B2659" s="1" t="n">
        <v>43756</v>
      </c>
      <c r="C2659" s="1" t="n">
        <v>45363</v>
      </c>
      <c r="D2659" t="inlineStr">
        <is>
          <t>JÄMTLANDS LÄN</t>
        </is>
      </c>
      <c r="E2659" t="inlineStr">
        <is>
          <t>RAGUNDA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56155-2019</t>
        </is>
      </c>
      <c r="B2660" s="1" t="n">
        <v>43756</v>
      </c>
      <c r="C2660" s="1" t="n">
        <v>45363</v>
      </c>
      <c r="D2660" t="inlineStr">
        <is>
          <t>JÄMTLANDS LÄN</t>
        </is>
      </c>
      <c r="E2660" t="inlineStr">
        <is>
          <t>STRÖMSUND</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23225-2020</t>
        </is>
      </c>
      <c r="B2661" s="1" t="n">
        <v>43756</v>
      </c>
      <c r="C2661" s="1" t="n">
        <v>45363</v>
      </c>
      <c r="D2661" t="inlineStr">
        <is>
          <t>JÄMTLANDS LÄN</t>
        </is>
      </c>
      <c r="E2661" t="inlineStr">
        <is>
          <t>STRÖMSUND</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55801-2019</t>
        </is>
      </c>
      <c r="B2662" s="1" t="n">
        <v>43759</v>
      </c>
      <c r="C2662" s="1" t="n">
        <v>45363</v>
      </c>
      <c r="D2662" t="inlineStr">
        <is>
          <t>JÄMTLANDS LÄN</t>
        </is>
      </c>
      <c r="E2662" t="inlineStr">
        <is>
          <t>HÄRJEDALEN</t>
        </is>
      </c>
      <c r="F2662" t="inlineStr">
        <is>
          <t>Bergvik skog väst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55554-2019</t>
        </is>
      </c>
      <c r="B2663" s="1" t="n">
        <v>43759</v>
      </c>
      <c r="C2663" s="1" t="n">
        <v>45363</v>
      </c>
      <c r="D2663" t="inlineStr">
        <is>
          <t>JÄMTLANDS LÄN</t>
        </is>
      </c>
      <c r="E2663" t="inlineStr">
        <is>
          <t>HÄRJEDALEN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55804-2019</t>
        </is>
      </c>
      <c r="B2664" s="1" t="n">
        <v>43759</v>
      </c>
      <c r="C2664" s="1" t="n">
        <v>45363</v>
      </c>
      <c r="D2664" t="inlineStr">
        <is>
          <t>JÄMTLANDS LÄN</t>
        </is>
      </c>
      <c r="E2664" t="inlineStr">
        <is>
          <t>KROKOM</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55875-2019</t>
        </is>
      </c>
      <c r="B2665" s="1" t="n">
        <v>43759</v>
      </c>
      <c r="C2665" s="1" t="n">
        <v>45363</v>
      </c>
      <c r="D2665" t="inlineStr">
        <is>
          <t>JÄMTLANDS LÄN</t>
        </is>
      </c>
      <c r="E2665" t="inlineStr">
        <is>
          <t>RAGUNDA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56063-2019</t>
        </is>
      </c>
      <c r="B2666" s="1" t="n">
        <v>43759</v>
      </c>
      <c r="C2666" s="1" t="n">
        <v>45363</v>
      </c>
      <c r="D2666" t="inlineStr">
        <is>
          <t>JÄMTLANDS LÄN</t>
        </is>
      </c>
      <c r="E2666" t="inlineStr">
        <is>
          <t>BRÄCKE</t>
        </is>
      </c>
      <c r="F2666" t="inlineStr">
        <is>
          <t>SCA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56672-2019</t>
        </is>
      </c>
      <c r="B2667" s="1" t="n">
        <v>43759</v>
      </c>
      <c r="C2667" s="1" t="n">
        <v>45363</v>
      </c>
      <c r="D2667" t="inlineStr">
        <is>
          <t>JÄMTLANDS LÄN</t>
        </is>
      </c>
      <c r="E2667" t="inlineStr">
        <is>
          <t>KROKOM</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57281-2019</t>
        </is>
      </c>
      <c r="B2668" s="1" t="n">
        <v>43759</v>
      </c>
      <c r="C2668" s="1" t="n">
        <v>45363</v>
      </c>
      <c r="D2668" t="inlineStr">
        <is>
          <t>JÄMTLANDS LÄN</t>
        </is>
      </c>
      <c r="E2668" t="inlineStr">
        <is>
          <t>HÄRJEDALEN</t>
        </is>
      </c>
      <c r="F2668" t="inlineStr">
        <is>
          <t>Bergvik skog väst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55578-2019</t>
        </is>
      </c>
      <c r="B2669" s="1" t="n">
        <v>43760</v>
      </c>
      <c r="C2669" s="1" t="n">
        <v>45363</v>
      </c>
      <c r="D2669" t="inlineStr">
        <is>
          <t>JÄMTLANDS LÄN</t>
        </is>
      </c>
      <c r="E2669" t="inlineStr">
        <is>
          <t>HÄRJEDALEN</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55611-2019</t>
        </is>
      </c>
      <c r="B2670" s="1" t="n">
        <v>43760</v>
      </c>
      <c r="C2670" s="1" t="n">
        <v>45363</v>
      </c>
      <c r="D2670" t="inlineStr">
        <is>
          <t>JÄMTLANDS LÄN</t>
        </is>
      </c>
      <c r="E2670" t="inlineStr">
        <is>
          <t>BERG</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55653-2019</t>
        </is>
      </c>
      <c r="B2671" s="1" t="n">
        <v>43760</v>
      </c>
      <c r="C2671" s="1" t="n">
        <v>45363</v>
      </c>
      <c r="D2671" t="inlineStr">
        <is>
          <t>JÄMTLANDS LÄN</t>
        </is>
      </c>
      <c r="E2671" t="inlineStr">
        <is>
          <t>RAGUNDA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55663-2019</t>
        </is>
      </c>
      <c r="B2672" s="1" t="n">
        <v>43760</v>
      </c>
      <c r="C2672" s="1" t="n">
        <v>45363</v>
      </c>
      <c r="D2672" t="inlineStr">
        <is>
          <t>JÄMTLANDS LÄN</t>
        </is>
      </c>
      <c r="E2672" t="inlineStr">
        <is>
          <t>STRÖMSUND</t>
        </is>
      </c>
      <c r="F2672" t="inlineStr">
        <is>
          <t>Holmen skog AB</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55675-2019</t>
        </is>
      </c>
      <c r="B2673" s="1" t="n">
        <v>43760</v>
      </c>
      <c r="C2673" s="1" t="n">
        <v>45363</v>
      </c>
      <c r="D2673" t="inlineStr">
        <is>
          <t>JÄMTLANDS LÄN</t>
        </is>
      </c>
      <c r="E2673" t="inlineStr">
        <is>
          <t>STRÖMSUND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55728-2019</t>
        </is>
      </c>
      <c r="B2674" s="1" t="n">
        <v>43760</v>
      </c>
      <c r="C2674" s="1" t="n">
        <v>45363</v>
      </c>
      <c r="D2674" t="inlineStr">
        <is>
          <t>JÄMTLANDS LÄN</t>
        </is>
      </c>
      <c r="E2674" t="inlineStr">
        <is>
          <t>STRÖMSUND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55678-2019</t>
        </is>
      </c>
      <c r="B2675" s="1" t="n">
        <v>43760</v>
      </c>
      <c r="C2675" s="1" t="n">
        <v>45363</v>
      </c>
      <c r="D2675" t="inlineStr">
        <is>
          <t>JÄMTLANDS LÄN</t>
        </is>
      </c>
      <c r="E2675" t="inlineStr">
        <is>
          <t>BERG</t>
        </is>
      </c>
      <c r="F2675" t="inlineStr">
        <is>
          <t>SCA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55725-2019</t>
        </is>
      </c>
      <c r="B2676" s="1" t="n">
        <v>43760</v>
      </c>
      <c r="C2676" s="1" t="n">
        <v>45363</v>
      </c>
      <c r="D2676" t="inlineStr">
        <is>
          <t>JÄMTLANDS LÄN</t>
        </is>
      </c>
      <c r="E2676" t="inlineStr">
        <is>
          <t>STRÖMSUND</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55607-2019</t>
        </is>
      </c>
      <c r="B2677" s="1" t="n">
        <v>43760</v>
      </c>
      <c r="C2677" s="1" t="n">
        <v>45363</v>
      </c>
      <c r="D2677" t="inlineStr">
        <is>
          <t>JÄMTLANDS LÄN</t>
        </is>
      </c>
      <c r="E2677" t="inlineStr">
        <is>
          <t>HÄRJEDALEN</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57466-2019</t>
        </is>
      </c>
      <c r="B2678" s="1" t="n">
        <v>43761</v>
      </c>
      <c r="C2678" s="1" t="n">
        <v>45363</v>
      </c>
      <c r="D2678" t="inlineStr">
        <is>
          <t>JÄMTLANDS LÄN</t>
        </is>
      </c>
      <c r="E2678" t="inlineStr">
        <is>
          <t>ÖSTERSUND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56187-2019</t>
        </is>
      </c>
      <c r="B2679" s="1" t="n">
        <v>43761</v>
      </c>
      <c r="C2679" s="1" t="n">
        <v>45363</v>
      </c>
      <c r="D2679" t="inlineStr">
        <is>
          <t>JÄMTLANDS LÄN</t>
        </is>
      </c>
      <c r="E2679" t="inlineStr">
        <is>
          <t>STRÖMSUND</t>
        </is>
      </c>
      <c r="F2679" t="inlineStr">
        <is>
          <t>SCA</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56321-2019</t>
        </is>
      </c>
      <c r="B2680" s="1" t="n">
        <v>43762</v>
      </c>
      <c r="C2680" s="1" t="n">
        <v>45363</v>
      </c>
      <c r="D2680" t="inlineStr">
        <is>
          <t>JÄMTLANDS LÄN</t>
        </is>
      </c>
      <c r="E2680" t="inlineStr">
        <is>
          <t>KROKOM</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56397-2019</t>
        </is>
      </c>
      <c r="B2681" s="1" t="n">
        <v>43762</v>
      </c>
      <c r="C2681" s="1" t="n">
        <v>45363</v>
      </c>
      <c r="D2681" t="inlineStr">
        <is>
          <t>JÄMTLANDS LÄN</t>
        </is>
      </c>
      <c r="E2681" t="inlineStr">
        <is>
          <t>KROKOM</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56389-2019</t>
        </is>
      </c>
      <c r="B2682" s="1" t="n">
        <v>43762</v>
      </c>
      <c r="C2682" s="1" t="n">
        <v>45363</v>
      </c>
      <c r="D2682" t="inlineStr">
        <is>
          <t>JÄMTLANDS LÄN</t>
        </is>
      </c>
      <c r="E2682" t="inlineStr">
        <is>
          <t>KROKOM</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56320-2019</t>
        </is>
      </c>
      <c r="B2683" s="1" t="n">
        <v>43762</v>
      </c>
      <c r="C2683" s="1" t="n">
        <v>45363</v>
      </c>
      <c r="D2683" t="inlineStr">
        <is>
          <t>JÄMTLANDS LÄN</t>
        </is>
      </c>
      <c r="E2683" t="inlineStr">
        <is>
          <t>KROKOM</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56403-2019</t>
        </is>
      </c>
      <c r="B2684" s="1" t="n">
        <v>43762</v>
      </c>
      <c r="C2684" s="1" t="n">
        <v>45363</v>
      </c>
      <c r="D2684" t="inlineStr">
        <is>
          <t>JÄMTLANDS LÄN</t>
        </is>
      </c>
      <c r="E2684" t="inlineStr">
        <is>
          <t>KROKOM</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56510-2019</t>
        </is>
      </c>
      <c r="B2685" s="1" t="n">
        <v>43762</v>
      </c>
      <c r="C2685" s="1" t="n">
        <v>45363</v>
      </c>
      <c r="D2685" t="inlineStr">
        <is>
          <t>JÄMTLANDS LÄN</t>
        </is>
      </c>
      <c r="E2685" t="inlineStr">
        <is>
          <t>KROKOM</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56512-2019</t>
        </is>
      </c>
      <c r="B2686" s="1" t="n">
        <v>43762</v>
      </c>
      <c r="C2686" s="1" t="n">
        <v>45363</v>
      </c>
      <c r="D2686" t="inlineStr">
        <is>
          <t>JÄMTLANDS LÄN</t>
        </is>
      </c>
      <c r="E2686" t="inlineStr">
        <is>
          <t>ÖSTERSUND</t>
        </is>
      </c>
      <c r="F2686" t="inlineStr">
        <is>
          <t>SCA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56332-2019</t>
        </is>
      </c>
      <c r="B2687" s="1" t="n">
        <v>43762</v>
      </c>
      <c r="C2687" s="1" t="n">
        <v>45363</v>
      </c>
      <c r="D2687" t="inlineStr">
        <is>
          <t>JÄMTLANDS LÄN</t>
        </is>
      </c>
      <c r="E2687" t="inlineStr">
        <is>
          <t>KROKOM</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56511-2019</t>
        </is>
      </c>
      <c r="B2688" s="1" t="n">
        <v>43762</v>
      </c>
      <c r="C2688" s="1" t="n">
        <v>45363</v>
      </c>
      <c r="D2688" t="inlineStr">
        <is>
          <t>JÄMTLANDS LÄN</t>
        </is>
      </c>
      <c r="E2688" t="inlineStr">
        <is>
          <t>BRÄCKE</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57796-2019</t>
        </is>
      </c>
      <c r="B2689" s="1" t="n">
        <v>43762</v>
      </c>
      <c r="C2689" s="1" t="n">
        <v>45363</v>
      </c>
      <c r="D2689" t="inlineStr">
        <is>
          <t>JÄMTLANDS LÄN</t>
        </is>
      </c>
      <c r="E2689" t="inlineStr">
        <is>
          <t>KROKOM</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56217-2019</t>
        </is>
      </c>
      <c r="B2690" s="1" t="n">
        <v>43762</v>
      </c>
      <c r="C2690" s="1" t="n">
        <v>45363</v>
      </c>
      <c r="D2690" t="inlineStr">
        <is>
          <t>JÄMTLANDS LÄN</t>
        </is>
      </c>
      <c r="E2690" t="inlineStr">
        <is>
          <t>HÄRJEDALEN</t>
        </is>
      </c>
      <c r="G2690" t="n">
        <v>43.2</v>
      </c>
      <c r="H2690" t="n">
        <v>0</v>
      </c>
      <c r="I2690" t="n">
        <v>0</v>
      </c>
      <c r="J2690" t="n">
        <v>0</v>
      </c>
      <c r="K2690" t="n">
        <v>0</v>
      </c>
      <c r="L2690" t="n">
        <v>0</v>
      </c>
      <c r="M2690" t="n">
        <v>0</v>
      </c>
      <c r="N2690" t="n">
        <v>0</v>
      </c>
      <c r="O2690" t="n">
        <v>0</v>
      </c>
      <c r="P2690" t="n">
        <v>0</v>
      </c>
      <c r="Q2690" t="n">
        <v>0</v>
      </c>
      <c r="R2690" s="2" t="inlineStr"/>
    </row>
    <row r="2691" ht="15" customHeight="1">
      <c r="A2691" t="inlineStr">
        <is>
          <t>A 56798-2019</t>
        </is>
      </c>
      <c r="B2691" s="1" t="n">
        <v>43763</v>
      </c>
      <c r="C2691" s="1" t="n">
        <v>45363</v>
      </c>
      <c r="D2691" t="inlineStr">
        <is>
          <t>JÄMTLANDS LÄN</t>
        </is>
      </c>
      <c r="E2691" t="inlineStr">
        <is>
          <t>STRÖMSUND</t>
        </is>
      </c>
      <c r="F2691" t="inlineStr">
        <is>
          <t>SCA</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56797-2019</t>
        </is>
      </c>
      <c r="B2692" s="1" t="n">
        <v>43763</v>
      </c>
      <c r="C2692" s="1" t="n">
        <v>45363</v>
      </c>
      <c r="D2692" t="inlineStr">
        <is>
          <t>JÄMTLANDS LÄN</t>
        </is>
      </c>
      <c r="E2692" t="inlineStr">
        <is>
          <t>STRÖMSUND</t>
        </is>
      </c>
      <c r="F2692" t="inlineStr">
        <is>
          <t>SCA</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56801-2019</t>
        </is>
      </c>
      <c r="B2693" s="1" t="n">
        <v>43763</v>
      </c>
      <c r="C2693" s="1" t="n">
        <v>45363</v>
      </c>
      <c r="D2693" t="inlineStr">
        <is>
          <t>JÄMTLANDS LÄN</t>
        </is>
      </c>
      <c r="E2693" t="inlineStr">
        <is>
          <t>STRÖMSUND</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56800-2019</t>
        </is>
      </c>
      <c r="B2694" s="1" t="n">
        <v>43763</v>
      </c>
      <c r="C2694" s="1" t="n">
        <v>45363</v>
      </c>
      <c r="D2694" t="inlineStr">
        <is>
          <t>JÄMTLANDS LÄN</t>
        </is>
      </c>
      <c r="E2694" t="inlineStr">
        <is>
          <t>STRÖMSUND</t>
        </is>
      </c>
      <c r="F2694" t="inlineStr">
        <is>
          <t>SCA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56763-2019</t>
        </is>
      </c>
      <c r="B2695" s="1" t="n">
        <v>43763</v>
      </c>
      <c r="C2695" s="1" t="n">
        <v>45363</v>
      </c>
      <c r="D2695" t="inlineStr">
        <is>
          <t>JÄMTLANDS LÄN</t>
        </is>
      </c>
      <c r="E2695" t="inlineStr">
        <is>
          <t>KROKOM</t>
        </is>
      </c>
      <c r="F2695" t="inlineStr">
        <is>
          <t>Övriga Aktiebolag</t>
        </is>
      </c>
      <c r="G2695" t="n">
        <v>29.4</v>
      </c>
      <c r="H2695" t="n">
        <v>0</v>
      </c>
      <c r="I2695" t="n">
        <v>0</v>
      </c>
      <c r="J2695" t="n">
        <v>0</v>
      </c>
      <c r="K2695" t="n">
        <v>0</v>
      </c>
      <c r="L2695" t="n">
        <v>0</v>
      </c>
      <c r="M2695" t="n">
        <v>0</v>
      </c>
      <c r="N2695" t="n">
        <v>0</v>
      </c>
      <c r="O2695" t="n">
        <v>0</v>
      </c>
      <c r="P2695" t="n">
        <v>0</v>
      </c>
      <c r="Q2695" t="n">
        <v>0</v>
      </c>
      <c r="R2695" s="2" t="inlineStr"/>
    </row>
    <row r="2696" ht="15" customHeight="1">
      <c r="A2696" t="inlineStr">
        <is>
          <t>A 56799-2019</t>
        </is>
      </c>
      <c r="B2696" s="1" t="n">
        <v>43763</v>
      </c>
      <c r="C2696" s="1" t="n">
        <v>45363</v>
      </c>
      <c r="D2696" t="inlineStr">
        <is>
          <t>JÄMTLANDS LÄN</t>
        </is>
      </c>
      <c r="E2696" t="inlineStr">
        <is>
          <t>STRÖMSUND</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56692-2019</t>
        </is>
      </c>
      <c r="B2697" s="1" t="n">
        <v>43763</v>
      </c>
      <c r="C2697" s="1" t="n">
        <v>45363</v>
      </c>
      <c r="D2697" t="inlineStr">
        <is>
          <t>JÄMTLANDS LÄN</t>
        </is>
      </c>
      <c r="E2697" t="inlineStr">
        <is>
          <t>STRÖMSUND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56808-2019</t>
        </is>
      </c>
      <c r="B2698" s="1" t="n">
        <v>43763</v>
      </c>
      <c r="C2698" s="1" t="n">
        <v>45363</v>
      </c>
      <c r="D2698" t="inlineStr">
        <is>
          <t>JÄMTLANDS LÄN</t>
        </is>
      </c>
      <c r="E2698" t="inlineStr">
        <is>
          <t>STRÖMSUND</t>
        </is>
      </c>
      <c r="F2698" t="inlineStr">
        <is>
          <t>SCA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56809-2019</t>
        </is>
      </c>
      <c r="B2699" s="1" t="n">
        <v>43763</v>
      </c>
      <c r="C2699" s="1" t="n">
        <v>45363</v>
      </c>
      <c r="D2699" t="inlineStr">
        <is>
          <t>JÄMTLANDS LÄN</t>
        </is>
      </c>
      <c r="E2699" t="inlineStr">
        <is>
          <t>STRÖMSUND</t>
        </is>
      </c>
      <c r="F2699" t="inlineStr">
        <is>
          <t>SCA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57395-2019</t>
        </is>
      </c>
      <c r="B2700" s="1" t="n">
        <v>43767</v>
      </c>
      <c r="C2700" s="1" t="n">
        <v>45363</v>
      </c>
      <c r="D2700" t="inlineStr">
        <is>
          <t>JÄMTLANDS LÄN</t>
        </is>
      </c>
      <c r="E2700" t="inlineStr">
        <is>
          <t>BRÄCKE</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57546-2019</t>
        </is>
      </c>
      <c r="B2701" s="1" t="n">
        <v>43767</v>
      </c>
      <c r="C2701" s="1" t="n">
        <v>45363</v>
      </c>
      <c r="D2701" t="inlineStr">
        <is>
          <t>JÄMTLANDS LÄN</t>
        </is>
      </c>
      <c r="E2701" t="inlineStr">
        <is>
          <t>STRÖMSUND</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58662-2019</t>
        </is>
      </c>
      <c r="B2702" s="1" t="n">
        <v>43767</v>
      </c>
      <c r="C2702" s="1" t="n">
        <v>45363</v>
      </c>
      <c r="D2702" t="inlineStr">
        <is>
          <t>JÄMTLANDS LÄN</t>
        </is>
      </c>
      <c r="E2702" t="inlineStr">
        <is>
          <t>STRÖMSUND</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57547-2019</t>
        </is>
      </c>
      <c r="B2703" s="1" t="n">
        <v>43767</v>
      </c>
      <c r="C2703" s="1" t="n">
        <v>45363</v>
      </c>
      <c r="D2703" t="inlineStr">
        <is>
          <t>JÄMTLANDS LÄN</t>
        </is>
      </c>
      <c r="E2703" t="inlineStr">
        <is>
          <t>STRÖMSUND</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57552-2019</t>
        </is>
      </c>
      <c r="B2704" s="1" t="n">
        <v>43767</v>
      </c>
      <c r="C2704" s="1" t="n">
        <v>45363</v>
      </c>
      <c r="D2704" t="inlineStr">
        <is>
          <t>JÄMTLANDS LÄN</t>
        </is>
      </c>
      <c r="E2704" t="inlineStr">
        <is>
          <t>STRÖMSUND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57825-2019</t>
        </is>
      </c>
      <c r="B2705" s="1" t="n">
        <v>43768</v>
      </c>
      <c r="C2705" s="1" t="n">
        <v>45363</v>
      </c>
      <c r="D2705" t="inlineStr">
        <is>
          <t>JÄMTLANDS LÄN</t>
        </is>
      </c>
      <c r="E2705" t="inlineStr">
        <is>
          <t>ÅRE</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57873-2019</t>
        </is>
      </c>
      <c r="B2706" s="1" t="n">
        <v>43768</v>
      </c>
      <c r="C2706" s="1" t="n">
        <v>45363</v>
      </c>
      <c r="D2706" t="inlineStr">
        <is>
          <t>JÄMTLANDS LÄN</t>
        </is>
      </c>
      <c r="E2706" t="inlineStr">
        <is>
          <t>STRÖMSUND</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57860-2019</t>
        </is>
      </c>
      <c r="B2707" s="1" t="n">
        <v>43768</v>
      </c>
      <c r="C2707" s="1" t="n">
        <v>45363</v>
      </c>
      <c r="D2707" t="inlineStr">
        <is>
          <t>JÄMTLANDS LÄN</t>
        </is>
      </c>
      <c r="E2707" t="inlineStr">
        <is>
          <t>RAGUNDA</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57732-2019</t>
        </is>
      </c>
      <c r="B2708" s="1" t="n">
        <v>43768</v>
      </c>
      <c r="C2708" s="1" t="n">
        <v>45363</v>
      </c>
      <c r="D2708" t="inlineStr">
        <is>
          <t>JÄMTLANDS LÄN</t>
        </is>
      </c>
      <c r="E2708" t="inlineStr">
        <is>
          <t>KROKOM</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57783-2019</t>
        </is>
      </c>
      <c r="B2709" s="1" t="n">
        <v>43768</v>
      </c>
      <c r="C2709" s="1" t="n">
        <v>45363</v>
      </c>
      <c r="D2709" t="inlineStr">
        <is>
          <t>JÄMTLANDS LÄN</t>
        </is>
      </c>
      <c r="E2709" t="inlineStr">
        <is>
          <t>RAGUNDA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57845-2019</t>
        </is>
      </c>
      <c r="B2710" s="1" t="n">
        <v>43768</v>
      </c>
      <c r="C2710" s="1" t="n">
        <v>45363</v>
      </c>
      <c r="D2710" t="inlineStr">
        <is>
          <t>JÄMTLANDS LÄN</t>
        </is>
      </c>
      <c r="E2710" t="inlineStr">
        <is>
          <t>ÖSTERSUND</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57872-2019</t>
        </is>
      </c>
      <c r="B2711" s="1" t="n">
        <v>43768</v>
      </c>
      <c r="C2711" s="1" t="n">
        <v>45363</v>
      </c>
      <c r="D2711" t="inlineStr">
        <is>
          <t>JÄMTLANDS LÄN</t>
        </is>
      </c>
      <c r="E2711" t="inlineStr">
        <is>
          <t>STRÖMSUND</t>
        </is>
      </c>
      <c r="G2711" t="n">
        <v>47.2</v>
      </c>
      <c r="H2711" t="n">
        <v>0</v>
      </c>
      <c r="I2711" t="n">
        <v>0</v>
      </c>
      <c r="J2711" t="n">
        <v>0</v>
      </c>
      <c r="K2711" t="n">
        <v>0</v>
      </c>
      <c r="L2711" t="n">
        <v>0</v>
      </c>
      <c r="M2711" t="n">
        <v>0</v>
      </c>
      <c r="N2711" t="n">
        <v>0</v>
      </c>
      <c r="O2711" t="n">
        <v>0</v>
      </c>
      <c r="P2711" t="n">
        <v>0</v>
      </c>
      <c r="Q2711" t="n">
        <v>0</v>
      </c>
      <c r="R2711" s="2" t="inlineStr"/>
    </row>
    <row r="2712" ht="15" customHeight="1">
      <c r="A2712" t="inlineStr">
        <is>
          <t>A 58844-2019</t>
        </is>
      </c>
      <c r="B2712" s="1" t="n">
        <v>43768</v>
      </c>
      <c r="C2712" s="1" t="n">
        <v>45363</v>
      </c>
      <c r="D2712" t="inlineStr">
        <is>
          <t>JÄMTLANDS LÄN</t>
        </is>
      </c>
      <c r="E2712" t="inlineStr">
        <is>
          <t>STRÖMSUND</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57749-2019</t>
        </is>
      </c>
      <c r="B2713" s="1" t="n">
        <v>43768</v>
      </c>
      <c r="C2713" s="1" t="n">
        <v>45363</v>
      </c>
      <c r="D2713" t="inlineStr">
        <is>
          <t>JÄMTLANDS LÄN</t>
        </is>
      </c>
      <c r="E2713" t="inlineStr">
        <is>
          <t>BRÄCKE</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58172-2019</t>
        </is>
      </c>
      <c r="B2714" s="1" t="n">
        <v>43769</v>
      </c>
      <c r="C2714" s="1" t="n">
        <v>45363</v>
      </c>
      <c r="D2714" t="inlineStr">
        <is>
          <t>JÄMTLANDS LÄN</t>
        </is>
      </c>
      <c r="E2714" t="inlineStr">
        <is>
          <t>STRÖMSUND</t>
        </is>
      </c>
      <c r="F2714" t="inlineStr">
        <is>
          <t>SCA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58175-2019</t>
        </is>
      </c>
      <c r="B2715" s="1" t="n">
        <v>43769</v>
      </c>
      <c r="C2715" s="1" t="n">
        <v>45363</v>
      </c>
      <c r="D2715" t="inlineStr">
        <is>
          <t>JÄMTLANDS LÄN</t>
        </is>
      </c>
      <c r="E2715" t="inlineStr">
        <is>
          <t>HÄRJEDALEN</t>
        </is>
      </c>
      <c r="F2715" t="inlineStr">
        <is>
          <t>SCA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58212-2019</t>
        </is>
      </c>
      <c r="B2716" s="1" t="n">
        <v>43770</v>
      </c>
      <c r="C2716" s="1" t="n">
        <v>45363</v>
      </c>
      <c r="D2716" t="inlineStr">
        <is>
          <t>JÄMTLANDS LÄN</t>
        </is>
      </c>
      <c r="E2716" t="inlineStr">
        <is>
          <t>KROKOM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58235-2019</t>
        </is>
      </c>
      <c r="B2717" s="1" t="n">
        <v>43770</v>
      </c>
      <c r="C2717" s="1" t="n">
        <v>45363</v>
      </c>
      <c r="D2717" t="inlineStr">
        <is>
          <t>JÄMTLANDS LÄN</t>
        </is>
      </c>
      <c r="E2717" t="inlineStr">
        <is>
          <t>KROKOM</t>
        </is>
      </c>
      <c r="G2717" t="n">
        <v>47.9</v>
      </c>
      <c r="H2717" t="n">
        <v>0</v>
      </c>
      <c r="I2717" t="n">
        <v>0</v>
      </c>
      <c r="J2717" t="n">
        <v>0</v>
      </c>
      <c r="K2717" t="n">
        <v>0</v>
      </c>
      <c r="L2717" t="n">
        <v>0</v>
      </c>
      <c r="M2717" t="n">
        <v>0</v>
      </c>
      <c r="N2717" t="n">
        <v>0</v>
      </c>
      <c r="O2717" t="n">
        <v>0</v>
      </c>
      <c r="P2717" t="n">
        <v>0</v>
      </c>
      <c r="Q2717" t="n">
        <v>0</v>
      </c>
      <c r="R2717" s="2" t="inlineStr"/>
    </row>
    <row r="2718" ht="15" customHeight="1">
      <c r="A2718" t="inlineStr">
        <is>
          <t>A 58348-2019</t>
        </is>
      </c>
      <c r="B2718" s="1" t="n">
        <v>43770</v>
      </c>
      <c r="C2718" s="1" t="n">
        <v>45363</v>
      </c>
      <c r="D2718" t="inlineStr">
        <is>
          <t>JÄMTLANDS LÄN</t>
        </is>
      </c>
      <c r="E2718" t="inlineStr">
        <is>
          <t>RAGUNDA</t>
        </is>
      </c>
      <c r="F2718" t="inlineStr">
        <is>
          <t>SCA</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58364-2019</t>
        </is>
      </c>
      <c r="B2719" s="1" t="n">
        <v>43770</v>
      </c>
      <c r="C2719" s="1" t="n">
        <v>45363</v>
      </c>
      <c r="D2719" t="inlineStr">
        <is>
          <t>JÄMTLANDS LÄN</t>
        </is>
      </c>
      <c r="E2719" t="inlineStr">
        <is>
          <t>BERG</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58354-2019</t>
        </is>
      </c>
      <c r="B2720" s="1" t="n">
        <v>43770</v>
      </c>
      <c r="C2720" s="1" t="n">
        <v>45363</v>
      </c>
      <c r="D2720" t="inlineStr">
        <is>
          <t>JÄMTLANDS LÄN</t>
        </is>
      </c>
      <c r="E2720" t="inlineStr">
        <is>
          <t>BRÄCKE</t>
        </is>
      </c>
      <c r="F2720" t="inlineStr">
        <is>
          <t>SCA</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58361-2019</t>
        </is>
      </c>
      <c r="B2721" s="1" t="n">
        <v>43770</v>
      </c>
      <c r="C2721" s="1" t="n">
        <v>45363</v>
      </c>
      <c r="D2721" t="inlineStr">
        <is>
          <t>JÄMTLANDS LÄN</t>
        </is>
      </c>
      <c r="E2721" t="inlineStr">
        <is>
          <t>BERG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59347-2019</t>
        </is>
      </c>
      <c r="B2722" s="1" t="n">
        <v>43770</v>
      </c>
      <c r="C2722" s="1" t="n">
        <v>45363</v>
      </c>
      <c r="D2722" t="inlineStr">
        <is>
          <t>JÄMTLANDS LÄN</t>
        </is>
      </c>
      <c r="E2722" t="inlineStr">
        <is>
          <t>HÄRJEDALEN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58355-2019</t>
        </is>
      </c>
      <c r="B2723" s="1" t="n">
        <v>43770</v>
      </c>
      <c r="C2723" s="1" t="n">
        <v>45363</v>
      </c>
      <c r="D2723" t="inlineStr">
        <is>
          <t>JÄMTLANDS LÄN</t>
        </is>
      </c>
      <c r="E2723" t="inlineStr">
        <is>
          <t>RAGUNDA</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58216-2019</t>
        </is>
      </c>
      <c r="B2724" s="1" t="n">
        <v>43770</v>
      </c>
      <c r="C2724" s="1" t="n">
        <v>45363</v>
      </c>
      <c r="D2724" t="inlineStr">
        <is>
          <t>JÄMTLANDS LÄN</t>
        </is>
      </c>
      <c r="E2724" t="inlineStr">
        <is>
          <t>ÖSTERSUND</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58210-2019</t>
        </is>
      </c>
      <c r="B2725" s="1" t="n">
        <v>43770</v>
      </c>
      <c r="C2725" s="1" t="n">
        <v>45363</v>
      </c>
      <c r="D2725" t="inlineStr">
        <is>
          <t>JÄMTLANDS LÄN</t>
        </is>
      </c>
      <c r="E2725" t="inlineStr">
        <is>
          <t>ÖSTERSUND</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58635-2019</t>
        </is>
      </c>
      <c r="B2726" s="1" t="n">
        <v>43773</v>
      </c>
      <c r="C2726" s="1" t="n">
        <v>45363</v>
      </c>
      <c r="D2726" t="inlineStr">
        <is>
          <t>JÄMTLANDS LÄN</t>
        </is>
      </c>
      <c r="E2726" t="inlineStr">
        <is>
          <t>BRÄCKE</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58778-2019</t>
        </is>
      </c>
      <c r="B2727" s="1" t="n">
        <v>43773</v>
      </c>
      <c r="C2727" s="1" t="n">
        <v>45363</v>
      </c>
      <c r="D2727" t="inlineStr">
        <is>
          <t>JÄMTLANDS LÄN</t>
        </is>
      </c>
      <c r="E2727" t="inlineStr">
        <is>
          <t>KROKOM</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59484-2019</t>
        </is>
      </c>
      <c r="B2728" s="1" t="n">
        <v>43773</v>
      </c>
      <c r="C2728" s="1" t="n">
        <v>45363</v>
      </c>
      <c r="D2728" t="inlineStr">
        <is>
          <t>JÄMTLANDS LÄN</t>
        </is>
      </c>
      <c r="E2728" t="inlineStr">
        <is>
          <t>RAGUNDA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58742-2019</t>
        </is>
      </c>
      <c r="B2729" s="1" t="n">
        <v>43773</v>
      </c>
      <c r="C2729" s="1" t="n">
        <v>45363</v>
      </c>
      <c r="D2729" t="inlineStr">
        <is>
          <t>JÄMTLANDS LÄN</t>
        </is>
      </c>
      <c r="E2729" t="inlineStr">
        <is>
          <t>HÄRJEDALEN</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59437-2019</t>
        </is>
      </c>
      <c r="B2730" s="1" t="n">
        <v>43773</v>
      </c>
      <c r="C2730" s="1" t="n">
        <v>45363</v>
      </c>
      <c r="D2730" t="inlineStr">
        <is>
          <t>JÄMTLANDS LÄN</t>
        </is>
      </c>
      <c r="E2730" t="inlineStr">
        <is>
          <t>ÖSTERSUND</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58795-2019</t>
        </is>
      </c>
      <c r="B2731" s="1" t="n">
        <v>43773</v>
      </c>
      <c r="C2731" s="1" t="n">
        <v>45363</v>
      </c>
      <c r="D2731" t="inlineStr">
        <is>
          <t>JÄMTLANDS LÄN</t>
        </is>
      </c>
      <c r="E2731" t="inlineStr">
        <is>
          <t>RAGUNDA</t>
        </is>
      </c>
      <c r="F2731" t="inlineStr">
        <is>
          <t>SCA</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59501-2019</t>
        </is>
      </c>
      <c r="B2732" s="1" t="n">
        <v>43773</v>
      </c>
      <c r="C2732" s="1" t="n">
        <v>45363</v>
      </c>
      <c r="D2732" t="inlineStr">
        <is>
          <t>JÄMTLANDS LÄN</t>
        </is>
      </c>
      <c r="E2732" t="inlineStr">
        <is>
          <t>RAGUNDA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59543-2019</t>
        </is>
      </c>
      <c r="B2733" s="1" t="n">
        <v>43773</v>
      </c>
      <c r="C2733" s="1" t="n">
        <v>45363</v>
      </c>
      <c r="D2733" t="inlineStr">
        <is>
          <t>JÄMTLANDS LÄN</t>
        </is>
      </c>
      <c r="E2733" t="inlineStr">
        <is>
          <t>STRÖMSUND</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59027-2019</t>
        </is>
      </c>
      <c r="B2734" s="1" t="n">
        <v>43774</v>
      </c>
      <c r="C2734" s="1" t="n">
        <v>45363</v>
      </c>
      <c r="D2734" t="inlineStr">
        <is>
          <t>JÄMTLANDS LÄN</t>
        </is>
      </c>
      <c r="E2734" t="inlineStr">
        <is>
          <t>KROKOM</t>
        </is>
      </c>
      <c r="F2734" t="inlineStr">
        <is>
          <t>Övriga Aktiebolag</t>
        </is>
      </c>
      <c r="G2734" t="n">
        <v>19.6</v>
      </c>
      <c r="H2734" t="n">
        <v>0</v>
      </c>
      <c r="I2734" t="n">
        <v>0</v>
      </c>
      <c r="J2734" t="n">
        <v>0</v>
      </c>
      <c r="K2734" t="n">
        <v>0</v>
      </c>
      <c r="L2734" t="n">
        <v>0</v>
      </c>
      <c r="M2734" t="n">
        <v>0</v>
      </c>
      <c r="N2734" t="n">
        <v>0</v>
      </c>
      <c r="O2734" t="n">
        <v>0</v>
      </c>
      <c r="P2734" t="n">
        <v>0</v>
      </c>
      <c r="Q2734" t="n">
        <v>0</v>
      </c>
      <c r="R2734" s="2" t="inlineStr"/>
    </row>
    <row r="2735" ht="15" customHeight="1">
      <c r="A2735" t="inlineStr">
        <is>
          <t>A 59815-2019</t>
        </is>
      </c>
      <c r="B2735" s="1" t="n">
        <v>43774</v>
      </c>
      <c r="C2735" s="1" t="n">
        <v>45363</v>
      </c>
      <c r="D2735" t="inlineStr">
        <is>
          <t>JÄMTLANDS LÄN</t>
        </is>
      </c>
      <c r="E2735" t="inlineStr">
        <is>
          <t>ÅRE</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59425-2019</t>
        </is>
      </c>
      <c r="B2736" s="1" t="n">
        <v>43775</v>
      </c>
      <c r="C2736" s="1" t="n">
        <v>45363</v>
      </c>
      <c r="D2736" t="inlineStr">
        <is>
          <t>JÄMTLANDS LÄN</t>
        </is>
      </c>
      <c r="E2736" t="inlineStr">
        <is>
          <t>STRÖMSUND</t>
        </is>
      </c>
      <c r="F2736" t="inlineStr">
        <is>
          <t>SCA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59194-2019</t>
        </is>
      </c>
      <c r="B2737" s="1" t="n">
        <v>43775</v>
      </c>
      <c r="C2737" s="1" t="n">
        <v>45363</v>
      </c>
      <c r="D2737" t="inlineStr">
        <is>
          <t>JÄMTLANDS LÄN</t>
        </is>
      </c>
      <c r="E2737" t="inlineStr">
        <is>
          <t>RAGUNDA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59984-2019</t>
        </is>
      </c>
      <c r="B2738" s="1" t="n">
        <v>43775</v>
      </c>
      <c r="C2738" s="1" t="n">
        <v>45363</v>
      </c>
      <c r="D2738" t="inlineStr">
        <is>
          <t>JÄMTLANDS LÄN</t>
        </is>
      </c>
      <c r="E2738" t="inlineStr">
        <is>
          <t>HÄRJEDALEN</t>
        </is>
      </c>
      <c r="G2738" t="n">
        <v>20.4</v>
      </c>
      <c r="H2738" t="n">
        <v>0</v>
      </c>
      <c r="I2738" t="n">
        <v>0</v>
      </c>
      <c r="J2738" t="n">
        <v>0</v>
      </c>
      <c r="K2738" t="n">
        <v>0</v>
      </c>
      <c r="L2738" t="n">
        <v>0</v>
      </c>
      <c r="M2738" t="n">
        <v>0</v>
      </c>
      <c r="N2738" t="n">
        <v>0</v>
      </c>
      <c r="O2738" t="n">
        <v>0</v>
      </c>
      <c r="P2738" t="n">
        <v>0</v>
      </c>
      <c r="Q2738" t="n">
        <v>0</v>
      </c>
      <c r="R2738" s="2" t="inlineStr"/>
    </row>
    <row r="2739" ht="15" customHeight="1">
      <c r="A2739" t="inlineStr">
        <is>
          <t>A 59733-2019</t>
        </is>
      </c>
      <c r="B2739" s="1" t="n">
        <v>43776</v>
      </c>
      <c r="C2739" s="1" t="n">
        <v>45363</v>
      </c>
      <c r="D2739" t="inlineStr">
        <is>
          <t>JÄMTLANDS LÄN</t>
        </is>
      </c>
      <c r="E2739" t="inlineStr">
        <is>
          <t>HÄRJEDALEN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59588-2019</t>
        </is>
      </c>
      <c r="B2740" s="1" t="n">
        <v>43776</v>
      </c>
      <c r="C2740" s="1" t="n">
        <v>45363</v>
      </c>
      <c r="D2740" t="inlineStr">
        <is>
          <t>JÄMTLANDS LÄN</t>
        </is>
      </c>
      <c r="E2740" t="inlineStr">
        <is>
          <t>KROKOM</t>
        </is>
      </c>
      <c r="F2740" t="inlineStr">
        <is>
          <t>Övriga Aktiebolag</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59672-2019</t>
        </is>
      </c>
      <c r="B2741" s="1" t="n">
        <v>43776</v>
      </c>
      <c r="C2741" s="1" t="n">
        <v>45363</v>
      </c>
      <c r="D2741" t="inlineStr">
        <is>
          <t>JÄMTLANDS LÄN</t>
        </is>
      </c>
      <c r="E2741" t="inlineStr">
        <is>
          <t>KROKOM</t>
        </is>
      </c>
      <c r="F2741" t="inlineStr">
        <is>
          <t>Övriga Aktiebolag</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60186-2019</t>
        </is>
      </c>
      <c r="B2742" s="1" t="n">
        <v>43776</v>
      </c>
      <c r="C2742" s="1" t="n">
        <v>45363</v>
      </c>
      <c r="D2742" t="inlineStr">
        <is>
          <t>JÄMTLANDS LÄN</t>
        </is>
      </c>
      <c r="E2742" t="inlineStr">
        <is>
          <t>BRÄCKE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60240-2019</t>
        </is>
      </c>
      <c r="B2743" s="1" t="n">
        <v>43776</v>
      </c>
      <c r="C2743" s="1" t="n">
        <v>45363</v>
      </c>
      <c r="D2743" t="inlineStr">
        <is>
          <t>JÄMTLANDS LÄN</t>
        </is>
      </c>
      <c r="E2743" t="inlineStr">
        <is>
          <t>ÖSTERSUND</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59456-2019</t>
        </is>
      </c>
      <c r="B2744" s="1" t="n">
        <v>43776</v>
      </c>
      <c r="C2744" s="1" t="n">
        <v>45363</v>
      </c>
      <c r="D2744" t="inlineStr">
        <is>
          <t>JÄMTLANDS LÄN</t>
        </is>
      </c>
      <c r="E2744" t="inlineStr">
        <is>
          <t>STRÖMSUND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60001-2019</t>
        </is>
      </c>
      <c r="B2745" s="1" t="n">
        <v>43777</v>
      </c>
      <c r="C2745" s="1" t="n">
        <v>45363</v>
      </c>
      <c r="D2745" t="inlineStr">
        <is>
          <t>JÄMTLANDS LÄN</t>
        </is>
      </c>
      <c r="E2745" t="inlineStr">
        <is>
          <t>ÖSTERSUND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60018-2019</t>
        </is>
      </c>
      <c r="B2746" s="1" t="n">
        <v>43777</v>
      </c>
      <c r="C2746" s="1" t="n">
        <v>45363</v>
      </c>
      <c r="D2746" t="inlineStr">
        <is>
          <t>JÄMTLANDS LÄN</t>
        </is>
      </c>
      <c r="E2746" t="inlineStr">
        <is>
          <t>BRÄCKE</t>
        </is>
      </c>
      <c r="F2746" t="inlineStr">
        <is>
          <t>Övriga Aktiebolag</t>
        </is>
      </c>
      <c r="G2746" t="n">
        <v>15.2</v>
      </c>
      <c r="H2746" t="n">
        <v>0</v>
      </c>
      <c r="I2746" t="n">
        <v>0</v>
      </c>
      <c r="J2746" t="n">
        <v>0</v>
      </c>
      <c r="K2746" t="n">
        <v>0</v>
      </c>
      <c r="L2746" t="n">
        <v>0</v>
      </c>
      <c r="M2746" t="n">
        <v>0</v>
      </c>
      <c r="N2746" t="n">
        <v>0</v>
      </c>
      <c r="O2746" t="n">
        <v>0</v>
      </c>
      <c r="P2746" t="n">
        <v>0</v>
      </c>
      <c r="Q2746" t="n">
        <v>0</v>
      </c>
      <c r="R2746" s="2" t="inlineStr"/>
    </row>
    <row r="2747" ht="15" customHeight="1">
      <c r="A2747" t="inlineStr">
        <is>
          <t>A 60093-2019</t>
        </is>
      </c>
      <c r="B2747" s="1" t="n">
        <v>43777</v>
      </c>
      <c r="C2747" s="1" t="n">
        <v>45363</v>
      </c>
      <c r="D2747" t="inlineStr">
        <is>
          <t>JÄMTLANDS LÄN</t>
        </is>
      </c>
      <c r="E2747" t="inlineStr">
        <is>
          <t>ÅRE</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60119-2019</t>
        </is>
      </c>
      <c r="B2748" s="1" t="n">
        <v>43777</v>
      </c>
      <c r="C2748" s="1" t="n">
        <v>45363</v>
      </c>
      <c r="D2748" t="inlineStr">
        <is>
          <t>JÄMTLANDS LÄN</t>
        </is>
      </c>
      <c r="E2748" t="inlineStr">
        <is>
          <t>RAGUNDA</t>
        </is>
      </c>
      <c r="F2748" t="inlineStr">
        <is>
          <t>SCA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60155-2019</t>
        </is>
      </c>
      <c r="B2749" s="1" t="n">
        <v>43780</v>
      </c>
      <c r="C2749" s="1" t="n">
        <v>45363</v>
      </c>
      <c r="D2749" t="inlineStr">
        <is>
          <t>JÄMTLANDS LÄN</t>
        </is>
      </c>
      <c r="E2749" t="inlineStr">
        <is>
          <t>BRÄCKE</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60213-2019</t>
        </is>
      </c>
      <c r="B2750" s="1" t="n">
        <v>43780</v>
      </c>
      <c r="C2750" s="1" t="n">
        <v>45363</v>
      </c>
      <c r="D2750" t="inlineStr">
        <is>
          <t>JÄMTLANDS LÄN</t>
        </is>
      </c>
      <c r="E2750" t="inlineStr">
        <is>
          <t>HÄRJEDALEN</t>
        </is>
      </c>
      <c r="F2750" t="inlineStr">
        <is>
          <t>Holmen skog AB</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61411-2019</t>
        </is>
      </c>
      <c r="B2751" s="1" t="n">
        <v>43780</v>
      </c>
      <c r="C2751" s="1" t="n">
        <v>45363</v>
      </c>
      <c r="D2751" t="inlineStr">
        <is>
          <t>JÄMTLANDS LÄN</t>
        </is>
      </c>
      <c r="E2751" t="inlineStr">
        <is>
          <t>STRÖMSUND</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61703-2019</t>
        </is>
      </c>
      <c r="B2752" s="1" t="n">
        <v>43780</v>
      </c>
      <c r="C2752" s="1" t="n">
        <v>45363</v>
      </c>
      <c r="D2752" t="inlineStr">
        <is>
          <t>JÄMTLANDS LÄN</t>
        </is>
      </c>
      <c r="E2752" t="inlineStr">
        <is>
          <t>STRÖMSUND</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61705-2019</t>
        </is>
      </c>
      <c r="B2753" s="1" t="n">
        <v>43780</v>
      </c>
      <c r="C2753" s="1" t="n">
        <v>45363</v>
      </c>
      <c r="D2753" t="inlineStr">
        <is>
          <t>JÄMTLANDS LÄN</t>
        </is>
      </c>
      <c r="E2753" t="inlineStr">
        <is>
          <t>STRÖMSUND</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60569-2019</t>
        </is>
      </c>
      <c r="B2754" s="1" t="n">
        <v>43781</v>
      </c>
      <c r="C2754" s="1" t="n">
        <v>45363</v>
      </c>
      <c r="D2754" t="inlineStr">
        <is>
          <t>JÄMTLANDS LÄN</t>
        </is>
      </c>
      <c r="E2754" t="inlineStr">
        <is>
          <t>STRÖMSUND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60536-2019</t>
        </is>
      </c>
      <c r="B2755" s="1" t="n">
        <v>43781</v>
      </c>
      <c r="C2755" s="1" t="n">
        <v>45363</v>
      </c>
      <c r="D2755" t="inlineStr">
        <is>
          <t>JÄMTLANDS LÄN</t>
        </is>
      </c>
      <c r="E2755" t="inlineStr">
        <is>
          <t>STRÖMSUND</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60669-2019</t>
        </is>
      </c>
      <c r="B2756" s="1" t="n">
        <v>43781</v>
      </c>
      <c r="C2756" s="1" t="n">
        <v>45363</v>
      </c>
      <c r="D2756" t="inlineStr">
        <is>
          <t>JÄMTLANDS LÄN</t>
        </is>
      </c>
      <c r="E2756" t="inlineStr">
        <is>
          <t>ÖSTERSUND</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60867-2019</t>
        </is>
      </c>
      <c r="B2757" s="1" t="n">
        <v>43781</v>
      </c>
      <c r="C2757" s="1" t="n">
        <v>45363</v>
      </c>
      <c r="D2757" t="inlineStr">
        <is>
          <t>JÄMTLANDS LÄN</t>
        </is>
      </c>
      <c r="E2757" t="inlineStr">
        <is>
          <t>KROKOM</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60604-2019</t>
        </is>
      </c>
      <c r="B2758" s="1" t="n">
        <v>43781</v>
      </c>
      <c r="C2758" s="1" t="n">
        <v>45363</v>
      </c>
      <c r="D2758" t="inlineStr">
        <is>
          <t>JÄMTLANDS LÄN</t>
        </is>
      </c>
      <c r="E2758" t="inlineStr">
        <is>
          <t>ÖSTERSUND</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61018-2019</t>
        </is>
      </c>
      <c r="B2759" s="1" t="n">
        <v>43782</v>
      </c>
      <c r="C2759" s="1" t="n">
        <v>45363</v>
      </c>
      <c r="D2759" t="inlineStr">
        <is>
          <t>JÄMTLANDS LÄN</t>
        </is>
      </c>
      <c r="E2759" t="inlineStr">
        <is>
          <t>KROKOM</t>
        </is>
      </c>
      <c r="F2759" t="inlineStr">
        <is>
          <t>Övriga Aktiebolag</t>
        </is>
      </c>
      <c r="G2759" t="n">
        <v>18.6</v>
      </c>
      <c r="H2759" t="n">
        <v>0</v>
      </c>
      <c r="I2759" t="n">
        <v>0</v>
      </c>
      <c r="J2759" t="n">
        <v>0</v>
      </c>
      <c r="K2759" t="n">
        <v>0</v>
      </c>
      <c r="L2759" t="n">
        <v>0</v>
      </c>
      <c r="M2759" t="n">
        <v>0</v>
      </c>
      <c r="N2759" t="n">
        <v>0</v>
      </c>
      <c r="O2759" t="n">
        <v>0</v>
      </c>
      <c r="P2759" t="n">
        <v>0</v>
      </c>
      <c r="Q2759" t="n">
        <v>0</v>
      </c>
      <c r="R2759" s="2" t="inlineStr"/>
    </row>
    <row r="2760" ht="15" customHeight="1">
      <c r="A2760" t="inlineStr">
        <is>
          <t>A 61122-2019</t>
        </is>
      </c>
      <c r="B2760" s="1" t="n">
        <v>43782</v>
      </c>
      <c r="C2760" s="1" t="n">
        <v>45363</v>
      </c>
      <c r="D2760" t="inlineStr">
        <is>
          <t>JÄMTLANDS LÄN</t>
        </is>
      </c>
      <c r="E2760" t="inlineStr">
        <is>
          <t>STRÖMSUND</t>
        </is>
      </c>
      <c r="F2760" t="inlineStr">
        <is>
          <t>Holmen skog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61082-2019</t>
        </is>
      </c>
      <c r="B2761" s="1" t="n">
        <v>43782</v>
      </c>
      <c r="C2761" s="1" t="n">
        <v>45363</v>
      </c>
      <c r="D2761" t="inlineStr">
        <is>
          <t>JÄMTLANDS LÄN</t>
        </is>
      </c>
      <c r="E2761" t="inlineStr">
        <is>
          <t>BRÄCKE</t>
        </is>
      </c>
      <c r="G2761" t="n">
        <v>20.1</v>
      </c>
      <c r="H2761" t="n">
        <v>0</v>
      </c>
      <c r="I2761" t="n">
        <v>0</v>
      </c>
      <c r="J2761" t="n">
        <v>0</v>
      </c>
      <c r="K2761" t="n">
        <v>0</v>
      </c>
      <c r="L2761" t="n">
        <v>0</v>
      </c>
      <c r="M2761" t="n">
        <v>0</v>
      </c>
      <c r="N2761" t="n">
        <v>0</v>
      </c>
      <c r="O2761" t="n">
        <v>0</v>
      </c>
      <c r="P2761" t="n">
        <v>0</v>
      </c>
      <c r="Q2761" t="n">
        <v>0</v>
      </c>
      <c r="R2761" s="2" t="inlineStr"/>
    </row>
    <row r="2762" ht="15" customHeight="1">
      <c r="A2762" t="inlineStr">
        <is>
          <t>A 62340-2019</t>
        </is>
      </c>
      <c r="B2762" s="1" t="n">
        <v>43782</v>
      </c>
      <c r="C2762" s="1" t="n">
        <v>45363</v>
      </c>
      <c r="D2762" t="inlineStr">
        <is>
          <t>JÄMTLANDS LÄN</t>
        </is>
      </c>
      <c r="E2762" t="inlineStr">
        <is>
          <t>RAGUNDA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62342-2019</t>
        </is>
      </c>
      <c r="B2763" s="1" t="n">
        <v>43782</v>
      </c>
      <c r="C2763" s="1" t="n">
        <v>45363</v>
      </c>
      <c r="D2763" t="inlineStr">
        <is>
          <t>JÄMTLANDS LÄN</t>
        </is>
      </c>
      <c r="E2763" t="inlineStr">
        <is>
          <t>HÄRJEDALEN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62256-2019</t>
        </is>
      </c>
      <c r="B2764" s="1" t="n">
        <v>43782</v>
      </c>
      <c r="C2764" s="1" t="n">
        <v>45363</v>
      </c>
      <c r="D2764" t="inlineStr">
        <is>
          <t>JÄMTLANDS LÄN</t>
        </is>
      </c>
      <c r="E2764" t="inlineStr">
        <is>
          <t>STRÖMSUND</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62335-2019</t>
        </is>
      </c>
      <c r="B2765" s="1" t="n">
        <v>43782</v>
      </c>
      <c r="C2765" s="1" t="n">
        <v>45363</v>
      </c>
      <c r="D2765" t="inlineStr">
        <is>
          <t>JÄMTLANDS LÄN</t>
        </is>
      </c>
      <c r="E2765" t="inlineStr">
        <is>
          <t>BRÄCKE</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60955-2019</t>
        </is>
      </c>
      <c r="B2766" s="1" t="n">
        <v>43782</v>
      </c>
      <c r="C2766" s="1" t="n">
        <v>45363</v>
      </c>
      <c r="D2766" t="inlineStr">
        <is>
          <t>JÄMTLANDS LÄN</t>
        </is>
      </c>
      <c r="E2766" t="inlineStr">
        <is>
          <t>STRÖMSUND</t>
        </is>
      </c>
      <c r="F2766" t="inlineStr">
        <is>
          <t>Holmen skog AB</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60919-2019</t>
        </is>
      </c>
      <c r="B2767" s="1" t="n">
        <v>43782</v>
      </c>
      <c r="C2767" s="1" t="n">
        <v>45363</v>
      </c>
      <c r="D2767" t="inlineStr">
        <is>
          <t>JÄMTLANDS LÄN</t>
        </is>
      </c>
      <c r="E2767" t="inlineStr">
        <is>
          <t>HÄRJEDALEN</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61424-2019</t>
        </is>
      </c>
      <c r="B2768" s="1" t="n">
        <v>43783</v>
      </c>
      <c r="C2768" s="1" t="n">
        <v>45363</v>
      </c>
      <c r="D2768" t="inlineStr">
        <is>
          <t>JÄMTLANDS LÄN</t>
        </is>
      </c>
      <c r="E2768" t="inlineStr">
        <is>
          <t>KROKOM</t>
        </is>
      </c>
      <c r="F2768" t="inlineStr">
        <is>
          <t>Övriga Aktiebolag</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61514-2019</t>
        </is>
      </c>
      <c r="B2769" s="1" t="n">
        <v>43783</v>
      </c>
      <c r="C2769" s="1" t="n">
        <v>45363</v>
      </c>
      <c r="D2769" t="inlineStr">
        <is>
          <t>JÄMTLANDS LÄN</t>
        </is>
      </c>
      <c r="E2769" t="inlineStr">
        <is>
          <t>RAGUNDA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62908-2019</t>
        </is>
      </c>
      <c r="B2770" s="1" t="n">
        <v>43783</v>
      </c>
      <c r="C2770" s="1" t="n">
        <v>45363</v>
      </c>
      <c r="D2770" t="inlineStr">
        <is>
          <t>JÄMTLANDS LÄN</t>
        </is>
      </c>
      <c r="E2770" t="inlineStr">
        <is>
          <t>BERG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61472-2019</t>
        </is>
      </c>
      <c r="B2771" s="1" t="n">
        <v>43783</v>
      </c>
      <c r="C2771" s="1" t="n">
        <v>45363</v>
      </c>
      <c r="D2771" t="inlineStr">
        <is>
          <t>JÄMTLANDS LÄN</t>
        </is>
      </c>
      <c r="E2771" t="inlineStr">
        <is>
          <t>KROKOM</t>
        </is>
      </c>
      <c r="G2771" t="n">
        <v>13.8</v>
      </c>
      <c r="H2771" t="n">
        <v>0</v>
      </c>
      <c r="I2771" t="n">
        <v>0</v>
      </c>
      <c r="J2771" t="n">
        <v>0</v>
      </c>
      <c r="K2771" t="n">
        <v>0</v>
      </c>
      <c r="L2771" t="n">
        <v>0</v>
      </c>
      <c r="M2771" t="n">
        <v>0</v>
      </c>
      <c r="N2771" t="n">
        <v>0</v>
      </c>
      <c r="O2771" t="n">
        <v>0</v>
      </c>
      <c r="P2771" t="n">
        <v>0</v>
      </c>
      <c r="Q2771" t="n">
        <v>0</v>
      </c>
      <c r="R2771" s="2" t="inlineStr"/>
    </row>
    <row r="2772" ht="15" customHeight="1">
      <c r="A2772" t="inlineStr">
        <is>
          <t>A 62400-2019</t>
        </is>
      </c>
      <c r="B2772" s="1" t="n">
        <v>43783</v>
      </c>
      <c r="C2772" s="1" t="n">
        <v>45363</v>
      </c>
      <c r="D2772" t="inlineStr">
        <is>
          <t>JÄMTLANDS LÄN</t>
        </is>
      </c>
      <c r="E2772" t="inlineStr">
        <is>
          <t>KROKOM</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62943-2019</t>
        </is>
      </c>
      <c r="B2773" s="1" t="n">
        <v>43783</v>
      </c>
      <c r="C2773" s="1" t="n">
        <v>45363</v>
      </c>
      <c r="D2773" t="inlineStr">
        <is>
          <t>JÄMTLANDS LÄN</t>
        </is>
      </c>
      <c r="E2773" t="inlineStr">
        <is>
          <t>BERG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62234-2019</t>
        </is>
      </c>
      <c r="B2774" s="1" t="n">
        <v>43784</v>
      </c>
      <c r="C2774" s="1" t="n">
        <v>45363</v>
      </c>
      <c r="D2774" t="inlineStr">
        <is>
          <t>JÄMTLANDS LÄN</t>
        </is>
      </c>
      <c r="E2774" t="inlineStr">
        <is>
          <t>ÖSTERSUND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62927-2019</t>
        </is>
      </c>
      <c r="B2775" s="1" t="n">
        <v>43784</v>
      </c>
      <c r="C2775" s="1" t="n">
        <v>45363</v>
      </c>
      <c r="D2775" t="inlineStr">
        <is>
          <t>JÄMTLANDS LÄN</t>
        </is>
      </c>
      <c r="E2775" t="inlineStr">
        <is>
          <t>KROKOM</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61690-2019</t>
        </is>
      </c>
      <c r="B2776" s="1" t="n">
        <v>43784</v>
      </c>
      <c r="C2776" s="1" t="n">
        <v>45363</v>
      </c>
      <c r="D2776" t="inlineStr">
        <is>
          <t>JÄMTLANDS LÄN</t>
        </is>
      </c>
      <c r="E2776" t="inlineStr">
        <is>
          <t>STRÖMSUND</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61778-2019</t>
        </is>
      </c>
      <c r="B2777" s="1" t="n">
        <v>43784</v>
      </c>
      <c r="C2777" s="1" t="n">
        <v>45363</v>
      </c>
      <c r="D2777" t="inlineStr">
        <is>
          <t>JÄMTLANDS LÄN</t>
        </is>
      </c>
      <c r="E2777" t="inlineStr">
        <is>
          <t>STRÖMSUND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61833-2019</t>
        </is>
      </c>
      <c r="B2778" s="1" t="n">
        <v>43786</v>
      </c>
      <c r="C2778" s="1" t="n">
        <v>45363</v>
      </c>
      <c r="D2778" t="inlineStr">
        <is>
          <t>JÄMTLANDS LÄN</t>
        </is>
      </c>
      <c r="E2778" t="inlineStr">
        <is>
          <t>STRÖMSUND</t>
        </is>
      </c>
      <c r="G2778" t="n">
        <v>11.5</v>
      </c>
      <c r="H2778" t="n">
        <v>0</v>
      </c>
      <c r="I2778" t="n">
        <v>0</v>
      </c>
      <c r="J2778" t="n">
        <v>0</v>
      </c>
      <c r="K2778" t="n">
        <v>0</v>
      </c>
      <c r="L2778" t="n">
        <v>0</v>
      </c>
      <c r="M2778" t="n">
        <v>0</v>
      </c>
      <c r="N2778" t="n">
        <v>0</v>
      </c>
      <c r="O2778" t="n">
        <v>0</v>
      </c>
      <c r="P2778" t="n">
        <v>0</v>
      </c>
      <c r="Q2778" t="n">
        <v>0</v>
      </c>
      <c r="R2778" s="2" t="inlineStr"/>
    </row>
    <row r="2779" ht="15" customHeight="1">
      <c r="A2779" t="inlineStr">
        <is>
          <t>A 61838-2019</t>
        </is>
      </c>
      <c r="B2779" s="1" t="n">
        <v>43786</v>
      </c>
      <c r="C2779" s="1" t="n">
        <v>45363</v>
      </c>
      <c r="D2779" t="inlineStr">
        <is>
          <t>JÄMTLANDS LÄN</t>
        </is>
      </c>
      <c r="E2779" t="inlineStr">
        <is>
          <t>STRÖMSUND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61830-2019</t>
        </is>
      </c>
      <c r="B2780" s="1" t="n">
        <v>43786</v>
      </c>
      <c r="C2780" s="1" t="n">
        <v>45363</v>
      </c>
      <c r="D2780" t="inlineStr">
        <is>
          <t>JÄMTLANDS LÄN</t>
        </is>
      </c>
      <c r="E2780" t="inlineStr">
        <is>
          <t>STRÖMSUND</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61835-2019</t>
        </is>
      </c>
      <c r="B2781" s="1" t="n">
        <v>43786</v>
      </c>
      <c r="C2781" s="1" t="n">
        <v>45363</v>
      </c>
      <c r="D2781" t="inlineStr">
        <is>
          <t>JÄMTLANDS LÄN</t>
        </is>
      </c>
      <c r="E2781" t="inlineStr">
        <is>
          <t>STRÖMSUND</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61829-2019</t>
        </is>
      </c>
      <c r="B2782" s="1" t="n">
        <v>43786</v>
      </c>
      <c r="C2782" s="1" t="n">
        <v>45363</v>
      </c>
      <c r="D2782" t="inlineStr">
        <is>
          <t>JÄMTLANDS LÄN</t>
        </is>
      </c>
      <c r="E2782" t="inlineStr">
        <is>
          <t>STRÖMSUND</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61834-2019</t>
        </is>
      </c>
      <c r="B2783" s="1" t="n">
        <v>43786</v>
      </c>
      <c r="C2783" s="1" t="n">
        <v>45363</v>
      </c>
      <c r="D2783" t="inlineStr">
        <is>
          <t>JÄMTLANDS LÄN</t>
        </is>
      </c>
      <c r="E2783" t="inlineStr">
        <is>
          <t>STRÖMSUND</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61836-2019</t>
        </is>
      </c>
      <c r="B2784" s="1" t="n">
        <v>43786</v>
      </c>
      <c r="C2784" s="1" t="n">
        <v>45363</v>
      </c>
      <c r="D2784" t="inlineStr">
        <is>
          <t>JÄMTLANDS LÄN</t>
        </is>
      </c>
      <c r="E2784" t="inlineStr">
        <is>
          <t>STRÖMSUND</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61832-2019</t>
        </is>
      </c>
      <c r="B2785" s="1" t="n">
        <v>43786</v>
      </c>
      <c r="C2785" s="1" t="n">
        <v>45363</v>
      </c>
      <c r="D2785" t="inlineStr">
        <is>
          <t>JÄMTLANDS LÄN</t>
        </is>
      </c>
      <c r="E2785" t="inlineStr">
        <is>
          <t>STRÖMSUND</t>
        </is>
      </c>
      <c r="G2785" t="n">
        <v>19.9</v>
      </c>
      <c r="H2785" t="n">
        <v>0</v>
      </c>
      <c r="I2785" t="n">
        <v>0</v>
      </c>
      <c r="J2785" t="n">
        <v>0</v>
      </c>
      <c r="K2785" t="n">
        <v>0</v>
      </c>
      <c r="L2785" t="n">
        <v>0</v>
      </c>
      <c r="M2785" t="n">
        <v>0</v>
      </c>
      <c r="N2785" t="n">
        <v>0</v>
      </c>
      <c r="O2785" t="n">
        <v>0</v>
      </c>
      <c r="P2785" t="n">
        <v>0</v>
      </c>
      <c r="Q2785" t="n">
        <v>0</v>
      </c>
      <c r="R2785" s="2" t="inlineStr"/>
    </row>
    <row r="2786" ht="15" customHeight="1">
      <c r="A2786" t="inlineStr">
        <is>
          <t>A 62056-2019</t>
        </is>
      </c>
      <c r="B2786" s="1" t="n">
        <v>43787</v>
      </c>
      <c r="C2786" s="1" t="n">
        <v>45363</v>
      </c>
      <c r="D2786" t="inlineStr">
        <is>
          <t>JÄMTLANDS LÄN</t>
        </is>
      </c>
      <c r="E2786" t="inlineStr">
        <is>
          <t>KROKOM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62110-2019</t>
        </is>
      </c>
      <c r="B2787" s="1" t="n">
        <v>43787</v>
      </c>
      <c r="C2787" s="1" t="n">
        <v>45363</v>
      </c>
      <c r="D2787" t="inlineStr">
        <is>
          <t>JÄMTLANDS LÄN</t>
        </is>
      </c>
      <c r="E2787" t="inlineStr">
        <is>
          <t>KROKOM</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62136-2019</t>
        </is>
      </c>
      <c r="B2788" s="1" t="n">
        <v>43787</v>
      </c>
      <c r="C2788" s="1" t="n">
        <v>45363</v>
      </c>
      <c r="D2788" t="inlineStr">
        <is>
          <t>JÄMTLANDS LÄN</t>
        </is>
      </c>
      <c r="E2788" t="inlineStr">
        <is>
          <t>ÖSTERSUND</t>
        </is>
      </c>
      <c r="F2788" t="inlineStr">
        <is>
          <t>Övriga Aktiebolag</t>
        </is>
      </c>
      <c r="G2788" t="n">
        <v>35.2</v>
      </c>
      <c r="H2788" t="n">
        <v>0</v>
      </c>
      <c r="I2788" t="n">
        <v>0</v>
      </c>
      <c r="J2788" t="n">
        <v>0</v>
      </c>
      <c r="K2788" t="n">
        <v>0</v>
      </c>
      <c r="L2788" t="n">
        <v>0</v>
      </c>
      <c r="M2788" t="n">
        <v>0</v>
      </c>
      <c r="N2788" t="n">
        <v>0</v>
      </c>
      <c r="O2788" t="n">
        <v>0</v>
      </c>
      <c r="P2788" t="n">
        <v>0</v>
      </c>
      <c r="Q2788" t="n">
        <v>0</v>
      </c>
      <c r="R2788" s="2" t="inlineStr"/>
    </row>
    <row r="2789" ht="15" customHeight="1">
      <c r="A2789" t="inlineStr">
        <is>
          <t>A 62194-2019</t>
        </is>
      </c>
      <c r="B2789" s="1" t="n">
        <v>43787</v>
      </c>
      <c r="C2789" s="1" t="n">
        <v>45363</v>
      </c>
      <c r="D2789" t="inlineStr">
        <is>
          <t>JÄMTLANDS LÄN</t>
        </is>
      </c>
      <c r="E2789" t="inlineStr">
        <is>
          <t>KROKOM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62187-2019</t>
        </is>
      </c>
      <c r="B2790" s="1" t="n">
        <v>43787</v>
      </c>
      <c r="C2790" s="1" t="n">
        <v>45363</v>
      </c>
      <c r="D2790" t="inlineStr">
        <is>
          <t>JÄMTLANDS LÄN</t>
        </is>
      </c>
      <c r="E2790" t="inlineStr">
        <is>
          <t>KROKOM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62115-2019</t>
        </is>
      </c>
      <c r="B2791" s="1" t="n">
        <v>43787</v>
      </c>
      <c r="C2791" s="1" t="n">
        <v>45363</v>
      </c>
      <c r="D2791" t="inlineStr">
        <is>
          <t>JÄMTLANDS LÄN</t>
        </is>
      </c>
      <c r="E2791" t="inlineStr">
        <is>
          <t>HÄRJEDALEN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62129-2019</t>
        </is>
      </c>
      <c r="B2792" s="1" t="n">
        <v>43787</v>
      </c>
      <c r="C2792" s="1" t="n">
        <v>45363</v>
      </c>
      <c r="D2792" t="inlineStr">
        <is>
          <t>JÄMTLANDS LÄN</t>
        </is>
      </c>
      <c r="E2792" t="inlineStr">
        <is>
          <t>RAGUNDA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62359-2019</t>
        </is>
      </c>
      <c r="B2793" s="1" t="n">
        <v>43788</v>
      </c>
      <c r="C2793" s="1" t="n">
        <v>45363</v>
      </c>
      <c r="D2793" t="inlineStr">
        <is>
          <t>JÄMTLANDS LÄN</t>
        </is>
      </c>
      <c r="E2793" t="inlineStr">
        <is>
          <t>ÅRE</t>
        </is>
      </c>
      <c r="F2793" t="inlineStr">
        <is>
          <t>Övriga Aktiebolag</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62326-2019</t>
        </is>
      </c>
      <c r="B2794" s="1" t="n">
        <v>43788</v>
      </c>
      <c r="C2794" s="1" t="n">
        <v>45363</v>
      </c>
      <c r="D2794" t="inlineStr">
        <is>
          <t>JÄMTLANDS LÄN</t>
        </is>
      </c>
      <c r="E2794" t="inlineStr">
        <is>
          <t>ÅRE</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62451-2019</t>
        </is>
      </c>
      <c r="B2795" s="1" t="n">
        <v>43788</v>
      </c>
      <c r="C2795" s="1" t="n">
        <v>45363</v>
      </c>
      <c r="D2795" t="inlineStr">
        <is>
          <t>JÄMTLANDS LÄN</t>
        </is>
      </c>
      <c r="E2795" t="inlineStr">
        <is>
          <t>HÄRJEDALEN</t>
        </is>
      </c>
      <c r="F2795" t="inlineStr">
        <is>
          <t>Bergvik skog väst AB</t>
        </is>
      </c>
      <c r="G2795" t="n">
        <v>22.2</v>
      </c>
      <c r="H2795" t="n">
        <v>0</v>
      </c>
      <c r="I2795" t="n">
        <v>0</v>
      </c>
      <c r="J2795" t="n">
        <v>0</v>
      </c>
      <c r="K2795" t="n">
        <v>0</v>
      </c>
      <c r="L2795" t="n">
        <v>0</v>
      </c>
      <c r="M2795" t="n">
        <v>0</v>
      </c>
      <c r="N2795" t="n">
        <v>0</v>
      </c>
      <c r="O2795" t="n">
        <v>0</v>
      </c>
      <c r="P2795" t="n">
        <v>0</v>
      </c>
      <c r="Q2795" t="n">
        <v>0</v>
      </c>
      <c r="R2795" s="2" t="inlineStr"/>
    </row>
    <row r="2796" ht="15" customHeight="1">
      <c r="A2796" t="inlineStr">
        <is>
          <t>A 62492-2019</t>
        </is>
      </c>
      <c r="B2796" s="1" t="n">
        <v>43788</v>
      </c>
      <c r="C2796" s="1" t="n">
        <v>45363</v>
      </c>
      <c r="D2796" t="inlineStr">
        <is>
          <t>JÄMTLANDS LÄN</t>
        </is>
      </c>
      <c r="E2796" t="inlineStr">
        <is>
          <t>STRÖMSUND</t>
        </is>
      </c>
      <c r="F2796" t="inlineStr">
        <is>
          <t>SCA</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63729-2019</t>
        </is>
      </c>
      <c r="B2797" s="1" t="n">
        <v>43788</v>
      </c>
      <c r="C2797" s="1" t="n">
        <v>45363</v>
      </c>
      <c r="D2797" t="inlineStr">
        <is>
          <t>JÄMTLANDS LÄN</t>
        </is>
      </c>
      <c r="E2797" t="inlineStr">
        <is>
          <t>ÅRE</t>
        </is>
      </c>
      <c r="F2797" t="inlineStr">
        <is>
          <t>Övriga Aktiebolag</t>
        </is>
      </c>
      <c r="G2797" t="n">
        <v>8.699999999999999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62484-2019</t>
        </is>
      </c>
      <c r="B2798" s="1" t="n">
        <v>43788</v>
      </c>
      <c r="C2798" s="1" t="n">
        <v>45363</v>
      </c>
      <c r="D2798" t="inlineStr">
        <is>
          <t>JÄMTLANDS LÄN</t>
        </is>
      </c>
      <c r="E2798" t="inlineStr">
        <is>
          <t>RAGUNDA</t>
        </is>
      </c>
      <c r="G2798" t="n">
        <v>11.9</v>
      </c>
      <c r="H2798" t="n">
        <v>0</v>
      </c>
      <c r="I2798" t="n">
        <v>0</v>
      </c>
      <c r="J2798" t="n">
        <v>0</v>
      </c>
      <c r="K2798" t="n">
        <v>0</v>
      </c>
      <c r="L2798" t="n">
        <v>0</v>
      </c>
      <c r="M2798" t="n">
        <v>0</v>
      </c>
      <c r="N2798" t="n">
        <v>0</v>
      </c>
      <c r="O2798" t="n">
        <v>0</v>
      </c>
      <c r="P2798" t="n">
        <v>0</v>
      </c>
      <c r="Q2798" t="n">
        <v>0</v>
      </c>
      <c r="R2798" s="2" t="inlineStr"/>
      <c r="U2798">
        <f>HYPERLINK("https://klasma.github.io/Logging_2303/knärot/A 62484-2019 karta knärot.png", "A 62484-2019")</f>
        <v/>
      </c>
      <c r="V2798">
        <f>HYPERLINK("https://klasma.github.io/Logging_2303/klagomål/A 62484-2019 FSC-klagomål.docx", "A 62484-2019")</f>
        <v/>
      </c>
      <c r="W2798">
        <f>HYPERLINK("https://klasma.github.io/Logging_2303/klagomålsmail/A 62484-2019 FSC-klagomål mail.docx", "A 62484-2019")</f>
        <v/>
      </c>
      <c r="X2798">
        <f>HYPERLINK("https://klasma.github.io/Logging_2303/tillsyn/A 62484-2019 tillsynsbegäran.docx", "A 62484-2019")</f>
        <v/>
      </c>
      <c r="Y2798">
        <f>HYPERLINK("https://klasma.github.io/Logging_2303/tillsynsmail/A 62484-2019 tillsynsbegäran mail.docx", "A 62484-2019")</f>
        <v/>
      </c>
    </row>
    <row r="2799" ht="15" customHeight="1">
      <c r="A2799" t="inlineStr">
        <is>
          <t>A 62656-2019</t>
        </is>
      </c>
      <c r="B2799" s="1" t="n">
        <v>43789</v>
      </c>
      <c r="C2799" s="1" t="n">
        <v>45363</v>
      </c>
      <c r="D2799" t="inlineStr">
        <is>
          <t>JÄMTLANDS LÄN</t>
        </is>
      </c>
      <c r="E2799" t="inlineStr">
        <is>
          <t>KROKOM</t>
        </is>
      </c>
      <c r="F2799" t="inlineStr">
        <is>
          <t>Övriga Aktiebolag</t>
        </is>
      </c>
      <c r="G2799" t="n">
        <v>58.5</v>
      </c>
      <c r="H2799" t="n">
        <v>0</v>
      </c>
      <c r="I2799" t="n">
        <v>0</v>
      </c>
      <c r="J2799" t="n">
        <v>0</v>
      </c>
      <c r="K2799" t="n">
        <v>0</v>
      </c>
      <c r="L2799" t="n">
        <v>0</v>
      </c>
      <c r="M2799" t="n">
        <v>0</v>
      </c>
      <c r="N2799" t="n">
        <v>0</v>
      </c>
      <c r="O2799" t="n">
        <v>0</v>
      </c>
      <c r="P2799" t="n">
        <v>0</v>
      </c>
      <c r="Q2799" t="n">
        <v>0</v>
      </c>
      <c r="R2799" s="2" t="inlineStr"/>
    </row>
    <row r="2800" ht="15" customHeight="1">
      <c r="A2800" t="inlineStr">
        <is>
          <t>A 63715-2019</t>
        </is>
      </c>
      <c r="B2800" s="1" t="n">
        <v>43789</v>
      </c>
      <c r="C2800" s="1" t="n">
        <v>45363</v>
      </c>
      <c r="D2800" t="inlineStr">
        <is>
          <t>JÄMTLANDS LÄN</t>
        </is>
      </c>
      <c r="E2800" t="inlineStr">
        <is>
          <t>STRÖMSUND</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62568-2019</t>
        </is>
      </c>
      <c r="B2801" s="1" t="n">
        <v>43789</v>
      </c>
      <c r="C2801" s="1" t="n">
        <v>45363</v>
      </c>
      <c r="D2801" t="inlineStr">
        <is>
          <t>JÄMTLANDS LÄN</t>
        </is>
      </c>
      <c r="E2801" t="inlineStr">
        <is>
          <t>KROKOM</t>
        </is>
      </c>
      <c r="F2801" t="inlineStr">
        <is>
          <t>Övriga Aktiebolag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62511-2019</t>
        </is>
      </c>
      <c r="B2802" s="1" t="n">
        <v>43789</v>
      </c>
      <c r="C2802" s="1" t="n">
        <v>45363</v>
      </c>
      <c r="D2802" t="inlineStr">
        <is>
          <t>JÄMTLANDS LÄN</t>
        </is>
      </c>
      <c r="E2802" t="inlineStr">
        <is>
          <t>STRÖMSUND</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62973-2019</t>
        </is>
      </c>
      <c r="B2803" s="1" t="n">
        <v>43790</v>
      </c>
      <c r="C2803" s="1" t="n">
        <v>45363</v>
      </c>
      <c r="D2803" t="inlineStr">
        <is>
          <t>JÄMTLANDS LÄN</t>
        </is>
      </c>
      <c r="E2803" t="inlineStr">
        <is>
          <t>BERG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62971-2019</t>
        </is>
      </c>
      <c r="B2804" s="1" t="n">
        <v>43790</v>
      </c>
      <c r="C2804" s="1" t="n">
        <v>45363</v>
      </c>
      <c r="D2804" t="inlineStr">
        <is>
          <t>JÄMTLANDS LÄN</t>
        </is>
      </c>
      <c r="E2804" t="inlineStr">
        <is>
          <t>HÄRJEDALEN</t>
        </is>
      </c>
      <c r="F2804" t="inlineStr">
        <is>
          <t>Bergvik skog väst AB</t>
        </is>
      </c>
      <c r="G2804" t="n">
        <v>18.2</v>
      </c>
      <c r="H2804" t="n">
        <v>0</v>
      </c>
      <c r="I2804" t="n">
        <v>0</v>
      </c>
      <c r="J2804" t="n">
        <v>0</v>
      </c>
      <c r="K2804" t="n">
        <v>0</v>
      </c>
      <c r="L2804" t="n">
        <v>0</v>
      </c>
      <c r="M2804" t="n">
        <v>0</v>
      </c>
      <c r="N2804" t="n">
        <v>0</v>
      </c>
      <c r="O2804" t="n">
        <v>0</v>
      </c>
      <c r="P2804" t="n">
        <v>0</v>
      </c>
      <c r="Q2804" t="n">
        <v>0</v>
      </c>
      <c r="R2804" s="2" t="inlineStr"/>
    </row>
    <row r="2805" ht="15" customHeight="1">
      <c r="A2805" t="inlineStr">
        <is>
          <t>A 62864-2019</t>
        </is>
      </c>
      <c r="B2805" s="1" t="n">
        <v>43790</v>
      </c>
      <c r="C2805" s="1" t="n">
        <v>45363</v>
      </c>
      <c r="D2805" t="inlineStr">
        <is>
          <t>JÄMTLANDS LÄN</t>
        </is>
      </c>
      <c r="E2805" t="inlineStr">
        <is>
          <t>KROKOM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63927-2019</t>
        </is>
      </c>
      <c r="B2806" s="1" t="n">
        <v>43790</v>
      </c>
      <c r="C2806" s="1" t="n">
        <v>45363</v>
      </c>
      <c r="D2806" t="inlineStr">
        <is>
          <t>JÄMTLANDS LÄN</t>
        </is>
      </c>
      <c r="E2806" t="inlineStr">
        <is>
          <t>STRÖMSUND</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63918-2019</t>
        </is>
      </c>
      <c r="B2807" s="1" t="n">
        <v>43790</v>
      </c>
      <c r="C2807" s="1" t="n">
        <v>45363</v>
      </c>
      <c r="D2807" t="inlineStr">
        <is>
          <t>JÄMTLANDS LÄN</t>
        </is>
      </c>
      <c r="E2807" t="inlineStr">
        <is>
          <t>STRÖMSUND</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63987-2019</t>
        </is>
      </c>
      <c r="B2808" s="1" t="n">
        <v>43791</v>
      </c>
      <c r="C2808" s="1" t="n">
        <v>45363</v>
      </c>
      <c r="D2808" t="inlineStr">
        <is>
          <t>JÄMTLANDS LÄN</t>
        </is>
      </c>
      <c r="E2808" t="inlineStr">
        <is>
          <t>KROKOM</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64097-2019</t>
        </is>
      </c>
      <c r="B2809" s="1" t="n">
        <v>43791</v>
      </c>
      <c r="C2809" s="1" t="n">
        <v>45363</v>
      </c>
      <c r="D2809" t="inlineStr">
        <is>
          <t>JÄMTLANDS LÄN</t>
        </is>
      </c>
      <c r="E2809" t="inlineStr">
        <is>
          <t>RAGUNDA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63144-2019</t>
        </is>
      </c>
      <c r="B2810" s="1" t="n">
        <v>43791</v>
      </c>
      <c r="C2810" s="1" t="n">
        <v>45363</v>
      </c>
      <c r="D2810" t="inlineStr">
        <is>
          <t>JÄMTLANDS LÄN</t>
        </is>
      </c>
      <c r="E2810" t="inlineStr">
        <is>
          <t>BERG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63429-2019</t>
        </is>
      </c>
      <c r="B2811" s="1" t="n">
        <v>43794</v>
      </c>
      <c r="C2811" s="1" t="n">
        <v>45363</v>
      </c>
      <c r="D2811" t="inlineStr">
        <is>
          <t>JÄMTLANDS LÄN</t>
        </is>
      </c>
      <c r="E2811" t="inlineStr">
        <is>
          <t>STRÖMSUND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63338-2019</t>
        </is>
      </c>
      <c r="B2812" s="1" t="n">
        <v>43794</v>
      </c>
      <c r="C2812" s="1" t="n">
        <v>45363</v>
      </c>
      <c r="D2812" t="inlineStr">
        <is>
          <t>JÄMTLANDS LÄN</t>
        </is>
      </c>
      <c r="E2812" t="inlineStr">
        <is>
          <t>KROKOM</t>
        </is>
      </c>
      <c r="F2812" t="inlineStr">
        <is>
          <t>Övriga Aktiebolag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63443-2019</t>
        </is>
      </c>
      <c r="B2813" s="1" t="n">
        <v>43794</v>
      </c>
      <c r="C2813" s="1" t="n">
        <v>45363</v>
      </c>
      <c r="D2813" t="inlineStr">
        <is>
          <t>JÄMTLANDS LÄN</t>
        </is>
      </c>
      <c r="E2813" t="inlineStr">
        <is>
          <t>STRÖMSUND</t>
        </is>
      </c>
      <c r="G2813" t="n">
        <v>13.8</v>
      </c>
      <c r="H2813" t="n">
        <v>0</v>
      </c>
      <c r="I2813" t="n">
        <v>0</v>
      </c>
      <c r="J2813" t="n">
        <v>0</v>
      </c>
      <c r="K2813" t="n">
        <v>0</v>
      </c>
      <c r="L2813" t="n">
        <v>0</v>
      </c>
      <c r="M2813" t="n">
        <v>0</v>
      </c>
      <c r="N2813" t="n">
        <v>0</v>
      </c>
      <c r="O2813" t="n">
        <v>0</v>
      </c>
      <c r="P2813" t="n">
        <v>0</v>
      </c>
      <c r="Q2813" t="n">
        <v>0</v>
      </c>
      <c r="R2813" s="2" t="inlineStr"/>
    </row>
    <row r="2814" ht="15" customHeight="1">
      <c r="A2814" t="inlineStr">
        <is>
          <t>A 63426-2019</t>
        </is>
      </c>
      <c r="B2814" s="1" t="n">
        <v>43794</v>
      </c>
      <c r="C2814" s="1" t="n">
        <v>45363</v>
      </c>
      <c r="D2814" t="inlineStr">
        <is>
          <t>JÄMTLANDS LÄN</t>
        </is>
      </c>
      <c r="E2814" t="inlineStr">
        <is>
          <t>STRÖMSUND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64622-2019</t>
        </is>
      </c>
      <c r="B2815" s="1" t="n">
        <v>43794</v>
      </c>
      <c r="C2815" s="1" t="n">
        <v>45363</v>
      </c>
      <c r="D2815" t="inlineStr">
        <is>
          <t>JÄMTLANDS LÄN</t>
        </is>
      </c>
      <c r="E2815" t="inlineStr">
        <is>
          <t>ÖSTERSUND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63444-2019</t>
        </is>
      </c>
      <c r="B2816" s="1" t="n">
        <v>43794</v>
      </c>
      <c r="C2816" s="1" t="n">
        <v>45363</v>
      </c>
      <c r="D2816" t="inlineStr">
        <is>
          <t>JÄMTLANDS LÄN</t>
        </is>
      </c>
      <c r="E2816" t="inlineStr">
        <is>
          <t>STRÖMSUND</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63345-2019</t>
        </is>
      </c>
      <c r="B2817" s="1" t="n">
        <v>43794</v>
      </c>
      <c r="C2817" s="1" t="n">
        <v>45363</v>
      </c>
      <c r="D2817" t="inlineStr">
        <is>
          <t>JÄMTLANDS LÄN</t>
        </is>
      </c>
      <c r="E2817" t="inlineStr">
        <is>
          <t>KROKOM</t>
        </is>
      </c>
      <c r="F2817" t="inlineStr">
        <is>
          <t>Övriga Aktiebolag</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64417-2019</t>
        </is>
      </c>
      <c r="B2818" s="1" t="n">
        <v>43794</v>
      </c>
      <c r="C2818" s="1" t="n">
        <v>45363</v>
      </c>
      <c r="D2818" t="inlineStr">
        <is>
          <t>JÄMTLANDS LÄN</t>
        </is>
      </c>
      <c r="E2818" t="inlineStr">
        <is>
          <t>HÄRJEDALEN</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63841-2019</t>
        </is>
      </c>
      <c r="B2819" s="1" t="n">
        <v>43795</v>
      </c>
      <c r="C2819" s="1" t="n">
        <v>45363</v>
      </c>
      <c r="D2819" t="inlineStr">
        <is>
          <t>JÄMTLANDS LÄN</t>
        </is>
      </c>
      <c r="E2819" t="inlineStr">
        <is>
          <t>RAGUNDA</t>
        </is>
      </c>
      <c r="F2819" t="inlineStr">
        <is>
          <t>SCA</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64133-2019</t>
        </is>
      </c>
      <c r="B2820" s="1" t="n">
        <v>43796</v>
      </c>
      <c r="C2820" s="1" t="n">
        <v>45363</v>
      </c>
      <c r="D2820" t="inlineStr">
        <is>
          <t>JÄMTLANDS LÄN</t>
        </is>
      </c>
      <c r="E2820" t="inlineStr">
        <is>
          <t>BRÄCKE</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64138-2019</t>
        </is>
      </c>
      <c r="B2821" s="1" t="n">
        <v>43796</v>
      </c>
      <c r="C2821" s="1" t="n">
        <v>45363</v>
      </c>
      <c r="D2821" t="inlineStr">
        <is>
          <t>JÄMTLANDS LÄN</t>
        </is>
      </c>
      <c r="E2821" t="inlineStr">
        <is>
          <t>STRÖMSUND</t>
        </is>
      </c>
      <c r="F2821" t="inlineStr">
        <is>
          <t>SCA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64316-2019</t>
        </is>
      </c>
      <c r="B2822" s="1" t="n">
        <v>43797</v>
      </c>
      <c r="C2822" s="1" t="n">
        <v>45363</v>
      </c>
      <c r="D2822" t="inlineStr">
        <is>
          <t>JÄMTLANDS LÄN</t>
        </is>
      </c>
      <c r="E2822" t="inlineStr">
        <is>
          <t>RAGUNDA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64229-2019</t>
        </is>
      </c>
      <c r="B2823" s="1" t="n">
        <v>43797</v>
      </c>
      <c r="C2823" s="1" t="n">
        <v>45363</v>
      </c>
      <c r="D2823" t="inlineStr">
        <is>
          <t>JÄMTLANDS LÄN</t>
        </is>
      </c>
      <c r="E2823" t="inlineStr">
        <is>
          <t>HÄRJEDALEN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64475-2019</t>
        </is>
      </c>
      <c r="B2824" s="1" t="n">
        <v>43797</v>
      </c>
      <c r="C2824" s="1" t="n">
        <v>45363</v>
      </c>
      <c r="D2824" t="inlineStr">
        <is>
          <t>JÄMTLANDS LÄN</t>
        </is>
      </c>
      <c r="E2824" t="inlineStr">
        <is>
          <t>BRÄCKE</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64463-2019</t>
        </is>
      </c>
      <c r="B2825" s="1" t="n">
        <v>43797</v>
      </c>
      <c r="C2825" s="1" t="n">
        <v>45363</v>
      </c>
      <c r="D2825" t="inlineStr">
        <is>
          <t>JÄMTLANDS LÄN</t>
        </is>
      </c>
      <c r="E2825" t="inlineStr">
        <is>
          <t>STRÖMSUND</t>
        </is>
      </c>
      <c r="F2825" t="inlineStr">
        <is>
          <t>SCA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64432-2019</t>
        </is>
      </c>
      <c r="B2826" s="1" t="n">
        <v>43797</v>
      </c>
      <c r="C2826" s="1" t="n">
        <v>45363</v>
      </c>
      <c r="D2826" t="inlineStr">
        <is>
          <t>JÄMTLANDS LÄN</t>
        </is>
      </c>
      <c r="E2826" t="inlineStr">
        <is>
          <t>RAGUNDA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65415-2019</t>
        </is>
      </c>
      <c r="B2827" s="1" t="n">
        <v>43797</v>
      </c>
      <c r="C2827" s="1" t="n">
        <v>45363</v>
      </c>
      <c r="D2827" t="inlineStr">
        <is>
          <t>JÄMTLANDS LÄN</t>
        </is>
      </c>
      <c r="E2827" t="inlineStr">
        <is>
          <t>STRÖMSUND</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65390-2019</t>
        </is>
      </c>
      <c r="B2828" s="1" t="n">
        <v>43797</v>
      </c>
      <c r="C2828" s="1" t="n">
        <v>45363</v>
      </c>
      <c r="D2828" t="inlineStr">
        <is>
          <t>JÄMTLANDS LÄN</t>
        </is>
      </c>
      <c r="E2828" t="inlineStr">
        <is>
          <t>STRÖMSUND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64689-2019</t>
        </is>
      </c>
      <c r="B2829" s="1" t="n">
        <v>43798</v>
      </c>
      <c r="C2829" s="1" t="n">
        <v>45363</v>
      </c>
      <c r="D2829" t="inlineStr">
        <is>
          <t>JÄMTLANDS LÄN</t>
        </is>
      </c>
      <c r="E2829" t="inlineStr">
        <is>
          <t>HÄRJEDALEN</t>
        </is>
      </c>
      <c r="F2829" t="inlineStr">
        <is>
          <t>Holmen skog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65065-2019</t>
        </is>
      </c>
      <c r="B2830" s="1" t="n">
        <v>43801</v>
      </c>
      <c r="C2830" s="1" t="n">
        <v>45363</v>
      </c>
      <c r="D2830" t="inlineStr">
        <is>
          <t>JÄMTLANDS LÄN</t>
        </is>
      </c>
      <c r="E2830" t="inlineStr">
        <is>
          <t>KROKOM</t>
        </is>
      </c>
      <c r="F2830" t="inlineStr">
        <is>
          <t>Övriga Aktiebolag</t>
        </is>
      </c>
      <c r="G2830" t="n">
        <v>30.7</v>
      </c>
      <c r="H2830" t="n">
        <v>0</v>
      </c>
      <c r="I2830" t="n">
        <v>0</v>
      </c>
      <c r="J2830" t="n">
        <v>0</v>
      </c>
      <c r="K2830" t="n">
        <v>0</v>
      </c>
      <c r="L2830" t="n">
        <v>0</v>
      </c>
      <c r="M2830" t="n">
        <v>0</v>
      </c>
      <c r="N2830" t="n">
        <v>0</v>
      </c>
      <c r="O2830" t="n">
        <v>0</v>
      </c>
      <c r="P2830" t="n">
        <v>0</v>
      </c>
      <c r="Q2830" t="n">
        <v>0</v>
      </c>
      <c r="R2830" s="2" t="inlineStr"/>
    </row>
    <row r="2831" ht="15" customHeight="1">
      <c r="A2831" t="inlineStr">
        <is>
          <t>A 65986-2019</t>
        </is>
      </c>
      <c r="B2831" s="1" t="n">
        <v>43801</v>
      </c>
      <c r="C2831" s="1" t="n">
        <v>45363</v>
      </c>
      <c r="D2831" t="inlineStr">
        <is>
          <t>JÄMTLANDS LÄN</t>
        </is>
      </c>
      <c r="E2831" t="inlineStr">
        <is>
          <t>ÅRE</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65038-2019</t>
        </is>
      </c>
      <c r="B2832" s="1" t="n">
        <v>43801</v>
      </c>
      <c r="C2832" s="1" t="n">
        <v>45363</v>
      </c>
      <c r="D2832" t="inlineStr">
        <is>
          <t>JÄMTLANDS LÄN</t>
        </is>
      </c>
      <c r="E2832" t="inlineStr">
        <is>
          <t>BRÄCKE</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65323-2019</t>
        </is>
      </c>
      <c r="B2833" s="1" t="n">
        <v>43802</v>
      </c>
      <c r="C2833" s="1" t="n">
        <v>45363</v>
      </c>
      <c r="D2833" t="inlineStr">
        <is>
          <t>JÄMTLANDS LÄN</t>
        </is>
      </c>
      <c r="E2833" t="inlineStr">
        <is>
          <t>KROKOM</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65335-2019</t>
        </is>
      </c>
      <c r="B2834" s="1" t="n">
        <v>43802</v>
      </c>
      <c r="C2834" s="1" t="n">
        <v>45363</v>
      </c>
      <c r="D2834" t="inlineStr">
        <is>
          <t>JÄMTLANDS LÄN</t>
        </is>
      </c>
      <c r="E2834" t="inlineStr">
        <is>
          <t>ÖSTERSUND</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65322-2019</t>
        </is>
      </c>
      <c r="B2835" s="1" t="n">
        <v>43802</v>
      </c>
      <c r="C2835" s="1" t="n">
        <v>45363</v>
      </c>
      <c r="D2835" t="inlineStr">
        <is>
          <t>JÄMTLANDS LÄN</t>
        </is>
      </c>
      <c r="E2835" t="inlineStr">
        <is>
          <t>KROKOM</t>
        </is>
      </c>
      <c r="F2835" t="inlineStr">
        <is>
          <t>SCA</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66574-2019</t>
        </is>
      </c>
      <c r="B2836" s="1" t="n">
        <v>43803</v>
      </c>
      <c r="C2836" s="1" t="n">
        <v>45363</v>
      </c>
      <c r="D2836" t="inlineStr">
        <is>
          <t>JÄMTLANDS LÄN</t>
        </is>
      </c>
      <c r="E2836" t="inlineStr">
        <is>
          <t>STRÖMSUND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66475-2019</t>
        </is>
      </c>
      <c r="B2837" s="1" t="n">
        <v>43803</v>
      </c>
      <c r="C2837" s="1" t="n">
        <v>45363</v>
      </c>
      <c r="D2837" t="inlineStr">
        <is>
          <t>JÄMTLANDS LÄN</t>
        </is>
      </c>
      <c r="E2837" t="inlineStr">
        <is>
          <t>RAGUNDA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65759-2019</t>
        </is>
      </c>
      <c r="B2838" s="1" t="n">
        <v>43804</v>
      </c>
      <c r="C2838" s="1" t="n">
        <v>45363</v>
      </c>
      <c r="D2838" t="inlineStr">
        <is>
          <t>JÄMTLANDS LÄN</t>
        </is>
      </c>
      <c r="E2838" t="inlineStr">
        <is>
          <t>HÄRJEDALEN</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65781-2019</t>
        </is>
      </c>
      <c r="B2839" s="1" t="n">
        <v>43804</v>
      </c>
      <c r="C2839" s="1" t="n">
        <v>45363</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65786-2019</t>
        </is>
      </c>
      <c r="B2840" s="1" t="n">
        <v>43804</v>
      </c>
      <c r="C2840" s="1" t="n">
        <v>45363</v>
      </c>
      <c r="D2840" t="inlineStr">
        <is>
          <t>JÄMTLANDS LÄN</t>
        </is>
      </c>
      <c r="E2840" t="inlineStr">
        <is>
          <t>KROKOM</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65780-2019</t>
        </is>
      </c>
      <c r="B2841" s="1" t="n">
        <v>43804</v>
      </c>
      <c r="C2841" s="1" t="n">
        <v>45363</v>
      </c>
      <c r="D2841" t="inlineStr">
        <is>
          <t>JÄMTLANDS LÄN</t>
        </is>
      </c>
      <c r="E2841" t="inlineStr">
        <is>
          <t>KROKOM</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66051-2019</t>
        </is>
      </c>
      <c r="B2842" s="1" t="n">
        <v>43805</v>
      </c>
      <c r="C2842" s="1" t="n">
        <v>45363</v>
      </c>
      <c r="D2842" t="inlineStr">
        <is>
          <t>JÄMTLANDS LÄN</t>
        </is>
      </c>
      <c r="E2842" t="inlineStr">
        <is>
          <t>KROKOM</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67064-2019</t>
        </is>
      </c>
      <c r="B2843" s="1" t="n">
        <v>43805</v>
      </c>
      <c r="C2843" s="1" t="n">
        <v>45363</v>
      </c>
      <c r="D2843" t="inlineStr">
        <is>
          <t>JÄMTLANDS LÄN</t>
        </is>
      </c>
      <c r="E2843" t="inlineStr">
        <is>
          <t>STRÖMSUND</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67122-2019</t>
        </is>
      </c>
      <c r="B2844" s="1" t="n">
        <v>43805</v>
      </c>
      <c r="C2844" s="1" t="n">
        <v>45363</v>
      </c>
      <c r="D2844" t="inlineStr">
        <is>
          <t>JÄMTLANDS LÄN</t>
        </is>
      </c>
      <c r="E2844" t="inlineStr">
        <is>
          <t>RAGUNDA</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65893-2019</t>
        </is>
      </c>
      <c r="B2845" s="1" t="n">
        <v>43805</v>
      </c>
      <c r="C2845" s="1" t="n">
        <v>45363</v>
      </c>
      <c r="D2845" t="inlineStr">
        <is>
          <t>JÄMTLANDS LÄN</t>
        </is>
      </c>
      <c r="E2845" t="inlineStr">
        <is>
          <t>BERG</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67010-2019</t>
        </is>
      </c>
      <c r="B2846" s="1" t="n">
        <v>43805</v>
      </c>
      <c r="C2846" s="1" t="n">
        <v>45363</v>
      </c>
      <c r="D2846" t="inlineStr">
        <is>
          <t>JÄMTLANDS LÄN</t>
        </is>
      </c>
      <c r="E2846" t="inlineStr">
        <is>
          <t>ÖSTERSUND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66255-2019</t>
        </is>
      </c>
      <c r="B2847" s="1" t="n">
        <v>43808</v>
      </c>
      <c r="C2847" s="1" t="n">
        <v>45363</v>
      </c>
      <c r="D2847" t="inlineStr">
        <is>
          <t>JÄMTLANDS LÄN</t>
        </is>
      </c>
      <c r="E2847" t="inlineStr">
        <is>
          <t>HÄRJEDALEN</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66377-2019</t>
        </is>
      </c>
      <c r="B2848" s="1" t="n">
        <v>43808</v>
      </c>
      <c r="C2848" s="1" t="n">
        <v>45363</v>
      </c>
      <c r="D2848" t="inlineStr">
        <is>
          <t>JÄMTLANDS LÄN</t>
        </is>
      </c>
      <c r="E2848" t="inlineStr">
        <is>
          <t>BRÄCKE</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66275-2019</t>
        </is>
      </c>
      <c r="B2849" s="1" t="n">
        <v>43808</v>
      </c>
      <c r="C2849" s="1" t="n">
        <v>45363</v>
      </c>
      <c r="D2849" t="inlineStr">
        <is>
          <t>JÄMTLANDS LÄN</t>
        </is>
      </c>
      <c r="E2849" t="inlineStr">
        <is>
          <t>BERG</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66349-2019</t>
        </is>
      </c>
      <c r="B2850" s="1" t="n">
        <v>43808</v>
      </c>
      <c r="C2850" s="1" t="n">
        <v>45363</v>
      </c>
      <c r="D2850" t="inlineStr">
        <is>
          <t>JÄMTLANDS LÄN</t>
        </is>
      </c>
      <c r="E2850" t="inlineStr">
        <is>
          <t>STRÖMSUND</t>
        </is>
      </c>
      <c r="F2850" t="inlineStr">
        <is>
          <t>Sveaskog</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66395-2019</t>
        </is>
      </c>
      <c r="B2851" s="1" t="n">
        <v>43808</v>
      </c>
      <c r="C2851" s="1" t="n">
        <v>45363</v>
      </c>
      <c r="D2851" t="inlineStr">
        <is>
          <t>JÄMTLANDS LÄN</t>
        </is>
      </c>
      <c r="E2851" t="inlineStr">
        <is>
          <t>ÅRE</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67556-2019</t>
        </is>
      </c>
      <c r="B2852" s="1" t="n">
        <v>43808</v>
      </c>
      <c r="C2852" s="1" t="n">
        <v>45363</v>
      </c>
      <c r="D2852" t="inlineStr">
        <is>
          <t>JÄMTLANDS LÄN</t>
        </is>
      </c>
      <c r="E2852" t="inlineStr">
        <is>
          <t>BERG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66376-2019</t>
        </is>
      </c>
      <c r="B2853" s="1" t="n">
        <v>43808</v>
      </c>
      <c r="C2853" s="1" t="n">
        <v>45363</v>
      </c>
      <c r="D2853" t="inlineStr">
        <is>
          <t>JÄMTLANDS LÄN</t>
        </is>
      </c>
      <c r="E2853" t="inlineStr">
        <is>
          <t>BRÄCKE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66444-2019</t>
        </is>
      </c>
      <c r="B2854" s="1" t="n">
        <v>43809</v>
      </c>
      <c r="C2854" s="1" t="n">
        <v>45363</v>
      </c>
      <c r="D2854" t="inlineStr">
        <is>
          <t>JÄMTLANDS LÄN</t>
        </is>
      </c>
      <c r="E2854" t="inlineStr">
        <is>
          <t>KROKOM</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66592-2019</t>
        </is>
      </c>
      <c r="B2855" s="1" t="n">
        <v>43809</v>
      </c>
      <c r="C2855" s="1" t="n">
        <v>45363</v>
      </c>
      <c r="D2855" t="inlineStr">
        <is>
          <t>JÄMTLANDS LÄN</t>
        </is>
      </c>
      <c r="E2855" t="inlineStr">
        <is>
          <t>ÖSTERSUND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67863-2019</t>
        </is>
      </c>
      <c r="B2856" s="1" t="n">
        <v>43809</v>
      </c>
      <c r="C2856" s="1" t="n">
        <v>45363</v>
      </c>
      <c r="D2856" t="inlineStr">
        <is>
          <t>JÄMTLANDS LÄN</t>
        </is>
      </c>
      <c r="E2856" t="inlineStr">
        <is>
          <t>ÖSTERSUND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66774-2019</t>
        </is>
      </c>
      <c r="B2857" s="1" t="n">
        <v>43810</v>
      </c>
      <c r="C2857" s="1" t="n">
        <v>45363</v>
      </c>
      <c r="D2857" t="inlineStr">
        <is>
          <t>JÄMTLANDS LÄN</t>
        </is>
      </c>
      <c r="E2857" t="inlineStr">
        <is>
          <t>ÅRE</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66787-2019</t>
        </is>
      </c>
      <c r="B2858" s="1" t="n">
        <v>43810</v>
      </c>
      <c r="C2858" s="1" t="n">
        <v>45363</v>
      </c>
      <c r="D2858" t="inlineStr">
        <is>
          <t>JÄMTLANDS LÄN</t>
        </is>
      </c>
      <c r="E2858" t="inlineStr">
        <is>
          <t>ÅRE</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66735-2019</t>
        </is>
      </c>
      <c r="B2859" s="1" t="n">
        <v>43810</v>
      </c>
      <c r="C2859" s="1" t="n">
        <v>45363</v>
      </c>
      <c r="D2859" t="inlineStr">
        <is>
          <t>JÄMTLANDS LÄN</t>
        </is>
      </c>
      <c r="E2859" t="inlineStr">
        <is>
          <t>HÄRJEDALEN</t>
        </is>
      </c>
      <c r="F2859" t="inlineStr">
        <is>
          <t>Sveaskog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68001-2019</t>
        </is>
      </c>
      <c r="B2860" s="1" t="n">
        <v>43810</v>
      </c>
      <c r="C2860" s="1" t="n">
        <v>45363</v>
      </c>
      <c r="D2860" t="inlineStr">
        <is>
          <t>JÄMTLANDS LÄN</t>
        </is>
      </c>
      <c r="E2860" t="inlineStr">
        <is>
          <t>BRÄCKE</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67323-2019</t>
        </is>
      </c>
      <c r="B2861" s="1" t="n">
        <v>43810</v>
      </c>
      <c r="C2861" s="1" t="n">
        <v>45363</v>
      </c>
      <c r="D2861" t="inlineStr">
        <is>
          <t>JÄMTLANDS LÄN</t>
        </is>
      </c>
      <c r="E2861" t="inlineStr">
        <is>
          <t>KROKOM</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67098-2019</t>
        </is>
      </c>
      <c r="B2862" s="1" t="n">
        <v>43811</v>
      </c>
      <c r="C2862" s="1" t="n">
        <v>45363</v>
      </c>
      <c r="D2862" t="inlineStr">
        <is>
          <t>JÄMTLANDS LÄN</t>
        </is>
      </c>
      <c r="E2862" t="inlineStr">
        <is>
          <t>KROKOM</t>
        </is>
      </c>
      <c r="F2862" t="inlineStr">
        <is>
          <t>Övriga Aktiebolag</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67102-2019</t>
        </is>
      </c>
      <c r="B2863" s="1" t="n">
        <v>43811</v>
      </c>
      <c r="C2863" s="1" t="n">
        <v>45363</v>
      </c>
      <c r="D2863" t="inlineStr">
        <is>
          <t>JÄMTLANDS LÄN</t>
        </is>
      </c>
      <c r="E2863" t="inlineStr">
        <is>
          <t>KROKOM</t>
        </is>
      </c>
      <c r="F2863" t="inlineStr">
        <is>
          <t>Övriga Aktiebolag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67071-2019</t>
        </is>
      </c>
      <c r="B2864" s="1" t="n">
        <v>43811</v>
      </c>
      <c r="C2864" s="1" t="n">
        <v>45363</v>
      </c>
      <c r="D2864" t="inlineStr">
        <is>
          <t>JÄMTLANDS LÄN</t>
        </is>
      </c>
      <c r="E2864" t="inlineStr">
        <is>
          <t>KROKOM</t>
        </is>
      </c>
      <c r="F2864" t="inlineStr">
        <is>
          <t>Övriga Aktiebolag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67081-2019</t>
        </is>
      </c>
      <c r="B2865" s="1" t="n">
        <v>43811</v>
      </c>
      <c r="C2865" s="1" t="n">
        <v>45363</v>
      </c>
      <c r="D2865" t="inlineStr">
        <is>
          <t>JÄMTLANDS LÄN</t>
        </is>
      </c>
      <c r="E2865" t="inlineStr">
        <is>
          <t>KROKOM</t>
        </is>
      </c>
      <c r="F2865" t="inlineStr">
        <is>
          <t>Övriga Aktiebolag</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67214-2019</t>
        </is>
      </c>
      <c r="B2866" s="1" t="n">
        <v>43811</v>
      </c>
      <c r="C2866" s="1" t="n">
        <v>45363</v>
      </c>
      <c r="D2866" t="inlineStr">
        <is>
          <t>JÄMTLANDS LÄN</t>
        </is>
      </c>
      <c r="E2866" t="inlineStr">
        <is>
          <t>BRÄCKE</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67988-2019</t>
        </is>
      </c>
      <c r="B2867" s="1" t="n">
        <v>43811</v>
      </c>
      <c r="C2867" s="1" t="n">
        <v>45363</v>
      </c>
      <c r="D2867" t="inlineStr">
        <is>
          <t>JÄMTLANDS LÄN</t>
        </is>
      </c>
      <c r="E2867" t="inlineStr">
        <is>
          <t>ÅRE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67898-2019</t>
        </is>
      </c>
      <c r="B2868" s="1" t="n">
        <v>43811</v>
      </c>
      <c r="C2868" s="1" t="n">
        <v>45363</v>
      </c>
      <c r="D2868" t="inlineStr">
        <is>
          <t>JÄMTLANDS LÄN</t>
        </is>
      </c>
      <c r="E2868" t="inlineStr">
        <is>
          <t>BERG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67225-2019</t>
        </is>
      </c>
      <c r="B2869" s="1" t="n">
        <v>43811</v>
      </c>
      <c r="C2869" s="1" t="n">
        <v>45363</v>
      </c>
      <c r="D2869" t="inlineStr">
        <is>
          <t>JÄMTLANDS LÄN</t>
        </is>
      </c>
      <c r="E2869" t="inlineStr">
        <is>
          <t>BERG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68480-2019</t>
        </is>
      </c>
      <c r="B2870" s="1" t="n">
        <v>43811</v>
      </c>
      <c r="C2870" s="1" t="n">
        <v>45363</v>
      </c>
      <c r="D2870" t="inlineStr">
        <is>
          <t>JÄMTLANDS LÄN</t>
        </is>
      </c>
      <c r="E2870" t="inlineStr">
        <is>
          <t>KROKOM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67285-2019</t>
        </is>
      </c>
      <c r="B2871" s="1" t="n">
        <v>43812</v>
      </c>
      <c r="C2871" s="1" t="n">
        <v>45363</v>
      </c>
      <c r="D2871" t="inlineStr">
        <is>
          <t>JÄMTLANDS LÄN</t>
        </is>
      </c>
      <c r="E2871" t="inlineStr">
        <is>
          <t>RAGUNDA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67255-2019</t>
        </is>
      </c>
      <c r="B2872" s="1" t="n">
        <v>43812</v>
      </c>
      <c r="C2872" s="1" t="n">
        <v>45363</v>
      </c>
      <c r="D2872" t="inlineStr">
        <is>
          <t>JÄMTLANDS LÄN</t>
        </is>
      </c>
      <c r="E2872" t="inlineStr">
        <is>
          <t>BERG</t>
        </is>
      </c>
      <c r="G2872" t="n">
        <v>14.7</v>
      </c>
      <c r="H2872" t="n">
        <v>0</v>
      </c>
      <c r="I2872" t="n">
        <v>0</v>
      </c>
      <c r="J2872" t="n">
        <v>0</v>
      </c>
      <c r="K2872" t="n">
        <v>0</v>
      </c>
      <c r="L2872" t="n">
        <v>0</v>
      </c>
      <c r="M2872" t="n">
        <v>0</v>
      </c>
      <c r="N2872" t="n">
        <v>0</v>
      </c>
      <c r="O2872" t="n">
        <v>0</v>
      </c>
      <c r="P2872" t="n">
        <v>0</v>
      </c>
      <c r="Q2872" t="n">
        <v>0</v>
      </c>
      <c r="R2872" s="2" t="inlineStr"/>
    </row>
    <row r="2873" ht="15" customHeight="1">
      <c r="A2873" t="inlineStr">
        <is>
          <t>A 67619-2019</t>
        </is>
      </c>
      <c r="B2873" s="1" t="n">
        <v>43815</v>
      </c>
      <c r="C2873" s="1" t="n">
        <v>45363</v>
      </c>
      <c r="D2873" t="inlineStr">
        <is>
          <t>JÄMTLANDS LÄN</t>
        </is>
      </c>
      <c r="E2873" t="inlineStr">
        <is>
          <t>HÄRJEDALEN</t>
        </is>
      </c>
      <c r="F2873" t="inlineStr">
        <is>
          <t>Holmen skog AB</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67693-2019</t>
        </is>
      </c>
      <c r="B2874" s="1" t="n">
        <v>43815</v>
      </c>
      <c r="C2874" s="1" t="n">
        <v>45363</v>
      </c>
      <c r="D2874" t="inlineStr">
        <is>
          <t>JÄMTLANDS LÄN</t>
        </is>
      </c>
      <c r="E2874" t="inlineStr">
        <is>
          <t>HÄRJEDALEN</t>
        </is>
      </c>
      <c r="F2874" t="inlineStr">
        <is>
          <t>Holmen skog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67500-2019</t>
        </is>
      </c>
      <c r="B2875" s="1" t="n">
        <v>43815</v>
      </c>
      <c r="C2875" s="1" t="n">
        <v>45363</v>
      </c>
      <c r="D2875" t="inlineStr">
        <is>
          <t>JÄMTLANDS LÄN</t>
        </is>
      </c>
      <c r="E2875" t="inlineStr">
        <is>
          <t>HÄRJEDALEN</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67695-2019</t>
        </is>
      </c>
      <c r="B2876" s="1" t="n">
        <v>43815</v>
      </c>
      <c r="C2876" s="1" t="n">
        <v>45363</v>
      </c>
      <c r="D2876" t="inlineStr">
        <is>
          <t>JÄMTLANDS LÄN</t>
        </is>
      </c>
      <c r="E2876" t="inlineStr">
        <is>
          <t>HÄRJEDALEN</t>
        </is>
      </c>
      <c r="F2876" t="inlineStr">
        <is>
          <t>Holmen skog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67757-2019</t>
        </is>
      </c>
      <c r="B2877" s="1" t="n">
        <v>43815</v>
      </c>
      <c r="C2877" s="1" t="n">
        <v>45363</v>
      </c>
      <c r="D2877" t="inlineStr">
        <is>
          <t>JÄMTLANDS LÄN</t>
        </is>
      </c>
      <c r="E2877" t="inlineStr">
        <is>
          <t>HÄRJEDALEN</t>
        </is>
      </c>
      <c r="F2877" t="inlineStr">
        <is>
          <t>Holmen skog AB</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67820-2019</t>
        </is>
      </c>
      <c r="B2878" s="1" t="n">
        <v>43815</v>
      </c>
      <c r="C2878" s="1" t="n">
        <v>45363</v>
      </c>
      <c r="D2878" t="inlineStr">
        <is>
          <t>JÄMTLANDS LÄN</t>
        </is>
      </c>
      <c r="E2878" t="inlineStr">
        <is>
          <t>STRÖMSUND</t>
        </is>
      </c>
      <c r="F2878" t="inlineStr">
        <is>
          <t>SCA</t>
        </is>
      </c>
      <c r="G2878" t="n">
        <v>28.7</v>
      </c>
      <c r="H2878" t="n">
        <v>0</v>
      </c>
      <c r="I2878" t="n">
        <v>0</v>
      </c>
      <c r="J2878" t="n">
        <v>0</v>
      </c>
      <c r="K2878" t="n">
        <v>0</v>
      </c>
      <c r="L2878" t="n">
        <v>0</v>
      </c>
      <c r="M2878" t="n">
        <v>0</v>
      </c>
      <c r="N2878" t="n">
        <v>0</v>
      </c>
      <c r="O2878" t="n">
        <v>0</v>
      </c>
      <c r="P2878" t="n">
        <v>0</v>
      </c>
      <c r="Q2878" t="n">
        <v>0</v>
      </c>
      <c r="R2878" s="2" t="inlineStr"/>
    </row>
    <row r="2879" ht="15" customHeight="1">
      <c r="A2879" t="inlineStr">
        <is>
          <t>A 67688-2019</t>
        </is>
      </c>
      <c r="B2879" s="1" t="n">
        <v>43815</v>
      </c>
      <c r="C2879" s="1" t="n">
        <v>45363</v>
      </c>
      <c r="D2879" t="inlineStr">
        <is>
          <t>JÄMTLANDS LÄN</t>
        </is>
      </c>
      <c r="E2879" t="inlineStr">
        <is>
          <t>HÄRJEDALEN</t>
        </is>
      </c>
      <c r="F2879" t="inlineStr">
        <is>
          <t>Holmen skog AB</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67738-2019</t>
        </is>
      </c>
      <c r="B2880" s="1" t="n">
        <v>43815</v>
      </c>
      <c r="C2880" s="1" t="n">
        <v>45363</v>
      </c>
      <c r="D2880" t="inlineStr">
        <is>
          <t>JÄMTLANDS LÄN</t>
        </is>
      </c>
      <c r="E2880" t="inlineStr">
        <is>
          <t>HÄRJEDALEN</t>
        </is>
      </c>
      <c r="F2880" t="inlineStr">
        <is>
          <t>Holmen skog AB</t>
        </is>
      </c>
      <c r="G2880" t="n">
        <v>15.9</v>
      </c>
      <c r="H2880" t="n">
        <v>0</v>
      </c>
      <c r="I2880" t="n">
        <v>0</v>
      </c>
      <c r="J2880" t="n">
        <v>0</v>
      </c>
      <c r="K2880" t="n">
        <v>0</v>
      </c>
      <c r="L2880" t="n">
        <v>0</v>
      </c>
      <c r="M2880" t="n">
        <v>0</v>
      </c>
      <c r="N2880" t="n">
        <v>0</v>
      </c>
      <c r="O2880" t="n">
        <v>0</v>
      </c>
      <c r="P2880" t="n">
        <v>0</v>
      </c>
      <c r="Q2880" t="n">
        <v>0</v>
      </c>
      <c r="R2880" s="2" t="inlineStr"/>
    </row>
    <row r="2881" ht="15" customHeight="1">
      <c r="A2881" t="inlineStr">
        <is>
          <t>A 67506-2019</t>
        </is>
      </c>
      <c r="B2881" s="1" t="n">
        <v>43815</v>
      </c>
      <c r="C2881" s="1" t="n">
        <v>45363</v>
      </c>
      <c r="D2881" t="inlineStr">
        <is>
          <t>JÄMTLANDS LÄN</t>
        </is>
      </c>
      <c r="E2881" t="inlineStr">
        <is>
          <t>HÄRJEDALEN</t>
        </is>
      </c>
      <c r="F2881" t="inlineStr">
        <is>
          <t>Holmen skog AB</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67692-2019</t>
        </is>
      </c>
      <c r="B2882" s="1" t="n">
        <v>43815</v>
      </c>
      <c r="C2882" s="1" t="n">
        <v>45363</v>
      </c>
      <c r="D2882" t="inlineStr">
        <is>
          <t>JÄMTLANDS LÄN</t>
        </is>
      </c>
      <c r="E2882" t="inlineStr">
        <is>
          <t>HÄRJEDALEN</t>
        </is>
      </c>
      <c r="F2882" t="inlineStr">
        <is>
          <t>Holmen skog AB</t>
        </is>
      </c>
      <c r="G2882" t="n">
        <v>12.9</v>
      </c>
      <c r="H2882" t="n">
        <v>0</v>
      </c>
      <c r="I2882" t="n">
        <v>0</v>
      </c>
      <c r="J2882" t="n">
        <v>0</v>
      </c>
      <c r="K2882" t="n">
        <v>0</v>
      </c>
      <c r="L2882" t="n">
        <v>0</v>
      </c>
      <c r="M2882" t="n">
        <v>0</v>
      </c>
      <c r="N2882" t="n">
        <v>0</v>
      </c>
      <c r="O2882" t="n">
        <v>0</v>
      </c>
      <c r="P2882" t="n">
        <v>0</v>
      </c>
      <c r="Q2882" t="n">
        <v>0</v>
      </c>
      <c r="R2882" s="2" t="inlineStr"/>
    </row>
    <row r="2883" ht="15" customHeight="1">
      <c r="A2883" t="inlineStr">
        <is>
          <t>A 67818-2019</t>
        </is>
      </c>
      <c r="B2883" s="1" t="n">
        <v>43815</v>
      </c>
      <c r="C2883" s="1" t="n">
        <v>45363</v>
      </c>
      <c r="D2883" t="inlineStr">
        <is>
          <t>JÄMTLANDS LÄN</t>
        </is>
      </c>
      <c r="E2883" t="inlineStr">
        <is>
          <t>BRÄCKE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67733-2019</t>
        </is>
      </c>
      <c r="B2884" s="1" t="n">
        <v>43815</v>
      </c>
      <c r="C2884" s="1" t="n">
        <v>45363</v>
      </c>
      <c r="D2884" t="inlineStr">
        <is>
          <t>JÄMTLANDS LÄN</t>
        </is>
      </c>
      <c r="E2884" t="inlineStr">
        <is>
          <t>HÄRJEDALEN</t>
        </is>
      </c>
      <c r="F2884" t="inlineStr">
        <is>
          <t>Holmen skog AB</t>
        </is>
      </c>
      <c r="G2884" t="n">
        <v>15.5</v>
      </c>
      <c r="H2884" t="n">
        <v>0</v>
      </c>
      <c r="I2884" t="n">
        <v>0</v>
      </c>
      <c r="J2884" t="n">
        <v>0</v>
      </c>
      <c r="K2884" t="n">
        <v>0</v>
      </c>
      <c r="L2884" t="n">
        <v>0</v>
      </c>
      <c r="M2884" t="n">
        <v>0</v>
      </c>
      <c r="N2884" t="n">
        <v>0</v>
      </c>
      <c r="O2884" t="n">
        <v>0</v>
      </c>
      <c r="P2884" t="n">
        <v>0</v>
      </c>
      <c r="Q2884" t="n">
        <v>0</v>
      </c>
      <c r="R2884" s="2" t="inlineStr"/>
    </row>
    <row r="2885" ht="15" customHeight="1">
      <c r="A2885" t="inlineStr">
        <is>
          <t>A 67593-2019</t>
        </is>
      </c>
      <c r="B2885" s="1" t="n">
        <v>43815</v>
      </c>
      <c r="C2885" s="1" t="n">
        <v>45363</v>
      </c>
      <c r="D2885" t="inlineStr">
        <is>
          <t>JÄMTLANDS LÄN</t>
        </is>
      </c>
      <c r="E2885" t="inlineStr">
        <is>
          <t>HÄRJEDALEN</t>
        </is>
      </c>
      <c r="F2885" t="inlineStr">
        <is>
          <t>Holmen skog AB</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67535-2019</t>
        </is>
      </c>
      <c r="B2886" s="1" t="n">
        <v>43815</v>
      </c>
      <c r="C2886" s="1" t="n">
        <v>45363</v>
      </c>
      <c r="D2886" t="inlineStr">
        <is>
          <t>JÄMTLANDS LÄN</t>
        </is>
      </c>
      <c r="E2886" t="inlineStr">
        <is>
          <t>HÄRJEDALEN</t>
        </is>
      </c>
      <c r="F2886" t="inlineStr">
        <is>
          <t>Holmen skog AB</t>
        </is>
      </c>
      <c r="G2886" t="n">
        <v>34.3</v>
      </c>
      <c r="H2886" t="n">
        <v>0</v>
      </c>
      <c r="I2886" t="n">
        <v>0</v>
      </c>
      <c r="J2886" t="n">
        <v>0</v>
      </c>
      <c r="K2886" t="n">
        <v>0</v>
      </c>
      <c r="L2886" t="n">
        <v>0</v>
      </c>
      <c r="M2886" t="n">
        <v>0</v>
      </c>
      <c r="N2886" t="n">
        <v>0</v>
      </c>
      <c r="O2886" t="n">
        <v>0</v>
      </c>
      <c r="P2886" t="n">
        <v>0</v>
      </c>
      <c r="Q2886" t="n">
        <v>0</v>
      </c>
      <c r="R2886" s="2" t="inlineStr"/>
    </row>
    <row r="2887" ht="15" customHeight="1">
      <c r="A2887" t="inlineStr">
        <is>
          <t>A 67914-2019</t>
        </is>
      </c>
      <c r="B2887" s="1" t="n">
        <v>43816</v>
      </c>
      <c r="C2887" s="1" t="n">
        <v>45363</v>
      </c>
      <c r="D2887" t="inlineStr">
        <is>
          <t>JÄMTLANDS LÄN</t>
        </is>
      </c>
      <c r="E2887" t="inlineStr">
        <is>
          <t>STRÖMSUND</t>
        </is>
      </c>
      <c r="F2887" t="inlineStr">
        <is>
          <t>Holmen skog AB</t>
        </is>
      </c>
      <c r="G2887" t="n">
        <v>27.7</v>
      </c>
      <c r="H2887" t="n">
        <v>0</v>
      </c>
      <c r="I2887" t="n">
        <v>0</v>
      </c>
      <c r="J2887" t="n">
        <v>0</v>
      </c>
      <c r="K2887" t="n">
        <v>0</v>
      </c>
      <c r="L2887" t="n">
        <v>0</v>
      </c>
      <c r="M2887" t="n">
        <v>0</v>
      </c>
      <c r="N2887" t="n">
        <v>0</v>
      </c>
      <c r="O2887" t="n">
        <v>0</v>
      </c>
      <c r="P2887" t="n">
        <v>0</v>
      </c>
      <c r="Q2887" t="n">
        <v>0</v>
      </c>
      <c r="R2887" s="2" t="inlineStr"/>
    </row>
    <row r="2888" ht="15" customHeight="1">
      <c r="A2888" t="inlineStr">
        <is>
          <t>A 68081-2019</t>
        </is>
      </c>
      <c r="B2888" s="1" t="n">
        <v>43816</v>
      </c>
      <c r="C2888" s="1" t="n">
        <v>45363</v>
      </c>
      <c r="D2888" t="inlineStr">
        <is>
          <t>JÄMTLANDS LÄN</t>
        </is>
      </c>
      <c r="E2888" t="inlineStr">
        <is>
          <t>KROKOM</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68076-2019</t>
        </is>
      </c>
      <c r="B2889" s="1" t="n">
        <v>43816</v>
      </c>
      <c r="C2889" s="1" t="n">
        <v>45363</v>
      </c>
      <c r="D2889" t="inlineStr">
        <is>
          <t>JÄMTLANDS LÄN</t>
        </is>
      </c>
      <c r="E2889" t="inlineStr">
        <is>
          <t>ÅRE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68080-2019</t>
        </is>
      </c>
      <c r="B2890" s="1" t="n">
        <v>43816</v>
      </c>
      <c r="C2890" s="1" t="n">
        <v>45363</v>
      </c>
      <c r="D2890" t="inlineStr">
        <is>
          <t>JÄMTLANDS LÄN</t>
        </is>
      </c>
      <c r="E2890" t="inlineStr">
        <is>
          <t>STRÖMSUND</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67972-2019</t>
        </is>
      </c>
      <c r="B2891" s="1" t="n">
        <v>43816</v>
      </c>
      <c r="C2891" s="1" t="n">
        <v>45363</v>
      </c>
      <c r="D2891" t="inlineStr">
        <is>
          <t>JÄMTLANDS LÄN</t>
        </is>
      </c>
      <c r="E2891" t="inlineStr">
        <is>
          <t>HÄRJEDALEN</t>
        </is>
      </c>
      <c r="F2891" t="inlineStr">
        <is>
          <t>Holmen skog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642-2020</t>
        </is>
      </c>
      <c r="B2892" s="1" t="n">
        <v>43817</v>
      </c>
      <c r="C2892" s="1" t="n">
        <v>45363</v>
      </c>
      <c r="D2892" t="inlineStr">
        <is>
          <t>JÄMTLANDS LÄN</t>
        </is>
      </c>
      <c r="E2892" t="inlineStr">
        <is>
          <t>HÄRJEDALEN</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68315-2019</t>
        </is>
      </c>
      <c r="B2893" s="1" t="n">
        <v>43817</v>
      </c>
      <c r="C2893" s="1" t="n">
        <v>45363</v>
      </c>
      <c r="D2893" t="inlineStr">
        <is>
          <t>JÄMTLANDS LÄN</t>
        </is>
      </c>
      <c r="E2893" t="inlineStr">
        <is>
          <t>ÅRE</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68238-2019</t>
        </is>
      </c>
      <c r="B2894" s="1" t="n">
        <v>43817</v>
      </c>
      <c r="C2894" s="1" t="n">
        <v>45363</v>
      </c>
      <c r="D2894" t="inlineStr">
        <is>
          <t>JÄMTLANDS LÄN</t>
        </is>
      </c>
      <c r="E2894" t="inlineStr">
        <is>
          <t>ÖSTERSUND</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68600-2019</t>
        </is>
      </c>
      <c r="B2895" s="1" t="n">
        <v>43818</v>
      </c>
      <c r="C2895" s="1" t="n">
        <v>45363</v>
      </c>
      <c r="D2895" t="inlineStr">
        <is>
          <t>JÄMTLANDS LÄN</t>
        </is>
      </c>
      <c r="E2895" t="inlineStr">
        <is>
          <t>RAGUNDA</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824-2020</t>
        </is>
      </c>
      <c r="B2896" s="1" t="n">
        <v>43818</v>
      </c>
      <c r="C2896" s="1" t="n">
        <v>45363</v>
      </c>
      <c r="D2896" t="inlineStr">
        <is>
          <t>JÄMTLANDS LÄN</t>
        </is>
      </c>
      <c r="E2896" t="inlineStr">
        <is>
          <t>ÅRE</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908-2020</t>
        </is>
      </c>
      <c r="B2897" s="1" t="n">
        <v>43818</v>
      </c>
      <c r="C2897" s="1" t="n">
        <v>45363</v>
      </c>
      <c r="D2897" t="inlineStr">
        <is>
          <t>JÄMTLANDS LÄN</t>
        </is>
      </c>
      <c r="E2897" t="inlineStr">
        <is>
          <t>KROKOM</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911-2020</t>
        </is>
      </c>
      <c r="B2898" s="1" t="n">
        <v>43818</v>
      </c>
      <c r="C2898" s="1" t="n">
        <v>45363</v>
      </c>
      <c r="D2898" t="inlineStr">
        <is>
          <t>JÄMTLANDS LÄN</t>
        </is>
      </c>
      <c r="E2898" t="inlineStr">
        <is>
          <t>KROKOM</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68601-2019</t>
        </is>
      </c>
      <c r="B2899" s="1" t="n">
        <v>43818</v>
      </c>
      <c r="C2899" s="1" t="n">
        <v>45363</v>
      </c>
      <c r="D2899" t="inlineStr">
        <is>
          <t>JÄMTLANDS LÄN</t>
        </is>
      </c>
      <c r="E2899" t="inlineStr">
        <is>
          <t>RAGUNDA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68607-2019</t>
        </is>
      </c>
      <c r="B2900" s="1" t="n">
        <v>43818</v>
      </c>
      <c r="C2900" s="1" t="n">
        <v>45363</v>
      </c>
      <c r="D2900" t="inlineStr">
        <is>
          <t>JÄMTLANDS LÄN</t>
        </is>
      </c>
      <c r="E2900" t="inlineStr">
        <is>
          <t>STRÖMSUND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68335-2019</t>
        </is>
      </c>
      <c r="B2901" s="1" t="n">
        <v>43818</v>
      </c>
      <c r="C2901" s="1" t="n">
        <v>45363</v>
      </c>
      <c r="D2901" t="inlineStr">
        <is>
          <t>JÄMTLANDS LÄN</t>
        </is>
      </c>
      <c r="E2901" t="inlineStr">
        <is>
          <t>STRÖMSUND</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68840-2019</t>
        </is>
      </c>
      <c r="B2902" s="1" t="n">
        <v>43819</v>
      </c>
      <c r="C2902" s="1" t="n">
        <v>45363</v>
      </c>
      <c r="D2902" t="inlineStr">
        <is>
          <t>JÄMTLANDS LÄN</t>
        </is>
      </c>
      <c r="E2902" t="inlineStr">
        <is>
          <t>RAGUNDA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69010-2019</t>
        </is>
      </c>
      <c r="B2903" s="1" t="n">
        <v>43826</v>
      </c>
      <c r="C2903" s="1" t="n">
        <v>45363</v>
      </c>
      <c r="D2903" t="inlineStr">
        <is>
          <t>JÄMTLANDS LÄN</t>
        </is>
      </c>
      <c r="E2903" t="inlineStr">
        <is>
          <t>KROKOM</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68996-2019</t>
        </is>
      </c>
      <c r="B2904" s="1" t="n">
        <v>43826</v>
      </c>
      <c r="C2904" s="1" t="n">
        <v>45363</v>
      </c>
      <c r="D2904" t="inlineStr">
        <is>
          <t>JÄMTLANDS LÄN</t>
        </is>
      </c>
      <c r="E2904" t="inlineStr">
        <is>
          <t>KROKOM</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69041-2019</t>
        </is>
      </c>
      <c r="B2905" s="1" t="n">
        <v>43826</v>
      </c>
      <c r="C2905" s="1" t="n">
        <v>45363</v>
      </c>
      <c r="D2905" t="inlineStr">
        <is>
          <t>JÄMTLANDS LÄN</t>
        </is>
      </c>
      <c r="E2905" t="inlineStr">
        <is>
          <t>BRÄCKE</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12-2020</t>
        </is>
      </c>
      <c r="B2906" s="1" t="n">
        <v>43831</v>
      </c>
      <c r="C2906" s="1" t="n">
        <v>45363</v>
      </c>
      <c r="D2906" t="inlineStr">
        <is>
          <t>JÄMTLANDS LÄN</t>
        </is>
      </c>
      <c r="E2906" t="inlineStr">
        <is>
          <t>KROKOM</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70-2020</t>
        </is>
      </c>
      <c r="B2907" s="1" t="n">
        <v>43832</v>
      </c>
      <c r="C2907" s="1" t="n">
        <v>45363</v>
      </c>
      <c r="D2907" t="inlineStr">
        <is>
          <t>JÄMTLANDS LÄN</t>
        </is>
      </c>
      <c r="E2907" t="inlineStr">
        <is>
          <t>ÅRE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72-2020</t>
        </is>
      </c>
      <c r="B2908" s="1" t="n">
        <v>43832</v>
      </c>
      <c r="C2908" s="1" t="n">
        <v>45363</v>
      </c>
      <c r="D2908" t="inlineStr">
        <is>
          <t>JÄMTLANDS LÄN</t>
        </is>
      </c>
      <c r="E2908" t="inlineStr">
        <is>
          <t>ÅRE</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67-2020</t>
        </is>
      </c>
      <c r="B2909" s="1" t="n">
        <v>43832</v>
      </c>
      <c r="C2909" s="1" t="n">
        <v>45363</v>
      </c>
      <c r="D2909" t="inlineStr">
        <is>
          <t>JÄMTLANDS LÄN</t>
        </is>
      </c>
      <c r="E2909" t="inlineStr">
        <is>
          <t>ÅRE</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159-2020</t>
        </is>
      </c>
      <c r="B2910" s="1" t="n">
        <v>43833</v>
      </c>
      <c r="C2910" s="1" t="n">
        <v>45363</v>
      </c>
      <c r="D2910" t="inlineStr">
        <is>
          <t>JÄMTLANDS LÄN</t>
        </is>
      </c>
      <c r="E2910" t="inlineStr">
        <is>
          <t>HÄRJEDALEN</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152-2020</t>
        </is>
      </c>
      <c r="B2911" s="1" t="n">
        <v>43833</v>
      </c>
      <c r="C2911" s="1" t="n">
        <v>45363</v>
      </c>
      <c r="D2911" t="inlineStr">
        <is>
          <t>JÄMTLANDS LÄN</t>
        </is>
      </c>
      <c r="E2911" t="inlineStr">
        <is>
          <t>BERG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1784-2020</t>
        </is>
      </c>
      <c r="B2912" s="1" t="n">
        <v>43833</v>
      </c>
      <c r="C2912" s="1" t="n">
        <v>45363</v>
      </c>
      <c r="D2912" t="inlineStr">
        <is>
          <t>JÄMTLANDS LÄN</t>
        </is>
      </c>
      <c r="E2912" t="inlineStr">
        <is>
          <t>RAGUNDA</t>
        </is>
      </c>
      <c r="G2912" t="n">
        <v>15.5</v>
      </c>
      <c r="H2912" t="n">
        <v>0</v>
      </c>
      <c r="I2912" t="n">
        <v>0</v>
      </c>
      <c r="J2912" t="n">
        <v>0</v>
      </c>
      <c r="K2912" t="n">
        <v>0</v>
      </c>
      <c r="L2912" t="n">
        <v>0</v>
      </c>
      <c r="M2912" t="n">
        <v>0</v>
      </c>
      <c r="N2912" t="n">
        <v>0</v>
      </c>
      <c r="O2912" t="n">
        <v>0</v>
      </c>
      <c r="P2912" t="n">
        <v>0</v>
      </c>
      <c r="Q2912" t="n">
        <v>0</v>
      </c>
      <c r="R2912" s="2" t="inlineStr"/>
    </row>
    <row r="2913" ht="15" customHeight="1">
      <c r="A2913" t="inlineStr">
        <is>
          <t>A 1819-2020</t>
        </is>
      </c>
      <c r="B2913" s="1" t="n">
        <v>43833</v>
      </c>
      <c r="C2913" s="1" t="n">
        <v>45363</v>
      </c>
      <c r="D2913" t="inlineStr">
        <is>
          <t>JÄMTLANDS LÄN</t>
        </is>
      </c>
      <c r="E2913" t="inlineStr">
        <is>
          <t>ÅRE</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208-2020</t>
        </is>
      </c>
      <c r="B2914" s="1" t="n">
        <v>43833</v>
      </c>
      <c r="C2914" s="1" t="n">
        <v>45363</v>
      </c>
      <c r="D2914" t="inlineStr">
        <is>
          <t>JÄMTLANDS LÄN</t>
        </is>
      </c>
      <c r="E2914" t="inlineStr">
        <is>
          <t>BRÄCKE</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327-2020</t>
        </is>
      </c>
      <c r="B2915" s="1" t="n">
        <v>43837</v>
      </c>
      <c r="C2915" s="1" t="n">
        <v>45363</v>
      </c>
      <c r="D2915" t="inlineStr">
        <is>
          <t>JÄMTLANDS LÄN</t>
        </is>
      </c>
      <c r="E2915" t="inlineStr">
        <is>
          <t>KROKOM</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325-2020</t>
        </is>
      </c>
      <c r="B2916" s="1" t="n">
        <v>43837</v>
      </c>
      <c r="C2916" s="1" t="n">
        <v>45363</v>
      </c>
      <c r="D2916" t="inlineStr">
        <is>
          <t>JÄMTLANDS LÄN</t>
        </is>
      </c>
      <c r="E2916" t="inlineStr">
        <is>
          <t>BRÄCKE</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745-2020</t>
        </is>
      </c>
      <c r="B2917" s="1" t="n">
        <v>43838</v>
      </c>
      <c r="C2917" s="1" t="n">
        <v>45363</v>
      </c>
      <c r="D2917" t="inlineStr">
        <is>
          <t>JÄMTLANDS LÄN</t>
        </is>
      </c>
      <c r="E2917" t="inlineStr">
        <is>
          <t>ÖSTERSUND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861-2020</t>
        </is>
      </c>
      <c r="B2918" s="1" t="n">
        <v>43838</v>
      </c>
      <c r="C2918" s="1" t="n">
        <v>45363</v>
      </c>
      <c r="D2918" t="inlineStr">
        <is>
          <t>JÄMTLANDS LÄN</t>
        </is>
      </c>
      <c r="E2918" t="inlineStr">
        <is>
          <t>STRÖMSUND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735-2020</t>
        </is>
      </c>
      <c r="B2919" s="1" t="n">
        <v>43838</v>
      </c>
      <c r="C2919" s="1" t="n">
        <v>45363</v>
      </c>
      <c r="D2919" t="inlineStr">
        <is>
          <t>JÄMTLANDS LÄN</t>
        </is>
      </c>
      <c r="E2919" t="inlineStr">
        <is>
          <t>KROKOM</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1034-2020</t>
        </is>
      </c>
      <c r="B2920" s="1" t="n">
        <v>43839</v>
      </c>
      <c r="C2920" s="1" t="n">
        <v>45363</v>
      </c>
      <c r="D2920" t="inlineStr">
        <is>
          <t>JÄMTLANDS LÄN</t>
        </is>
      </c>
      <c r="E2920" t="inlineStr">
        <is>
          <t>STRÖMSUND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1088-2020</t>
        </is>
      </c>
      <c r="B2921" s="1" t="n">
        <v>43840</v>
      </c>
      <c r="C2921" s="1" t="n">
        <v>45363</v>
      </c>
      <c r="D2921" t="inlineStr">
        <is>
          <t>JÄMTLANDS LÄN</t>
        </is>
      </c>
      <c r="E2921" t="inlineStr">
        <is>
          <t>ÖSTERSUND</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1134-2020</t>
        </is>
      </c>
      <c r="B2922" s="1" t="n">
        <v>43840</v>
      </c>
      <c r="C2922" s="1" t="n">
        <v>45363</v>
      </c>
      <c r="D2922" t="inlineStr">
        <is>
          <t>JÄMTLANDS LÄN</t>
        </is>
      </c>
      <c r="E2922" t="inlineStr">
        <is>
          <t>STRÖMSUND</t>
        </is>
      </c>
      <c r="G2922" t="n">
        <v>9.800000000000001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1138-2020</t>
        </is>
      </c>
      <c r="B2923" s="1" t="n">
        <v>43840</v>
      </c>
      <c r="C2923" s="1" t="n">
        <v>45363</v>
      </c>
      <c r="D2923" t="inlineStr">
        <is>
          <t>JÄMTLANDS LÄN</t>
        </is>
      </c>
      <c r="E2923" t="inlineStr">
        <is>
          <t>STRÖMSUND</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1201-2020</t>
        </is>
      </c>
      <c r="B2924" s="1" t="n">
        <v>43840</v>
      </c>
      <c r="C2924" s="1" t="n">
        <v>45363</v>
      </c>
      <c r="D2924" t="inlineStr">
        <is>
          <t>JÄMTLANDS LÄN</t>
        </is>
      </c>
      <c r="E2924" t="inlineStr">
        <is>
          <t>STRÖMSUND</t>
        </is>
      </c>
      <c r="G2924" t="n">
        <v>39.5</v>
      </c>
      <c r="H2924" t="n">
        <v>0</v>
      </c>
      <c r="I2924" t="n">
        <v>0</v>
      </c>
      <c r="J2924" t="n">
        <v>0</v>
      </c>
      <c r="K2924" t="n">
        <v>0</v>
      </c>
      <c r="L2924" t="n">
        <v>0</v>
      </c>
      <c r="M2924" t="n">
        <v>0</v>
      </c>
      <c r="N2924" t="n">
        <v>0</v>
      </c>
      <c r="O2924" t="n">
        <v>0</v>
      </c>
      <c r="P2924" t="n">
        <v>0</v>
      </c>
      <c r="Q2924" t="n">
        <v>0</v>
      </c>
      <c r="R2924" s="2" t="inlineStr"/>
    </row>
    <row r="2925" ht="15" customHeight="1">
      <c r="A2925" t="inlineStr">
        <is>
          <t>A 1268-2020</t>
        </is>
      </c>
      <c r="B2925" s="1" t="n">
        <v>43840</v>
      </c>
      <c r="C2925" s="1" t="n">
        <v>45363</v>
      </c>
      <c r="D2925" t="inlineStr">
        <is>
          <t>JÄMTLANDS LÄN</t>
        </is>
      </c>
      <c r="E2925" t="inlineStr">
        <is>
          <t>ÖSTERSUND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1077-2020</t>
        </is>
      </c>
      <c r="B2926" s="1" t="n">
        <v>43840</v>
      </c>
      <c r="C2926" s="1" t="n">
        <v>45363</v>
      </c>
      <c r="D2926" t="inlineStr">
        <is>
          <t>JÄMTLANDS LÄN</t>
        </is>
      </c>
      <c r="E2926" t="inlineStr">
        <is>
          <t>ÖSTERSUND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1238-2020</t>
        </is>
      </c>
      <c r="B2927" s="1" t="n">
        <v>43840</v>
      </c>
      <c r="C2927" s="1" t="n">
        <v>45363</v>
      </c>
      <c r="D2927" t="inlineStr">
        <is>
          <t>JÄMTLANDS LÄN</t>
        </is>
      </c>
      <c r="E2927" t="inlineStr">
        <is>
          <t>STRÖMSUND</t>
        </is>
      </c>
      <c r="G2927" t="n">
        <v>20.3</v>
      </c>
      <c r="H2927" t="n">
        <v>0</v>
      </c>
      <c r="I2927" t="n">
        <v>0</v>
      </c>
      <c r="J2927" t="n">
        <v>0</v>
      </c>
      <c r="K2927" t="n">
        <v>0</v>
      </c>
      <c r="L2927" t="n">
        <v>0</v>
      </c>
      <c r="M2927" t="n">
        <v>0</v>
      </c>
      <c r="N2927" t="n">
        <v>0</v>
      </c>
      <c r="O2927" t="n">
        <v>0</v>
      </c>
      <c r="P2927" t="n">
        <v>0</v>
      </c>
      <c r="Q2927" t="n">
        <v>0</v>
      </c>
      <c r="R2927" s="2" t="inlineStr"/>
    </row>
    <row r="2928" ht="15" customHeight="1">
      <c r="A2928" t="inlineStr">
        <is>
          <t>A 1267-2020</t>
        </is>
      </c>
      <c r="B2928" s="1" t="n">
        <v>43840</v>
      </c>
      <c r="C2928" s="1" t="n">
        <v>45363</v>
      </c>
      <c r="D2928" t="inlineStr">
        <is>
          <t>JÄMTLANDS LÄN</t>
        </is>
      </c>
      <c r="E2928" t="inlineStr">
        <is>
          <t>BRÄCKE</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3389-2020</t>
        </is>
      </c>
      <c r="B2929" s="1" t="n">
        <v>43844</v>
      </c>
      <c r="C2929" s="1" t="n">
        <v>45363</v>
      </c>
      <c r="D2929" t="inlineStr">
        <is>
          <t>JÄMTLANDS LÄN</t>
        </is>
      </c>
      <c r="E2929" t="inlineStr">
        <is>
          <t>BERG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3321-2020</t>
        </is>
      </c>
      <c r="B2930" s="1" t="n">
        <v>43844</v>
      </c>
      <c r="C2930" s="1" t="n">
        <v>45363</v>
      </c>
      <c r="D2930" t="inlineStr">
        <is>
          <t>JÄMTLANDS LÄN</t>
        </is>
      </c>
      <c r="E2930" t="inlineStr">
        <is>
          <t>BERG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2320-2020</t>
        </is>
      </c>
      <c r="B2931" s="1" t="n">
        <v>43846</v>
      </c>
      <c r="C2931" s="1" t="n">
        <v>45363</v>
      </c>
      <c r="D2931" t="inlineStr">
        <is>
          <t>JÄMTLANDS LÄN</t>
        </is>
      </c>
      <c r="E2931" t="inlineStr">
        <is>
          <t>HÄRJEDALEN</t>
        </is>
      </c>
      <c r="F2931" t="inlineStr">
        <is>
          <t>Bergvik skog väst AB</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2250-2020</t>
        </is>
      </c>
      <c r="B2932" s="1" t="n">
        <v>43846</v>
      </c>
      <c r="C2932" s="1" t="n">
        <v>45363</v>
      </c>
      <c r="D2932" t="inlineStr">
        <is>
          <t>JÄMTLANDS LÄN</t>
        </is>
      </c>
      <c r="E2932" t="inlineStr">
        <is>
          <t>STRÖMSUND</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2184-2020</t>
        </is>
      </c>
      <c r="B2933" s="1" t="n">
        <v>43846</v>
      </c>
      <c r="C2933" s="1" t="n">
        <v>45363</v>
      </c>
      <c r="D2933" t="inlineStr">
        <is>
          <t>JÄMTLANDS LÄN</t>
        </is>
      </c>
      <c r="E2933" t="inlineStr">
        <is>
          <t>STRÖMSUND</t>
        </is>
      </c>
      <c r="F2933" t="inlineStr">
        <is>
          <t>Holmen skog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2636-2020</t>
        </is>
      </c>
      <c r="B2934" s="1" t="n">
        <v>43847</v>
      </c>
      <c r="C2934" s="1" t="n">
        <v>45363</v>
      </c>
      <c r="D2934" t="inlineStr">
        <is>
          <t>JÄMTLANDS LÄN</t>
        </is>
      </c>
      <c r="E2934" t="inlineStr">
        <is>
          <t>RAGUNDA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2705-2020</t>
        </is>
      </c>
      <c r="B2935" s="1" t="n">
        <v>43850</v>
      </c>
      <c r="C2935" s="1" t="n">
        <v>45363</v>
      </c>
      <c r="D2935" t="inlineStr">
        <is>
          <t>JÄMTLANDS LÄN</t>
        </is>
      </c>
      <c r="E2935" t="inlineStr">
        <is>
          <t>STRÖMSUND</t>
        </is>
      </c>
      <c r="G2935" t="n">
        <v>11.2</v>
      </c>
      <c r="H2935" t="n">
        <v>0</v>
      </c>
      <c r="I2935" t="n">
        <v>0</v>
      </c>
      <c r="J2935" t="n">
        <v>0</v>
      </c>
      <c r="K2935" t="n">
        <v>0</v>
      </c>
      <c r="L2935" t="n">
        <v>0</v>
      </c>
      <c r="M2935" t="n">
        <v>0</v>
      </c>
      <c r="N2935" t="n">
        <v>0</v>
      </c>
      <c r="O2935" t="n">
        <v>0</v>
      </c>
      <c r="P2935" t="n">
        <v>0</v>
      </c>
      <c r="Q2935" t="n">
        <v>0</v>
      </c>
      <c r="R2935" s="2" t="inlineStr"/>
    </row>
    <row r="2936" ht="15" customHeight="1">
      <c r="A2936" t="inlineStr">
        <is>
          <t>A 2911-2020</t>
        </is>
      </c>
      <c r="B2936" s="1" t="n">
        <v>43850</v>
      </c>
      <c r="C2936" s="1" t="n">
        <v>45363</v>
      </c>
      <c r="D2936" t="inlineStr">
        <is>
          <t>JÄMTLANDS LÄN</t>
        </is>
      </c>
      <c r="E2936" t="inlineStr">
        <is>
          <t>STRÖMSUND</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2791-2020</t>
        </is>
      </c>
      <c r="B2937" s="1" t="n">
        <v>43850</v>
      </c>
      <c r="C2937" s="1" t="n">
        <v>45363</v>
      </c>
      <c r="D2937" t="inlineStr">
        <is>
          <t>JÄMTLANDS LÄN</t>
        </is>
      </c>
      <c r="E2937" t="inlineStr">
        <is>
          <t>RAGUNDA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5127-2020</t>
        </is>
      </c>
      <c r="B2938" s="1" t="n">
        <v>43850</v>
      </c>
      <c r="C2938" s="1" t="n">
        <v>45363</v>
      </c>
      <c r="D2938" t="inlineStr">
        <is>
          <t>JÄMTLANDS LÄN</t>
        </is>
      </c>
      <c r="E2938" t="inlineStr">
        <is>
          <t>STRÖMSUND</t>
        </is>
      </c>
      <c r="G2938" t="n">
        <v>15.4</v>
      </c>
      <c r="H2938" t="n">
        <v>0</v>
      </c>
      <c r="I2938" t="n">
        <v>0</v>
      </c>
      <c r="J2938" t="n">
        <v>0</v>
      </c>
      <c r="K2938" t="n">
        <v>0</v>
      </c>
      <c r="L2938" t="n">
        <v>0</v>
      </c>
      <c r="M2938" t="n">
        <v>0</v>
      </c>
      <c r="N2938" t="n">
        <v>0</v>
      </c>
      <c r="O2938" t="n">
        <v>0</v>
      </c>
      <c r="P2938" t="n">
        <v>0</v>
      </c>
      <c r="Q2938" t="n">
        <v>0</v>
      </c>
      <c r="R2938" s="2" t="inlineStr"/>
    </row>
    <row r="2939" ht="15" customHeight="1">
      <c r="A2939" t="inlineStr">
        <is>
          <t>A 5119-2020</t>
        </is>
      </c>
      <c r="B2939" s="1" t="n">
        <v>43850</v>
      </c>
      <c r="C2939" s="1" t="n">
        <v>45363</v>
      </c>
      <c r="D2939" t="inlineStr">
        <is>
          <t>JÄMTLANDS LÄN</t>
        </is>
      </c>
      <c r="E2939" t="inlineStr">
        <is>
          <t>STRÖMSUND</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2987-2020</t>
        </is>
      </c>
      <c r="B2940" s="1" t="n">
        <v>43850</v>
      </c>
      <c r="C2940" s="1" t="n">
        <v>45363</v>
      </c>
      <c r="D2940" t="inlineStr">
        <is>
          <t>JÄMTLANDS LÄN</t>
        </is>
      </c>
      <c r="E2940" t="inlineStr">
        <is>
          <t>STRÖMSUND</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5147-2020</t>
        </is>
      </c>
      <c r="B2941" s="1" t="n">
        <v>43850</v>
      </c>
      <c r="C2941" s="1" t="n">
        <v>45363</v>
      </c>
      <c r="D2941" t="inlineStr">
        <is>
          <t>JÄMTLANDS LÄN</t>
        </is>
      </c>
      <c r="E2941" t="inlineStr">
        <is>
          <t>STRÖMSUND</t>
        </is>
      </c>
      <c r="G2941" t="n">
        <v>10.8</v>
      </c>
      <c r="H2941" t="n">
        <v>0</v>
      </c>
      <c r="I2941" t="n">
        <v>0</v>
      </c>
      <c r="J2941" t="n">
        <v>0</v>
      </c>
      <c r="K2941" t="n">
        <v>0</v>
      </c>
      <c r="L2941" t="n">
        <v>0</v>
      </c>
      <c r="M2941" t="n">
        <v>0</v>
      </c>
      <c r="N2941" t="n">
        <v>0</v>
      </c>
      <c r="O2941" t="n">
        <v>0</v>
      </c>
      <c r="P2941" t="n">
        <v>0</v>
      </c>
      <c r="Q2941" t="n">
        <v>0</v>
      </c>
      <c r="R2941" s="2" t="inlineStr"/>
    </row>
    <row r="2942" ht="15" customHeight="1">
      <c r="A2942" t="inlineStr">
        <is>
          <t>A 4654-2020</t>
        </is>
      </c>
      <c r="B2942" s="1" t="n">
        <v>43851</v>
      </c>
      <c r="C2942" s="1" t="n">
        <v>45363</v>
      </c>
      <c r="D2942" t="inlineStr">
        <is>
          <t>JÄMTLANDS LÄN</t>
        </is>
      </c>
      <c r="E2942" t="inlineStr">
        <is>
          <t>STRÖMSUND</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3488-2020</t>
        </is>
      </c>
      <c r="B2943" s="1" t="n">
        <v>43852</v>
      </c>
      <c r="C2943" s="1" t="n">
        <v>45363</v>
      </c>
      <c r="D2943" t="inlineStr">
        <is>
          <t>JÄMTLANDS LÄN</t>
        </is>
      </c>
      <c r="E2943" t="inlineStr">
        <is>
          <t>BRÄCKE</t>
        </is>
      </c>
      <c r="G2943" t="n">
        <v>9.1</v>
      </c>
      <c r="H2943" t="n">
        <v>0</v>
      </c>
      <c r="I2943" t="n">
        <v>0</v>
      </c>
      <c r="J2943" t="n">
        <v>0</v>
      </c>
      <c r="K2943" t="n">
        <v>0</v>
      </c>
      <c r="L2943" t="n">
        <v>0</v>
      </c>
      <c r="M2943" t="n">
        <v>0</v>
      </c>
      <c r="N2943" t="n">
        <v>0</v>
      </c>
      <c r="O2943" t="n">
        <v>0</v>
      </c>
      <c r="P2943" t="n">
        <v>0</v>
      </c>
      <c r="Q2943" t="n">
        <v>0</v>
      </c>
      <c r="R2943" s="2" t="inlineStr"/>
    </row>
    <row r="2944" ht="15" customHeight="1">
      <c r="A2944" t="inlineStr">
        <is>
          <t>A 3483-2020</t>
        </is>
      </c>
      <c r="B2944" s="1" t="n">
        <v>43852</v>
      </c>
      <c r="C2944" s="1" t="n">
        <v>45363</v>
      </c>
      <c r="D2944" t="inlineStr">
        <is>
          <t>JÄMTLANDS LÄN</t>
        </is>
      </c>
      <c r="E2944" t="inlineStr">
        <is>
          <t>BRÄCKE</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3489-2020</t>
        </is>
      </c>
      <c r="B2945" s="1" t="n">
        <v>43852</v>
      </c>
      <c r="C2945" s="1" t="n">
        <v>45363</v>
      </c>
      <c r="D2945" t="inlineStr">
        <is>
          <t>JÄMTLANDS LÄN</t>
        </is>
      </c>
      <c r="E2945" t="inlineStr">
        <is>
          <t>BRÄCKE</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4898-2020</t>
        </is>
      </c>
      <c r="B2946" s="1" t="n">
        <v>43852</v>
      </c>
      <c r="C2946" s="1" t="n">
        <v>45363</v>
      </c>
      <c r="D2946" t="inlineStr">
        <is>
          <t>JÄMTLANDS LÄN</t>
        </is>
      </c>
      <c r="E2946" t="inlineStr">
        <is>
          <t>STRÖMSUND</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3772-2020</t>
        </is>
      </c>
      <c r="B2947" s="1" t="n">
        <v>43854</v>
      </c>
      <c r="C2947" s="1" t="n">
        <v>45363</v>
      </c>
      <c r="D2947" t="inlineStr">
        <is>
          <t>JÄMTLANDS LÄN</t>
        </is>
      </c>
      <c r="E2947" t="inlineStr">
        <is>
          <t>BRÄCKE</t>
        </is>
      </c>
      <c r="F2947" t="inlineStr">
        <is>
          <t>SCA</t>
        </is>
      </c>
      <c r="G2947" t="n">
        <v>16.9</v>
      </c>
      <c r="H2947" t="n">
        <v>0</v>
      </c>
      <c r="I2947" t="n">
        <v>0</v>
      </c>
      <c r="J2947" t="n">
        <v>0</v>
      </c>
      <c r="K2947" t="n">
        <v>0</v>
      </c>
      <c r="L2947" t="n">
        <v>0</v>
      </c>
      <c r="M2947" t="n">
        <v>0</v>
      </c>
      <c r="N2947" t="n">
        <v>0</v>
      </c>
      <c r="O2947" t="n">
        <v>0</v>
      </c>
      <c r="P2947" t="n">
        <v>0</v>
      </c>
      <c r="Q2947" t="n">
        <v>0</v>
      </c>
      <c r="R2947" s="2" t="inlineStr"/>
    </row>
    <row r="2948" ht="15" customHeight="1">
      <c r="A2948" t="inlineStr">
        <is>
          <t>A 3838-2020</t>
        </is>
      </c>
      <c r="B2948" s="1" t="n">
        <v>43854</v>
      </c>
      <c r="C2948" s="1" t="n">
        <v>45363</v>
      </c>
      <c r="D2948" t="inlineStr">
        <is>
          <t>JÄMTLANDS LÄN</t>
        </is>
      </c>
      <c r="E2948" t="inlineStr">
        <is>
          <t>ÅRE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3862-2020</t>
        </is>
      </c>
      <c r="B2949" s="1" t="n">
        <v>43854</v>
      </c>
      <c r="C2949" s="1" t="n">
        <v>45363</v>
      </c>
      <c r="D2949" t="inlineStr">
        <is>
          <t>JÄMTLANDS LÄN</t>
        </is>
      </c>
      <c r="E2949" t="inlineStr">
        <is>
          <t>STRÖMSUND</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3895-2020</t>
        </is>
      </c>
      <c r="B2950" s="1" t="n">
        <v>43854</v>
      </c>
      <c r="C2950" s="1" t="n">
        <v>45363</v>
      </c>
      <c r="D2950" t="inlineStr">
        <is>
          <t>JÄMTLANDS LÄN</t>
        </is>
      </c>
      <c r="E2950" t="inlineStr">
        <is>
          <t>STRÖMSUND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3988-2020</t>
        </is>
      </c>
      <c r="B2951" s="1" t="n">
        <v>43856</v>
      </c>
      <c r="C2951" s="1" t="n">
        <v>45363</v>
      </c>
      <c r="D2951" t="inlineStr">
        <is>
          <t>JÄMTLANDS LÄN</t>
        </is>
      </c>
      <c r="E2951" t="inlineStr">
        <is>
          <t>STRÖMSUND</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4663-2020</t>
        </is>
      </c>
      <c r="B2952" s="1" t="n">
        <v>43858</v>
      </c>
      <c r="C2952" s="1" t="n">
        <v>45363</v>
      </c>
      <c r="D2952" t="inlineStr">
        <is>
          <t>JÄMTLANDS LÄN</t>
        </is>
      </c>
      <c r="E2952" t="inlineStr">
        <is>
          <t>HÄRJEDALEN</t>
        </is>
      </c>
      <c r="G2952" t="n">
        <v>10.2</v>
      </c>
      <c r="H2952" t="n">
        <v>0</v>
      </c>
      <c r="I2952" t="n">
        <v>0</v>
      </c>
      <c r="J2952" t="n">
        <v>0</v>
      </c>
      <c r="K2952" t="n">
        <v>0</v>
      </c>
      <c r="L2952" t="n">
        <v>0</v>
      </c>
      <c r="M2952" t="n">
        <v>0</v>
      </c>
      <c r="N2952" t="n">
        <v>0</v>
      </c>
      <c r="O2952" t="n">
        <v>0</v>
      </c>
      <c r="P2952" t="n">
        <v>0</v>
      </c>
      <c r="Q2952" t="n">
        <v>0</v>
      </c>
      <c r="R2952" s="2" t="inlineStr"/>
    </row>
    <row r="2953" ht="15" customHeight="1">
      <c r="A2953" t="inlineStr">
        <is>
          <t>A 4599-2020</t>
        </is>
      </c>
      <c r="B2953" s="1" t="n">
        <v>43858</v>
      </c>
      <c r="C2953" s="1" t="n">
        <v>45363</v>
      </c>
      <c r="D2953" t="inlineStr">
        <is>
          <t>JÄMTLANDS LÄN</t>
        </is>
      </c>
      <c r="E2953" t="inlineStr">
        <is>
          <t>KROKOM</t>
        </is>
      </c>
      <c r="G2953" t="n">
        <v>32.1</v>
      </c>
      <c r="H2953" t="n">
        <v>0</v>
      </c>
      <c r="I2953" t="n">
        <v>0</v>
      </c>
      <c r="J2953" t="n">
        <v>0</v>
      </c>
      <c r="K2953" t="n">
        <v>0</v>
      </c>
      <c r="L2953" t="n">
        <v>0</v>
      </c>
      <c r="M2953" t="n">
        <v>0</v>
      </c>
      <c r="N2953" t="n">
        <v>0</v>
      </c>
      <c r="O2953" t="n">
        <v>0</v>
      </c>
      <c r="P2953" t="n">
        <v>0</v>
      </c>
      <c r="Q2953" t="n">
        <v>0</v>
      </c>
      <c r="R2953" s="2" t="inlineStr"/>
    </row>
    <row r="2954" ht="15" customHeight="1">
      <c r="A2954" t="inlineStr">
        <is>
          <t>A 4762-2020</t>
        </is>
      </c>
      <c r="B2954" s="1" t="n">
        <v>43859</v>
      </c>
      <c r="C2954" s="1" t="n">
        <v>45363</v>
      </c>
      <c r="D2954" t="inlineStr">
        <is>
          <t>JÄMTLANDS LÄN</t>
        </is>
      </c>
      <c r="E2954" t="inlineStr">
        <is>
          <t>KROKOM</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4905-2020</t>
        </is>
      </c>
      <c r="B2955" s="1" t="n">
        <v>43859</v>
      </c>
      <c r="C2955" s="1" t="n">
        <v>45363</v>
      </c>
      <c r="D2955" t="inlineStr">
        <is>
          <t>JÄMTLANDS LÄN</t>
        </is>
      </c>
      <c r="E2955" t="inlineStr">
        <is>
          <t>STRÖMSUND</t>
        </is>
      </c>
      <c r="G2955" t="n">
        <v>22.3</v>
      </c>
      <c r="H2955" t="n">
        <v>0</v>
      </c>
      <c r="I2955" t="n">
        <v>0</v>
      </c>
      <c r="J2955" t="n">
        <v>0</v>
      </c>
      <c r="K2955" t="n">
        <v>0</v>
      </c>
      <c r="L2955" t="n">
        <v>0</v>
      </c>
      <c r="M2955" t="n">
        <v>0</v>
      </c>
      <c r="N2955" t="n">
        <v>0</v>
      </c>
      <c r="O2955" t="n">
        <v>0</v>
      </c>
      <c r="P2955" t="n">
        <v>0</v>
      </c>
      <c r="Q2955" t="n">
        <v>0</v>
      </c>
      <c r="R2955" s="2" t="inlineStr"/>
    </row>
    <row r="2956" ht="15" customHeight="1">
      <c r="A2956" t="inlineStr">
        <is>
          <t>A 5337-2020</t>
        </is>
      </c>
      <c r="B2956" s="1" t="n">
        <v>43860</v>
      </c>
      <c r="C2956" s="1" t="n">
        <v>45363</v>
      </c>
      <c r="D2956" t="inlineStr">
        <is>
          <t>JÄMTLANDS LÄN</t>
        </is>
      </c>
      <c r="E2956" t="inlineStr">
        <is>
          <t>KROKOM</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5556-2020</t>
        </is>
      </c>
      <c r="B2957" s="1" t="n">
        <v>43860</v>
      </c>
      <c r="C2957" s="1" t="n">
        <v>45363</v>
      </c>
      <c r="D2957" t="inlineStr">
        <is>
          <t>JÄMTLANDS LÄN</t>
        </is>
      </c>
      <c r="E2957" t="inlineStr">
        <is>
          <t>BERG</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5915-2020</t>
        </is>
      </c>
      <c r="B2958" s="1" t="n">
        <v>43861</v>
      </c>
      <c r="C2958" s="1" t="n">
        <v>45363</v>
      </c>
      <c r="D2958" t="inlineStr">
        <is>
          <t>JÄMTLANDS LÄN</t>
        </is>
      </c>
      <c r="E2958" t="inlineStr">
        <is>
          <t>STRÖMSUND</t>
        </is>
      </c>
      <c r="G2958" t="n">
        <v>10.3</v>
      </c>
      <c r="H2958" t="n">
        <v>0</v>
      </c>
      <c r="I2958" t="n">
        <v>0</v>
      </c>
      <c r="J2958" t="n">
        <v>0</v>
      </c>
      <c r="K2958" t="n">
        <v>0</v>
      </c>
      <c r="L2958" t="n">
        <v>0</v>
      </c>
      <c r="M2958" t="n">
        <v>0</v>
      </c>
      <c r="N2958" t="n">
        <v>0</v>
      </c>
      <c r="O2958" t="n">
        <v>0</v>
      </c>
      <c r="P2958" t="n">
        <v>0</v>
      </c>
      <c r="Q2958" t="n">
        <v>0</v>
      </c>
      <c r="R2958" s="2" t="inlineStr"/>
    </row>
    <row r="2959" ht="15" customHeight="1">
      <c r="A2959" t="inlineStr">
        <is>
          <t>A 6051-2020</t>
        </is>
      </c>
      <c r="B2959" s="1" t="n">
        <v>43861</v>
      </c>
      <c r="C2959" s="1" t="n">
        <v>45363</v>
      </c>
      <c r="D2959" t="inlineStr">
        <is>
          <t>JÄMTLANDS LÄN</t>
        </is>
      </c>
      <c r="E2959" t="inlineStr">
        <is>
          <t>RAGUNDA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5905-2020</t>
        </is>
      </c>
      <c r="B2960" s="1" t="n">
        <v>43861</v>
      </c>
      <c r="C2960" s="1" t="n">
        <v>45363</v>
      </c>
      <c r="D2960" t="inlineStr">
        <is>
          <t>JÄMTLANDS LÄN</t>
        </is>
      </c>
      <c r="E2960" t="inlineStr">
        <is>
          <t>ÖSTERSUND</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6028-2020</t>
        </is>
      </c>
      <c r="B2961" s="1" t="n">
        <v>43864</v>
      </c>
      <c r="C2961" s="1" t="n">
        <v>45363</v>
      </c>
      <c r="D2961" t="inlineStr">
        <is>
          <t>JÄMTLANDS LÄN</t>
        </is>
      </c>
      <c r="E2961" t="inlineStr">
        <is>
          <t>ÖSTERSUND</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6522-2020</t>
        </is>
      </c>
      <c r="B2962" s="1" t="n">
        <v>43864</v>
      </c>
      <c r="C2962" s="1" t="n">
        <v>45363</v>
      </c>
      <c r="D2962" t="inlineStr">
        <is>
          <t>JÄMTLANDS LÄN</t>
        </is>
      </c>
      <c r="E2962" t="inlineStr">
        <is>
          <t>ÖSTERSUND</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6146-2020</t>
        </is>
      </c>
      <c r="B2963" s="1" t="n">
        <v>43865</v>
      </c>
      <c r="C2963" s="1" t="n">
        <v>45363</v>
      </c>
      <c r="D2963" t="inlineStr">
        <is>
          <t>JÄMTLANDS LÄN</t>
        </is>
      </c>
      <c r="E2963" t="inlineStr">
        <is>
          <t>STRÖMSUND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6566-2020</t>
        </is>
      </c>
      <c r="B2964" s="1" t="n">
        <v>43865</v>
      </c>
      <c r="C2964" s="1" t="n">
        <v>45363</v>
      </c>
      <c r="D2964" t="inlineStr">
        <is>
          <t>JÄMTLANDS LÄN</t>
        </is>
      </c>
      <c r="E2964" t="inlineStr">
        <is>
          <t>ÖSTERSUND</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6265-2020</t>
        </is>
      </c>
      <c r="B2965" s="1" t="n">
        <v>43866</v>
      </c>
      <c r="C2965" s="1" t="n">
        <v>45363</v>
      </c>
      <c r="D2965" t="inlineStr">
        <is>
          <t>JÄMTLANDS LÄN</t>
        </is>
      </c>
      <c r="E2965" t="inlineStr">
        <is>
          <t>BRÄCKE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6333-2020</t>
        </is>
      </c>
      <c r="B2966" s="1" t="n">
        <v>43866</v>
      </c>
      <c r="C2966" s="1" t="n">
        <v>45363</v>
      </c>
      <c r="D2966" t="inlineStr">
        <is>
          <t>JÄMTLANDS LÄN</t>
        </is>
      </c>
      <c r="E2966" t="inlineStr">
        <is>
          <t>BERG</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6719-2020</t>
        </is>
      </c>
      <c r="B2967" s="1" t="n">
        <v>43866</v>
      </c>
      <c r="C2967" s="1" t="n">
        <v>45363</v>
      </c>
      <c r="D2967" t="inlineStr">
        <is>
          <t>JÄMTLANDS LÄN</t>
        </is>
      </c>
      <c r="E2967" t="inlineStr">
        <is>
          <t>HÄRJEDALEN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6715-2020</t>
        </is>
      </c>
      <c r="B2968" s="1" t="n">
        <v>43866</v>
      </c>
      <c r="C2968" s="1" t="n">
        <v>45363</v>
      </c>
      <c r="D2968" t="inlineStr">
        <is>
          <t>JÄMTLANDS LÄN</t>
        </is>
      </c>
      <c r="E2968" t="inlineStr">
        <is>
          <t>HÄRJEDALEN</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6675-2020</t>
        </is>
      </c>
      <c r="B2969" s="1" t="n">
        <v>43866</v>
      </c>
      <c r="C2969" s="1" t="n">
        <v>45363</v>
      </c>
      <c r="D2969" t="inlineStr">
        <is>
          <t>JÄMTLANDS LÄN</t>
        </is>
      </c>
      <c r="E2969" t="inlineStr">
        <is>
          <t>HÄRJEDALEN</t>
        </is>
      </c>
      <c r="G2969" t="n">
        <v>8.199999999999999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6584-2020</t>
        </is>
      </c>
      <c r="B2970" s="1" t="n">
        <v>43867</v>
      </c>
      <c r="C2970" s="1" t="n">
        <v>45363</v>
      </c>
      <c r="D2970" t="inlineStr">
        <is>
          <t>JÄMTLANDS LÄN</t>
        </is>
      </c>
      <c r="E2970" t="inlineStr">
        <is>
          <t>HÄRJEDALEN</t>
        </is>
      </c>
      <c r="F2970" t="inlineStr">
        <is>
          <t>Bergvik skog väst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6903-2020</t>
        </is>
      </c>
      <c r="B2971" s="1" t="n">
        <v>43867</v>
      </c>
      <c r="C2971" s="1" t="n">
        <v>45363</v>
      </c>
      <c r="D2971" t="inlineStr">
        <is>
          <t>JÄMTLANDS LÄN</t>
        </is>
      </c>
      <c r="E2971" t="inlineStr">
        <is>
          <t>HÄRJEDALEN</t>
        </is>
      </c>
      <c r="G2971" t="n">
        <v>10.5</v>
      </c>
      <c r="H2971" t="n">
        <v>0</v>
      </c>
      <c r="I2971" t="n">
        <v>0</v>
      </c>
      <c r="J2971" t="n">
        <v>0</v>
      </c>
      <c r="K2971" t="n">
        <v>0</v>
      </c>
      <c r="L2971" t="n">
        <v>0</v>
      </c>
      <c r="M2971" t="n">
        <v>0</v>
      </c>
      <c r="N2971" t="n">
        <v>0</v>
      </c>
      <c r="O2971" t="n">
        <v>0</v>
      </c>
      <c r="P2971" t="n">
        <v>0</v>
      </c>
      <c r="Q2971" t="n">
        <v>0</v>
      </c>
      <c r="R2971" s="2" t="inlineStr"/>
    </row>
    <row r="2972" ht="15" customHeight="1">
      <c r="A2972" t="inlineStr">
        <is>
          <t>A 7071-2020</t>
        </is>
      </c>
      <c r="B2972" s="1" t="n">
        <v>43868</v>
      </c>
      <c r="C2972" s="1" t="n">
        <v>45363</v>
      </c>
      <c r="D2972" t="inlineStr">
        <is>
          <t>JÄMTLANDS LÄN</t>
        </is>
      </c>
      <c r="E2972" t="inlineStr">
        <is>
          <t>RAGUNDA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7045-2020</t>
        </is>
      </c>
      <c r="B2973" s="1" t="n">
        <v>43868</v>
      </c>
      <c r="C2973" s="1" t="n">
        <v>45363</v>
      </c>
      <c r="D2973" t="inlineStr">
        <is>
          <t>JÄMTLANDS LÄN</t>
        </is>
      </c>
      <c r="E2973" t="inlineStr">
        <is>
          <t>BRÄCKE</t>
        </is>
      </c>
      <c r="F2973" t="inlineStr">
        <is>
          <t>SCA</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7228-2020</t>
        </is>
      </c>
      <c r="B2974" s="1" t="n">
        <v>43871</v>
      </c>
      <c r="C2974" s="1" t="n">
        <v>45363</v>
      </c>
      <c r="D2974" t="inlineStr">
        <is>
          <t>JÄMTLANDS LÄN</t>
        </is>
      </c>
      <c r="E2974" t="inlineStr">
        <is>
          <t>BERG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7255-2020</t>
        </is>
      </c>
      <c r="B2975" s="1" t="n">
        <v>43871</v>
      </c>
      <c r="C2975" s="1" t="n">
        <v>45363</v>
      </c>
      <c r="D2975" t="inlineStr">
        <is>
          <t>JÄMTLANDS LÄN</t>
        </is>
      </c>
      <c r="E2975" t="inlineStr">
        <is>
          <t>ÖSTERSUND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7184-2020</t>
        </is>
      </c>
      <c r="B2976" s="1" t="n">
        <v>43871</v>
      </c>
      <c r="C2976" s="1" t="n">
        <v>45363</v>
      </c>
      <c r="D2976" t="inlineStr">
        <is>
          <t>JÄMTLANDS LÄN</t>
        </is>
      </c>
      <c r="E2976" t="inlineStr">
        <is>
          <t>HÄRJEDALEN</t>
        </is>
      </c>
      <c r="G2976" t="n">
        <v>41.4</v>
      </c>
      <c r="H2976" t="n">
        <v>0</v>
      </c>
      <c r="I2976" t="n">
        <v>0</v>
      </c>
      <c r="J2976" t="n">
        <v>0</v>
      </c>
      <c r="K2976" t="n">
        <v>0</v>
      </c>
      <c r="L2976" t="n">
        <v>0</v>
      </c>
      <c r="M2976" t="n">
        <v>0</v>
      </c>
      <c r="N2976" t="n">
        <v>0</v>
      </c>
      <c r="O2976" t="n">
        <v>0</v>
      </c>
      <c r="P2976" t="n">
        <v>0</v>
      </c>
      <c r="Q2976" t="n">
        <v>0</v>
      </c>
      <c r="R2976" s="2" t="inlineStr"/>
    </row>
    <row r="2977" ht="15" customHeight="1">
      <c r="A2977" t="inlineStr">
        <is>
          <t>A 7192-2020</t>
        </is>
      </c>
      <c r="B2977" s="1" t="n">
        <v>43871</v>
      </c>
      <c r="C2977" s="1" t="n">
        <v>45363</v>
      </c>
      <c r="D2977" t="inlineStr">
        <is>
          <t>JÄMTLANDS LÄN</t>
        </is>
      </c>
      <c r="E2977" t="inlineStr">
        <is>
          <t>STRÖMSUND</t>
        </is>
      </c>
      <c r="G2977" t="n">
        <v>11.4</v>
      </c>
      <c r="H2977" t="n">
        <v>0</v>
      </c>
      <c r="I2977" t="n">
        <v>0</v>
      </c>
      <c r="J2977" t="n">
        <v>0</v>
      </c>
      <c r="K2977" t="n">
        <v>0</v>
      </c>
      <c r="L2977" t="n">
        <v>0</v>
      </c>
      <c r="M2977" t="n">
        <v>0</v>
      </c>
      <c r="N2977" t="n">
        <v>0</v>
      </c>
      <c r="O2977" t="n">
        <v>0</v>
      </c>
      <c r="P2977" t="n">
        <v>0</v>
      </c>
      <c r="Q2977" t="n">
        <v>0</v>
      </c>
      <c r="R2977" s="2" t="inlineStr"/>
    </row>
    <row r="2978" ht="15" customHeight="1">
      <c r="A2978" t="inlineStr">
        <is>
          <t>A 7570-2020</t>
        </is>
      </c>
      <c r="B2978" s="1" t="n">
        <v>43871</v>
      </c>
      <c r="C2978" s="1" t="n">
        <v>45363</v>
      </c>
      <c r="D2978" t="inlineStr">
        <is>
          <t>JÄMTLANDS LÄN</t>
        </is>
      </c>
      <c r="E2978" t="inlineStr">
        <is>
          <t>ÖSTERSUND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7630-2020</t>
        </is>
      </c>
      <c r="B2979" s="1" t="n">
        <v>43871</v>
      </c>
      <c r="C2979" s="1" t="n">
        <v>45363</v>
      </c>
      <c r="D2979" t="inlineStr">
        <is>
          <t>JÄMTLANDS LÄN</t>
        </is>
      </c>
      <c r="E2979" t="inlineStr">
        <is>
          <t>STRÖMSUND</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7782-2020</t>
        </is>
      </c>
      <c r="B2980" s="1" t="n">
        <v>43872</v>
      </c>
      <c r="C2980" s="1" t="n">
        <v>45363</v>
      </c>
      <c r="D2980" t="inlineStr">
        <is>
          <t>JÄMTLANDS LÄN</t>
        </is>
      </c>
      <c r="E2980" t="inlineStr">
        <is>
          <t>BRÄCKE</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7720-2020</t>
        </is>
      </c>
      <c r="B2981" s="1" t="n">
        <v>43872</v>
      </c>
      <c r="C2981" s="1" t="n">
        <v>45363</v>
      </c>
      <c r="D2981" t="inlineStr">
        <is>
          <t>JÄMTLANDS LÄN</t>
        </is>
      </c>
      <c r="E2981" t="inlineStr">
        <is>
          <t>RAGUNDA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7783-2020</t>
        </is>
      </c>
      <c r="B2982" s="1" t="n">
        <v>43872</v>
      </c>
      <c r="C2982" s="1" t="n">
        <v>45363</v>
      </c>
      <c r="D2982" t="inlineStr">
        <is>
          <t>JÄMTLANDS LÄN</t>
        </is>
      </c>
      <c r="E2982" t="inlineStr">
        <is>
          <t>BRÄCKE</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7792-2020</t>
        </is>
      </c>
      <c r="B2983" s="1" t="n">
        <v>43872</v>
      </c>
      <c r="C2983" s="1" t="n">
        <v>45363</v>
      </c>
      <c r="D2983" t="inlineStr">
        <is>
          <t>JÄMTLANDS LÄN</t>
        </is>
      </c>
      <c r="E2983" t="inlineStr">
        <is>
          <t>BRÄCKE</t>
        </is>
      </c>
      <c r="F2983" t="inlineStr">
        <is>
          <t>SCA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7963-2020</t>
        </is>
      </c>
      <c r="B2984" s="1" t="n">
        <v>43872</v>
      </c>
      <c r="C2984" s="1" t="n">
        <v>45363</v>
      </c>
      <c r="D2984" t="inlineStr">
        <is>
          <t>JÄMTLANDS LÄN</t>
        </is>
      </c>
      <c r="E2984" t="inlineStr">
        <is>
          <t>STRÖMSUND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7974-2020</t>
        </is>
      </c>
      <c r="B2985" s="1" t="n">
        <v>43873</v>
      </c>
      <c r="C2985" s="1" t="n">
        <v>45363</v>
      </c>
      <c r="D2985" t="inlineStr">
        <is>
          <t>JÄMTLANDS LÄN</t>
        </is>
      </c>
      <c r="E2985" t="inlineStr">
        <is>
          <t>STRÖMSUND</t>
        </is>
      </c>
      <c r="G2985" t="n">
        <v>24.1</v>
      </c>
      <c r="H2985" t="n">
        <v>0</v>
      </c>
      <c r="I2985" t="n">
        <v>0</v>
      </c>
      <c r="J2985" t="n">
        <v>0</v>
      </c>
      <c r="K2985" t="n">
        <v>0</v>
      </c>
      <c r="L2985" t="n">
        <v>0</v>
      </c>
      <c r="M2985" t="n">
        <v>0</v>
      </c>
      <c r="N2985" t="n">
        <v>0</v>
      </c>
      <c r="O2985" t="n">
        <v>0</v>
      </c>
      <c r="P2985" t="n">
        <v>0</v>
      </c>
      <c r="Q2985" t="n">
        <v>0</v>
      </c>
      <c r="R2985" s="2" t="inlineStr"/>
    </row>
    <row r="2986" ht="15" customHeight="1">
      <c r="A2986" t="inlineStr">
        <is>
          <t>A 8040-2020</t>
        </is>
      </c>
      <c r="B2986" s="1" t="n">
        <v>43873</v>
      </c>
      <c r="C2986" s="1" t="n">
        <v>45363</v>
      </c>
      <c r="D2986" t="inlineStr">
        <is>
          <t>JÄMTLANDS LÄN</t>
        </is>
      </c>
      <c r="E2986" t="inlineStr">
        <is>
          <t>RAGUNDA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8111-2020</t>
        </is>
      </c>
      <c r="B2987" s="1" t="n">
        <v>43874</v>
      </c>
      <c r="C2987" s="1" t="n">
        <v>45363</v>
      </c>
      <c r="D2987" t="inlineStr">
        <is>
          <t>JÄMTLANDS LÄN</t>
        </is>
      </c>
      <c r="E2987" t="inlineStr">
        <is>
          <t>HÄRJEDALEN</t>
        </is>
      </c>
      <c r="G2987" t="n">
        <v>15.4</v>
      </c>
      <c r="H2987" t="n">
        <v>0</v>
      </c>
      <c r="I2987" t="n">
        <v>0</v>
      </c>
      <c r="J2987" t="n">
        <v>0</v>
      </c>
      <c r="K2987" t="n">
        <v>0</v>
      </c>
      <c r="L2987" t="n">
        <v>0</v>
      </c>
      <c r="M2987" t="n">
        <v>0</v>
      </c>
      <c r="N2987" t="n">
        <v>0</v>
      </c>
      <c r="O2987" t="n">
        <v>0</v>
      </c>
      <c r="P2987" t="n">
        <v>0</v>
      </c>
      <c r="Q2987" t="n">
        <v>0</v>
      </c>
      <c r="R2987" s="2" t="inlineStr"/>
    </row>
    <row r="2988" ht="15" customHeight="1">
      <c r="A2988" t="inlineStr">
        <is>
          <t>A 8110-2020</t>
        </is>
      </c>
      <c r="B2988" s="1" t="n">
        <v>43874</v>
      </c>
      <c r="C2988" s="1" t="n">
        <v>45363</v>
      </c>
      <c r="D2988" t="inlineStr">
        <is>
          <t>JÄMTLANDS LÄN</t>
        </is>
      </c>
      <c r="E2988" t="inlineStr">
        <is>
          <t>KROKOM</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8380-2020</t>
        </is>
      </c>
      <c r="B2989" s="1" t="n">
        <v>43874</v>
      </c>
      <c r="C2989" s="1" t="n">
        <v>45363</v>
      </c>
      <c r="D2989" t="inlineStr">
        <is>
          <t>JÄMTLANDS LÄN</t>
        </is>
      </c>
      <c r="E2989" t="inlineStr">
        <is>
          <t>KROKOM</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8482-2020</t>
        </is>
      </c>
      <c r="B2990" s="1" t="n">
        <v>43875</v>
      </c>
      <c r="C2990" s="1" t="n">
        <v>45363</v>
      </c>
      <c r="D2990" t="inlineStr">
        <is>
          <t>JÄMTLANDS LÄN</t>
        </is>
      </c>
      <c r="E2990" t="inlineStr">
        <is>
          <t>STRÖMSUND</t>
        </is>
      </c>
      <c r="G2990" t="n">
        <v>25.5</v>
      </c>
      <c r="H2990" t="n">
        <v>0</v>
      </c>
      <c r="I2990" t="n">
        <v>0</v>
      </c>
      <c r="J2990" t="n">
        <v>0</v>
      </c>
      <c r="K2990" t="n">
        <v>0</v>
      </c>
      <c r="L2990" t="n">
        <v>0</v>
      </c>
      <c r="M2990" t="n">
        <v>0</v>
      </c>
      <c r="N2990" t="n">
        <v>0</v>
      </c>
      <c r="O2990" t="n">
        <v>0</v>
      </c>
      <c r="P2990" t="n">
        <v>0</v>
      </c>
      <c r="Q2990" t="n">
        <v>0</v>
      </c>
      <c r="R2990" s="2" t="inlineStr"/>
    </row>
    <row r="2991" ht="15" customHeight="1">
      <c r="A2991" t="inlineStr">
        <is>
          <t>A 8401-2020</t>
        </is>
      </c>
      <c r="B2991" s="1" t="n">
        <v>43875</v>
      </c>
      <c r="C2991" s="1" t="n">
        <v>45363</v>
      </c>
      <c r="D2991" t="inlineStr">
        <is>
          <t>JÄMTLANDS LÄN</t>
        </is>
      </c>
      <c r="E2991" t="inlineStr">
        <is>
          <t>ÖSTERSUND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8762-2020</t>
        </is>
      </c>
      <c r="B2992" s="1" t="n">
        <v>43875</v>
      </c>
      <c r="C2992" s="1" t="n">
        <v>45363</v>
      </c>
      <c r="D2992" t="inlineStr">
        <is>
          <t>JÄMTLANDS LÄN</t>
        </is>
      </c>
      <c r="E2992" t="inlineStr">
        <is>
          <t>HÄRJEDALEN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8775-2020</t>
        </is>
      </c>
      <c r="B2993" s="1" t="n">
        <v>43878</v>
      </c>
      <c r="C2993" s="1" t="n">
        <v>45363</v>
      </c>
      <c r="D2993" t="inlineStr">
        <is>
          <t>JÄMTLANDS LÄN</t>
        </is>
      </c>
      <c r="E2993" t="inlineStr">
        <is>
          <t>STRÖMSUND</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8715-2020</t>
        </is>
      </c>
      <c r="B2994" s="1" t="n">
        <v>43878</v>
      </c>
      <c r="C2994" s="1" t="n">
        <v>45363</v>
      </c>
      <c r="D2994" t="inlineStr">
        <is>
          <t>JÄMTLANDS LÄN</t>
        </is>
      </c>
      <c r="E2994" t="inlineStr">
        <is>
          <t>BERG</t>
        </is>
      </c>
      <c r="G2994" t="n">
        <v>11.1</v>
      </c>
      <c r="H2994" t="n">
        <v>0</v>
      </c>
      <c r="I2994" t="n">
        <v>0</v>
      </c>
      <c r="J2994" t="n">
        <v>0</v>
      </c>
      <c r="K2994" t="n">
        <v>0</v>
      </c>
      <c r="L2994" t="n">
        <v>0</v>
      </c>
      <c r="M2994" t="n">
        <v>0</v>
      </c>
      <c r="N2994" t="n">
        <v>0</v>
      </c>
      <c r="O2994" t="n">
        <v>0</v>
      </c>
      <c r="P2994" t="n">
        <v>0</v>
      </c>
      <c r="Q2994" t="n">
        <v>0</v>
      </c>
      <c r="R2994" s="2" t="inlineStr"/>
    </row>
    <row r="2995" ht="15" customHeight="1">
      <c r="A2995" t="inlineStr">
        <is>
          <t>A 8908-2020</t>
        </is>
      </c>
      <c r="B2995" s="1" t="n">
        <v>43878</v>
      </c>
      <c r="C2995" s="1" t="n">
        <v>45363</v>
      </c>
      <c r="D2995" t="inlineStr">
        <is>
          <t>JÄMTLANDS LÄN</t>
        </is>
      </c>
      <c r="E2995" t="inlineStr">
        <is>
          <t>HÄRJEDALEN</t>
        </is>
      </c>
      <c r="G2995" t="n">
        <v>18.1</v>
      </c>
      <c r="H2995" t="n">
        <v>0</v>
      </c>
      <c r="I2995" t="n">
        <v>0</v>
      </c>
      <c r="J2995" t="n">
        <v>0</v>
      </c>
      <c r="K2995" t="n">
        <v>0</v>
      </c>
      <c r="L2995" t="n">
        <v>0</v>
      </c>
      <c r="M2995" t="n">
        <v>0</v>
      </c>
      <c r="N2995" t="n">
        <v>0</v>
      </c>
      <c r="O2995" t="n">
        <v>0</v>
      </c>
      <c r="P2995" t="n">
        <v>0</v>
      </c>
      <c r="Q2995" t="n">
        <v>0</v>
      </c>
      <c r="R2995" s="2" t="inlineStr"/>
    </row>
    <row r="2996" ht="15" customHeight="1">
      <c r="A2996" t="inlineStr">
        <is>
          <t>A 9034-2020</t>
        </is>
      </c>
      <c r="B2996" s="1" t="n">
        <v>43879</v>
      </c>
      <c r="C2996" s="1" t="n">
        <v>45363</v>
      </c>
      <c r="D2996" t="inlineStr">
        <is>
          <t>JÄMTLANDS LÄN</t>
        </is>
      </c>
      <c r="E2996" t="inlineStr">
        <is>
          <t>HÄRJEDALEN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9049-2020</t>
        </is>
      </c>
      <c r="B2997" s="1" t="n">
        <v>43879</v>
      </c>
      <c r="C2997" s="1" t="n">
        <v>45363</v>
      </c>
      <c r="D2997" t="inlineStr">
        <is>
          <t>JÄMTLANDS LÄN</t>
        </is>
      </c>
      <c r="E2997" t="inlineStr">
        <is>
          <t>KROKOM</t>
        </is>
      </c>
      <c r="G2997" t="n">
        <v>9.5</v>
      </c>
      <c r="H2997" t="n">
        <v>0</v>
      </c>
      <c r="I2997" t="n">
        <v>0</v>
      </c>
      <c r="J2997" t="n">
        <v>0</v>
      </c>
      <c r="K2997" t="n">
        <v>0</v>
      </c>
      <c r="L2997" t="n">
        <v>0</v>
      </c>
      <c r="M2997" t="n">
        <v>0</v>
      </c>
      <c r="N2997" t="n">
        <v>0</v>
      </c>
      <c r="O2997" t="n">
        <v>0</v>
      </c>
      <c r="P2997" t="n">
        <v>0</v>
      </c>
      <c r="Q2997" t="n">
        <v>0</v>
      </c>
      <c r="R2997" s="2" t="inlineStr"/>
    </row>
    <row r="2998" ht="15" customHeight="1">
      <c r="A2998" t="inlineStr">
        <is>
          <t>A 9091-2020</t>
        </is>
      </c>
      <c r="B2998" s="1" t="n">
        <v>43879</v>
      </c>
      <c r="C2998" s="1" t="n">
        <v>45363</v>
      </c>
      <c r="D2998" t="inlineStr">
        <is>
          <t>JÄMTLANDS LÄN</t>
        </is>
      </c>
      <c r="E2998" t="inlineStr">
        <is>
          <t>KROKOM</t>
        </is>
      </c>
      <c r="G2998" t="n">
        <v>13.4</v>
      </c>
      <c r="H2998" t="n">
        <v>0</v>
      </c>
      <c r="I2998" t="n">
        <v>0</v>
      </c>
      <c r="J2998" t="n">
        <v>0</v>
      </c>
      <c r="K2998" t="n">
        <v>0</v>
      </c>
      <c r="L2998" t="n">
        <v>0</v>
      </c>
      <c r="M2998" t="n">
        <v>0</v>
      </c>
      <c r="N2998" t="n">
        <v>0</v>
      </c>
      <c r="O2998" t="n">
        <v>0</v>
      </c>
      <c r="P2998" t="n">
        <v>0</v>
      </c>
      <c r="Q2998" t="n">
        <v>0</v>
      </c>
      <c r="R2998" s="2" t="inlineStr"/>
    </row>
    <row r="2999" ht="15" customHeight="1">
      <c r="A2999" t="inlineStr">
        <is>
          <t>A 9412-2020</t>
        </is>
      </c>
      <c r="B2999" s="1" t="n">
        <v>43880</v>
      </c>
      <c r="C2999" s="1" t="n">
        <v>45363</v>
      </c>
      <c r="D2999" t="inlineStr">
        <is>
          <t>JÄMTLANDS LÄN</t>
        </is>
      </c>
      <c r="E2999" t="inlineStr">
        <is>
          <t>KROKOM</t>
        </is>
      </c>
      <c r="G2999" t="n">
        <v>12.1</v>
      </c>
      <c r="H2999" t="n">
        <v>0</v>
      </c>
      <c r="I2999" t="n">
        <v>0</v>
      </c>
      <c r="J2999" t="n">
        <v>0</v>
      </c>
      <c r="K2999" t="n">
        <v>0</v>
      </c>
      <c r="L2999" t="n">
        <v>0</v>
      </c>
      <c r="M2999" t="n">
        <v>0</v>
      </c>
      <c r="N2999" t="n">
        <v>0</v>
      </c>
      <c r="O2999" t="n">
        <v>0</v>
      </c>
      <c r="P2999" t="n">
        <v>0</v>
      </c>
      <c r="Q2999" t="n">
        <v>0</v>
      </c>
      <c r="R2999" s="2" t="inlineStr"/>
    </row>
    <row r="3000" ht="15" customHeight="1">
      <c r="A3000" t="inlineStr">
        <is>
          <t>A 9527-2020</t>
        </is>
      </c>
      <c r="B3000" s="1" t="n">
        <v>43880</v>
      </c>
      <c r="C3000" s="1" t="n">
        <v>45363</v>
      </c>
      <c r="D3000" t="inlineStr">
        <is>
          <t>JÄMTLANDS LÄN</t>
        </is>
      </c>
      <c r="E3000" t="inlineStr">
        <is>
          <t>RAGUNDA</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9591-2020</t>
        </is>
      </c>
      <c r="B3001" s="1" t="n">
        <v>43881</v>
      </c>
      <c r="C3001" s="1" t="n">
        <v>45363</v>
      </c>
      <c r="D3001" t="inlineStr">
        <is>
          <t>JÄMTLANDS LÄN</t>
        </is>
      </c>
      <c r="E3001" t="inlineStr">
        <is>
          <t>HÄRJEDALEN</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9627-2020</t>
        </is>
      </c>
      <c r="B3002" s="1" t="n">
        <v>43881</v>
      </c>
      <c r="C3002" s="1" t="n">
        <v>45363</v>
      </c>
      <c r="D3002" t="inlineStr">
        <is>
          <t>JÄMTLANDS LÄN</t>
        </is>
      </c>
      <c r="E3002" t="inlineStr">
        <is>
          <t>BERG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9670-2020</t>
        </is>
      </c>
      <c r="B3003" s="1" t="n">
        <v>43881</v>
      </c>
      <c r="C3003" s="1" t="n">
        <v>45363</v>
      </c>
      <c r="D3003" t="inlineStr">
        <is>
          <t>JÄMTLANDS LÄN</t>
        </is>
      </c>
      <c r="E3003" t="inlineStr">
        <is>
          <t>BERG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9825-2020</t>
        </is>
      </c>
      <c r="B3004" s="1" t="n">
        <v>43881</v>
      </c>
      <c r="C3004" s="1" t="n">
        <v>45363</v>
      </c>
      <c r="D3004" t="inlineStr">
        <is>
          <t>JÄMTLANDS LÄN</t>
        </is>
      </c>
      <c r="E3004" t="inlineStr">
        <is>
          <t>BRÄCKE</t>
        </is>
      </c>
      <c r="F3004" t="inlineStr">
        <is>
          <t>SCA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9823-2020</t>
        </is>
      </c>
      <c r="B3005" s="1" t="n">
        <v>43881</v>
      </c>
      <c r="C3005" s="1" t="n">
        <v>45363</v>
      </c>
      <c r="D3005" t="inlineStr">
        <is>
          <t>JÄMTLANDS LÄN</t>
        </is>
      </c>
      <c r="E3005" t="inlineStr">
        <is>
          <t>RAGUNDA</t>
        </is>
      </c>
      <c r="F3005" t="inlineStr">
        <is>
          <t>SCA</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9962-2020</t>
        </is>
      </c>
      <c r="B3006" s="1" t="n">
        <v>43882</v>
      </c>
      <c r="C3006" s="1" t="n">
        <v>45363</v>
      </c>
      <c r="D3006" t="inlineStr">
        <is>
          <t>JÄMTLANDS LÄN</t>
        </is>
      </c>
      <c r="E3006" t="inlineStr">
        <is>
          <t>RAGUNDA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10057-2020</t>
        </is>
      </c>
      <c r="B3007" s="1" t="n">
        <v>43882</v>
      </c>
      <c r="C3007" s="1" t="n">
        <v>45363</v>
      </c>
      <c r="D3007" t="inlineStr">
        <is>
          <t>JÄMTLANDS LÄN</t>
        </is>
      </c>
      <c r="E3007" t="inlineStr">
        <is>
          <t>STRÖMSUND</t>
        </is>
      </c>
      <c r="G3007" t="n">
        <v>10.4</v>
      </c>
      <c r="H3007" t="n">
        <v>0</v>
      </c>
      <c r="I3007" t="n">
        <v>0</v>
      </c>
      <c r="J3007" t="n">
        <v>0</v>
      </c>
      <c r="K3007" t="n">
        <v>0</v>
      </c>
      <c r="L3007" t="n">
        <v>0</v>
      </c>
      <c r="M3007" t="n">
        <v>0</v>
      </c>
      <c r="N3007" t="n">
        <v>0</v>
      </c>
      <c r="O3007" t="n">
        <v>0</v>
      </c>
      <c r="P3007" t="n">
        <v>0</v>
      </c>
      <c r="Q3007" t="n">
        <v>0</v>
      </c>
      <c r="R3007" s="2" t="inlineStr"/>
    </row>
    <row r="3008" ht="15" customHeight="1">
      <c r="A3008" t="inlineStr">
        <is>
          <t>A 10206-2020</t>
        </is>
      </c>
      <c r="B3008" s="1" t="n">
        <v>43885</v>
      </c>
      <c r="C3008" s="1" t="n">
        <v>45363</v>
      </c>
      <c r="D3008" t="inlineStr">
        <is>
          <t>JÄMTLANDS LÄN</t>
        </is>
      </c>
      <c r="E3008" t="inlineStr">
        <is>
          <t>KROKOM</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10180-2020</t>
        </is>
      </c>
      <c r="B3009" s="1" t="n">
        <v>43887</v>
      </c>
      <c r="C3009" s="1" t="n">
        <v>45363</v>
      </c>
      <c r="D3009" t="inlineStr">
        <is>
          <t>JÄMTLANDS LÄN</t>
        </is>
      </c>
      <c r="E3009" t="inlineStr">
        <is>
          <t>KROKOM</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10642-2020</t>
        </is>
      </c>
      <c r="B3010" s="1" t="n">
        <v>43887</v>
      </c>
      <c r="C3010" s="1" t="n">
        <v>45363</v>
      </c>
      <c r="D3010" t="inlineStr">
        <is>
          <t>JÄMTLANDS LÄN</t>
        </is>
      </c>
      <c r="E3010" t="inlineStr">
        <is>
          <t>RAGUNDA</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10715-2020</t>
        </is>
      </c>
      <c r="B3011" s="1" t="n">
        <v>43888</v>
      </c>
      <c r="C3011" s="1" t="n">
        <v>45363</v>
      </c>
      <c r="D3011" t="inlineStr">
        <is>
          <t>JÄMTLANDS LÄN</t>
        </is>
      </c>
      <c r="E3011" t="inlineStr">
        <is>
          <t>BERG</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11021-2020</t>
        </is>
      </c>
      <c r="B3012" s="1" t="n">
        <v>43889</v>
      </c>
      <c r="C3012" s="1" t="n">
        <v>45363</v>
      </c>
      <c r="D3012" t="inlineStr">
        <is>
          <t>JÄMTLANDS LÄN</t>
        </is>
      </c>
      <c r="E3012" t="inlineStr">
        <is>
          <t>KROKOM</t>
        </is>
      </c>
      <c r="G3012" t="n">
        <v>14.3</v>
      </c>
      <c r="H3012" t="n">
        <v>0</v>
      </c>
      <c r="I3012" t="n">
        <v>0</v>
      </c>
      <c r="J3012" t="n">
        <v>0</v>
      </c>
      <c r="K3012" t="n">
        <v>0</v>
      </c>
      <c r="L3012" t="n">
        <v>0</v>
      </c>
      <c r="M3012" t="n">
        <v>0</v>
      </c>
      <c r="N3012" t="n">
        <v>0</v>
      </c>
      <c r="O3012" t="n">
        <v>0</v>
      </c>
      <c r="P3012" t="n">
        <v>0</v>
      </c>
      <c r="Q3012" t="n">
        <v>0</v>
      </c>
      <c r="R3012" s="2" t="inlineStr"/>
    </row>
    <row r="3013" ht="15" customHeight="1">
      <c r="A3013" t="inlineStr">
        <is>
          <t>A 11500-2020</t>
        </is>
      </c>
      <c r="B3013" s="1" t="n">
        <v>43893</v>
      </c>
      <c r="C3013" s="1" t="n">
        <v>45363</v>
      </c>
      <c r="D3013" t="inlineStr">
        <is>
          <t>JÄMTLANDS LÄN</t>
        </is>
      </c>
      <c r="E3013" t="inlineStr">
        <is>
          <t>KROKOM</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11487-2020</t>
        </is>
      </c>
      <c r="B3014" s="1" t="n">
        <v>43893</v>
      </c>
      <c r="C3014" s="1" t="n">
        <v>45363</v>
      </c>
      <c r="D3014" t="inlineStr">
        <is>
          <t>JÄMTLANDS LÄN</t>
        </is>
      </c>
      <c r="E3014" t="inlineStr">
        <is>
          <t>KROKOM</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11566-2020</t>
        </is>
      </c>
      <c r="B3015" s="1" t="n">
        <v>43893</v>
      </c>
      <c r="C3015" s="1" t="n">
        <v>45363</v>
      </c>
      <c r="D3015" t="inlineStr">
        <is>
          <t>JÄMTLANDS LÄN</t>
        </is>
      </c>
      <c r="E3015" t="inlineStr">
        <is>
          <t>ÖSTERSUND</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11731-2020</t>
        </is>
      </c>
      <c r="B3016" s="1" t="n">
        <v>43894</v>
      </c>
      <c r="C3016" s="1" t="n">
        <v>45363</v>
      </c>
      <c r="D3016" t="inlineStr">
        <is>
          <t>JÄMTLANDS LÄN</t>
        </is>
      </c>
      <c r="E3016" t="inlineStr">
        <is>
          <t>HÄRJEDALEN</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11788-2020</t>
        </is>
      </c>
      <c r="B3017" s="1" t="n">
        <v>43894</v>
      </c>
      <c r="C3017" s="1" t="n">
        <v>45363</v>
      </c>
      <c r="D3017" t="inlineStr">
        <is>
          <t>JÄMTLANDS LÄN</t>
        </is>
      </c>
      <c r="E3017" t="inlineStr">
        <is>
          <t>BERG</t>
        </is>
      </c>
      <c r="F3017" t="inlineStr">
        <is>
          <t>Holmen skog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11825-2020</t>
        </is>
      </c>
      <c r="B3018" s="1" t="n">
        <v>43894</v>
      </c>
      <c r="C3018" s="1" t="n">
        <v>45363</v>
      </c>
      <c r="D3018" t="inlineStr">
        <is>
          <t>JÄMTLANDS LÄN</t>
        </is>
      </c>
      <c r="E3018" t="inlineStr">
        <is>
          <t>BERG</t>
        </is>
      </c>
      <c r="F3018" t="inlineStr">
        <is>
          <t>Holmen skog AB</t>
        </is>
      </c>
      <c r="G3018" t="n">
        <v>17.7</v>
      </c>
      <c r="H3018" t="n">
        <v>0</v>
      </c>
      <c r="I3018" t="n">
        <v>0</v>
      </c>
      <c r="J3018" t="n">
        <v>0</v>
      </c>
      <c r="K3018" t="n">
        <v>0</v>
      </c>
      <c r="L3018" t="n">
        <v>0</v>
      </c>
      <c r="M3018" t="n">
        <v>0</v>
      </c>
      <c r="N3018" t="n">
        <v>0</v>
      </c>
      <c r="O3018" t="n">
        <v>0</v>
      </c>
      <c r="P3018" t="n">
        <v>0</v>
      </c>
      <c r="Q3018" t="n">
        <v>0</v>
      </c>
      <c r="R3018" s="2" t="inlineStr"/>
    </row>
    <row r="3019" ht="15" customHeight="1">
      <c r="A3019" t="inlineStr">
        <is>
          <t>A 11890-2020</t>
        </is>
      </c>
      <c r="B3019" s="1" t="n">
        <v>43894</v>
      </c>
      <c r="C3019" s="1" t="n">
        <v>45363</v>
      </c>
      <c r="D3019" t="inlineStr">
        <is>
          <t>JÄMTLANDS LÄN</t>
        </is>
      </c>
      <c r="E3019" t="inlineStr">
        <is>
          <t>BERG</t>
        </is>
      </c>
      <c r="F3019" t="inlineStr">
        <is>
          <t>Holmen skog AB</t>
        </is>
      </c>
      <c r="G3019" t="n">
        <v>15.3</v>
      </c>
      <c r="H3019" t="n">
        <v>0</v>
      </c>
      <c r="I3019" t="n">
        <v>0</v>
      </c>
      <c r="J3019" t="n">
        <v>0</v>
      </c>
      <c r="K3019" t="n">
        <v>0</v>
      </c>
      <c r="L3019" t="n">
        <v>0</v>
      </c>
      <c r="M3019" t="n">
        <v>0</v>
      </c>
      <c r="N3019" t="n">
        <v>0</v>
      </c>
      <c r="O3019" t="n">
        <v>0</v>
      </c>
      <c r="P3019" t="n">
        <v>0</v>
      </c>
      <c r="Q3019" t="n">
        <v>0</v>
      </c>
      <c r="R3019" s="2" t="inlineStr"/>
    </row>
    <row r="3020" ht="15" customHeight="1">
      <c r="A3020" t="inlineStr">
        <is>
          <t>A 11816-2020</t>
        </is>
      </c>
      <c r="B3020" s="1" t="n">
        <v>43894</v>
      </c>
      <c r="C3020" s="1" t="n">
        <v>45363</v>
      </c>
      <c r="D3020" t="inlineStr">
        <is>
          <t>JÄMTLANDS LÄN</t>
        </is>
      </c>
      <c r="E3020" t="inlineStr">
        <is>
          <t>HÄRJEDALEN</t>
        </is>
      </c>
      <c r="F3020" t="inlineStr">
        <is>
          <t>Holmen skog AB</t>
        </is>
      </c>
      <c r="G3020" t="n">
        <v>20.4</v>
      </c>
      <c r="H3020" t="n">
        <v>0</v>
      </c>
      <c r="I3020" t="n">
        <v>0</v>
      </c>
      <c r="J3020" t="n">
        <v>0</v>
      </c>
      <c r="K3020" t="n">
        <v>0</v>
      </c>
      <c r="L3020" t="n">
        <v>0</v>
      </c>
      <c r="M3020" t="n">
        <v>0</v>
      </c>
      <c r="N3020" t="n">
        <v>0</v>
      </c>
      <c r="O3020" t="n">
        <v>0</v>
      </c>
      <c r="P3020" t="n">
        <v>0</v>
      </c>
      <c r="Q3020" t="n">
        <v>0</v>
      </c>
      <c r="R3020" s="2" t="inlineStr"/>
    </row>
    <row r="3021" ht="15" customHeight="1">
      <c r="A3021" t="inlineStr">
        <is>
          <t>A 11818-2020</t>
        </is>
      </c>
      <c r="B3021" s="1" t="n">
        <v>43894</v>
      </c>
      <c r="C3021" s="1" t="n">
        <v>45363</v>
      </c>
      <c r="D3021" t="inlineStr">
        <is>
          <t>JÄMTLANDS LÄN</t>
        </is>
      </c>
      <c r="E3021" t="inlineStr">
        <is>
          <t>HÄRJEDALEN</t>
        </is>
      </c>
      <c r="F3021" t="inlineStr">
        <is>
          <t>Holmen skog AB</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11885-2020</t>
        </is>
      </c>
      <c r="B3022" s="1" t="n">
        <v>43894</v>
      </c>
      <c r="C3022" s="1" t="n">
        <v>45363</v>
      </c>
      <c r="D3022" t="inlineStr">
        <is>
          <t>JÄMTLANDS LÄN</t>
        </is>
      </c>
      <c r="E3022" t="inlineStr">
        <is>
          <t>HÄRJEDALEN</t>
        </is>
      </c>
      <c r="F3022" t="inlineStr">
        <is>
          <t>Holmen skog AB</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11828-2020</t>
        </is>
      </c>
      <c r="B3023" s="1" t="n">
        <v>43894</v>
      </c>
      <c r="C3023" s="1" t="n">
        <v>45363</v>
      </c>
      <c r="D3023" t="inlineStr">
        <is>
          <t>JÄMTLANDS LÄN</t>
        </is>
      </c>
      <c r="E3023" t="inlineStr">
        <is>
          <t>HÄRJEDALEN</t>
        </is>
      </c>
      <c r="F3023" t="inlineStr">
        <is>
          <t>Holmen skog AB</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11905-2020</t>
        </is>
      </c>
      <c r="B3024" s="1" t="n">
        <v>43894</v>
      </c>
      <c r="C3024" s="1" t="n">
        <v>45363</v>
      </c>
      <c r="D3024" t="inlineStr">
        <is>
          <t>JÄMTLANDS LÄN</t>
        </is>
      </c>
      <c r="E3024" t="inlineStr">
        <is>
          <t>HÄRJEDALEN</t>
        </is>
      </c>
      <c r="F3024" t="inlineStr">
        <is>
          <t>Holmen skog AB</t>
        </is>
      </c>
      <c r="G3024" t="n">
        <v>10.3</v>
      </c>
      <c r="H3024" t="n">
        <v>0</v>
      </c>
      <c r="I3024" t="n">
        <v>0</v>
      </c>
      <c r="J3024" t="n">
        <v>0</v>
      </c>
      <c r="K3024" t="n">
        <v>0</v>
      </c>
      <c r="L3024" t="n">
        <v>0</v>
      </c>
      <c r="M3024" t="n">
        <v>0</v>
      </c>
      <c r="N3024" t="n">
        <v>0</v>
      </c>
      <c r="O3024" t="n">
        <v>0</v>
      </c>
      <c r="P3024" t="n">
        <v>0</v>
      </c>
      <c r="Q3024" t="n">
        <v>0</v>
      </c>
      <c r="R3024" s="2" t="inlineStr"/>
    </row>
    <row r="3025" ht="15" customHeight="1">
      <c r="A3025" t="inlineStr">
        <is>
          <t>A 11785-2020</t>
        </is>
      </c>
      <c r="B3025" s="1" t="n">
        <v>43894</v>
      </c>
      <c r="C3025" s="1" t="n">
        <v>45363</v>
      </c>
      <c r="D3025" t="inlineStr">
        <is>
          <t>JÄMTLANDS LÄN</t>
        </is>
      </c>
      <c r="E3025" t="inlineStr">
        <is>
          <t>BERG</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13367-2020</t>
        </is>
      </c>
      <c r="B3026" s="1" t="n">
        <v>43894</v>
      </c>
      <c r="C3026" s="1" t="n">
        <v>45363</v>
      </c>
      <c r="D3026" t="inlineStr">
        <is>
          <t>JÄMTLANDS LÄN</t>
        </is>
      </c>
      <c r="E3026" t="inlineStr">
        <is>
          <t>KROKOM</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12202-2020</t>
        </is>
      </c>
      <c r="B3027" s="1" t="n">
        <v>43895</v>
      </c>
      <c r="C3027" s="1" t="n">
        <v>45363</v>
      </c>
      <c r="D3027" t="inlineStr">
        <is>
          <t>JÄMTLANDS LÄN</t>
        </is>
      </c>
      <c r="E3027" t="inlineStr">
        <is>
          <t>ÖSTERSUND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13604-2020</t>
        </is>
      </c>
      <c r="B3028" s="1" t="n">
        <v>43895</v>
      </c>
      <c r="C3028" s="1" t="n">
        <v>45363</v>
      </c>
      <c r="D3028" t="inlineStr">
        <is>
          <t>JÄMTLANDS LÄN</t>
        </is>
      </c>
      <c r="E3028" t="inlineStr">
        <is>
          <t>HÄRJEDALEN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12398-2020</t>
        </is>
      </c>
      <c r="B3029" s="1" t="n">
        <v>43896</v>
      </c>
      <c r="C3029" s="1" t="n">
        <v>45363</v>
      </c>
      <c r="D3029" t="inlineStr">
        <is>
          <t>JÄMTLANDS LÄN</t>
        </is>
      </c>
      <c r="E3029" t="inlineStr">
        <is>
          <t>HÄRJEDALEN</t>
        </is>
      </c>
      <c r="G3029" t="n">
        <v>12.3</v>
      </c>
      <c r="H3029" t="n">
        <v>0</v>
      </c>
      <c r="I3029" t="n">
        <v>0</v>
      </c>
      <c r="J3029" t="n">
        <v>0</v>
      </c>
      <c r="K3029" t="n">
        <v>0</v>
      </c>
      <c r="L3029" t="n">
        <v>0</v>
      </c>
      <c r="M3029" t="n">
        <v>0</v>
      </c>
      <c r="N3029" t="n">
        <v>0</v>
      </c>
      <c r="O3029" t="n">
        <v>0</v>
      </c>
      <c r="P3029" t="n">
        <v>0</v>
      </c>
      <c r="Q3029" t="n">
        <v>0</v>
      </c>
      <c r="R3029" s="2" t="inlineStr"/>
    </row>
    <row r="3030" ht="15" customHeight="1">
      <c r="A3030" t="inlineStr">
        <is>
          <t>A 12519-2020</t>
        </is>
      </c>
      <c r="B3030" s="1" t="n">
        <v>43896</v>
      </c>
      <c r="C3030" s="1" t="n">
        <v>45363</v>
      </c>
      <c r="D3030" t="inlineStr">
        <is>
          <t>JÄMTLANDS LÄN</t>
        </is>
      </c>
      <c r="E3030" t="inlineStr">
        <is>
          <t>RAGUNDA</t>
        </is>
      </c>
      <c r="F3030" t="inlineStr">
        <is>
          <t>SCA</t>
        </is>
      </c>
      <c r="G3030" t="n">
        <v>3.1</v>
      </c>
      <c r="H3030" t="n">
        <v>0</v>
      </c>
      <c r="I3030" t="n">
        <v>0</v>
      </c>
      <c r="J3030" t="n">
        <v>0</v>
      </c>
      <c r="K3030" t="n">
        <v>0</v>
      </c>
      <c r="L3030" t="n">
        <v>0</v>
      </c>
      <c r="M3030" t="n">
        <v>0</v>
      </c>
      <c r="N3030" t="n">
        <v>0</v>
      </c>
      <c r="O3030" t="n">
        <v>0</v>
      </c>
      <c r="P3030" t="n">
        <v>0</v>
      </c>
      <c r="Q3030" t="n">
        <v>0</v>
      </c>
      <c r="R3030" s="2" t="inlineStr"/>
      <c r="U3030">
        <f>HYPERLINK("https://klasma.github.io/Logging_2303/knärot/A 12519-2020 karta knärot.png", "A 12519-2020")</f>
        <v/>
      </c>
      <c r="V3030">
        <f>HYPERLINK("https://klasma.github.io/Logging_2303/klagomål/A 12519-2020 FSC-klagomål.docx", "A 12519-2020")</f>
        <v/>
      </c>
      <c r="W3030">
        <f>HYPERLINK("https://klasma.github.io/Logging_2303/klagomålsmail/A 12519-2020 FSC-klagomål mail.docx", "A 12519-2020")</f>
        <v/>
      </c>
      <c r="X3030">
        <f>HYPERLINK("https://klasma.github.io/Logging_2303/tillsyn/A 12519-2020 tillsynsbegäran.docx", "A 12519-2020")</f>
        <v/>
      </c>
      <c r="Y3030">
        <f>HYPERLINK("https://klasma.github.io/Logging_2303/tillsynsmail/A 12519-2020 tillsynsbegäran mail.docx", "A 12519-2020")</f>
        <v/>
      </c>
    </row>
    <row r="3031" ht="15" customHeight="1">
      <c r="A3031" t="inlineStr">
        <is>
          <t>A 12410-2020</t>
        </is>
      </c>
      <c r="B3031" s="1" t="n">
        <v>43896</v>
      </c>
      <c r="C3031" s="1" t="n">
        <v>45363</v>
      </c>
      <c r="D3031" t="inlineStr">
        <is>
          <t>JÄMTLANDS LÄN</t>
        </is>
      </c>
      <c r="E3031" t="inlineStr">
        <is>
          <t>HÄRJEDALEN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13588-2020</t>
        </is>
      </c>
      <c r="B3032" s="1" t="n">
        <v>43896</v>
      </c>
      <c r="C3032" s="1" t="n">
        <v>45363</v>
      </c>
      <c r="D3032" t="inlineStr">
        <is>
          <t>JÄMTLANDS LÄN</t>
        </is>
      </c>
      <c r="E3032" t="inlineStr">
        <is>
          <t>HÄRJEDALEN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12609-2020</t>
        </is>
      </c>
      <c r="B3033" s="1" t="n">
        <v>43899</v>
      </c>
      <c r="C3033" s="1" t="n">
        <v>45363</v>
      </c>
      <c r="D3033" t="inlineStr">
        <is>
          <t>JÄMTLANDS LÄN</t>
        </is>
      </c>
      <c r="E3033" t="inlineStr">
        <is>
          <t>STRÖMSUND</t>
        </is>
      </c>
      <c r="F3033" t="inlineStr">
        <is>
          <t>Kyrkan</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12914-2020</t>
        </is>
      </c>
      <c r="B3034" s="1" t="n">
        <v>43900</v>
      </c>
      <c r="C3034" s="1" t="n">
        <v>45363</v>
      </c>
      <c r="D3034" t="inlineStr">
        <is>
          <t>JÄMTLANDS LÄN</t>
        </is>
      </c>
      <c r="E3034" t="inlineStr">
        <is>
          <t>KROKOM</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12898-2020</t>
        </is>
      </c>
      <c r="B3035" s="1" t="n">
        <v>43900</v>
      </c>
      <c r="C3035" s="1" t="n">
        <v>45363</v>
      </c>
      <c r="D3035" t="inlineStr">
        <is>
          <t>JÄMTLANDS LÄN</t>
        </is>
      </c>
      <c r="E3035" t="inlineStr">
        <is>
          <t>HÄRJEDALEN</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13502-2020</t>
        </is>
      </c>
      <c r="B3036" s="1" t="n">
        <v>43900</v>
      </c>
      <c r="C3036" s="1" t="n">
        <v>45363</v>
      </c>
      <c r="D3036" t="inlineStr">
        <is>
          <t>JÄMTLANDS LÄN</t>
        </is>
      </c>
      <c r="E3036" t="inlineStr">
        <is>
          <t>KROKOM</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13057-2020</t>
        </is>
      </c>
      <c r="B3037" s="1" t="n">
        <v>43900</v>
      </c>
      <c r="C3037" s="1" t="n">
        <v>45363</v>
      </c>
      <c r="D3037" t="inlineStr">
        <is>
          <t>JÄMTLANDS LÄN</t>
        </is>
      </c>
      <c r="E3037" t="inlineStr">
        <is>
          <t>RAGUNDA</t>
        </is>
      </c>
      <c r="G3037" t="n">
        <v>10.8</v>
      </c>
      <c r="H3037" t="n">
        <v>0</v>
      </c>
      <c r="I3037" t="n">
        <v>0</v>
      </c>
      <c r="J3037" t="n">
        <v>0</v>
      </c>
      <c r="K3037" t="n">
        <v>0</v>
      </c>
      <c r="L3037" t="n">
        <v>0</v>
      </c>
      <c r="M3037" t="n">
        <v>0</v>
      </c>
      <c r="N3037" t="n">
        <v>0</v>
      </c>
      <c r="O3037" t="n">
        <v>0</v>
      </c>
      <c r="P3037" t="n">
        <v>0</v>
      </c>
      <c r="Q3037" t="n">
        <v>0</v>
      </c>
      <c r="R3037" s="2" t="inlineStr"/>
    </row>
    <row r="3038" ht="15" customHeight="1">
      <c r="A3038" t="inlineStr">
        <is>
          <t>A 12908-2020</t>
        </is>
      </c>
      <c r="B3038" s="1" t="n">
        <v>43900</v>
      </c>
      <c r="C3038" s="1" t="n">
        <v>45363</v>
      </c>
      <c r="D3038" t="inlineStr">
        <is>
          <t>JÄMTLANDS LÄN</t>
        </is>
      </c>
      <c r="E3038" t="inlineStr">
        <is>
          <t>KROKOM</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13233-2020</t>
        </is>
      </c>
      <c r="B3039" s="1" t="n">
        <v>43901</v>
      </c>
      <c r="C3039" s="1" t="n">
        <v>45363</v>
      </c>
      <c r="D3039" t="inlineStr">
        <is>
          <t>JÄMTLANDS LÄN</t>
        </is>
      </c>
      <c r="E3039" t="inlineStr">
        <is>
          <t>STRÖMSUND</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13264-2020</t>
        </is>
      </c>
      <c r="B3040" s="1" t="n">
        <v>43901</v>
      </c>
      <c r="C3040" s="1" t="n">
        <v>45363</v>
      </c>
      <c r="D3040" t="inlineStr">
        <is>
          <t>JÄMTLANDS LÄN</t>
        </is>
      </c>
      <c r="E3040" t="inlineStr">
        <is>
          <t>ÖSTERSUND</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13202-2020</t>
        </is>
      </c>
      <c r="B3041" s="1" t="n">
        <v>43901</v>
      </c>
      <c r="C3041" s="1" t="n">
        <v>45363</v>
      </c>
      <c r="D3041" t="inlineStr">
        <is>
          <t>JÄMTLANDS LÄN</t>
        </is>
      </c>
      <c r="E3041" t="inlineStr">
        <is>
          <t>RAGUNDA</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13241-2020</t>
        </is>
      </c>
      <c r="B3042" s="1" t="n">
        <v>43901</v>
      </c>
      <c r="C3042" s="1" t="n">
        <v>45363</v>
      </c>
      <c r="D3042" t="inlineStr">
        <is>
          <t>JÄMTLANDS LÄN</t>
        </is>
      </c>
      <c r="E3042" t="inlineStr">
        <is>
          <t>STRÖMSUND</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14259-2020</t>
        </is>
      </c>
      <c r="B3043" s="1" t="n">
        <v>43901</v>
      </c>
      <c r="C3043" s="1" t="n">
        <v>45363</v>
      </c>
      <c r="D3043" t="inlineStr">
        <is>
          <t>JÄMTLANDS LÄN</t>
        </is>
      </c>
      <c r="E3043" t="inlineStr">
        <is>
          <t>STRÖMSUND</t>
        </is>
      </c>
      <c r="G3043" t="n">
        <v>17.8</v>
      </c>
      <c r="H3043" t="n">
        <v>0</v>
      </c>
      <c r="I3043" t="n">
        <v>0</v>
      </c>
      <c r="J3043" t="n">
        <v>0</v>
      </c>
      <c r="K3043" t="n">
        <v>0</v>
      </c>
      <c r="L3043" t="n">
        <v>0</v>
      </c>
      <c r="M3043" t="n">
        <v>0</v>
      </c>
      <c r="N3043" t="n">
        <v>0</v>
      </c>
      <c r="O3043" t="n">
        <v>0</v>
      </c>
      <c r="P3043" t="n">
        <v>0</v>
      </c>
      <c r="Q3043" t="n">
        <v>0</v>
      </c>
      <c r="R3043" s="2" t="inlineStr"/>
    </row>
    <row r="3044" ht="15" customHeight="1">
      <c r="A3044" t="inlineStr">
        <is>
          <t>A 13402-2020</t>
        </is>
      </c>
      <c r="B3044" s="1" t="n">
        <v>43902</v>
      </c>
      <c r="C3044" s="1" t="n">
        <v>45363</v>
      </c>
      <c r="D3044" t="inlineStr">
        <is>
          <t>JÄMTLANDS LÄN</t>
        </is>
      </c>
      <c r="E3044" t="inlineStr">
        <is>
          <t>ÅRE</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13408-2020</t>
        </is>
      </c>
      <c r="B3045" s="1" t="n">
        <v>43902</v>
      </c>
      <c r="C3045" s="1" t="n">
        <v>45363</v>
      </c>
      <c r="D3045" t="inlineStr">
        <is>
          <t>JÄMTLANDS LÄN</t>
        </is>
      </c>
      <c r="E3045" t="inlineStr">
        <is>
          <t>ÅRE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13563-2020</t>
        </is>
      </c>
      <c r="B3046" s="1" t="n">
        <v>43902</v>
      </c>
      <c r="C3046" s="1" t="n">
        <v>45363</v>
      </c>
      <c r="D3046" t="inlineStr">
        <is>
          <t>JÄMTLANDS LÄN</t>
        </is>
      </c>
      <c r="E3046" t="inlineStr">
        <is>
          <t>RAGUNDA</t>
        </is>
      </c>
      <c r="F3046" t="inlineStr">
        <is>
          <t>SCA</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13890-2020</t>
        </is>
      </c>
      <c r="B3047" s="1" t="n">
        <v>43906</v>
      </c>
      <c r="C3047" s="1" t="n">
        <v>45363</v>
      </c>
      <c r="D3047" t="inlineStr">
        <is>
          <t>JÄMTLANDS LÄN</t>
        </is>
      </c>
      <c r="E3047" t="inlineStr">
        <is>
          <t>BRÄCKE</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14917-2020</t>
        </is>
      </c>
      <c r="B3048" s="1" t="n">
        <v>43906</v>
      </c>
      <c r="C3048" s="1" t="n">
        <v>45363</v>
      </c>
      <c r="D3048" t="inlineStr">
        <is>
          <t>JÄMTLANDS LÄN</t>
        </is>
      </c>
      <c r="E3048" t="inlineStr">
        <is>
          <t>ÖSTERSUND</t>
        </is>
      </c>
      <c r="G3048" t="n">
        <v>12.9</v>
      </c>
      <c r="H3048" t="n">
        <v>0</v>
      </c>
      <c r="I3048" t="n">
        <v>0</v>
      </c>
      <c r="J3048" t="n">
        <v>0</v>
      </c>
      <c r="K3048" t="n">
        <v>0</v>
      </c>
      <c r="L3048" t="n">
        <v>0</v>
      </c>
      <c r="M3048" t="n">
        <v>0</v>
      </c>
      <c r="N3048" t="n">
        <v>0</v>
      </c>
      <c r="O3048" t="n">
        <v>0</v>
      </c>
      <c r="P3048" t="n">
        <v>0</v>
      </c>
      <c r="Q3048" t="n">
        <v>0</v>
      </c>
      <c r="R3048" s="2" t="inlineStr"/>
    </row>
    <row r="3049" ht="15" customHeight="1">
      <c r="A3049" t="inlineStr">
        <is>
          <t>A 14904-2020</t>
        </is>
      </c>
      <c r="B3049" s="1" t="n">
        <v>43906</v>
      </c>
      <c r="C3049" s="1" t="n">
        <v>45363</v>
      </c>
      <c r="D3049" t="inlineStr">
        <is>
          <t>JÄMTLANDS LÄN</t>
        </is>
      </c>
      <c r="E3049" t="inlineStr">
        <is>
          <t>STRÖMSUND</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14281-2020</t>
        </is>
      </c>
      <c r="B3050" s="1" t="n">
        <v>43907</v>
      </c>
      <c r="C3050" s="1" t="n">
        <v>45363</v>
      </c>
      <c r="D3050" t="inlineStr">
        <is>
          <t>JÄMTLANDS LÄN</t>
        </is>
      </c>
      <c r="E3050" t="inlineStr">
        <is>
          <t>KROKOM</t>
        </is>
      </c>
      <c r="G3050" t="n">
        <v>31.3</v>
      </c>
      <c r="H3050" t="n">
        <v>0</v>
      </c>
      <c r="I3050" t="n">
        <v>0</v>
      </c>
      <c r="J3050" t="n">
        <v>0</v>
      </c>
      <c r="K3050" t="n">
        <v>0</v>
      </c>
      <c r="L3050" t="n">
        <v>0</v>
      </c>
      <c r="M3050" t="n">
        <v>0</v>
      </c>
      <c r="N3050" t="n">
        <v>0</v>
      </c>
      <c r="O3050" t="n">
        <v>0</v>
      </c>
      <c r="P3050" t="n">
        <v>0</v>
      </c>
      <c r="Q3050" t="n">
        <v>0</v>
      </c>
      <c r="R3050" s="2" t="inlineStr"/>
    </row>
    <row r="3051" ht="15" customHeight="1">
      <c r="A3051" t="inlineStr">
        <is>
          <t>A 14285-2020</t>
        </is>
      </c>
      <c r="B3051" s="1" t="n">
        <v>43907</v>
      </c>
      <c r="C3051" s="1" t="n">
        <v>45363</v>
      </c>
      <c r="D3051" t="inlineStr">
        <is>
          <t>JÄMTLANDS LÄN</t>
        </is>
      </c>
      <c r="E3051" t="inlineStr">
        <is>
          <t>KROKOM</t>
        </is>
      </c>
      <c r="G3051" t="n">
        <v>13.9</v>
      </c>
      <c r="H3051" t="n">
        <v>0</v>
      </c>
      <c r="I3051" t="n">
        <v>0</v>
      </c>
      <c r="J3051" t="n">
        <v>0</v>
      </c>
      <c r="K3051" t="n">
        <v>0</v>
      </c>
      <c r="L3051" t="n">
        <v>0</v>
      </c>
      <c r="M3051" t="n">
        <v>0</v>
      </c>
      <c r="N3051" t="n">
        <v>0</v>
      </c>
      <c r="O3051" t="n">
        <v>0</v>
      </c>
      <c r="P3051" t="n">
        <v>0</v>
      </c>
      <c r="Q3051" t="n">
        <v>0</v>
      </c>
      <c r="R3051" s="2" t="inlineStr"/>
    </row>
    <row r="3052" ht="15" customHeight="1">
      <c r="A3052" t="inlineStr">
        <is>
          <t>A 14293-2020</t>
        </is>
      </c>
      <c r="B3052" s="1" t="n">
        <v>43907</v>
      </c>
      <c r="C3052" s="1" t="n">
        <v>45363</v>
      </c>
      <c r="D3052" t="inlineStr">
        <is>
          <t>JÄMTLANDS LÄN</t>
        </is>
      </c>
      <c r="E3052" t="inlineStr">
        <is>
          <t>RAGUNDA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15020-2020</t>
        </is>
      </c>
      <c r="B3053" s="1" t="n">
        <v>43907</v>
      </c>
      <c r="C3053" s="1" t="n">
        <v>45363</v>
      </c>
      <c r="D3053" t="inlineStr">
        <is>
          <t>JÄMTLANDS LÄN</t>
        </is>
      </c>
      <c r="E3053" t="inlineStr">
        <is>
          <t>HÄRJEDALEN</t>
        </is>
      </c>
      <c r="F3053" t="inlineStr">
        <is>
          <t>Sveaskog</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14753-2020</t>
        </is>
      </c>
      <c r="B3054" s="1" t="n">
        <v>43909</v>
      </c>
      <c r="C3054" s="1" t="n">
        <v>45363</v>
      </c>
      <c r="D3054" t="inlineStr">
        <is>
          <t>JÄMTLANDS LÄN</t>
        </is>
      </c>
      <c r="E3054" t="inlineStr">
        <is>
          <t>ÅRE</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14854-2020</t>
        </is>
      </c>
      <c r="B3055" s="1" t="n">
        <v>43909</v>
      </c>
      <c r="C3055" s="1" t="n">
        <v>45363</v>
      </c>
      <c r="D3055" t="inlineStr">
        <is>
          <t>JÄMTLANDS LÄN</t>
        </is>
      </c>
      <c r="E3055" t="inlineStr">
        <is>
          <t>BERG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15797-2020</t>
        </is>
      </c>
      <c r="B3056" s="1" t="n">
        <v>43909</v>
      </c>
      <c r="C3056" s="1" t="n">
        <v>45363</v>
      </c>
      <c r="D3056" t="inlineStr">
        <is>
          <t>JÄMTLANDS LÄN</t>
        </is>
      </c>
      <c r="E3056" t="inlineStr">
        <is>
          <t>ÖSTERSUND</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15117-2020</t>
        </is>
      </c>
      <c r="B3057" s="1" t="n">
        <v>43910</v>
      </c>
      <c r="C3057" s="1" t="n">
        <v>45363</v>
      </c>
      <c r="D3057" t="inlineStr">
        <is>
          <t>JÄMTLANDS LÄN</t>
        </is>
      </c>
      <c r="E3057" t="inlineStr">
        <is>
          <t>RAGUNDA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14903-2020</t>
        </is>
      </c>
      <c r="B3058" s="1" t="n">
        <v>43910</v>
      </c>
      <c r="C3058" s="1" t="n">
        <v>45363</v>
      </c>
      <c r="D3058" t="inlineStr">
        <is>
          <t>JÄMTLANDS LÄN</t>
        </is>
      </c>
      <c r="E3058" t="inlineStr">
        <is>
          <t>ÖSTERSUND</t>
        </is>
      </c>
      <c r="F3058" t="inlineStr">
        <is>
          <t>Kyrkan</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15118-2020</t>
        </is>
      </c>
      <c r="B3059" s="1" t="n">
        <v>43910</v>
      </c>
      <c r="C3059" s="1" t="n">
        <v>45363</v>
      </c>
      <c r="D3059" t="inlineStr">
        <is>
          <t>JÄMTLANDS LÄN</t>
        </is>
      </c>
      <c r="E3059" t="inlineStr">
        <is>
          <t>RAGUNDA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15404-2020</t>
        </is>
      </c>
      <c r="B3060" s="1" t="n">
        <v>43913</v>
      </c>
      <c r="C3060" s="1" t="n">
        <v>45363</v>
      </c>
      <c r="D3060" t="inlineStr">
        <is>
          <t>JÄMTLANDS LÄN</t>
        </is>
      </c>
      <c r="E3060" t="inlineStr">
        <is>
          <t>BRÄCKE</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15345-2020</t>
        </is>
      </c>
      <c r="B3061" s="1" t="n">
        <v>43913</v>
      </c>
      <c r="C3061" s="1" t="n">
        <v>45363</v>
      </c>
      <c r="D3061" t="inlineStr">
        <is>
          <t>JÄMTLANDS LÄN</t>
        </is>
      </c>
      <c r="E3061" t="inlineStr">
        <is>
          <t>RAGUNDA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15405-2020</t>
        </is>
      </c>
      <c r="B3062" s="1" t="n">
        <v>43913</v>
      </c>
      <c r="C3062" s="1" t="n">
        <v>45363</v>
      </c>
      <c r="D3062" t="inlineStr">
        <is>
          <t>JÄMTLANDS LÄN</t>
        </is>
      </c>
      <c r="E3062" t="inlineStr">
        <is>
          <t>BRÄCKE</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15315-2020</t>
        </is>
      </c>
      <c r="B3063" s="1" t="n">
        <v>43913</v>
      </c>
      <c r="C3063" s="1" t="n">
        <v>45363</v>
      </c>
      <c r="D3063" t="inlineStr">
        <is>
          <t>JÄMTLANDS LÄN</t>
        </is>
      </c>
      <c r="E3063" t="inlineStr">
        <is>
          <t>KROKOM</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15576-2020</t>
        </is>
      </c>
      <c r="B3064" s="1" t="n">
        <v>43914</v>
      </c>
      <c r="C3064" s="1" t="n">
        <v>45363</v>
      </c>
      <c r="D3064" t="inlineStr">
        <is>
          <t>JÄMTLANDS LÄN</t>
        </is>
      </c>
      <c r="E3064" t="inlineStr">
        <is>
          <t>HÄRJEDALEN</t>
        </is>
      </c>
      <c r="F3064" t="inlineStr">
        <is>
          <t>Kyrkan</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15898-2020</t>
        </is>
      </c>
      <c r="B3065" s="1" t="n">
        <v>43915</v>
      </c>
      <c r="C3065" s="1" t="n">
        <v>45363</v>
      </c>
      <c r="D3065" t="inlineStr">
        <is>
          <t>JÄMTLANDS LÄN</t>
        </is>
      </c>
      <c r="E3065" t="inlineStr">
        <is>
          <t>BRÄCKE</t>
        </is>
      </c>
      <c r="F3065" t="inlineStr">
        <is>
          <t>SCA</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16044-2020</t>
        </is>
      </c>
      <c r="B3066" s="1" t="n">
        <v>43916</v>
      </c>
      <c r="C3066" s="1" t="n">
        <v>45363</v>
      </c>
      <c r="D3066" t="inlineStr">
        <is>
          <t>JÄMTLANDS LÄN</t>
        </is>
      </c>
      <c r="E3066" t="inlineStr">
        <is>
          <t>RAGUNDA</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16158-2020</t>
        </is>
      </c>
      <c r="B3067" s="1" t="n">
        <v>43916</v>
      </c>
      <c r="C3067" s="1" t="n">
        <v>45363</v>
      </c>
      <c r="D3067" t="inlineStr">
        <is>
          <t>JÄMTLANDS LÄN</t>
        </is>
      </c>
      <c r="E3067" t="inlineStr">
        <is>
          <t>BRÄCKE</t>
        </is>
      </c>
      <c r="F3067" t="inlineStr">
        <is>
          <t>SCA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16335-2020</t>
        </is>
      </c>
      <c r="B3068" s="1" t="n">
        <v>43917</v>
      </c>
      <c r="C3068" s="1" t="n">
        <v>45363</v>
      </c>
      <c r="D3068" t="inlineStr">
        <is>
          <t>JÄMTLANDS LÄN</t>
        </is>
      </c>
      <c r="E3068" t="inlineStr">
        <is>
          <t>STRÖMSUND</t>
        </is>
      </c>
      <c r="F3068" t="inlineStr">
        <is>
          <t>Kyrkan</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17464-2020</t>
        </is>
      </c>
      <c r="B3069" s="1" t="n">
        <v>43917</v>
      </c>
      <c r="C3069" s="1" t="n">
        <v>45363</v>
      </c>
      <c r="D3069" t="inlineStr">
        <is>
          <t>JÄMTLANDS LÄN</t>
        </is>
      </c>
      <c r="E3069" t="inlineStr">
        <is>
          <t>ÖSTERSUND</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16769-2020</t>
        </is>
      </c>
      <c r="B3070" s="1" t="n">
        <v>43920</v>
      </c>
      <c r="C3070" s="1" t="n">
        <v>45363</v>
      </c>
      <c r="D3070" t="inlineStr">
        <is>
          <t>JÄMTLANDS LÄN</t>
        </is>
      </c>
      <c r="E3070" t="inlineStr">
        <is>
          <t>BRÄCKE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17515-2020</t>
        </is>
      </c>
      <c r="B3071" s="1" t="n">
        <v>43920</v>
      </c>
      <c r="C3071" s="1" t="n">
        <v>45363</v>
      </c>
      <c r="D3071" t="inlineStr">
        <is>
          <t>JÄMTLANDS LÄN</t>
        </is>
      </c>
      <c r="E3071" t="inlineStr">
        <is>
          <t>HÄRJEDALEN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17527-2020</t>
        </is>
      </c>
      <c r="B3072" s="1" t="n">
        <v>43920</v>
      </c>
      <c r="C3072" s="1" t="n">
        <v>45363</v>
      </c>
      <c r="D3072" t="inlineStr">
        <is>
          <t>JÄMTLANDS LÄN</t>
        </is>
      </c>
      <c r="E3072" t="inlineStr">
        <is>
          <t>KROKOM</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17024-2020</t>
        </is>
      </c>
      <c r="B3073" s="1" t="n">
        <v>43921</v>
      </c>
      <c r="C3073" s="1" t="n">
        <v>45363</v>
      </c>
      <c r="D3073" t="inlineStr">
        <is>
          <t>JÄMTLANDS LÄN</t>
        </is>
      </c>
      <c r="E3073" t="inlineStr">
        <is>
          <t>HÄRJEDALEN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17063-2020</t>
        </is>
      </c>
      <c r="B3074" s="1" t="n">
        <v>43921</v>
      </c>
      <c r="C3074" s="1" t="n">
        <v>45363</v>
      </c>
      <c r="D3074" t="inlineStr">
        <is>
          <t>JÄMTLANDS LÄN</t>
        </is>
      </c>
      <c r="E3074" t="inlineStr">
        <is>
          <t>STRÖMSUND</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17081-2020</t>
        </is>
      </c>
      <c r="B3075" s="1" t="n">
        <v>43921</v>
      </c>
      <c r="C3075" s="1" t="n">
        <v>45363</v>
      </c>
      <c r="D3075" t="inlineStr">
        <is>
          <t>JÄMTLANDS LÄN</t>
        </is>
      </c>
      <c r="E3075" t="inlineStr">
        <is>
          <t>BRÄCKE</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17082-2020</t>
        </is>
      </c>
      <c r="B3076" s="1" t="n">
        <v>43921</v>
      </c>
      <c r="C3076" s="1" t="n">
        <v>45363</v>
      </c>
      <c r="D3076" t="inlineStr">
        <is>
          <t>JÄMTLANDS LÄN</t>
        </is>
      </c>
      <c r="E3076" t="inlineStr">
        <is>
          <t>BRÄCKE</t>
        </is>
      </c>
      <c r="G3076" t="n">
        <v>9.800000000000001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17078-2020</t>
        </is>
      </c>
      <c r="B3077" s="1" t="n">
        <v>43921</v>
      </c>
      <c r="C3077" s="1" t="n">
        <v>45363</v>
      </c>
      <c r="D3077" t="inlineStr">
        <is>
          <t>JÄMTLANDS LÄN</t>
        </is>
      </c>
      <c r="E3077" t="inlineStr">
        <is>
          <t>BRÄCKE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17677-2020</t>
        </is>
      </c>
      <c r="B3078" s="1" t="n">
        <v>43923</v>
      </c>
      <c r="C3078" s="1" t="n">
        <v>45363</v>
      </c>
      <c r="D3078" t="inlineStr">
        <is>
          <t>JÄMTLANDS LÄN</t>
        </is>
      </c>
      <c r="E3078" t="inlineStr">
        <is>
          <t>BRÄCKE</t>
        </is>
      </c>
      <c r="F3078" t="inlineStr">
        <is>
          <t>SCA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17845-2020</t>
        </is>
      </c>
      <c r="B3079" s="1" t="n">
        <v>43923</v>
      </c>
      <c r="C3079" s="1" t="n">
        <v>45363</v>
      </c>
      <c r="D3079" t="inlineStr">
        <is>
          <t>JÄMTLANDS LÄN</t>
        </is>
      </c>
      <c r="E3079" t="inlineStr">
        <is>
          <t>RAGUNDA</t>
        </is>
      </c>
      <c r="G3079" t="n">
        <v>12.1</v>
      </c>
      <c r="H3079" t="n">
        <v>0</v>
      </c>
      <c r="I3079" t="n">
        <v>0</v>
      </c>
      <c r="J3079" t="n">
        <v>0</v>
      </c>
      <c r="K3079" t="n">
        <v>0</v>
      </c>
      <c r="L3079" t="n">
        <v>0</v>
      </c>
      <c r="M3079" t="n">
        <v>0</v>
      </c>
      <c r="N3079" t="n">
        <v>0</v>
      </c>
      <c r="O3079" t="n">
        <v>0</v>
      </c>
      <c r="P3079" t="n">
        <v>0</v>
      </c>
      <c r="Q3079" t="n">
        <v>0</v>
      </c>
      <c r="R3079" s="2" t="inlineStr"/>
    </row>
    <row r="3080" ht="15" customHeight="1">
      <c r="A3080" t="inlineStr">
        <is>
          <t>A 17676-2020</t>
        </is>
      </c>
      <c r="B3080" s="1" t="n">
        <v>43924</v>
      </c>
      <c r="C3080" s="1" t="n">
        <v>45363</v>
      </c>
      <c r="D3080" t="inlineStr">
        <is>
          <t>JÄMTLANDS LÄN</t>
        </is>
      </c>
      <c r="E3080" t="inlineStr">
        <is>
          <t>HÄRJEDALEN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17887-2020</t>
        </is>
      </c>
      <c r="B3081" s="1" t="n">
        <v>43924</v>
      </c>
      <c r="C3081" s="1" t="n">
        <v>45363</v>
      </c>
      <c r="D3081" t="inlineStr">
        <is>
          <t>JÄMTLANDS LÄN</t>
        </is>
      </c>
      <c r="E3081" t="inlineStr">
        <is>
          <t>BRÄCKE</t>
        </is>
      </c>
      <c r="F3081" t="inlineStr">
        <is>
          <t>SCA</t>
        </is>
      </c>
      <c r="G3081" t="n">
        <v>18.4</v>
      </c>
      <c r="H3081" t="n">
        <v>0</v>
      </c>
      <c r="I3081" t="n">
        <v>0</v>
      </c>
      <c r="J3081" t="n">
        <v>0</v>
      </c>
      <c r="K3081" t="n">
        <v>0</v>
      </c>
      <c r="L3081" t="n">
        <v>0</v>
      </c>
      <c r="M3081" t="n">
        <v>0</v>
      </c>
      <c r="N3081" t="n">
        <v>0</v>
      </c>
      <c r="O3081" t="n">
        <v>0</v>
      </c>
      <c r="P3081" t="n">
        <v>0</v>
      </c>
      <c r="Q3081" t="n">
        <v>0</v>
      </c>
      <c r="R3081" s="2" t="inlineStr"/>
    </row>
    <row r="3082" ht="15" customHeight="1">
      <c r="A3082" t="inlineStr">
        <is>
          <t>A 18038-2020</t>
        </is>
      </c>
      <c r="B3082" s="1" t="n">
        <v>43927</v>
      </c>
      <c r="C3082" s="1" t="n">
        <v>45363</v>
      </c>
      <c r="D3082" t="inlineStr">
        <is>
          <t>JÄMTLANDS LÄN</t>
        </is>
      </c>
      <c r="E3082" t="inlineStr">
        <is>
          <t>HÄRJEDALEN</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18654-2020</t>
        </is>
      </c>
      <c r="B3083" s="1" t="n">
        <v>43927</v>
      </c>
      <c r="C3083" s="1" t="n">
        <v>45363</v>
      </c>
      <c r="D3083" t="inlineStr">
        <is>
          <t>JÄMTLANDS LÄN</t>
        </is>
      </c>
      <c r="E3083" t="inlineStr">
        <is>
          <t>BRÄCKE</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18047-2020</t>
        </is>
      </c>
      <c r="B3084" s="1" t="n">
        <v>43927</v>
      </c>
      <c r="C3084" s="1" t="n">
        <v>45363</v>
      </c>
      <c r="D3084" t="inlineStr">
        <is>
          <t>JÄMTLANDS LÄN</t>
        </is>
      </c>
      <c r="E3084" t="inlineStr">
        <is>
          <t>BERG</t>
        </is>
      </c>
      <c r="G3084" t="n">
        <v>15.8</v>
      </c>
      <c r="H3084" t="n">
        <v>0</v>
      </c>
      <c r="I3084" t="n">
        <v>0</v>
      </c>
      <c r="J3084" t="n">
        <v>0</v>
      </c>
      <c r="K3084" t="n">
        <v>0</v>
      </c>
      <c r="L3084" t="n">
        <v>0</v>
      </c>
      <c r="M3084" t="n">
        <v>0</v>
      </c>
      <c r="N3084" t="n">
        <v>0</v>
      </c>
      <c r="O3084" t="n">
        <v>0</v>
      </c>
      <c r="P3084" t="n">
        <v>0</v>
      </c>
      <c r="Q3084" t="n">
        <v>0</v>
      </c>
      <c r="R3084" s="2" t="inlineStr"/>
    </row>
    <row r="3085" ht="15" customHeight="1">
      <c r="A3085" t="inlineStr">
        <is>
          <t>A 18445-2020</t>
        </is>
      </c>
      <c r="B3085" s="1" t="n">
        <v>43927</v>
      </c>
      <c r="C3085" s="1" t="n">
        <v>45363</v>
      </c>
      <c r="D3085" t="inlineStr">
        <is>
          <t>JÄMTLANDS LÄN</t>
        </is>
      </c>
      <c r="E3085" t="inlineStr">
        <is>
          <t>KROKOM</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18339-2020</t>
        </is>
      </c>
      <c r="B3086" s="1" t="n">
        <v>43928</v>
      </c>
      <c r="C3086" s="1" t="n">
        <v>45363</v>
      </c>
      <c r="D3086" t="inlineStr">
        <is>
          <t>JÄMTLANDS LÄN</t>
        </is>
      </c>
      <c r="E3086" t="inlineStr">
        <is>
          <t>ÖSTERSUND</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18591-2020</t>
        </is>
      </c>
      <c r="B3087" s="1" t="n">
        <v>43928</v>
      </c>
      <c r="C3087" s="1" t="n">
        <v>45363</v>
      </c>
      <c r="D3087" t="inlineStr">
        <is>
          <t>JÄMTLANDS LÄN</t>
        </is>
      </c>
      <c r="E3087" t="inlineStr">
        <is>
          <t>KROKOM</t>
        </is>
      </c>
      <c r="G3087" t="n">
        <v>13.6</v>
      </c>
      <c r="H3087" t="n">
        <v>0</v>
      </c>
      <c r="I3087" t="n">
        <v>0</v>
      </c>
      <c r="J3087" t="n">
        <v>0</v>
      </c>
      <c r="K3087" t="n">
        <v>0</v>
      </c>
      <c r="L3087" t="n">
        <v>0</v>
      </c>
      <c r="M3087" t="n">
        <v>0</v>
      </c>
      <c r="N3087" t="n">
        <v>0</v>
      </c>
      <c r="O3087" t="n">
        <v>0</v>
      </c>
      <c r="P3087" t="n">
        <v>0</v>
      </c>
      <c r="Q3087" t="n">
        <v>0</v>
      </c>
      <c r="R3087" s="2" t="inlineStr"/>
    </row>
    <row r="3088" ht="15" customHeight="1">
      <c r="A3088" t="inlineStr">
        <is>
          <t>A 18613-2020</t>
        </is>
      </c>
      <c r="B3088" s="1" t="n">
        <v>43929</v>
      </c>
      <c r="C3088" s="1" t="n">
        <v>45363</v>
      </c>
      <c r="D3088" t="inlineStr">
        <is>
          <t>JÄMTLANDS LÄN</t>
        </is>
      </c>
      <c r="E3088" t="inlineStr">
        <is>
          <t>BERG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18931-2020</t>
        </is>
      </c>
      <c r="B3089" s="1" t="n">
        <v>43929</v>
      </c>
      <c r="C3089" s="1" t="n">
        <v>45363</v>
      </c>
      <c r="D3089" t="inlineStr">
        <is>
          <t>JÄMTLANDS LÄN</t>
        </is>
      </c>
      <c r="E3089" t="inlineStr">
        <is>
          <t>STRÖMSUND</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18731-2020</t>
        </is>
      </c>
      <c r="B3090" s="1" t="n">
        <v>43930</v>
      </c>
      <c r="C3090" s="1" t="n">
        <v>45363</v>
      </c>
      <c r="D3090" t="inlineStr">
        <is>
          <t>JÄMTLANDS LÄN</t>
        </is>
      </c>
      <c r="E3090" t="inlineStr">
        <is>
          <t>STRÖMSUND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18761-2020</t>
        </is>
      </c>
      <c r="B3091" s="1" t="n">
        <v>43930</v>
      </c>
      <c r="C3091" s="1" t="n">
        <v>45363</v>
      </c>
      <c r="D3091" t="inlineStr">
        <is>
          <t>JÄMTLANDS LÄN</t>
        </is>
      </c>
      <c r="E3091" t="inlineStr">
        <is>
          <t>HÄRJEDALEN</t>
        </is>
      </c>
      <c r="F3091" t="inlineStr">
        <is>
          <t>Sveaskog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18780-2020</t>
        </is>
      </c>
      <c r="B3092" s="1" t="n">
        <v>43930</v>
      </c>
      <c r="C3092" s="1" t="n">
        <v>45363</v>
      </c>
      <c r="D3092" t="inlineStr">
        <is>
          <t>JÄMTLANDS LÄN</t>
        </is>
      </c>
      <c r="E3092" t="inlineStr">
        <is>
          <t>STRÖMSUND</t>
        </is>
      </c>
      <c r="F3092" t="inlineStr">
        <is>
          <t>SCA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18760-2020</t>
        </is>
      </c>
      <c r="B3093" s="1" t="n">
        <v>43930</v>
      </c>
      <c r="C3093" s="1" t="n">
        <v>45363</v>
      </c>
      <c r="D3093" t="inlineStr">
        <is>
          <t>JÄMTLANDS LÄN</t>
        </is>
      </c>
      <c r="E3093" t="inlineStr">
        <is>
          <t>HÄRJEDALEN</t>
        </is>
      </c>
      <c r="F3093" t="inlineStr">
        <is>
          <t>Sveaskog</t>
        </is>
      </c>
      <c r="G3093" t="n">
        <v>16.1</v>
      </c>
      <c r="H3093" t="n">
        <v>0</v>
      </c>
      <c r="I3093" t="n">
        <v>0</v>
      </c>
      <c r="J3093" t="n">
        <v>0</v>
      </c>
      <c r="K3093" t="n">
        <v>0</v>
      </c>
      <c r="L3093" t="n">
        <v>0</v>
      </c>
      <c r="M3093" t="n">
        <v>0</v>
      </c>
      <c r="N3093" t="n">
        <v>0</v>
      </c>
      <c r="O3093" t="n">
        <v>0</v>
      </c>
      <c r="P3093" t="n">
        <v>0</v>
      </c>
      <c r="Q3093" t="n">
        <v>0</v>
      </c>
      <c r="R3093" s="2" t="inlineStr"/>
    </row>
    <row r="3094" ht="15" customHeight="1">
      <c r="A3094" t="inlineStr">
        <is>
          <t>A 18683-2020</t>
        </is>
      </c>
      <c r="B3094" s="1" t="n">
        <v>43930</v>
      </c>
      <c r="C3094" s="1" t="n">
        <v>45363</v>
      </c>
      <c r="D3094" t="inlineStr">
        <is>
          <t>JÄMTLANDS LÄN</t>
        </is>
      </c>
      <c r="E3094" t="inlineStr">
        <is>
          <t>ÖSTERSUND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18759-2020</t>
        </is>
      </c>
      <c r="B3095" s="1" t="n">
        <v>43930</v>
      </c>
      <c r="C3095" s="1" t="n">
        <v>45363</v>
      </c>
      <c r="D3095" t="inlineStr">
        <is>
          <t>JÄMTLANDS LÄN</t>
        </is>
      </c>
      <c r="E3095" t="inlineStr">
        <is>
          <t>HÄRJEDALEN</t>
        </is>
      </c>
      <c r="F3095" t="inlineStr">
        <is>
          <t>Sveaskog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19089-2020</t>
        </is>
      </c>
      <c r="B3096" s="1" t="n">
        <v>43935</v>
      </c>
      <c r="C3096" s="1" t="n">
        <v>45363</v>
      </c>
      <c r="D3096" t="inlineStr">
        <is>
          <t>JÄMTLANDS LÄN</t>
        </is>
      </c>
      <c r="E3096" t="inlineStr">
        <is>
          <t>STRÖMSUND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18877-2020</t>
        </is>
      </c>
      <c r="B3097" s="1" t="n">
        <v>43935</v>
      </c>
      <c r="C3097" s="1" t="n">
        <v>45363</v>
      </c>
      <c r="D3097" t="inlineStr">
        <is>
          <t>JÄMTLANDS LÄN</t>
        </is>
      </c>
      <c r="E3097" t="inlineStr">
        <is>
          <t>HÄRJEDALEN</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18879-2020</t>
        </is>
      </c>
      <c r="B3098" s="1" t="n">
        <v>43935</v>
      </c>
      <c r="C3098" s="1" t="n">
        <v>45363</v>
      </c>
      <c r="D3098" t="inlineStr">
        <is>
          <t>JÄMTLANDS LÄN</t>
        </is>
      </c>
      <c r="E3098" t="inlineStr">
        <is>
          <t>HÄRJEDALEN</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19031-2020</t>
        </is>
      </c>
      <c r="B3099" s="1" t="n">
        <v>43936</v>
      </c>
      <c r="C3099" s="1" t="n">
        <v>45363</v>
      </c>
      <c r="D3099" t="inlineStr">
        <is>
          <t>JÄMTLANDS LÄN</t>
        </is>
      </c>
      <c r="E3099" t="inlineStr">
        <is>
          <t>KROKOM</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19631-2020</t>
        </is>
      </c>
      <c r="B3100" s="1" t="n">
        <v>43936</v>
      </c>
      <c r="C3100" s="1" t="n">
        <v>45363</v>
      </c>
      <c r="D3100" t="inlineStr">
        <is>
          <t>JÄMTLANDS LÄN</t>
        </is>
      </c>
      <c r="E3100" t="inlineStr">
        <is>
          <t>ÖSTERSUND</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19304-2020</t>
        </is>
      </c>
      <c r="B3101" s="1" t="n">
        <v>43937</v>
      </c>
      <c r="C3101" s="1" t="n">
        <v>45363</v>
      </c>
      <c r="D3101" t="inlineStr">
        <is>
          <t>JÄMTLANDS LÄN</t>
        </is>
      </c>
      <c r="E3101" t="inlineStr">
        <is>
          <t>HÄRJEDALEN</t>
        </is>
      </c>
      <c r="F3101" t="inlineStr">
        <is>
          <t>Bergvik skog väst AB</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19314-2020</t>
        </is>
      </c>
      <c r="B3102" s="1" t="n">
        <v>43937</v>
      </c>
      <c r="C3102" s="1" t="n">
        <v>45363</v>
      </c>
      <c r="D3102" t="inlineStr">
        <is>
          <t>JÄMTLANDS LÄN</t>
        </is>
      </c>
      <c r="E3102" t="inlineStr">
        <is>
          <t>BRÄCKE</t>
        </is>
      </c>
      <c r="F3102" t="inlineStr">
        <is>
          <t>SCA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19506-2020</t>
        </is>
      </c>
      <c r="B3103" s="1" t="n">
        <v>43938</v>
      </c>
      <c r="C3103" s="1" t="n">
        <v>45363</v>
      </c>
      <c r="D3103" t="inlineStr">
        <is>
          <t>JÄMTLANDS LÄN</t>
        </is>
      </c>
      <c r="E3103" t="inlineStr">
        <is>
          <t>HÄRJEDALEN</t>
        </is>
      </c>
      <c r="F3103" t="inlineStr">
        <is>
          <t>Sveaskog</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19827-2020</t>
        </is>
      </c>
      <c r="B3104" s="1" t="n">
        <v>43938</v>
      </c>
      <c r="C3104" s="1" t="n">
        <v>45363</v>
      </c>
      <c r="D3104" t="inlineStr">
        <is>
          <t>JÄMTLANDS LÄN</t>
        </is>
      </c>
      <c r="E3104" t="inlineStr">
        <is>
          <t>KROKOM</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19531-2020</t>
        </is>
      </c>
      <c r="B3105" s="1" t="n">
        <v>43940</v>
      </c>
      <c r="C3105" s="1" t="n">
        <v>45363</v>
      </c>
      <c r="D3105" t="inlineStr">
        <is>
          <t>JÄMTLANDS LÄN</t>
        </is>
      </c>
      <c r="E3105" t="inlineStr">
        <is>
          <t>BERG</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19532-2020</t>
        </is>
      </c>
      <c r="B3106" s="1" t="n">
        <v>43941</v>
      </c>
      <c r="C3106" s="1" t="n">
        <v>45363</v>
      </c>
      <c r="D3106" t="inlineStr">
        <is>
          <t>JÄMTLANDS LÄN</t>
        </is>
      </c>
      <c r="E3106" t="inlineStr">
        <is>
          <t>BERG</t>
        </is>
      </c>
      <c r="F3106" t="inlineStr">
        <is>
          <t>SCA</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19648-2020</t>
        </is>
      </c>
      <c r="B3107" s="1" t="n">
        <v>43941</v>
      </c>
      <c r="C3107" s="1" t="n">
        <v>45363</v>
      </c>
      <c r="D3107" t="inlineStr">
        <is>
          <t>JÄMTLANDS LÄN</t>
        </is>
      </c>
      <c r="E3107" t="inlineStr">
        <is>
          <t>KROKOM</t>
        </is>
      </c>
      <c r="G3107" t="n">
        <v>21.6</v>
      </c>
      <c r="H3107" t="n">
        <v>0</v>
      </c>
      <c r="I3107" t="n">
        <v>0</v>
      </c>
      <c r="J3107" t="n">
        <v>0</v>
      </c>
      <c r="K3107" t="n">
        <v>0</v>
      </c>
      <c r="L3107" t="n">
        <v>0</v>
      </c>
      <c r="M3107" t="n">
        <v>0</v>
      </c>
      <c r="N3107" t="n">
        <v>0</v>
      </c>
      <c r="O3107" t="n">
        <v>0</v>
      </c>
      <c r="P3107" t="n">
        <v>0</v>
      </c>
      <c r="Q3107" t="n">
        <v>0</v>
      </c>
      <c r="R3107" s="2" t="inlineStr"/>
    </row>
    <row r="3108" ht="15" customHeight="1">
      <c r="A3108" t="inlineStr">
        <is>
          <t>A 19777-2020</t>
        </is>
      </c>
      <c r="B3108" s="1" t="n">
        <v>43942</v>
      </c>
      <c r="C3108" s="1" t="n">
        <v>45363</v>
      </c>
      <c r="D3108" t="inlineStr">
        <is>
          <t>JÄMTLANDS LÄN</t>
        </is>
      </c>
      <c r="E3108" t="inlineStr">
        <is>
          <t>KROKOM</t>
        </is>
      </c>
      <c r="F3108" t="inlineStr">
        <is>
          <t>Kyrkan</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19768-2020</t>
        </is>
      </c>
      <c r="B3109" s="1" t="n">
        <v>43942</v>
      </c>
      <c r="C3109" s="1" t="n">
        <v>45363</v>
      </c>
      <c r="D3109" t="inlineStr">
        <is>
          <t>JÄMTLANDS LÄN</t>
        </is>
      </c>
      <c r="E3109" t="inlineStr">
        <is>
          <t>KROKOM</t>
        </is>
      </c>
      <c r="F3109" t="inlineStr">
        <is>
          <t>Kyrkan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19842-2020</t>
        </is>
      </c>
      <c r="B3110" s="1" t="n">
        <v>43942</v>
      </c>
      <c r="C3110" s="1" t="n">
        <v>45363</v>
      </c>
      <c r="D3110" t="inlineStr">
        <is>
          <t>JÄMTLANDS LÄN</t>
        </is>
      </c>
      <c r="E3110" t="inlineStr">
        <is>
          <t>STRÖMSUND</t>
        </is>
      </c>
      <c r="G3110" t="n">
        <v>20.3</v>
      </c>
      <c r="H3110" t="n">
        <v>0</v>
      </c>
      <c r="I3110" t="n">
        <v>0</v>
      </c>
      <c r="J3110" t="n">
        <v>0</v>
      </c>
      <c r="K3110" t="n">
        <v>0</v>
      </c>
      <c r="L3110" t="n">
        <v>0</v>
      </c>
      <c r="M3110" t="n">
        <v>0</v>
      </c>
      <c r="N3110" t="n">
        <v>0</v>
      </c>
      <c r="O3110" t="n">
        <v>0</v>
      </c>
      <c r="P3110" t="n">
        <v>0</v>
      </c>
      <c r="Q3110" t="n">
        <v>0</v>
      </c>
      <c r="R3110" s="2" t="inlineStr"/>
    </row>
    <row r="3111" ht="15" customHeight="1">
      <c r="A3111" t="inlineStr">
        <is>
          <t>A 19923-2020</t>
        </is>
      </c>
      <c r="B3111" s="1" t="n">
        <v>43943</v>
      </c>
      <c r="C3111" s="1" t="n">
        <v>45363</v>
      </c>
      <c r="D3111" t="inlineStr">
        <is>
          <t>JÄMTLANDS LÄN</t>
        </is>
      </c>
      <c r="E3111" t="inlineStr">
        <is>
          <t>ÖSTERSUND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19918-2020</t>
        </is>
      </c>
      <c r="B3112" s="1" t="n">
        <v>43943</v>
      </c>
      <c r="C3112" s="1" t="n">
        <v>45363</v>
      </c>
      <c r="D3112" t="inlineStr">
        <is>
          <t>JÄMTLANDS LÄN</t>
        </is>
      </c>
      <c r="E3112" t="inlineStr">
        <is>
          <t>RAGUNDA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20034-2020</t>
        </is>
      </c>
      <c r="B3113" s="1" t="n">
        <v>43943</v>
      </c>
      <c r="C3113" s="1" t="n">
        <v>45363</v>
      </c>
      <c r="D3113" t="inlineStr">
        <is>
          <t>JÄMTLANDS LÄN</t>
        </is>
      </c>
      <c r="E3113" t="inlineStr">
        <is>
          <t>BRÄCKE</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20198-2020</t>
        </is>
      </c>
      <c r="B3114" s="1" t="n">
        <v>43944</v>
      </c>
      <c r="C3114" s="1" t="n">
        <v>45363</v>
      </c>
      <c r="D3114" t="inlineStr">
        <is>
          <t>JÄMTLANDS LÄN</t>
        </is>
      </c>
      <c r="E3114" t="inlineStr">
        <is>
          <t>ÖSTERSUND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20426-2020</t>
        </is>
      </c>
      <c r="B3115" s="1" t="n">
        <v>43945</v>
      </c>
      <c r="C3115" s="1" t="n">
        <v>45363</v>
      </c>
      <c r="D3115" t="inlineStr">
        <is>
          <t>JÄMTLANDS LÄN</t>
        </is>
      </c>
      <c r="E3115" t="inlineStr">
        <is>
          <t>BRÄCKE</t>
        </is>
      </c>
      <c r="F3115" t="inlineStr">
        <is>
          <t>SCA</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20617-2020</t>
        </is>
      </c>
      <c r="B3116" s="1" t="n">
        <v>43948</v>
      </c>
      <c r="C3116" s="1" t="n">
        <v>45363</v>
      </c>
      <c r="D3116" t="inlineStr">
        <is>
          <t>JÄMTLANDS LÄN</t>
        </is>
      </c>
      <c r="E3116" t="inlineStr">
        <is>
          <t>BRÄCKE</t>
        </is>
      </c>
      <c r="F3116" t="inlineStr">
        <is>
          <t>SCA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20538-2020</t>
        </is>
      </c>
      <c r="B3117" s="1" t="n">
        <v>43948</v>
      </c>
      <c r="C3117" s="1" t="n">
        <v>45363</v>
      </c>
      <c r="D3117" t="inlineStr">
        <is>
          <t>JÄMTLANDS LÄN</t>
        </is>
      </c>
      <c r="E3117" t="inlineStr">
        <is>
          <t>ÅRE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20616-2020</t>
        </is>
      </c>
      <c r="B3118" s="1" t="n">
        <v>43948</v>
      </c>
      <c r="C3118" s="1" t="n">
        <v>45363</v>
      </c>
      <c r="D3118" t="inlineStr">
        <is>
          <t>JÄMTLANDS LÄN</t>
        </is>
      </c>
      <c r="E3118" t="inlineStr">
        <is>
          <t>RAGUNDA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20745-2020</t>
        </is>
      </c>
      <c r="B3119" s="1" t="n">
        <v>43949</v>
      </c>
      <c r="C3119" s="1" t="n">
        <v>45363</v>
      </c>
      <c r="D3119" t="inlineStr">
        <is>
          <t>JÄMTLANDS LÄN</t>
        </is>
      </c>
      <c r="E3119" t="inlineStr">
        <is>
          <t>BERG</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20781-2020</t>
        </is>
      </c>
      <c r="B3120" s="1" t="n">
        <v>43949</v>
      </c>
      <c r="C3120" s="1" t="n">
        <v>45363</v>
      </c>
      <c r="D3120" t="inlineStr">
        <is>
          <t>JÄMTLANDS LÄN</t>
        </is>
      </c>
      <c r="E3120" t="inlineStr">
        <is>
          <t>HÄRJEDALEN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20816-2020</t>
        </is>
      </c>
      <c r="B3121" s="1" t="n">
        <v>43949</v>
      </c>
      <c r="C3121" s="1" t="n">
        <v>45363</v>
      </c>
      <c r="D3121" t="inlineStr">
        <is>
          <t>JÄMTLANDS LÄN</t>
        </is>
      </c>
      <c r="E3121" t="inlineStr">
        <is>
          <t>STRÖMSUND</t>
        </is>
      </c>
      <c r="F3121" t="inlineStr">
        <is>
          <t>SCA</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20815-2020</t>
        </is>
      </c>
      <c r="B3122" s="1" t="n">
        <v>43949</v>
      </c>
      <c r="C3122" s="1" t="n">
        <v>45363</v>
      </c>
      <c r="D3122" t="inlineStr">
        <is>
          <t>JÄMTLANDS LÄN</t>
        </is>
      </c>
      <c r="E3122" t="inlineStr">
        <is>
          <t>RAGUNDA</t>
        </is>
      </c>
      <c r="F3122" t="inlineStr">
        <is>
          <t>SCA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20812-2020</t>
        </is>
      </c>
      <c r="B3123" s="1" t="n">
        <v>43950</v>
      </c>
      <c r="C3123" s="1" t="n">
        <v>45363</v>
      </c>
      <c r="D3123" t="inlineStr">
        <is>
          <t>JÄMTLANDS LÄN</t>
        </is>
      </c>
      <c r="E3123" t="inlineStr">
        <is>
          <t>STRÖMSUND</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21106-2020</t>
        </is>
      </c>
      <c r="B3124" s="1" t="n">
        <v>43951</v>
      </c>
      <c r="C3124" s="1" t="n">
        <v>45363</v>
      </c>
      <c r="D3124" t="inlineStr">
        <is>
          <t>JÄMTLANDS LÄN</t>
        </is>
      </c>
      <c r="E3124" t="inlineStr">
        <is>
          <t>KROKOM</t>
        </is>
      </c>
      <c r="G3124" t="n">
        <v>17.7</v>
      </c>
      <c r="H3124" t="n">
        <v>0</v>
      </c>
      <c r="I3124" t="n">
        <v>0</v>
      </c>
      <c r="J3124" t="n">
        <v>0</v>
      </c>
      <c r="K3124" t="n">
        <v>0</v>
      </c>
      <c r="L3124" t="n">
        <v>0</v>
      </c>
      <c r="M3124" t="n">
        <v>0</v>
      </c>
      <c r="N3124" t="n">
        <v>0</v>
      </c>
      <c r="O3124" t="n">
        <v>0</v>
      </c>
      <c r="P3124" t="n">
        <v>0</v>
      </c>
      <c r="Q3124" t="n">
        <v>0</v>
      </c>
      <c r="R3124" s="2" t="inlineStr"/>
    </row>
    <row r="3125" ht="15" customHeight="1">
      <c r="A3125" t="inlineStr">
        <is>
          <t>A 21172-2020</t>
        </is>
      </c>
      <c r="B3125" s="1" t="n">
        <v>43951</v>
      </c>
      <c r="C3125" s="1" t="n">
        <v>45363</v>
      </c>
      <c r="D3125" t="inlineStr">
        <is>
          <t>JÄMTLANDS LÄN</t>
        </is>
      </c>
      <c r="E3125" t="inlineStr">
        <is>
          <t>RAGUNDA</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21144-2020</t>
        </is>
      </c>
      <c r="B3126" s="1" t="n">
        <v>43951</v>
      </c>
      <c r="C3126" s="1" t="n">
        <v>45363</v>
      </c>
      <c r="D3126" t="inlineStr">
        <is>
          <t>JÄMTLANDS LÄN</t>
        </is>
      </c>
      <c r="E3126" t="inlineStr">
        <is>
          <t>KROKOM</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21419-2020</t>
        </is>
      </c>
      <c r="B3127" s="1" t="n">
        <v>43955</v>
      </c>
      <c r="C3127" s="1" t="n">
        <v>45363</v>
      </c>
      <c r="D3127" t="inlineStr">
        <is>
          <t>JÄMTLANDS LÄN</t>
        </is>
      </c>
      <c r="E3127" t="inlineStr">
        <is>
          <t>RAGUNDA</t>
        </is>
      </c>
      <c r="F3127" t="inlineStr">
        <is>
          <t>SCA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21418-2020</t>
        </is>
      </c>
      <c r="B3128" s="1" t="n">
        <v>43955</v>
      </c>
      <c r="C3128" s="1" t="n">
        <v>45363</v>
      </c>
      <c r="D3128" t="inlineStr">
        <is>
          <t>JÄMTLANDS LÄN</t>
        </is>
      </c>
      <c r="E3128" t="inlineStr">
        <is>
          <t>RAGUNDA</t>
        </is>
      </c>
      <c r="F3128" t="inlineStr">
        <is>
          <t>SCA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21420-2020</t>
        </is>
      </c>
      <c r="B3129" s="1" t="n">
        <v>43955</v>
      </c>
      <c r="C3129" s="1" t="n">
        <v>45363</v>
      </c>
      <c r="D3129" t="inlineStr">
        <is>
          <t>JÄMTLANDS LÄN</t>
        </is>
      </c>
      <c r="E3129" t="inlineStr">
        <is>
          <t>RAGUNDA</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21426-2020</t>
        </is>
      </c>
      <c r="B3130" s="1" t="n">
        <v>43955</v>
      </c>
      <c r="C3130" s="1" t="n">
        <v>45363</v>
      </c>
      <c r="D3130" t="inlineStr">
        <is>
          <t>JÄMTLANDS LÄN</t>
        </is>
      </c>
      <c r="E3130" t="inlineStr">
        <is>
          <t>BRÄCKE</t>
        </is>
      </c>
      <c r="F3130" t="inlineStr">
        <is>
          <t>SCA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21939-2020</t>
        </is>
      </c>
      <c r="B3131" s="1" t="n">
        <v>43955</v>
      </c>
      <c r="C3131" s="1" t="n">
        <v>45363</v>
      </c>
      <c r="D3131" t="inlineStr">
        <is>
          <t>JÄMTLANDS LÄN</t>
        </is>
      </c>
      <c r="E3131" t="inlineStr">
        <is>
          <t>STRÖMSUND</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21416-2020</t>
        </is>
      </c>
      <c r="B3132" s="1" t="n">
        <v>43955</v>
      </c>
      <c r="C3132" s="1" t="n">
        <v>45363</v>
      </c>
      <c r="D3132" t="inlineStr">
        <is>
          <t>JÄMTLANDS LÄN</t>
        </is>
      </c>
      <c r="E3132" t="inlineStr">
        <is>
          <t>RAGUNDA</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21443-2020</t>
        </is>
      </c>
      <c r="B3133" s="1" t="n">
        <v>43955</v>
      </c>
      <c r="C3133" s="1" t="n">
        <v>45363</v>
      </c>
      <c r="D3133" t="inlineStr">
        <is>
          <t>JÄMTLANDS LÄN</t>
        </is>
      </c>
      <c r="E3133" t="inlineStr">
        <is>
          <t>KROKOM</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21425-2020</t>
        </is>
      </c>
      <c r="B3134" s="1" t="n">
        <v>43955</v>
      </c>
      <c r="C3134" s="1" t="n">
        <v>45363</v>
      </c>
      <c r="D3134" t="inlineStr">
        <is>
          <t>JÄMTLANDS LÄN</t>
        </is>
      </c>
      <c r="E3134" t="inlineStr">
        <is>
          <t>BRÄCKE</t>
        </is>
      </c>
      <c r="F3134" t="inlineStr">
        <is>
          <t>SCA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21537-2020</t>
        </is>
      </c>
      <c r="B3135" s="1" t="n">
        <v>43956</v>
      </c>
      <c r="C3135" s="1" t="n">
        <v>45363</v>
      </c>
      <c r="D3135" t="inlineStr">
        <is>
          <t>JÄMTLANDS LÄN</t>
        </is>
      </c>
      <c r="E3135" t="inlineStr">
        <is>
          <t>HÄRJEDALEN</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21448-2020</t>
        </is>
      </c>
      <c r="B3136" s="1" t="n">
        <v>43956</v>
      </c>
      <c r="C3136" s="1" t="n">
        <v>45363</v>
      </c>
      <c r="D3136" t="inlineStr">
        <is>
          <t>JÄMTLANDS LÄN</t>
        </is>
      </c>
      <c r="E3136" t="inlineStr">
        <is>
          <t>ÅRE</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21593-2020</t>
        </is>
      </c>
      <c r="B3137" s="1" t="n">
        <v>43956</v>
      </c>
      <c r="C3137" s="1" t="n">
        <v>45363</v>
      </c>
      <c r="D3137" t="inlineStr">
        <is>
          <t>JÄMTLANDS LÄN</t>
        </is>
      </c>
      <c r="E3137" t="inlineStr">
        <is>
          <t>RAGUNDA</t>
        </is>
      </c>
      <c r="F3137" t="inlineStr">
        <is>
          <t>SCA</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21602-2020</t>
        </is>
      </c>
      <c r="B3138" s="1" t="n">
        <v>43957</v>
      </c>
      <c r="C3138" s="1" t="n">
        <v>45363</v>
      </c>
      <c r="D3138" t="inlineStr">
        <is>
          <t>JÄMTLANDS LÄN</t>
        </is>
      </c>
      <c r="E3138" t="inlineStr">
        <is>
          <t>STRÖMSUND</t>
        </is>
      </c>
      <c r="G3138" t="n">
        <v>15.4</v>
      </c>
      <c r="H3138" t="n">
        <v>0</v>
      </c>
      <c r="I3138" t="n">
        <v>0</v>
      </c>
      <c r="J3138" t="n">
        <v>0</v>
      </c>
      <c r="K3138" t="n">
        <v>0</v>
      </c>
      <c r="L3138" t="n">
        <v>0</v>
      </c>
      <c r="M3138" t="n">
        <v>0</v>
      </c>
      <c r="N3138" t="n">
        <v>0</v>
      </c>
      <c r="O3138" t="n">
        <v>0</v>
      </c>
      <c r="P3138" t="n">
        <v>0</v>
      </c>
      <c r="Q3138" t="n">
        <v>0</v>
      </c>
      <c r="R3138" s="2" t="inlineStr"/>
    </row>
    <row r="3139" ht="15" customHeight="1">
      <c r="A3139" t="inlineStr">
        <is>
          <t>A 21681-2020</t>
        </is>
      </c>
      <c r="B3139" s="1" t="n">
        <v>43957</v>
      </c>
      <c r="C3139" s="1" t="n">
        <v>45363</v>
      </c>
      <c r="D3139" t="inlineStr">
        <is>
          <t>JÄMTLANDS LÄN</t>
        </is>
      </c>
      <c r="E3139" t="inlineStr">
        <is>
          <t>RAGUNDA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21773-2020</t>
        </is>
      </c>
      <c r="B3140" s="1" t="n">
        <v>43957</v>
      </c>
      <c r="C3140" s="1" t="n">
        <v>45363</v>
      </c>
      <c r="D3140" t="inlineStr">
        <is>
          <t>JÄMTLANDS LÄN</t>
        </is>
      </c>
      <c r="E3140" t="inlineStr">
        <is>
          <t>STRÖMSUND</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21971-2020</t>
        </is>
      </c>
      <c r="B3141" s="1" t="n">
        <v>43958</v>
      </c>
      <c r="C3141" s="1" t="n">
        <v>45363</v>
      </c>
      <c r="D3141" t="inlineStr">
        <is>
          <t>JÄMTLANDS LÄN</t>
        </is>
      </c>
      <c r="E3141" t="inlineStr">
        <is>
          <t>STRÖMSUND</t>
        </is>
      </c>
      <c r="F3141" t="inlineStr">
        <is>
          <t>SCA</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22005-2020</t>
        </is>
      </c>
      <c r="B3142" s="1" t="n">
        <v>43959</v>
      </c>
      <c r="C3142" s="1" t="n">
        <v>45363</v>
      </c>
      <c r="D3142" t="inlineStr">
        <is>
          <t>JÄMTLANDS LÄN</t>
        </is>
      </c>
      <c r="E3142" t="inlineStr">
        <is>
          <t>KROKOM</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22092-2020</t>
        </is>
      </c>
      <c r="B3143" s="1" t="n">
        <v>43959</v>
      </c>
      <c r="C3143" s="1" t="n">
        <v>45363</v>
      </c>
      <c r="D3143" t="inlineStr">
        <is>
          <t>JÄMTLANDS LÄN</t>
        </is>
      </c>
      <c r="E3143" t="inlineStr">
        <is>
          <t>STRÖMSUND</t>
        </is>
      </c>
      <c r="F3143" t="inlineStr">
        <is>
          <t>SCA</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22108-2020</t>
        </is>
      </c>
      <c r="B3144" s="1" t="n">
        <v>43960</v>
      </c>
      <c r="C3144" s="1" t="n">
        <v>45363</v>
      </c>
      <c r="D3144" t="inlineStr">
        <is>
          <t>JÄMTLANDS LÄN</t>
        </is>
      </c>
      <c r="E3144" t="inlineStr">
        <is>
          <t>RAGUNDA</t>
        </is>
      </c>
      <c r="F3144" t="inlineStr">
        <is>
          <t>SCA</t>
        </is>
      </c>
      <c r="G3144" t="n">
        <v>6.2</v>
      </c>
      <c r="H3144" t="n">
        <v>0</v>
      </c>
      <c r="I3144" t="n">
        <v>0</v>
      </c>
      <c r="J3144" t="n">
        <v>0</v>
      </c>
      <c r="K3144" t="n">
        <v>0</v>
      </c>
      <c r="L3144" t="n">
        <v>0</v>
      </c>
      <c r="M3144" t="n">
        <v>0</v>
      </c>
      <c r="N3144" t="n">
        <v>0</v>
      </c>
      <c r="O3144" t="n">
        <v>0</v>
      </c>
      <c r="P3144" t="n">
        <v>0</v>
      </c>
      <c r="Q3144" t="n">
        <v>0</v>
      </c>
      <c r="R3144" s="2" t="inlineStr"/>
    </row>
    <row r="3145" ht="15" customHeight="1">
      <c r="A3145" t="inlineStr">
        <is>
          <t>A 22081-2020</t>
        </is>
      </c>
      <c r="B3145" s="1" t="n">
        <v>43959</v>
      </c>
      <c r="C3145" s="1" t="n">
        <v>45363</v>
      </c>
      <c r="D3145" t="inlineStr">
        <is>
          <t>JÄMTLANDS LÄN</t>
        </is>
      </c>
      <c r="E3145" t="inlineStr">
        <is>
          <t>BRÄCKE</t>
        </is>
      </c>
      <c r="F3145" t="inlineStr">
        <is>
          <t>Kyrkan</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22115-2020</t>
        </is>
      </c>
      <c r="B3146" s="1" t="n">
        <v>43960</v>
      </c>
      <c r="C3146" s="1" t="n">
        <v>45363</v>
      </c>
      <c r="D3146" t="inlineStr">
        <is>
          <t>JÄMTLANDS LÄN</t>
        </is>
      </c>
      <c r="E3146" t="inlineStr">
        <is>
          <t>RAGUNDA</t>
        </is>
      </c>
      <c r="F3146" t="inlineStr">
        <is>
          <t>SCA</t>
        </is>
      </c>
      <c r="G3146" t="n">
        <v>8.6</v>
      </c>
      <c r="H3146" t="n">
        <v>0</v>
      </c>
      <c r="I3146" t="n">
        <v>0</v>
      </c>
      <c r="J3146" t="n">
        <v>0</v>
      </c>
      <c r="K3146" t="n">
        <v>0</v>
      </c>
      <c r="L3146" t="n">
        <v>0</v>
      </c>
      <c r="M3146" t="n">
        <v>0</v>
      </c>
      <c r="N3146" t="n">
        <v>0</v>
      </c>
      <c r="O3146" t="n">
        <v>0</v>
      </c>
      <c r="P3146" t="n">
        <v>0</v>
      </c>
      <c r="Q3146" t="n">
        <v>0</v>
      </c>
      <c r="R3146" s="2" t="inlineStr"/>
    </row>
    <row r="3147" ht="15" customHeight="1">
      <c r="A3147" t="inlineStr">
        <is>
          <t>A 22699-2020</t>
        </is>
      </c>
      <c r="B3147" s="1" t="n">
        <v>43963</v>
      </c>
      <c r="C3147" s="1" t="n">
        <v>45363</v>
      </c>
      <c r="D3147" t="inlineStr">
        <is>
          <t>JÄMTLANDS LÄN</t>
        </is>
      </c>
      <c r="E3147" t="inlineStr">
        <is>
          <t>STRÖMSUND</t>
        </is>
      </c>
      <c r="F3147" t="inlineStr">
        <is>
          <t>SCA</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22905-2020</t>
        </is>
      </c>
      <c r="B3148" s="1" t="n">
        <v>43964</v>
      </c>
      <c r="C3148" s="1" t="n">
        <v>45363</v>
      </c>
      <c r="D3148" t="inlineStr">
        <is>
          <t>JÄMTLANDS LÄN</t>
        </is>
      </c>
      <c r="E3148" t="inlineStr">
        <is>
          <t>STRÖMSUND</t>
        </is>
      </c>
      <c r="F3148" t="inlineStr">
        <is>
          <t>SCA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23082-2020</t>
        </is>
      </c>
      <c r="B3149" s="1" t="n">
        <v>43964</v>
      </c>
      <c r="C3149" s="1" t="n">
        <v>45363</v>
      </c>
      <c r="D3149" t="inlineStr">
        <is>
          <t>JÄMTLANDS LÄN</t>
        </is>
      </c>
      <c r="E3149" t="inlineStr">
        <is>
          <t>HÄRJEDALEN</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22906-2020</t>
        </is>
      </c>
      <c r="B3150" s="1" t="n">
        <v>43964</v>
      </c>
      <c r="C3150" s="1" t="n">
        <v>45363</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22912-2020</t>
        </is>
      </c>
      <c r="B3151" s="1" t="n">
        <v>43964</v>
      </c>
      <c r="C3151" s="1" t="n">
        <v>45363</v>
      </c>
      <c r="D3151" t="inlineStr">
        <is>
          <t>JÄMTLANDS LÄN</t>
        </is>
      </c>
      <c r="E3151" t="inlineStr">
        <is>
          <t>STRÖMSUND</t>
        </is>
      </c>
      <c r="F3151" t="inlineStr">
        <is>
          <t>SCA</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22948-2020</t>
        </is>
      </c>
      <c r="B3152" s="1" t="n">
        <v>43965</v>
      </c>
      <c r="C3152" s="1" t="n">
        <v>45363</v>
      </c>
      <c r="D3152" t="inlineStr">
        <is>
          <t>JÄMTLANDS LÄN</t>
        </is>
      </c>
      <c r="E3152" t="inlineStr">
        <is>
          <t>RAGUNDA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23310-2020</t>
        </is>
      </c>
      <c r="B3153" s="1" t="n">
        <v>43966</v>
      </c>
      <c r="C3153" s="1" t="n">
        <v>45363</v>
      </c>
      <c r="D3153" t="inlineStr">
        <is>
          <t>JÄMTLANDS LÄN</t>
        </is>
      </c>
      <c r="E3153" t="inlineStr">
        <is>
          <t>HÄRJEDALEN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23490-2020</t>
        </is>
      </c>
      <c r="B3154" s="1" t="n">
        <v>43966</v>
      </c>
      <c r="C3154" s="1" t="n">
        <v>45363</v>
      </c>
      <c r="D3154" t="inlineStr">
        <is>
          <t>JÄMTLANDS LÄN</t>
        </is>
      </c>
      <c r="E3154" t="inlineStr">
        <is>
          <t>BERG</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23174-2020</t>
        </is>
      </c>
      <c r="B3155" s="1" t="n">
        <v>43966</v>
      </c>
      <c r="C3155" s="1" t="n">
        <v>45363</v>
      </c>
      <c r="D3155" t="inlineStr">
        <is>
          <t>JÄMTLANDS LÄN</t>
        </is>
      </c>
      <c r="E3155" t="inlineStr">
        <is>
          <t>HÄRJEDALEN</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23393-2020</t>
        </is>
      </c>
      <c r="B3156" s="1" t="n">
        <v>43968</v>
      </c>
      <c r="C3156" s="1" t="n">
        <v>45363</v>
      </c>
      <c r="D3156" t="inlineStr">
        <is>
          <t>JÄMTLANDS LÄN</t>
        </is>
      </c>
      <c r="E3156" t="inlineStr">
        <is>
          <t>ÅRE</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23507-2020</t>
        </is>
      </c>
      <c r="B3157" s="1" t="n">
        <v>43969</v>
      </c>
      <c r="C3157" s="1" t="n">
        <v>45363</v>
      </c>
      <c r="D3157" t="inlineStr">
        <is>
          <t>JÄMTLANDS LÄN</t>
        </is>
      </c>
      <c r="E3157" t="inlineStr">
        <is>
          <t>ÖSTERSUND</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23412-2020</t>
        </is>
      </c>
      <c r="B3158" s="1" t="n">
        <v>43969</v>
      </c>
      <c r="C3158" s="1" t="n">
        <v>45363</v>
      </c>
      <c r="D3158" t="inlineStr">
        <is>
          <t>JÄMTLANDS LÄN</t>
        </is>
      </c>
      <c r="E3158" t="inlineStr">
        <is>
          <t>STRÖMSUND</t>
        </is>
      </c>
      <c r="F3158" t="inlineStr">
        <is>
          <t>Holmen skog AB</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23445-2020</t>
        </is>
      </c>
      <c r="B3159" s="1" t="n">
        <v>43969</v>
      </c>
      <c r="C3159" s="1" t="n">
        <v>45363</v>
      </c>
      <c r="D3159" t="inlineStr">
        <is>
          <t>JÄMTLANDS LÄN</t>
        </is>
      </c>
      <c r="E3159" t="inlineStr">
        <is>
          <t>ÖSTERSUND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23560-2020</t>
        </is>
      </c>
      <c r="B3160" s="1" t="n">
        <v>43969</v>
      </c>
      <c r="C3160" s="1" t="n">
        <v>45363</v>
      </c>
      <c r="D3160" t="inlineStr">
        <is>
          <t>JÄMTLANDS LÄN</t>
        </is>
      </c>
      <c r="E3160" t="inlineStr">
        <is>
          <t>HÄRJEDALEN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23647-2020</t>
        </is>
      </c>
      <c r="B3161" s="1" t="n">
        <v>43969</v>
      </c>
      <c r="C3161" s="1" t="n">
        <v>45363</v>
      </c>
      <c r="D3161" t="inlineStr">
        <is>
          <t>JÄMTLANDS LÄN</t>
        </is>
      </c>
      <c r="E3161" t="inlineStr">
        <is>
          <t>STRÖMSUND</t>
        </is>
      </c>
      <c r="F3161" t="inlineStr">
        <is>
          <t>SCA</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23633-2020</t>
        </is>
      </c>
      <c r="B3162" s="1" t="n">
        <v>43969</v>
      </c>
      <c r="C3162" s="1" t="n">
        <v>45363</v>
      </c>
      <c r="D3162" t="inlineStr">
        <is>
          <t>JÄMTLANDS LÄN</t>
        </is>
      </c>
      <c r="E3162" t="inlineStr">
        <is>
          <t>RAGUNDA</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24259-2020</t>
        </is>
      </c>
      <c r="B3163" s="1" t="n">
        <v>43970</v>
      </c>
      <c r="C3163" s="1" t="n">
        <v>45363</v>
      </c>
      <c r="D3163" t="inlineStr">
        <is>
          <t>JÄMTLANDS LÄN</t>
        </is>
      </c>
      <c r="E3163" t="inlineStr">
        <is>
          <t>ÖSTERSUND</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24253-2020</t>
        </is>
      </c>
      <c r="B3164" s="1" t="n">
        <v>43970</v>
      </c>
      <c r="C3164" s="1" t="n">
        <v>45363</v>
      </c>
      <c r="D3164" t="inlineStr">
        <is>
          <t>JÄMTLANDS LÄN</t>
        </is>
      </c>
      <c r="E3164" t="inlineStr">
        <is>
          <t>ÖSTERSUND</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24038-2020</t>
        </is>
      </c>
      <c r="B3165" s="1" t="n">
        <v>43972</v>
      </c>
      <c r="C3165" s="1" t="n">
        <v>45363</v>
      </c>
      <c r="D3165" t="inlineStr">
        <is>
          <t>JÄMTLANDS LÄN</t>
        </is>
      </c>
      <c r="E3165" t="inlineStr">
        <is>
          <t>BRÄCKE</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24033-2020</t>
        </is>
      </c>
      <c r="B3166" s="1" t="n">
        <v>43971</v>
      </c>
      <c r="C3166" s="1" t="n">
        <v>45363</v>
      </c>
      <c r="D3166" t="inlineStr">
        <is>
          <t>JÄMTLANDS LÄN</t>
        </is>
      </c>
      <c r="E3166" t="inlineStr">
        <is>
          <t>RAGUNDA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24054-2020</t>
        </is>
      </c>
      <c r="B3167" s="1" t="n">
        <v>43971</v>
      </c>
      <c r="C3167" s="1" t="n">
        <v>45363</v>
      </c>
      <c r="D3167" t="inlineStr">
        <is>
          <t>JÄMTLANDS LÄN</t>
        </is>
      </c>
      <c r="E3167" t="inlineStr">
        <is>
          <t>STRÖMSUND</t>
        </is>
      </c>
      <c r="F3167" t="inlineStr">
        <is>
          <t>SCA</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24032-2020</t>
        </is>
      </c>
      <c r="B3168" s="1" t="n">
        <v>43971</v>
      </c>
      <c r="C3168" s="1" t="n">
        <v>45363</v>
      </c>
      <c r="D3168" t="inlineStr">
        <is>
          <t>JÄMTLANDS LÄN</t>
        </is>
      </c>
      <c r="E3168" t="inlineStr">
        <is>
          <t>RAGUNDA</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24064-2020</t>
        </is>
      </c>
      <c r="B3169" s="1" t="n">
        <v>43971</v>
      </c>
      <c r="C3169" s="1" t="n">
        <v>45363</v>
      </c>
      <c r="D3169" t="inlineStr">
        <is>
          <t>JÄMTLANDS LÄN</t>
        </is>
      </c>
      <c r="E3169" t="inlineStr">
        <is>
          <t>STRÖMSUND</t>
        </is>
      </c>
      <c r="F3169" t="inlineStr">
        <is>
          <t>SCA</t>
        </is>
      </c>
      <c r="G3169" t="n">
        <v>15.3</v>
      </c>
      <c r="H3169" t="n">
        <v>0</v>
      </c>
      <c r="I3169" t="n">
        <v>0</v>
      </c>
      <c r="J3169" t="n">
        <v>0</v>
      </c>
      <c r="K3169" t="n">
        <v>0</v>
      </c>
      <c r="L3169" t="n">
        <v>0</v>
      </c>
      <c r="M3169" t="n">
        <v>0</v>
      </c>
      <c r="N3169" t="n">
        <v>0</v>
      </c>
      <c r="O3169" t="n">
        <v>0</v>
      </c>
      <c r="P3169" t="n">
        <v>0</v>
      </c>
      <c r="Q3169" t="n">
        <v>0</v>
      </c>
      <c r="R3169" s="2" t="inlineStr"/>
    </row>
    <row r="3170" ht="15" customHeight="1">
      <c r="A3170" t="inlineStr">
        <is>
          <t>A 24335-2020</t>
        </is>
      </c>
      <c r="B3170" s="1" t="n">
        <v>43971</v>
      </c>
      <c r="C3170" s="1" t="n">
        <v>45363</v>
      </c>
      <c r="D3170" t="inlineStr">
        <is>
          <t>JÄMTLANDS LÄN</t>
        </is>
      </c>
      <c r="E3170" t="inlineStr">
        <is>
          <t>STRÖMSUND</t>
        </is>
      </c>
      <c r="G3170" t="n">
        <v>14.3</v>
      </c>
      <c r="H3170" t="n">
        <v>0</v>
      </c>
      <c r="I3170" t="n">
        <v>0</v>
      </c>
      <c r="J3170" t="n">
        <v>0</v>
      </c>
      <c r="K3170" t="n">
        <v>0</v>
      </c>
      <c r="L3170" t="n">
        <v>0</v>
      </c>
      <c r="M3170" t="n">
        <v>0</v>
      </c>
      <c r="N3170" t="n">
        <v>0</v>
      </c>
      <c r="O3170" t="n">
        <v>0</v>
      </c>
      <c r="P3170" t="n">
        <v>0</v>
      </c>
      <c r="Q3170" t="n">
        <v>0</v>
      </c>
      <c r="R3170" s="2" t="inlineStr"/>
    </row>
    <row r="3171" ht="15" customHeight="1">
      <c r="A3171" t="inlineStr">
        <is>
          <t>A 24077-2020</t>
        </is>
      </c>
      <c r="B3171" s="1" t="n">
        <v>43972</v>
      </c>
      <c r="C3171" s="1" t="n">
        <v>45363</v>
      </c>
      <c r="D3171" t="inlineStr">
        <is>
          <t>JÄMTLANDS LÄN</t>
        </is>
      </c>
      <c r="E3171" t="inlineStr">
        <is>
          <t>HÄRJEDALEN</t>
        </is>
      </c>
      <c r="F3171" t="inlineStr">
        <is>
          <t>Sveaskog</t>
        </is>
      </c>
      <c r="G3171" t="n">
        <v>9.6</v>
      </c>
      <c r="H3171" t="n">
        <v>0</v>
      </c>
      <c r="I3171" t="n">
        <v>0</v>
      </c>
      <c r="J3171" t="n">
        <v>0</v>
      </c>
      <c r="K3171" t="n">
        <v>0</v>
      </c>
      <c r="L3171" t="n">
        <v>0</v>
      </c>
      <c r="M3171" t="n">
        <v>0</v>
      </c>
      <c r="N3171" t="n">
        <v>0</v>
      </c>
      <c r="O3171" t="n">
        <v>0</v>
      </c>
      <c r="P3171" t="n">
        <v>0</v>
      </c>
      <c r="Q3171" t="n">
        <v>0</v>
      </c>
      <c r="R3171" s="2" t="inlineStr"/>
    </row>
    <row r="3172" ht="15" customHeight="1">
      <c r="A3172" t="inlineStr">
        <is>
          <t>A 24127-2020</t>
        </is>
      </c>
      <c r="B3172" s="1" t="n">
        <v>43973</v>
      </c>
      <c r="C3172" s="1" t="n">
        <v>45363</v>
      </c>
      <c r="D3172" t="inlineStr">
        <is>
          <t>JÄMTLANDS LÄN</t>
        </is>
      </c>
      <c r="E3172" t="inlineStr">
        <is>
          <t>HÄRJEDALEN</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24117-2020</t>
        </is>
      </c>
      <c r="B3173" s="1" t="n">
        <v>43973</v>
      </c>
      <c r="C3173" s="1" t="n">
        <v>45363</v>
      </c>
      <c r="D3173" t="inlineStr">
        <is>
          <t>JÄMTLANDS LÄN</t>
        </is>
      </c>
      <c r="E3173" t="inlineStr">
        <is>
          <t>STRÖMSUND</t>
        </is>
      </c>
      <c r="F3173" t="inlineStr">
        <is>
          <t>Holmen skog AB</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24244-2020</t>
        </is>
      </c>
      <c r="B3174" s="1" t="n">
        <v>43976</v>
      </c>
      <c r="C3174" s="1" t="n">
        <v>45363</v>
      </c>
      <c r="D3174" t="inlineStr">
        <is>
          <t>JÄMTLANDS LÄN</t>
        </is>
      </c>
      <c r="E3174" t="inlineStr">
        <is>
          <t>BRÄCKE</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24292-2020</t>
        </is>
      </c>
      <c r="B3175" s="1" t="n">
        <v>43976</v>
      </c>
      <c r="C3175" s="1" t="n">
        <v>45363</v>
      </c>
      <c r="D3175" t="inlineStr">
        <is>
          <t>JÄMTLANDS LÄN</t>
        </is>
      </c>
      <c r="E3175" t="inlineStr">
        <is>
          <t>BERG</t>
        </is>
      </c>
      <c r="F3175" t="inlineStr">
        <is>
          <t>Kyrkan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24414-2020</t>
        </is>
      </c>
      <c r="B3176" s="1" t="n">
        <v>43976</v>
      </c>
      <c r="C3176" s="1" t="n">
        <v>45363</v>
      </c>
      <c r="D3176" t="inlineStr">
        <is>
          <t>JÄMTLANDS LÄN</t>
        </is>
      </c>
      <c r="E3176" t="inlineStr">
        <is>
          <t>STRÖMSUND</t>
        </is>
      </c>
      <c r="F3176" t="inlineStr">
        <is>
          <t>SCA</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24379-2020</t>
        </is>
      </c>
      <c r="B3177" s="1" t="n">
        <v>43976</v>
      </c>
      <c r="C3177" s="1" t="n">
        <v>45363</v>
      </c>
      <c r="D3177" t="inlineStr">
        <is>
          <t>JÄMTLANDS LÄN</t>
        </is>
      </c>
      <c r="E3177" t="inlineStr">
        <is>
          <t>STRÖMSUND</t>
        </is>
      </c>
      <c r="F3177" t="inlineStr">
        <is>
          <t>Holmen skog AB</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24415-2020</t>
        </is>
      </c>
      <c r="B3178" s="1" t="n">
        <v>43976</v>
      </c>
      <c r="C3178" s="1" t="n">
        <v>45363</v>
      </c>
      <c r="D3178" t="inlineStr">
        <is>
          <t>JÄMTLANDS LÄN</t>
        </is>
      </c>
      <c r="E3178" t="inlineStr">
        <is>
          <t>STRÖMSUND</t>
        </is>
      </c>
      <c r="F3178" t="inlineStr">
        <is>
          <t>SCA</t>
        </is>
      </c>
      <c r="G3178" t="n">
        <v>9.699999999999999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24429-2020</t>
        </is>
      </c>
      <c r="B3179" s="1" t="n">
        <v>43976</v>
      </c>
      <c r="C3179" s="1" t="n">
        <v>45363</v>
      </c>
      <c r="D3179" t="inlineStr">
        <is>
          <t>JÄMTLANDS LÄN</t>
        </is>
      </c>
      <c r="E3179" t="inlineStr">
        <is>
          <t>BRÄCKE</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24384-2020</t>
        </is>
      </c>
      <c r="B3180" s="1" t="n">
        <v>43976</v>
      </c>
      <c r="C3180" s="1" t="n">
        <v>45363</v>
      </c>
      <c r="D3180" t="inlineStr">
        <is>
          <t>JÄMTLANDS LÄN</t>
        </is>
      </c>
      <c r="E3180" t="inlineStr">
        <is>
          <t>STRÖMSUND</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24436-2020</t>
        </is>
      </c>
      <c r="B3181" s="1" t="n">
        <v>43976</v>
      </c>
      <c r="C3181" s="1" t="n">
        <v>45363</v>
      </c>
      <c r="D3181" t="inlineStr">
        <is>
          <t>JÄMTLANDS LÄN</t>
        </is>
      </c>
      <c r="E3181" t="inlineStr">
        <is>
          <t>ÅRE</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24413-2020</t>
        </is>
      </c>
      <c r="B3182" s="1" t="n">
        <v>43976</v>
      </c>
      <c r="C3182" s="1" t="n">
        <v>45363</v>
      </c>
      <c r="D3182" t="inlineStr">
        <is>
          <t>JÄMTLANDS LÄN</t>
        </is>
      </c>
      <c r="E3182" t="inlineStr">
        <is>
          <t>STRÖMSUND</t>
        </is>
      </c>
      <c r="F3182" t="inlineStr">
        <is>
          <t>SCA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24640-2020</t>
        </is>
      </c>
      <c r="B3183" s="1" t="n">
        <v>43977</v>
      </c>
      <c r="C3183" s="1" t="n">
        <v>45363</v>
      </c>
      <c r="D3183" t="inlineStr">
        <is>
          <t>JÄMTLANDS LÄN</t>
        </is>
      </c>
      <c r="E3183" t="inlineStr">
        <is>
          <t>RAGUNDA</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24863-2020</t>
        </is>
      </c>
      <c r="B3184" s="1" t="n">
        <v>43978</v>
      </c>
      <c r="C3184" s="1" t="n">
        <v>45363</v>
      </c>
      <c r="D3184" t="inlineStr">
        <is>
          <t>JÄMTLANDS LÄN</t>
        </is>
      </c>
      <c r="E3184" t="inlineStr">
        <is>
          <t>BRÄCKE</t>
        </is>
      </c>
      <c r="F3184" t="inlineStr">
        <is>
          <t>SCA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25148-2020</t>
        </is>
      </c>
      <c r="B3185" s="1" t="n">
        <v>43978</v>
      </c>
      <c r="C3185" s="1" t="n">
        <v>45363</v>
      </c>
      <c r="D3185" t="inlineStr">
        <is>
          <t>JÄMTLANDS LÄN</t>
        </is>
      </c>
      <c r="E3185" t="inlineStr">
        <is>
          <t>ÖSTERSUND</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25109-2020</t>
        </is>
      </c>
      <c r="B3186" s="1" t="n">
        <v>43979</v>
      </c>
      <c r="C3186" s="1" t="n">
        <v>45363</v>
      </c>
      <c r="D3186" t="inlineStr">
        <is>
          <t>JÄMTLANDS LÄN</t>
        </is>
      </c>
      <c r="E3186" t="inlineStr">
        <is>
          <t>STRÖMSUND</t>
        </is>
      </c>
      <c r="F3186" t="inlineStr">
        <is>
          <t>SCA</t>
        </is>
      </c>
      <c r="G3186" t="n">
        <v>10.7</v>
      </c>
      <c r="H3186" t="n">
        <v>0</v>
      </c>
      <c r="I3186" t="n">
        <v>0</v>
      </c>
      <c r="J3186" t="n">
        <v>0</v>
      </c>
      <c r="K3186" t="n">
        <v>0</v>
      </c>
      <c r="L3186" t="n">
        <v>0</v>
      </c>
      <c r="M3186" t="n">
        <v>0</v>
      </c>
      <c r="N3186" t="n">
        <v>0</v>
      </c>
      <c r="O3186" t="n">
        <v>0</v>
      </c>
      <c r="P3186" t="n">
        <v>0</v>
      </c>
      <c r="Q3186" t="n">
        <v>0</v>
      </c>
      <c r="R3186" s="2" t="inlineStr"/>
    </row>
    <row r="3187" ht="15" customHeight="1">
      <c r="A3187" t="inlineStr">
        <is>
          <t>A 24932-2020</t>
        </is>
      </c>
      <c r="B3187" s="1" t="n">
        <v>43979</v>
      </c>
      <c r="C3187" s="1" t="n">
        <v>45363</v>
      </c>
      <c r="D3187" t="inlineStr">
        <is>
          <t>JÄMTLANDS LÄN</t>
        </is>
      </c>
      <c r="E3187" t="inlineStr">
        <is>
          <t>BERG</t>
        </is>
      </c>
      <c r="F3187" t="inlineStr">
        <is>
          <t>Kyrkan</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25107-2020</t>
        </is>
      </c>
      <c r="B3188" s="1" t="n">
        <v>43979</v>
      </c>
      <c r="C3188" s="1" t="n">
        <v>45363</v>
      </c>
      <c r="D3188" t="inlineStr">
        <is>
          <t>JÄMTLANDS LÄN</t>
        </is>
      </c>
      <c r="E3188" t="inlineStr">
        <is>
          <t>STRÖMSUND</t>
        </is>
      </c>
      <c r="F3188" t="inlineStr">
        <is>
          <t>SCA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25115-2020</t>
        </is>
      </c>
      <c r="B3189" s="1" t="n">
        <v>43979</v>
      </c>
      <c r="C3189" s="1" t="n">
        <v>45363</v>
      </c>
      <c r="D3189" t="inlineStr">
        <is>
          <t>JÄMTLANDS LÄN</t>
        </is>
      </c>
      <c r="E3189" t="inlineStr">
        <is>
          <t>RAGUNDA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25017-2020</t>
        </is>
      </c>
      <c r="B3190" s="1" t="n">
        <v>43979</v>
      </c>
      <c r="C3190" s="1" t="n">
        <v>45363</v>
      </c>
      <c r="D3190" t="inlineStr">
        <is>
          <t>JÄMTLANDS LÄN</t>
        </is>
      </c>
      <c r="E3190" t="inlineStr">
        <is>
          <t>BERG</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25240-2020</t>
        </is>
      </c>
      <c r="B3191" s="1" t="n">
        <v>43980</v>
      </c>
      <c r="C3191" s="1" t="n">
        <v>45363</v>
      </c>
      <c r="D3191" t="inlineStr">
        <is>
          <t>JÄMTLANDS LÄN</t>
        </is>
      </c>
      <c r="E3191" t="inlineStr">
        <is>
          <t>HÄRJEDALEN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25341-2020</t>
        </is>
      </c>
      <c r="B3192" s="1" t="n">
        <v>43980</v>
      </c>
      <c r="C3192" s="1" t="n">
        <v>45363</v>
      </c>
      <c r="D3192" t="inlineStr">
        <is>
          <t>JÄMTLANDS LÄN</t>
        </is>
      </c>
      <c r="E3192" t="inlineStr">
        <is>
          <t>HÄRJEDALEN</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25232-2020</t>
        </is>
      </c>
      <c r="B3193" s="1" t="n">
        <v>43980</v>
      </c>
      <c r="C3193" s="1" t="n">
        <v>45363</v>
      </c>
      <c r="D3193" t="inlineStr">
        <is>
          <t>JÄMTLANDS LÄN</t>
        </is>
      </c>
      <c r="E3193" t="inlineStr">
        <is>
          <t>HÄRJEDALEN</t>
        </is>
      </c>
      <c r="G3193" t="n">
        <v>14.9</v>
      </c>
      <c r="H3193" t="n">
        <v>0</v>
      </c>
      <c r="I3193" t="n">
        <v>0</v>
      </c>
      <c r="J3193" t="n">
        <v>0</v>
      </c>
      <c r="K3193" t="n">
        <v>0</v>
      </c>
      <c r="L3193" t="n">
        <v>0</v>
      </c>
      <c r="M3193" t="n">
        <v>0</v>
      </c>
      <c r="N3193" t="n">
        <v>0</v>
      </c>
      <c r="O3193" t="n">
        <v>0</v>
      </c>
      <c r="P3193" t="n">
        <v>0</v>
      </c>
      <c r="Q3193" t="n">
        <v>0</v>
      </c>
      <c r="R3193" s="2" t="inlineStr"/>
    </row>
    <row r="3194" ht="15" customHeight="1">
      <c r="A3194" t="inlineStr">
        <is>
          <t>A 25382-2020</t>
        </is>
      </c>
      <c r="B3194" s="1" t="n">
        <v>43980</v>
      </c>
      <c r="C3194" s="1" t="n">
        <v>45363</v>
      </c>
      <c r="D3194" t="inlineStr">
        <is>
          <t>JÄMTLANDS LÄN</t>
        </is>
      </c>
      <c r="E3194" t="inlineStr">
        <is>
          <t>BRÄCKE</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25396-2020</t>
        </is>
      </c>
      <c r="B3195" s="1" t="n">
        <v>43980</v>
      </c>
      <c r="C3195" s="1" t="n">
        <v>45363</v>
      </c>
      <c r="D3195" t="inlineStr">
        <is>
          <t>JÄMTLANDS LÄN</t>
        </is>
      </c>
      <c r="E3195" t="inlineStr">
        <is>
          <t>STRÖMSUND</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25238-2020</t>
        </is>
      </c>
      <c r="B3196" s="1" t="n">
        <v>43980</v>
      </c>
      <c r="C3196" s="1" t="n">
        <v>45363</v>
      </c>
      <c r="D3196" t="inlineStr">
        <is>
          <t>JÄMTLANDS LÄN</t>
        </is>
      </c>
      <c r="E3196" t="inlineStr">
        <is>
          <t>HÄRJEDALEN</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25236-2020</t>
        </is>
      </c>
      <c r="B3197" s="1" t="n">
        <v>43980</v>
      </c>
      <c r="C3197" s="1" t="n">
        <v>45363</v>
      </c>
      <c r="D3197" t="inlineStr">
        <is>
          <t>JÄMTLANDS LÄN</t>
        </is>
      </c>
      <c r="E3197" t="inlineStr">
        <is>
          <t>HÄRJEDALEN</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25375-2020</t>
        </is>
      </c>
      <c r="B3198" s="1" t="n">
        <v>43980</v>
      </c>
      <c r="C3198" s="1" t="n">
        <v>45363</v>
      </c>
      <c r="D3198" t="inlineStr">
        <is>
          <t>JÄMTLANDS LÄN</t>
        </is>
      </c>
      <c r="E3198" t="inlineStr">
        <is>
          <t>STRÖMSUND</t>
        </is>
      </c>
      <c r="F3198" t="inlineStr">
        <is>
          <t>SCA</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25390-2020</t>
        </is>
      </c>
      <c r="B3199" s="1" t="n">
        <v>43980</v>
      </c>
      <c r="C3199" s="1" t="n">
        <v>45363</v>
      </c>
      <c r="D3199" t="inlineStr">
        <is>
          <t>JÄMTLANDS LÄN</t>
        </is>
      </c>
      <c r="E3199" t="inlineStr">
        <is>
          <t>STRÖMSUND</t>
        </is>
      </c>
      <c r="F3199" t="inlineStr">
        <is>
          <t>SCA</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25388-2020</t>
        </is>
      </c>
      <c r="B3200" s="1" t="n">
        <v>43980</v>
      </c>
      <c r="C3200" s="1" t="n">
        <v>45363</v>
      </c>
      <c r="D3200" t="inlineStr">
        <is>
          <t>JÄMTLANDS LÄN</t>
        </is>
      </c>
      <c r="E3200" t="inlineStr">
        <is>
          <t>STRÖMSUND</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25398-2020</t>
        </is>
      </c>
      <c r="B3201" s="1" t="n">
        <v>43980</v>
      </c>
      <c r="C3201" s="1" t="n">
        <v>45363</v>
      </c>
      <c r="D3201" t="inlineStr">
        <is>
          <t>JÄMTLANDS LÄN</t>
        </is>
      </c>
      <c r="E3201" t="inlineStr">
        <is>
          <t>STRÖMSUND</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25381-2020</t>
        </is>
      </c>
      <c r="B3202" s="1" t="n">
        <v>43980</v>
      </c>
      <c r="C3202" s="1" t="n">
        <v>45363</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25392-2020</t>
        </is>
      </c>
      <c r="B3203" s="1" t="n">
        <v>43980</v>
      </c>
      <c r="C3203" s="1" t="n">
        <v>45363</v>
      </c>
      <c r="D3203" t="inlineStr">
        <is>
          <t>JÄMTLANDS LÄN</t>
        </is>
      </c>
      <c r="E3203" t="inlineStr">
        <is>
          <t>STRÖMSUND</t>
        </is>
      </c>
      <c r="F3203" t="inlineStr">
        <is>
          <t>SCA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25520-2020</t>
        </is>
      </c>
      <c r="B3204" s="1" t="n">
        <v>43983</v>
      </c>
      <c r="C3204" s="1" t="n">
        <v>45363</v>
      </c>
      <c r="D3204" t="inlineStr">
        <is>
          <t>JÄMTLANDS LÄN</t>
        </is>
      </c>
      <c r="E3204" t="inlineStr">
        <is>
          <t>KROKOM</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25587-2020</t>
        </is>
      </c>
      <c r="B3205" s="1" t="n">
        <v>43983</v>
      </c>
      <c r="C3205" s="1" t="n">
        <v>45363</v>
      </c>
      <c r="D3205" t="inlineStr">
        <is>
          <t>JÄMTLANDS LÄN</t>
        </is>
      </c>
      <c r="E3205" t="inlineStr">
        <is>
          <t>ÅRE</t>
        </is>
      </c>
      <c r="G3205" t="n">
        <v>10.3</v>
      </c>
      <c r="H3205" t="n">
        <v>0</v>
      </c>
      <c r="I3205" t="n">
        <v>0</v>
      </c>
      <c r="J3205" t="n">
        <v>0</v>
      </c>
      <c r="K3205" t="n">
        <v>0</v>
      </c>
      <c r="L3205" t="n">
        <v>0</v>
      </c>
      <c r="M3205" t="n">
        <v>0</v>
      </c>
      <c r="N3205" t="n">
        <v>0</v>
      </c>
      <c r="O3205" t="n">
        <v>0</v>
      </c>
      <c r="P3205" t="n">
        <v>0</v>
      </c>
      <c r="Q3205" t="n">
        <v>0</v>
      </c>
      <c r="R3205" s="2" t="inlineStr"/>
    </row>
    <row r="3206" ht="15" customHeight="1">
      <c r="A3206" t="inlineStr">
        <is>
          <t>A 25489-2020</t>
        </is>
      </c>
      <c r="B3206" s="1" t="n">
        <v>43983</v>
      </c>
      <c r="C3206" s="1" t="n">
        <v>45363</v>
      </c>
      <c r="D3206" t="inlineStr">
        <is>
          <t>JÄMTLANDS LÄN</t>
        </is>
      </c>
      <c r="E3206" t="inlineStr">
        <is>
          <t>KROKOM</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25680-2020</t>
        </is>
      </c>
      <c r="B3207" s="1" t="n">
        <v>43983</v>
      </c>
      <c r="C3207" s="1" t="n">
        <v>45363</v>
      </c>
      <c r="D3207" t="inlineStr">
        <is>
          <t>JÄMTLANDS LÄN</t>
        </is>
      </c>
      <c r="E3207" t="inlineStr">
        <is>
          <t>STRÖMSUND</t>
        </is>
      </c>
      <c r="F3207" t="inlineStr">
        <is>
          <t>SCA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25592-2020</t>
        </is>
      </c>
      <c r="B3208" s="1" t="n">
        <v>43983</v>
      </c>
      <c r="C3208" s="1" t="n">
        <v>45363</v>
      </c>
      <c r="D3208" t="inlineStr">
        <is>
          <t>JÄMTLANDS LÄN</t>
        </is>
      </c>
      <c r="E3208" t="inlineStr">
        <is>
          <t>ÅRE</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25906-2020</t>
        </is>
      </c>
      <c r="B3209" s="1" t="n">
        <v>43984</v>
      </c>
      <c r="C3209" s="1" t="n">
        <v>45363</v>
      </c>
      <c r="D3209" t="inlineStr">
        <is>
          <t>JÄMTLANDS LÄN</t>
        </is>
      </c>
      <c r="E3209" t="inlineStr">
        <is>
          <t>BRÄCKE</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25779-2020</t>
        </is>
      </c>
      <c r="B3210" s="1" t="n">
        <v>43984</v>
      </c>
      <c r="C3210" s="1" t="n">
        <v>45363</v>
      </c>
      <c r="D3210" t="inlineStr">
        <is>
          <t>JÄMTLANDS LÄN</t>
        </is>
      </c>
      <c r="E3210" t="inlineStr">
        <is>
          <t>HÄRJEDALEN</t>
        </is>
      </c>
      <c r="G3210" t="n">
        <v>22.2</v>
      </c>
      <c r="H3210" t="n">
        <v>0</v>
      </c>
      <c r="I3210" t="n">
        <v>0</v>
      </c>
      <c r="J3210" t="n">
        <v>0</v>
      </c>
      <c r="K3210" t="n">
        <v>0</v>
      </c>
      <c r="L3210" t="n">
        <v>0</v>
      </c>
      <c r="M3210" t="n">
        <v>0</v>
      </c>
      <c r="N3210" t="n">
        <v>0</v>
      </c>
      <c r="O3210" t="n">
        <v>0</v>
      </c>
      <c r="P3210" t="n">
        <v>0</v>
      </c>
      <c r="Q3210" t="n">
        <v>0</v>
      </c>
      <c r="R3210" s="2" t="inlineStr"/>
    </row>
    <row r="3211" ht="15" customHeight="1">
      <c r="A3211" t="inlineStr">
        <is>
          <t>A 25892-2020</t>
        </is>
      </c>
      <c r="B3211" s="1" t="n">
        <v>43984</v>
      </c>
      <c r="C3211" s="1" t="n">
        <v>45363</v>
      </c>
      <c r="D3211" t="inlineStr">
        <is>
          <t>JÄMTLANDS LÄN</t>
        </is>
      </c>
      <c r="E3211" t="inlineStr">
        <is>
          <t>STRÖMSUND</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25772-2020</t>
        </is>
      </c>
      <c r="B3212" s="1" t="n">
        <v>43984</v>
      </c>
      <c r="C3212" s="1" t="n">
        <v>45363</v>
      </c>
      <c r="D3212" t="inlineStr">
        <is>
          <t>JÄMTLANDS LÄN</t>
        </is>
      </c>
      <c r="E3212" t="inlineStr">
        <is>
          <t>BRÄCKE</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25913-2020</t>
        </is>
      </c>
      <c r="B3213" s="1" t="n">
        <v>43984</v>
      </c>
      <c r="C3213" s="1" t="n">
        <v>45363</v>
      </c>
      <c r="D3213" t="inlineStr">
        <is>
          <t>JÄMTLANDS LÄN</t>
        </is>
      </c>
      <c r="E3213" t="inlineStr">
        <is>
          <t>STRÖMSUND</t>
        </is>
      </c>
      <c r="F3213" t="inlineStr">
        <is>
          <t>SCA</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25927-2020</t>
        </is>
      </c>
      <c r="B3214" s="1" t="n">
        <v>43984</v>
      </c>
      <c r="C3214" s="1" t="n">
        <v>45363</v>
      </c>
      <c r="D3214" t="inlineStr">
        <is>
          <t>JÄMTLANDS LÄN</t>
        </is>
      </c>
      <c r="E3214" t="inlineStr">
        <is>
          <t>RAGUNDA</t>
        </is>
      </c>
      <c r="F3214" t="inlineStr">
        <is>
          <t>SCA</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26056-2020</t>
        </is>
      </c>
      <c r="B3215" s="1" t="n">
        <v>43984</v>
      </c>
      <c r="C3215" s="1" t="n">
        <v>45363</v>
      </c>
      <c r="D3215" t="inlineStr">
        <is>
          <t>JÄMTLANDS LÄN</t>
        </is>
      </c>
      <c r="E3215" t="inlineStr">
        <is>
          <t>HÄRJEDALEN</t>
        </is>
      </c>
      <c r="G3215" t="n">
        <v>53.1</v>
      </c>
      <c r="H3215" t="n">
        <v>0</v>
      </c>
      <c r="I3215" t="n">
        <v>0</v>
      </c>
      <c r="J3215" t="n">
        <v>0</v>
      </c>
      <c r="K3215" t="n">
        <v>0</v>
      </c>
      <c r="L3215" t="n">
        <v>0</v>
      </c>
      <c r="M3215" t="n">
        <v>0</v>
      </c>
      <c r="N3215" t="n">
        <v>0</v>
      </c>
      <c r="O3215" t="n">
        <v>0</v>
      </c>
      <c r="P3215" t="n">
        <v>0</v>
      </c>
      <c r="Q3215" t="n">
        <v>0</v>
      </c>
      <c r="R3215" s="2" t="inlineStr"/>
    </row>
    <row r="3216" ht="15" customHeight="1">
      <c r="A3216" t="inlineStr">
        <is>
          <t>A 25934-2020</t>
        </is>
      </c>
      <c r="B3216" s="1" t="n">
        <v>43984</v>
      </c>
      <c r="C3216" s="1" t="n">
        <v>45363</v>
      </c>
      <c r="D3216" t="inlineStr">
        <is>
          <t>JÄMTLANDS LÄN</t>
        </is>
      </c>
      <c r="E3216" t="inlineStr">
        <is>
          <t>RAGUNDA</t>
        </is>
      </c>
      <c r="F3216" t="inlineStr">
        <is>
          <t>SCA</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25978-2020</t>
        </is>
      </c>
      <c r="B3217" s="1" t="n">
        <v>43985</v>
      </c>
      <c r="C3217" s="1" t="n">
        <v>45363</v>
      </c>
      <c r="D3217" t="inlineStr">
        <is>
          <t>JÄMTLANDS LÄN</t>
        </is>
      </c>
      <c r="E3217" t="inlineStr">
        <is>
          <t>BERG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25993-2020</t>
        </is>
      </c>
      <c r="B3218" s="1" t="n">
        <v>43985</v>
      </c>
      <c r="C3218" s="1" t="n">
        <v>45363</v>
      </c>
      <c r="D3218" t="inlineStr">
        <is>
          <t>JÄMTLANDS LÄN</t>
        </is>
      </c>
      <c r="E3218" t="inlineStr">
        <is>
          <t>BERG</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25984-2020</t>
        </is>
      </c>
      <c r="B3219" s="1" t="n">
        <v>43985</v>
      </c>
      <c r="C3219" s="1" t="n">
        <v>45363</v>
      </c>
      <c r="D3219" t="inlineStr">
        <is>
          <t>JÄMTLANDS LÄN</t>
        </is>
      </c>
      <c r="E3219" t="inlineStr">
        <is>
          <t>BERG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26175-2020</t>
        </is>
      </c>
      <c r="B3220" s="1" t="n">
        <v>43985</v>
      </c>
      <c r="C3220" s="1" t="n">
        <v>45363</v>
      </c>
      <c r="D3220" t="inlineStr">
        <is>
          <t>JÄMTLANDS LÄN</t>
        </is>
      </c>
      <c r="E3220" t="inlineStr">
        <is>
          <t>BERG</t>
        </is>
      </c>
      <c r="F3220" t="inlineStr">
        <is>
          <t>SCA</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25975-2020</t>
        </is>
      </c>
      <c r="B3221" s="1" t="n">
        <v>43985</v>
      </c>
      <c r="C3221" s="1" t="n">
        <v>45363</v>
      </c>
      <c r="D3221" t="inlineStr">
        <is>
          <t>JÄMTLANDS LÄN</t>
        </is>
      </c>
      <c r="E3221" t="inlineStr">
        <is>
          <t>BERG</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25997-2020</t>
        </is>
      </c>
      <c r="B3222" s="1" t="n">
        <v>43985</v>
      </c>
      <c r="C3222" s="1" t="n">
        <v>45363</v>
      </c>
      <c r="D3222" t="inlineStr">
        <is>
          <t>JÄMTLANDS LÄN</t>
        </is>
      </c>
      <c r="E3222" t="inlineStr">
        <is>
          <t>STRÖMSUND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26168-2020</t>
        </is>
      </c>
      <c r="B3223" s="1" t="n">
        <v>43985</v>
      </c>
      <c r="C3223" s="1" t="n">
        <v>45363</v>
      </c>
      <c r="D3223" t="inlineStr">
        <is>
          <t>JÄMTLANDS LÄN</t>
        </is>
      </c>
      <c r="E3223" t="inlineStr">
        <is>
          <t>BRÄCKE</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26169-2020</t>
        </is>
      </c>
      <c r="B3224" s="1" t="n">
        <v>43985</v>
      </c>
      <c r="C3224" s="1" t="n">
        <v>45363</v>
      </c>
      <c r="D3224" t="inlineStr">
        <is>
          <t>JÄMTLANDS LÄN</t>
        </is>
      </c>
      <c r="E3224" t="inlineStr">
        <is>
          <t>BRÄCKE</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26190-2020</t>
        </is>
      </c>
      <c r="B3225" s="1" t="n">
        <v>43985</v>
      </c>
      <c r="C3225" s="1" t="n">
        <v>45363</v>
      </c>
      <c r="D3225" t="inlineStr">
        <is>
          <t>JÄMTLANDS LÄN</t>
        </is>
      </c>
      <c r="E3225" t="inlineStr">
        <is>
          <t>STRÖMSUND</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26410-2020</t>
        </is>
      </c>
      <c r="B3226" s="1" t="n">
        <v>43986</v>
      </c>
      <c r="C3226" s="1" t="n">
        <v>45363</v>
      </c>
      <c r="D3226" t="inlineStr">
        <is>
          <t>JÄMTLANDS LÄN</t>
        </is>
      </c>
      <c r="E3226" t="inlineStr">
        <is>
          <t>ÖSTERSUND</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26264-2020</t>
        </is>
      </c>
      <c r="B3227" s="1" t="n">
        <v>43986</v>
      </c>
      <c r="C3227" s="1" t="n">
        <v>45363</v>
      </c>
      <c r="D3227" t="inlineStr">
        <is>
          <t>JÄMTLANDS LÄN</t>
        </is>
      </c>
      <c r="E3227" t="inlineStr">
        <is>
          <t>RAGUNDA</t>
        </is>
      </c>
      <c r="F3227" t="inlineStr">
        <is>
          <t>Kommuner</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26262-2020</t>
        </is>
      </c>
      <c r="B3228" s="1" t="n">
        <v>43986</v>
      </c>
      <c r="C3228" s="1" t="n">
        <v>45363</v>
      </c>
      <c r="D3228" t="inlineStr">
        <is>
          <t>JÄMTLANDS LÄN</t>
        </is>
      </c>
      <c r="E3228" t="inlineStr">
        <is>
          <t>RAGUNDA</t>
        </is>
      </c>
      <c r="F3228" t="inlineStr">
        <is>
          <t>Kommuner</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26669-2020</t>
        </is>
      </c>
      <c r="B3229" s="1" t="n">
        <v>43989</v>
      </c>
      <c r="C3229" s="1" t="n">
        <v>45363</v>
      </c>
      <c r="D3229" t="inlineStr">
        <is>
          <t>JÄMTLANDS LÄN</t>
        </is>
      </c>
      <c r="E3229" t="inlineStr">
        <is>
          <t>STRÖMSUND</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26670-2020</t>
        </is>
      </c>
      <c r="B3230" s="1" t="n">
        <v>43989</v>
      </c>
      <c r="C3230" s="1" t="n">
        <v>45363</v>
      </c>
      <c r="D3230" t="inlineStr">
        <is>
          <t>JÄMTLANDS LÄN</t>
        </is>
      </c>
      <c r="E3230" t="inlineStr">
        <is>
          <t>STRÖMSUND</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26966-2020</t>
        </is>
      </c>
      <c r="B3231" s="1" t="n">
        <v>43990</v>
      </c>
      <c r="C3231" s="1" t="n">
        <v>45363</v>
      </c>
      <c r="D3231" t="inlineStr">
        <is>
          <t>JÄMTLANDS LÄN</t>
        </is>
      </c>
      <c r="E3231" t="inlineStr">
        <is>
          <t>RAGUNDA</t>
        </is>
      </c>
      <c r="F3231" t="inlineStr">
        <is>
          <t>SCA</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27191-2020</t>
        </is>
      </c>
      <c r="B3232" s="1" t="n">
        <v>43991</v>
      </c>
      <c r="C3232" s="1" t="n">
        <v>45363</v>
      </c>
      <c r="D3232" t="inlineStr">
        <is>
          <t>JÄMTLANDS LÄN</t>
        </is>
      </c>
      <c r="E3232" t="inlineStr">
        <is>
          <t>BRÄCKE</t>
        </is>
      </c>
      <c r="F3232" t="inlineStr">
        <is>
          <t>SCA</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27056-2020</t>
        </is>
      </c>
      <c r="B3233" s="1" t="n">
        <v>43991</v>
      </c>
      <c r="C3233" s="1" t="n">
        <v>45363</v>
      </c>
      <c r="D3233" t="inlineStr">
        <is>
          <t>JÄMTLANDS LÄN</t>
        </is>
      </c>
      <c r="E3233" t="inlineStr">
        <is>
          <t>KROKOM</t>
        </is>
      </c>
      <c r="F3233" t="inlineStr">
        <is>
          <t>Övriga Aktiebolag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27190-2020</t>
        </is>
      </c>
      <c r="B3234" s="1" t="n">
        <v>43991</v>
      </c>
      <c r="C3234" s="1" t="n">
        <v>45363</v>
      </c>
      <c r="D3234" t="inlineStr">
        <is>
          <t>JÄMTLANDS LÄN</t>
        </is>
      </c>
      <c r="E3234" t="inlineStr">
        <is>
          <t>BRÄCKE</t>
        </is>
      </c>
      <c r="F3234" t="inlineStr">
        <is>
          <t>SCA</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27292-2020</t>
        </is>
      </c>
      <c r="B3235" s="1" t="n">
        <v>43992</v>
      </c>
      <c r="C3235" s="1" t="n">
        <v>45363</v>
      </c>
      <c r="D3235" t="inlineStr">
        <is>
          <t>JÄMTLANDS LÄN</t>
        </is>
      </c>
      <c r="E3235" t="inlineStr">
        <is>
          <t>ÅRE</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27366-2020</t>
        </is>
      </c>
      <c r="B3236" s="1" t="n">
        <v>43992</v>
      </c>
      <c r="C3236" s="1" t="n">
        <v>45363</v>
      </c>
      <c r="D3236" t="inlineStr">
        <is>
          <t>JÄMTLANDS LÄN</t>
        </is>
      </c>
      <c r="E3236" t="inlineStr">
        <is>
          <t>RAGUNDA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27415-2020</t>
        </is>
      </c>
      <c r="B3237" s="1" t="n">
        <v>43992</v>
      </c>
      <c r="C3237" s="1" t="n">
        <v>45363</v>
      </c>
      <c r="D3237" t="inlineStr">
        <is>
          <t>JÄMTLANDS LÄN</t>
        </is>
      </c>
      <c r="E3237" t="inlineStr">
        <is>
          <t>STRÖMSUND</t>
        </is>
      </c>
      <c r="F3237" t="inlineStr">
        <is>
          <t>SCA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27369-2020</t>
        </is>
      </c>
      <c r="B3238" s="1" t="n">
        <v>43992</v>
      </c>
      <c r="C3238" s="1" t="n">
        <v>45363</v>
      </c>
      <c r="D3238" t="inlineStr">
        <is>
          <t>JÄMTLANDS LÄN</t>
        </is>
      </c>
      <c r="E3238" t="inlineStr">
        <is>
          <t>ÅRE</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27576-2020</t>
        </is>
      </c>
      <c r="B3239" s="1" t="n">
        <v>43992</v>
      </c>
      <c r="C3239" s="1" t="n">
        <v>45363</v>
      </c>
      <c r="D3239" t="inlineStr">
        <is>
          <t>JÄMTLANDS LÄN</t>
        </is>
      </c>
      <c r="E3239" t="inlineStr">
        <is>
          <t>ÖSTERSUND</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27854-2020</t>
        </is>
      </c>
      <c r="B3240" s="1" t="n">
        <v>43994</v>
      </c>
      <c r="C3240" s="1" t="n">
        <v>45363</v>
      </c>
      <c r="D3240" t="inlineStr">
        <is>
          <t>JÄMTLANDS LÄN</t>
        </is>
      </c>
      <c r="E3240" t="inlineStr">
        <is>
          <t>HÄRJEDALEN</t>
        </is>
      </c>
      <c r="F3240" t="inlineStr">
        <is>
          <t>Sveaskog</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27709-2020</t>
        </is>
      </c>
      <c r="B3241" s="1" t="n">
        <v>43994</v>
      </c>
      <c r="C3241" s="1" t="n">
        <v>45363</v>
      </c>
      <c r="D3241" t="inlineStr">
        <is>
          <t>JÄMTLANDS LÄN</t>
        </is>
      </c>
      <c r="E3241" t="inlineStr">
        <is>
          <t>STRÖMSUND</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28213-2020</t>
        </is>
      </c>
      <c r="B3242" s="1" t="n">
        <v>43997</v>
      </c>
      <c r="C3242" s="1" t="n">
        <v>45363</v>
      </c>
      <c r="D3242" t="inlineStr">
        <is>
          <t>JÄMTLANDS LÄN</t>
        </is>
      </c>
      <c r="E3242" t="inlineStr">
        <is>
          <t>BRÄCKE</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28701-2020</t>
        </is>
      </c>
      <c r="B3243" s="1" t="n">
        <v>43997</v>
      </c>
      <c r="C3243" s="1" t="n">
        <v>45363</v>
      </c>
      <c r="D3243" t="inlineStr">
        <is>
          <t>JÄMTLANDS LÄN</t>
        </is>
      </c>
      <c r="E3243" t="inlineStr">
        <is>
          <t>BRÄCKE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28174-2020</t>
        </is>
      </c>
      <c r="B3244" s="1" t="n">
        <v>43997</v>
      </c>
      <c r="C3244" s="1" t="n">
        <v>45363</v>
      </c>
      <c r="D3244" t="inlineStr">
        <is>
          <t>JÄMTLANDS LÄN</t>
        </is>
      </c>
      <c r="E3244" t="inlineStr">
        <is>
          <t>BRÄCKE</t>
        </is>
      </c>
      <c r="G3244" t="n">
        <v>8.699999999999999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28196-2020</t>
        </is>
      </c>
      <c r="B3245" s="1" t="n">
        <v>43997</v>
      </c>
      <c r="C3245" s="1" t="n">
        <v>45363</v>
      </c>
      <c r="D3245" t="inlineStr">
        <is>
          <t>JÄMTLANDS LÄN</t>
        </is>
      </c>
      <c r="E3245" t="inlineStr">
        <is>
          <t>STRÖMSUND</t>
        </is>
      </c>
      <c r="F3245" t="inlineStr">
        <is>
          <t>SCA</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28422-2020</t>
        </is>
      </c>
      <c r="B3246" s="1" t="n">
        <v>43998</v>
      </c>
      <c r="C3246" s="1" t="n">
        <v>45363</v>
      </c>
      <c r="D3246" t="inlineStr">
        <is>
          <t>JÄMTLANDS LÄN</t>
        </is>
      </c>
      <c r="E3246" t="inlineStr">
        <is>
          <t>ÅRE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28385-2020</t>
        </is>
      </c>
      <c r="B3247" s="1" t="n">
        <v>43998</v>
      </c>
      <c r="C3247" s="1" t="n">
        <v>45363</v>
      </c>
      <c r="D3247" t="inlineStr">
        <is>
          <t>JÄMTLANDS LÄN</t>
        </is>
      </c>
      <c r="E3247" t="inlineStr">
        <is>
          <t>ÅRE</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28543-2020</t>
        </is>
      </c>
      <c r="B3248" s="1" t="n">
        <v>43999</v>
      </c>
      <c r="C3248" s="1" t="n">
        <v>45363</v>
      </c>
      <c r="D3248" t="inlineStr">
        <is>
          <t>JÄMTLANDS LÄN</t>
        </is>
      </c>
      <c r="E3248" t="inlineStr">
        <is>
          <t>HÄRJEDALEN</t>
        </is>
      </c>
      <c r="F3248" t="inlineStr">
        <is>
          <t>Sveaskog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28767-2020</t>
        </is>
      </c>
      <c r="B3249" s="1" t="n">
        <v>44000</v>
      </c>
      <c r="C3249" s="1" t="n">
        <v>45363</v>
      </c>
      <c r="D3249" t="inlineStr">
        <is>
          <t>JÄMTLANDS LÄN</t>
        </is>
      </c>
      <c r="E3249" t="inlineStr">
        <is>
          <t>BERG</t>
        </is>
      </c>
      <c r="F3249" t="inlineStr">
        <is>
          <t>SCA</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28765-2020</t>
        </is>
      </c>
      <c r="B3250" s="1" t="n">
        <v>43999</v>
      </c>
      <c r="C3250" s="1" t="n">
        <v>45363</v>
      </c>
      <c r="D3250" t="inlineStr">
        <is>
          <t>JÄMTLANDS LÄN</t>
        </is>
      </c>
      <c r="E3250" t="inlineStr">
        <is>
          <t>STRÖMSUND</t>
        </is>
      </c>
      <c r="F3250" t="inlineStr">
        <is>
          <t>SCA</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28776-2020</t>
        </is>
      </c>
      <c r="B3251" s="1" t="n">
        <v>43999</v>
      </c>
      <c r="C3251" s="1" t="n">
        <v>45363</v>
      </c>
      <c r="D3251" t="inlineStr">
        <is>
          <t>JÄMTLANDS LÄN</t>
        </is>
      </c>
      <c r="E3251" t="inlineStr">
        <is>
          <t>RAGUNDA</t>
        </is>
      </c>
      <c r="F3251" t="inlineStr">
        <is>
          <t>SCA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28961-2020</t>
        </is>
      </c>
      <c r="B3252" s="1" t="n">
        <v>44000</v>
      </c>
      <c r="C3252" s="1" t="n">
        <v>45363</v>
      </c>
      <c r="D3252" t="inlineStr">
        <is>
          <t>JÄMTLANDS LÄN</t>
        </is>
      </c>
      <c r="E3252" t="inlineStr">
        <is>
          <t>BERG</t>
        </is>
      </c>
      <c r="G3252" t="n">
        <v>7.6</v>
      </c>
      <c r="H3252" t="n">
        <v>0</v>
      </c>
      <c r="I3252" t="n">
        <v>0</v>
      </c>
      <c r="J3252" t="n">
        <v>0</v>
      </c>
      <c r="K3252" t="n">
        <v>0</v>
      </c>
      <c r="L3252" t="n">
        <v>0</v>
      </c>
      <c r="M3252" t="n">
        <v>0</v>
      </c>
      <c r="N3252" t="n">
        <v>0</v>
      </c>
      <c r="O3252" t="n">
        <v>0</v>
      </c>
      <c r="P3252" t="n">
        <v>0</v>
      </c>
      <c r="Q3252" t="n">
        <v>0</v>
      </c>
      <c r="R3252" s="2" t="inlineStr"/>
    </row>
    <row r="3253" ht="15" customHeight="1">
      <c r="A3253" t="inlineStr">
        <is>
          <t>A 29046-2020</t>
        </is>
      </c>
      <c r="B3253" s="1" t="n">
        <v>44000</v>
      </c>
      <c r="C3253" s="1" t="n">
        <v>45363</v>
      </c>
      <c r="D3253" t="inlineStr">
        <is>
          <t>JÄMTLANDS LÄN</t>
        </is>
      </c>
      <c r="E3253" t="inlineStr">
        <is>
          <t>STRÖMSUND</t>
        </is>
      </c>
      <c r="F3253" t="inlineStr">
        <is>
          <t>SCA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28869-2020</t>
        </is>
      </c>
      <c r="B3254" s="1" t="n">
        <v>44000</v>
      </c>
      <c r="C3254" s="1" t="n">
        <v>45363</v>
      </c>
      <c r="D3254" t="inlineStr">
        <is>
          <t>JÄMTLANDS LÄN</t>
        </is>
      </c>
      <c r="E3254" t="inlineStr">
        <is>
          <t>ÅRE</t>
        </is>
      </c>
      <c r="F3254" t="inlineStr">
        <is>
          <t>Kyrkan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29004-2020</t>
        </is>
      </c>
      <c r="B3255" s="1" t="n">
        <v>44000</v>
      </c>
      <c r="C3255" s="1" t="n">
        <v>45363</v>
      </c>
      <c r="D3255" t="inlineStr">
        <is>
          <t>JÄMTLANDS LÄN</t>
        </is>
      </c>
      <c r="E3255" t="inlineStr">
        <is>
          <t>BERG</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29052-2020</t>
        </is>
      </c>
      <c r="B3256" s="1" t="n">
        <v>44000</v>
      </c>
      <c r="C3256" s="1" t="n">
        <v>45363</v>
      </c>
      <c r="D3256" t="inlineStr">
        <is>
          <t>JÄMTLANDS LÄN</t>
        </is>
      </c>
      <c r="E3256" t="inlineStr">
        <is>
          <t>BERG</t>
        </is>
      </c>
      <c r="F3256" t="inlineStr">
        <is>
          <t>SCA</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29382-2020</t>
        </is>
      </c>
      <c r="B3257" s="1" t="n">
        <v>44000</v>
      </c>
      <c r="C3257" s="1" t="n">
        <v>45363</v>
      </c>
      <c r="D3257" t="inlineStr">
        <is>
          <t>JÄMTLANDS LÄN</t>
        </is>
      </c>
      <c r="E3257" t="inlineStr">
        <is>
          <t>RAGUNDA</t>
        </is>
      </c>
      <c r="G3257" t="n">
        <v>46.1</v>
      </c>
      <c r="H3257" t="n">
        <v>0</v>
      </c>
      <c r="I3257" t="n">
        <v>0</v>
      </c>
      <c r="J3257" t="n">
        <v>0</v>
      </c>
      <c r="K3257" t="n">
        <v>0</v>
      </c>
      <c r="L3257" t="n">
        <v>0</v>
      </c>
      <c r="M3257" t="n">
        <v>0</v>
      </c>
      <c r="N3257" t="n">
        <v>0</v>
      </c>
      <c r="O3257" t="n">
        <v>0</v>
      </c>
      <c r="P3257" t="n">
        <v>0</v>
      </c>
      <c r="Q3257" t="n">
        <v>0</v>
      </c>
      <c r="R3257" s="2" t="inlineStr"/>
    </row>
    <row r="3258" ht="15" customHeight="1">
      <c r="A3258" t="inlineStr">
        <is>
          <t>A 29635-2020</t>
        </is>
      </c>
      <c r="B3258" s="1" t="n">
        <v>44000</v>
      </c>
      <c r="C3258" s="1" t="n">
        <v>45363</v>
      </c>
      <c r="D3258" t="inlineStr">
        <is>
          <t>JÄMTLANDS LÄN</t>
        </is>
      </c>
      <c r="E3258" t="inlineStr">
        <is>
          <t>ÖSTERSUND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29083-2020</t>
        </is>
      </c>
      <c r="B3259" s="1" t="n">
        <v>44002</v>
      </c>
      <c r="C3259" s="1" t="n">
        <v>45363</v>
      </c>
      <c r="D3259" t="inlineStr">
        <is>
          <t>JÄMTLANDS LÄN</t>
        </is>
      </c>
      <c r="E3259" t="inlineStr">
        <is>
          <t>ÅRE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29080-2020</t>
        </is>
      </c>
      <c r="B3260" s="1" t="n">
        <v>44002</v>
      </c>
      <c r="C3260" s="1" t="n">
        <v>45363</v>
      </c>
      <c r="D3260" t="inlineStr">
        <is>
          <t>JÄMTLANDS LÄN</t>
        </is>
      </c>
      <c r="E3260" t="inlineStr">
        <is>
          <t>ÅRE</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29158-2020</t>
        </is>
      </c>
      <c r="B3261" s="1" t="n">
        <v>44004</v>
      </c>
      <c r="C3261" s="1" t="n">
        <v>45363</v>
      </c>
      <c r="D3261" t="inlineStr">
        <is>
          <t>JÄMTLANDS LÄN</t>
        </is>
      </c>
      <c r="E3261" t="inlineStr">
        <is>
          <t>HÄRJEDALEN</t>
        </is>
      </c>
      <c r="F3261" t="inlineStr">
        <is>
          <t>Sveaskog</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29259-2020</t>
        </is>
      </c>
      <c r="B3262" s="1" t="n">
        <v>44004</v>
      </c>
      <c r="C3262" s="1" t="n">
        <v>45363</v>
      </c>
      <c r="D3262" t="inlineStr">
        <is>
          <t>JÄMTLANDS LÄN</t>
        </is>
      </c>
      <c r="E3262" t="inlineStr">
        <is>
          <t>BRÄCKE</t>
        </is>
      </c>
      <c r="F3262" t="inlineStr">
        <is>
          <t>Övriga Aktiebolag</t>
        </is>
      </c>
      <c r="G3262" t="n">
        <v>40.6</v>
      </c>
      <c r="H3262" t="n">
        <v>0</v>
      </c>
      <c r="I3262" t="n">
        <v>0</v>
      </c>
      <c r="J3262" t="n">
        <v>0</v>
      </c>
      <c r="K3262" t="n">
        <v>0</v>
      </c>
      <c r="L3262" t="n">
        <v>0</v>
      </c>
      <c r="M3262" t="n">
        <v>0</v>
      </c>
      <c r="N3262" t="n">
        <v>0</v>
      </c>
      <c r="O3262" t="n">
        <v>0</v>
      </c>
      <c r="P3262" t="n">
        <v>0</v>
      </c>
      <c r="Q3262" t="n">
        <v>0</v>
      </c>
      <c r="R3262" s="2" t="inlineStr"/>
    </row>
    <row r="3263" ht="15" customHeight="1">
      <c r="A3263" t="inlineStr">
        <is>
          <t>A 29154-2020</t>
        </is>
      </c>
      <c r="B3263" s="1" t="n">
        <v>44004</v>
      </c>
      <c r="C3263" s="1" t="n">
        <v>45363</v>
      </c>
      <c r="D3263" t="inlineStr">
        <is>
          <t>JÄMTLANDS LÄN</t>
        </is>
      </c>
      <c r="E3263" t="inlineStr">
        <is>
          <t>HÄRJEDALEN</t>
        </is>
      </c>
      <c r="F3263" t="inlineStr">
        <is>
          <t>Sveaskog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29435-2020</t>
        </is>
      </c>
      <c r="B3264" s="1" t="n">
        <v>44004</v>
      </c>
      <c r="C3264" s="1" t="n">
        <v>45363</v>
      </c>
      <c r="D3264" t="inlineStr">
        <is>
          <t>JÄMTLANDS LÄN</t>
        </is>
      </c>
      <c r="E3264" t="inlineStr">
        <is>
          <t>ÖSTERSUND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29489-2020</t>
        </is>
      </c>
      <c r="B3265" s="1" t="n">
        <v>44004</v>
      </c>
      <c r="C3265" s="1" t="n">
        <v>45363</v>
      </c>
      <c r="D3265" t="inlineStr">
        <is>
          <t>JÄMTLANDS LÄN</t>
        </is>
      </c>
      <c r="E3265" t="inlineStr">
        <is>
          <t>BRÄCKE</t>
        </is>
      </c>
      <c r="F3265" t="inlineStr">
        <is>
          <t>SCA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29499-2020</t>
        </is>
      </c>
      <c r="B3266" s="1" t="n">
        <v>44004</v>
      </c>
      <c r="C3266" s="1" t="n">
        <v>45363</v>
      </c>
      <c r="D3266" t="inlineStr">
        <is>
          <t>JÄMTLANDS LÄN</t>
        </is>
      </c>
      <c r="E3266" t="inlineStr">
        <is>
          <t>RAGUNDA</t>
        </is>
      </c>
      <c r="F3266" t="inlineStr">
        <is>
          <t>SCA</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29479-2020</t>
        </is>
      </c>
      <c r="B3267" s="1" t="n">
        <v>44005</v>
      </c>
      <c r="C3267" s="1" t="n">
        <v>45363</v>
      </c>
      <c r="D3267" t="inlineStr">
        <is>
          <t>JÄMTLANDS LÄN</t>
        </is>
      </c>
      <c r="E3267" t="inlineStr">
        <is>
          <t>ÖSTERSUND</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29581-2020</t>
        </is>
      </c>
      <c r="B3268" s="1" t="n">
        <v>44004</v>
      </c>
      <c r="C3268" s="1" t="n">
        <v>45363</v>
      </c>
      <c r="D3268" t="inlineStr">
        <is>
          <t>JÄMTLANDS LÄN</t>
        </is>
      </c>
      <c r="E3268" t="inlineStr">
        <is>
          <t>ÖSTERSUND</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29788-2020</t>
        </is>
      </c>
      <c r="B3269" s="1" t="n">
        <v>44005</v>
      </c>
      <c r="C3269" s="1" t="n">
        <v>45363</v>
      </c>
      <c r="D3269" t="inlineStr">
        <is>
          <t>JÄMTLANDS LÄN</t>
        </is>
      </c>
      <c r="E3269" t="inlineStr">
        <is>
          <t>BERG</t>
        </is>
      </c>
      <c r="F3269" t="inlineStr">
        <is>
          <t>SCA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29863-2020</t>
        </is>
      </c>
      <c r="B3270" s="1" t="n">
        <v>44005</v>
      </c>
      <c r="C3270" s="1" t="n">
        <v>45363</v>
      </c>
      <c r="D3270" t="inlineStr">
        <is>
          <t>JÄMTLANDS LÄN</t>
        </is>
      </c>
      <c r="E3270" t="inlineStr">
        <is>
          <t>BRÄCKE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30110-2020</t>
        </is>
      </c>
      <c r="B3271" s="1" t="n">
        <v>44006</v>
      </c>
      <c r="C3271" s="1" t="n">
        <v>45363</v>
      </c>
      <c r="D3271" t="inlineStr">
        <is>
          <t>JÄMTLANDS LÄN</t>
        </is>
      </c>
      <c r="E3271" t="inlineStr">
        <is>
          <t>RAGUNDA</t>
        </is>
      </c>
      <c r="F3271" t="inlineStr">
        <is>
          <t>SCA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30368-2020</t>
        </is>
      </c>
      <c r="B3272" s="1" t="n">
        <v>44007</v>
      </c>
      <c r="C3272" s="1" t="n">
        <v>45363</v>
      </c>
      <c r="D3272" t="inlineStr">
        <is>
          <t>JÄMTLANDS LÄN</t>
        </is>
      </c>
      <c r="E3272" t="inlineStr">
        <is>
          <t>KROKOM</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30471-2020</t>
        </is>
      </c>
      <c r="B3273" s="1" t="n">
        <v>44007</v>
      </c>
      <c r="C3273" s="1" t="n">
        <v>45363</v>
      </c>
      <c r="D3273" t="inlineStr">
        <is>
          <t>JÄMTLANDS LÄN</t>
        </is>
      </c>
      <c r="E3273" t="inlineStr">
        <is>
          <t>BRÄCKE</t>
        </is>
      </c>
      <c r="F3273" t="inlineStr">
        <is>
          <t>SCA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30477-2020</t>
        </is>
      </c>
      <c r="B3274" s="1" t="n">
        <v>44007</v>
      </c>
      <c r="C3274" s="1" t="n">
        <v>45363</v>
      </c>
      <c r="D3274" t="inlineStr">
        <is>
          <t>JÄMTLANDS LÄN</t>
        </is>
      </c>
      <c r="E3274" t="inlineStr">
        <is>
          <t>BERG</t>
        </is>
      </c>
      <c r="F3274" t="inlineStr">
        <is>
          <t>SCA</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30474-2020</t>
        </is>
      </c>
      <c r="B3275" s="1" t="n">
        <v>44007</v>
      </c>
      <c r="C3275" s="1" t="n">
        <v>45363</v>
      </c>
      <c r="D3275" t="inlineStr">
        <is>
          <t>JÄMTLANDS LÄN</t>
        </is>
      </c>
      <c r="E3275" t="inlineStr">
        <is>
          <t>BRÄCKE</t>
        </is>
      </c>
      <c r="F3275" t="inlineStr">
        <is>
          <t>SCA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30475-2020</t>
        </is>
      </c>
      <c r="B3276" s="1" t="n">
        <v>44007</v>
      </c>
      <c r="C3276" s="1" t="n">
        <v>45363</v>
      </c>
      <c r="D3276" t="inlineStr">
        <is>
          <t>JÄMTLANDS LÄN</t>
        </is>
      </c>
      <c r="E3276" t="inlineStr">
        <is>
          <t>BRÄCKE</t>
        </is>
      </c>
      <c r="F3276" t="inlineStr">
        <is>
          <t>SCA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30472-2020</t>
        </is>
      </c>
      <c r="B3277" s="1" t="n">
        <v>44007</v>
      </c>
      <c r="C3277" s="1" t="n">
        <v>45363</v>
      </c>
      <c r="D3277" t="inlineStr">
        <is>
          <t>JÄMTLANDS LÄN</t>
        </is>
      </c>
      <c r="E3277" t="inlineStr">
        <is>
          <t>BRÄCKE</t>
        </is>
      </c>
      <c r="F3277" t="inlineStr">
        <is>
          <t>SCA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30676-2020</t>
        </is>
      </c>
      <c r="B3278" s="1" t="n">
        <v>44008</v>
      </c>
      <c r="C3278" s="1" t="n">
        <v>45363</v>
      </c>
      <c r="D3278" t="inlineStr">
        <is>
          <t>JÄMTLANDS LÄN</t>
        </is>
      </c>
      <c r="E3278" t="inlineStr">
        <is>
          <t>ÖSTERSUND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30804-2020</t>
        </is>
      </c>
      <c r="B3279" s="1" t="n">
        <v>44010</v>
      </c>
      <c r="C3279" s="1" t="n">
        <v>45363</v>
      </c>
      <c r="D3279" t="inlineStr">
        <is>
          <t>JÄMTLANDS LÄN</t>
        </is>
      </c>
      <c r="E3279" t="inlineStr">
        <is>
          <t>STRÖMSUND</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30963-2020</t>
        </is>
      </c>
      <c r="B3280" s="1" t="n">
        <v>44011</v>
      </c>
      <c r="C3280" s="1" t="n">
        <v>45363</v>
      </c>
      <c r="D3280" t="inlineStr">
        <is>
          <t>JÄMTLANDS LÄN</t>
        </is>
      </c>
      <c r="E3280" t="inlineStr">
        <is>
          <t>HÄRJEDALEN</t>
        </is>
      </c>
      <c r="F3280" t="inlineStr">
        <is>
          <t>Sveaskog</t>
        </is>
      </c>
      <c r="G3280" t="n">
        <v>11.6</v>
      </c>
      <c r="H3280" t="n">
        <v>0</v>
      </c>
      <c r="I3280" t="n">
        <v>0</v>
      </c>
      <c r="J3280" t="n">
        <v>0</v>
      </c>
      <c r="K3280" t="n">
        <v>0</v>
      </c>
      <c r="L3280" t="n">
        <v>0</v>
      </c>
      <c r="M3280" t="n">
        <v>0</v>
      </c>
      <c r="N3280" t="n">
        <v>0</v>
      </c>
      <c r="O3280" t="n">
        <v>0</v>
      </c>
      <c r="P3280" t="n">
        <v>0</v>
      </c>
      <c r="Q3280" t="n">
        <v>0</v>
      </c>
      <c r="R3280" s="2" t="inlineStr"/>
    </row>
    <row r="3281" ht="15" customHeight="1">
      <c r="A3281" t="inlineStr">
        <is>
          <t>A 30936-2020</t>
        </is>
      </c>
      <c r="B3281" s="1" t="n">
        <v>44011</v>
      </c>
      <c r="C3281" s="1" t="n">
        <v>45363</v>
      </c>
      <c r="D3281" t="inlineStr">
        <is>
          <t>JÄMTLANDS LÄN</t>
        </is>
      </c>
      <c r="E3281" t="inlineStr">
        <is>
          <t>HÄRJEDALEN</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31043-2020</t>
        </is>
      </c>
      <c r="B3282" s="1" t="n">
        <v>44011</v>
      </c>
      <c r="C3282" s="1" t="n">
        <v>45363</v>
      </c>
      <c r="D3282" t="inlineStr">
        <is>
          <t>JÄMTLANDS LÄN</t>
        </is>
      </c>
      <c r="E3282" t="inlineStr">
        <is>
          <t>RAGUNDA</t>
        </is>
      </c>
      <c r="F3282" t="inlineStr">
        <is>
          <t>SCA</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30940-2020</t>
        </is>
      </c>
      <c r="B3283" s="1" t="n">
        <v>44011</v>
      </c>
      <c r="C3283" s="1" t="n">
        <v>45363</v>
      </c>
      <c r="D3283" t="inlineStr">
        <is>
          <t>JÄMTLANDS LÄN</t>
        </is>
      </c>
      <c r="E3283" t="inlineStr">
        <is>
          <t>HÄRJEDALEN</t>
        </is>
      </c>
      <c r="F3283" t="inlineStr">
        <is>
          <t>Sveaskog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30981-2020</t>
        </is>
      </c>
      <c r="B3284" s="1" t="n">
        <v>44011</v>
      </c>
      <c r="C3284" s="1" t="n">
        <v>45363</v>
      </c>
      <c r="D3284" t="inlineStr">
        <is>
          <t>JÄMTLANDS LÄN</t>
        </is>
      </c>
      <c r="E3284" t="inlineStr">
        <is>
          <t>STRÖMSUND</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31021-2020</t>
        </is>
      </c>
      <c r="B3285" s="1" t="n">
        <v>44011</v>
      </c>
      <c r="C3285" s="1" t="n">
        <v>45363</v>
      </c>
      <c r="D3285" t="inlineStr">
        <is>
          <t>JÄMTLANDS LÄN</t>
        </is>
      </c>
      <c r="E3285" t="inlineStr">
        <is>
          <t>BRÄCKE</t>
        </is>
      </c>
      <c r="F3285" t="inlineStr">
        <is>
          <t>SCA</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31077-2020</t>
        </is>
      </c>
      <c r="B3286" s="1" t="n">
        <v>44011</v>
      </c>
      <c r="C3286" s="1" t="n">
        <v>45363</v>
      </c>
      <c r="D3286" t="inlineStr">
        <is>
          <t>JÄMTLANDS LÄN</t>
        </is>
      </c>
      <c r="E3286" t="inlineStr">
        <is>
          <t>STRÖMSUND</t>
        </is>
      </c>
      <c r="F3286" t="inlineStr">
        <is>
          <t>SCA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31264-2020</t>
        </is>
      </c>
      <c r="B3287" s="1" t="n">
        <v>44012</v>
      </c>
      <c r="C3287" s="1" t="n">
        <v>45363</v>
      </c>
      <c r="D3287" t="inlineStr">
        <is>
          <t>JÄMTLANDS LÄN</t>
        </is>
      </c>
      <c r="E3287" t="inlineStr">
        <is>
          <t>HÄRJEDALEN</t>
        </is>
      </c>
      <c r="F3287" t="inlineStr">
        <is>
          <t>Bergvik skog väst AB</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31448-2020</t>
        </is>
      </c>
      <c r="B3288" s="1" t="n">
        <v>44012</v>
      </c>
      <c r="C3288" s="1" t="n">
        <v>45363</v>
      </c>
      <c r="D3288" t="inlineStr">
        <is>
          <t>JÄMTLANDS LÄN</t>
        </is>
      </c>
      <c r="E3288" t="inlineStr">
        <is>
          <t>BRÄCKE</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31337-2020</t>
        </is>
      </c>
      <c r="B3289" s="1" t="n">
        <v>44012</v>
      </c>
      <c r="C3289" s="1" t="n">
        <v>45363</v>
      </c>
      <c r="D3289" t="inlineStr">
        <is>
          <t>JÄMTLANDS LÄN</t>
        </is>
      </c>
      <c r="E3289" t="inlineStr">
        <is>
          <t>STRÖMSUND</t>
        </is>
      </c>
      <c r="F3289" t="inlineStr">
        <is>
          <t>SCA</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31421-2020</t>
        </is>
      </c>
      <c r="B3290" s="1" t="n">
        <v>44013</v>
      </c>
      <c r="C3290" s="1" t="n">
        <v>45363</v>
      </c>
      <c r="D3290" t="inlineStr">
        <is>
          <t>JÄMTLANDS LÄN</t>
        </is>
      </c>
      <c r="E3290" t="inlineStr">
        <is>
          <t>KROKOM</t>
        </is>
      </c>
      <c r="G3290" t="n">
        <v>14.1</v>
      </c>
      <c r="H3290" t="n">
        <v>0</v>
      </c>
      <c r="I3290" t="n">
        <v>0</v>
      </c>
      <c r="J3290" t="n">
        <v>0</v>
      </c>
      <c r="K3290" t="n">
        <v>0</v>
      </c>
      <c r="L3290" t="n">
        <v>0</v>
      </c>
      <c r="M3290" t="n">
        <v>0</v>
      </c>
      <c r="N3290" t="n">
        <v>0</v>
      </c>
      <c r="O3290" t="n">
        <v>0</v>
      </c>
      <c r="P3290" t="n">
        <v>0</v>
      </c>
      <c r="Q3290" t="n">
        <v>0</v>
      </c>
      <c r="R3290" s="2" t="inlineStr"/>
    </row>
    <row r="3291" ht="15" customHeight="1">
      <c r="A3291" t="inlineStr">
        <is>
          <t>A 31447-2020</t>
        </is>
      </c>
      <c r="B3291" s="1" t="n">
        <v>44013</v>
      </c>
      <c r="C3291" s="1" t="n">
        <v>45363</v>
      </c>
      <c r="D3291" t="inlineStr">
        <is>
          <t>JÄMTLANDS LÄN</t>
        </is>
      </c>
      <c r="E3291" t="inlineStr">
        <is>
          <t>STRÖMSUND</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31465-2020</t>
        </is>
      </c>
      <c r="B3292" s="1" t="n">
        <v>44013</v>
      </c>
      <c r="C3292" s="1" t="n">
        <v>45363</v>
      </c>
      <c r="D3292" t="inlineStr">
        <is>
          <t>JÄMTLANDS LÄN</t>
        </is>
      </c>
      <c r="E3292" t="inlineStr">
        <is>
          <t>STRÖMSUND</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31649-2020</t>
        </is>
      </c>
      <c r="B3293" s="1" t="n">
        <v>44013</v>
      </c>
      <c r="C3293" s="1" t="n">
        <v>45363</v>
      </c>
      <c r="D3293" t="inlineStr">
        <is>
          <t>JÄMTLANDS LÄN</t>
        </is>
      </c>
      <c r="E3293" t="inlineStr">
        <is>
          <t>RAGUNDA</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31663-2020</t>
        </is>
      </c>
      <c r="B3294" s="1" t="n">
        <v>44013</v>
      </c>
      <c r="C3294" s="1" t="n">
        <v>45363</v>
      </c>
      <c r="D3294" t="inlineStr">
        <is>
          <t>JÄMTLANDS LÄN</t>
        </is>
      </c>
      <c r="E3294" t="inlineStr">
        <is>
          <t>STRÖMSUND</t>
        </is>
      </c>
      <c r="F3294" t="inlineStr">
        <is>
          <t>SCA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31634-2020</t>
        </is>
      </c>
      <c r="B3295" s="1" t="n">
        <v>44013</v>
      </c>
      <c r="C3295" s="1" t="n">
        <v>45363</v>
      </c>
      <c r="D3295" t="inlineStr">
        <is>
          <t>JÄMTLANDS LÄN</t>
        </is>
      </c>
      <c r="E3295" t="inlineStr">
        <is>
          <t>STRÖMSUND</t>
        </is>
      </c>
      <c r="F3295" t="inlineStr">
        <is>
          <t>SCA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31651-2020</t>
        </is>
      </c>
      <c r="B3296" s="1" t="n">
        <v>44013</v>
      </c>
      <c r="C3296" s="1" t="n">
        <v>45363</v>
      </c>
      <c r="D3296" t="inlineStr">
        <is>
          <t>JÄMTLANDS LÄN</t>
        </is>
      </c>
      <c r="E3296" t="inlineStr">
        <is>
          <t>RAGUNDA</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31602-2020</t>
        </is>
      </c>
      <c r="B3297" s="1" t="n">
        <v>44013</v>
      </c>
      <c r="C3297" s="1" t="n">
        <v>45363</v>
      </c>
      <c r="D3297" t="inlineStr">
        <is>
          <t>JÄMTLANDS LÄN</t>
        </is>
      </c>
      <c r="E3297" t="inlineStr">
        <is>
          <t>BRÄCKE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31658-2020</t>
        </is>
      </c>
      <c r="B3298" s="1" t="n">
        <v>44013</v>
      </c>
      <c r="C3298" s="1" t="n">
        <v>45363</v>
      </c>
      <c r="D3298" t="inlineStr">
        <is>
          <t>JÄMTLANDS LÄN</t>
        </is>
      </c>
      <c r="E3298" t="inlineStr">
        <is>
          <t>STRÖMSUND</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31652-2020</t>
        </is>
      </c>
      <c r="B3299" s="1" t="n">
        <v>44013</v>
      </c>
      <c r="C3299" s="1" t="n">
        <v>45363</v>
      </c>
      <c r="D3299" t="inlineStr">
        <is>
          <t>JÄMTLANDS LÄN</t>
        </is>
      </c>
      <c r="E3299" t="inlineStr">
        <is>
          <t>RAGUNDA</t>
        </is>
      </c>
      <c r="F3299" t="inlineStr">
        <is>
          <t>SCA</t>
        </is>
      </c>
      <c r="G3299" t="n">
        <v>22.1</v>
      </c>
      <c r="H3299" t="n">
        <v>0</v>
      </c>
      <c r="I3299" t="n">
        <v>0</v>
      </c>
      <c r="J3299" t="n">
        <v>0</v>
      </c>
      <c r="K3299" t="n">
        <v>0</v>
      </c>
      <c r="L3299" t="n">
        <v>0</v>
      </c>
      <c r="M3299" t="n">
        <v>0</v>
      </c>
      <c r="N3299" t="n">
        <v>0</v>
      </c>
      <c r="O3299" t="n">
        <v>0</v>
      </c>
      <c r="P3299" t="n">
        <v>0</v>
      </c>
      <c r="Q3299" t="n">
        <v>0</v>
      </c>
      <c r="R3299" s="2" t="inlineStr"/>
    </row>
    <row r="3300" ht="15" customHeight="1">
      <c r="A3300" t="inlineStr">
        <is>
          <t>A 31872-2020</t>
        </is>
      </c>
      <c r="B3300" s="1" t="n">
        <v>44014</v>
      </c>
      <c r="C3300" s="1" t="n">
        <v>45363</v>
      </c>
      <c r="D3300" t="inlineStr">
        <is>
          <t>JÄMTLANDS LÄN</t>
        </is>
      </c>
      <c r="E3300" t="inlineStr">
        <is>
          <t>HÄRJEDALEN</t>
        </is>
      </c>
      <c r="G3300" t="n">
        <v>21.4</v>
      </c>
      <c r="H3300" t="n">
        <v>0</v>
      </c>
      <c r="I3300" t="n">
        <v>0</v>
      </c>
      <c r="J3300" t="n">
        <v>0</v>
      </c>
      <c r="K3300" t="n">
        <v>0</v>
      </c>
      <c r="L3300" t="n">
        <v>0</v>
      </c>
      <c r="M3300" t="n">
        <v>0</v>
      </c>
      <c r="N3300" t="n">
        <v>0</v>
      </c>
      <c r="O3300" t="n">
        <v>0</v>
      </c>
      <c r="P3300" t="n">
        <v>0</v>
      </c>
      <c r="Q3300" t="n">
        <v>0</v>
      </c>
      <c r="R3300" s="2" t="inlineStr"/>
    </row>
    <row r="3301" ht="15" customHeight="1">
      <c r="A3301" t="inlineStr">
        <is>
          <t>A 31970-2020</t>
        </is>
      </c>
      <c r="B3301" s="1" t="n">
        <v>44015</v>
      </c>
      <c r="C3301" s="1" t="n">
        <v>45363</v>
      </c>
      <c r="D3301" t="inlineStr">
        <is>
          <t>JÄMTLANDS LÄN</t>
        </is>
      </c>
      <c r="E3301" t="inlineStr">
        <is>
          <t>BERG</t>
        </is>
      </c>
      <c r="F3301" t="inlineStr">
        <is>
          <t>SCA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31990-2020</t>
        </is>
      </c>
      <c r="B3302" s="1" t="n">
        <v>44014</v>
      </c>
      <c r="C3302" s="1" t="n">
        <v>45363</v>
      </c>
      <c r="D3302" t="inlineStr">
        <is>
          <t>JÄMTLANDS LÄN</t>
        </is>
      </c>
      <c r="E3302" t="inlineStr">
        <is>
          <t>STRÖMSUND</t>
        </is>
      </c>
      <c r="F3302" t="inlineStr">
        <is>
          <t>SCA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31991-2020</t>
        </is>
      </c>
      <c r="B3303" s="1" t="n">
        <v>44014</v>
      </c>
      <c r="C3303" s="1" t="n">
        <v>45363</v>
      </c>
      <c r="D3303" t="inlineStr">
        <is>
          <t>JÄMTLANDS LÄN</t>
        </is>
      </c>
      <c r="E3303" t="inlineStr">
        <is>
          <t>STRÖMSUND</t>
        </is>
      </c>
      <c r="F3303" t="inlineStr">
        <is>
          <t>SCA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31920-2020</t>
        </is>
      </c>
      <c r="B3304" s="1" t="n">
        <v>44014</v>
      </c>
      <c r="C3304" s="1" t="n">
        <v>45363</v>
      </c>
      <c r="D3304" t="inlineStr">
        <is>
          <t>JÄMTLANDS LÄN</t>
        </is>
      </c>
      <c r="E3304" t="inlineStr">
        <is>
          <t>HÄRJEDALEN</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32315-2020</t>
        </is>
      </c>
      <c r="B3305" s="1" t="n">
        <v>44015</v>
      </c>
      <c r="C3305" s="1" t="n">
        <v>45363</v>
      </c>
      <c r="D3305" t="inlineStr">
        <is>
          <t>JÄMTLANDS LÄN</t>
        </is>
      </c>
      <c r="E3305" t="inlineStr">
        <is>
          <t>STRÖMSUND</t>
        </is>
      </c>
      <c r="F3305" t="inlineStr">
        <is>
          <t>SCA</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32307-2020</t>
        </is>
      </c>
      <c r="B3306" s="1" t="n">
        <v>44015</v>
      </c>
      <c r="C3306" s="1" t="n">
        <v>45363</v>
      </c>
      <c r="D3306" t="inlineStr">
        <is>
          <t>JÄMTLANDS LÄN</t>
        </is>
      </c>
      <c r="E3306" t="inlineStr">
        <is>
          <t>STRÖMSUND</t>
        </is>
      </c>
      <c r="F3306" t="inlineStr">
        <is>
          <t>SCA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32272-2020</t>
        </is>
      </c>
      <c r="B3307" s="1" t="n">
        <v>44015</v>
      </c>
      <c r="C3307" s="1" t="n">
        <v>45363</v>
      </c>
      <c r="D3307" t="inlineStr">
        <is>
          <t>JÄMTLANDS LÄN</t>
        </is>
      </c>
      <c r="E3307" t="inlineStr">
        <is>
          <t>BRÄCKE</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32316-2020</t>
        </is>
      </c>
      <c r="B3308" s="1" t="n">
        <v>44015</v>
      </c>
      <c r="C3308" s="1" t="n">
        <v>45363</v>
      </c>
      <c r="D3308" t="inlineStr">
        <is>
          <t>JÄMTLANDS LÄN</t>
        </is>
      </c>
      <c r="E3308" t="inlineStr">
        <is>
          <t>STRÖMSUND</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32326-2020</t>
        </is>
      </c>
      <c r="B3309" s="1" t="n">
        <v>44015</v>
      </c>
      <c r="C3309" s="1" t="n">
        <v>45363</v>
      </c>
      <c r="D3309" t="inlineStr">
        <is>
          <t>JÄMTLANDS LÄN</t>
        </is>
      </c>
      <c r="E3309" t="inlineStr">
        <is>
          <t>STRÖMSUND</t>
        </is>
      </c>
      <c r="F3309" t="inlineStr">
        <is>
          <t>SCA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32084-2020</t>
        </is>
      </c>
      <c r="B3310" s="1" t="n">
        <v>44015</v>
      </c>
      <c r="C3310" s="1" t="n">
        <v>45363</v>
      </c>
      <c r="D3310" t="inlineStr">
        <is>
          <t>JÄMTLANDS LÄN</t>
        </is>
      </c>
      <c r="E3310" t="inlineStr">
        <is>
          <t>KROKOM</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32199-2020</t>
        </is>
      </c>
      <c r="B3311" s="1" t="n">
        <v>44015</v>
      </c>
      <c r="C3311" s="1" t="n">
        <v>45363</v>
      </c>
      <c r="D3311" t="inlineStr">
        <is>
          <t>JÄMTLANDS LÄN</t>
        </is>
      </c>
      <c r="E3311" t="inlineStr">
        <is>
          <t>STRÖMSUND</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32710-2020</t>
        </is>
      </c>
      <c r="B3312" s="1" t="n">
        <v>44018</v>
      </c>
      <c r="C3312" s="1" t="n">
        <v>45363</v>
      </c>
      <c r="D3312" t="inlineStr">
        <is>
          <t>JÄMTLANDS LÄN</t>
        </is>
      </c>
      <c r="E3312" t="inlineStr">
        <is>
          <t>BRÄCKE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32780-2020</t>
        </is>
      </c>
      <c r="B3313" s="1" t="n">
        <v>44019</v>
      </c>
      <c r="C3313" s="1" t="n">
        <v>45363</v>
      </c>
      <c r="D3313" t="inlineStr">
        <is>
          <t>JÄMTLANDS LÄN</t>
        </is>
      </c>
      <c r="E3313" t="inlineStr">
        <is>
          <t>RAGUNDA</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32783-2020</t>
        </is>
      </c>
      <c r="B3314" s="1" t="n">
        <v>44019</v>
      </c>
      <c r="C3314" s="1" t="n">
        <v>45363</v>
      </c>
      <c r="D3314" t="inlineStr">
        <is>
          <t>JÄMTLANDS LÄN</t>
        </is>
      </c>
      <c r="E3314" t="inlineStr">
        <is>
          <t>STRÖMSUND</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33135-2020</t>
        </is>
      </c>
      <c r="B3315" s="1" t="n">
        <v>44019</v>
      </c>
      <c r="C3315" s="1" t="n">
        <v>45363</v>
      </c>
      <c r="D3315" t="inlineStr">
        <is>
          <t>JÄMTLANDS LÄN</t>
        </is>
      </c>
      <c r="E3315" t="inlineStr">
        <is>
          <t>STRÖMSUND</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32763-2020</t>
        </is>
      </c>
      <c r="B3316" s="1" t="n">
        <v>44019</v>
      </c>
      <c r="C3316" s="1" t="n">
        <v>45363</v>
      </c>
      <c r="D3316" t="inlineStr">
        <is>
          <t>JÄMTLANDS LÄN</t>
        </is>
      </c>
      <c r="E3316" t="inlineStr">
        <is>
          <t>STRÖMSUND</t>
        </is>
      </c>
      <c r="F3316" t="inlineStr">
        <is>
          <t>SCA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32744-2020</t>
        </is>
      </c>
      <c r="B3317" s="1" t="n">
        <v>44019</v>
      </c>
      <c r="C3317" s="1" t="n">
        <v>45363</v>
      </c>
      <c r="D3317" t="inlineStr">
        <is>
          <t>JÄMTLANDS LÄN</t>
        </is>
      </c>
      <c r="E3317" t="inlineStr">
        <is>
          <t>BERG</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33006-2020</t>
        </is>
      </c>
      <c r="B3318" s="1" t="n">
        <v>44020</v>
      </c>
      <c r="C3318" s="1" t="n">
        <v>45363</v>
      </c>
      <c r="D3318" t="inlineStr">
        <is>
          <t>JÄMTLANDS LÄN</t>
        </is>
      </c>
      <c r="E3318" t="inlineStr">
        <is>
          <t>STRÖMSUND</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33017-2020</t>
        </is>
      </c>
      <c r="B3319" s="1" t="n">
        <v>44020</v>
      </c>
      <c r="C3319" s="1" t="n">
        <v>45363</v>
      </c>
      <c r="D3319" t="inlineStr">
        <is>
          <t>JÄMTLANDS LÄN</t>
        </is>
      </c>
      <c r="E3319" t="inlineStr">
        <is>
          <t>STRÖMSUND</t>
        </is>
      </c>
      <c r="F3319" t="inlineStr">
        <is>
          <t>Sveaskog</t>
        </is>
      </c>
      <c r="G3319" t="n">
        <v>20.8</v>
      </c>
      <c r="H3319" t="n">
        <v>0</v>
      </c>
      <c r="I3319" t="n">
        <v>0</v>
      </c>
      <c r="J3319" t="n">
        <v>0</v>
      </c>
      <c r="K3319" t="n">
        <v>0</v>
      </c>
      <c r="L3319" t="n">
        <v>0</v>
      </c>
      <c r="M3319" t="n">
        <v>0</v>
      </c>
      <c r="N3319" t="n">
        <v>0</v>
      </c>
      <c r="O3319" t="n">
        <v>0</v>
      </c>
      <c r="P3319" t="n">
        <v>0</v>
      </c>
      <c r="Q3319" t="n">
        <v>0</v>
      </c>
      <c r="R3319" s="2" t="inlineStr"/>
    </row>
    <row r="3320" ht="15" customHeight="1">
      <c r="A3320" t="inlineStr">
        <is>
          <t>A 33007-2020</t>
        </is>
      </c>
      <c r="B3320" s="1" t="n">
        <v>44020</v>
      </c>
      <c r="C3320" s="1" t="n">
        <v>45363</v>
      </c>
      <c r="D3320" t="inlineStr">
        <is>
          <t>JÄMTLANDS LÄN</t>
        </is>
      </c>
      <c r="E3320" t="inlineStr">
        <is>
          <t>STRÖMSUND</t>
        </is>
      </c>
      <c r="F3320" t="inlineStr">
        <is>
          <t>SCA</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33020-2020</t>
        </is>
      </c>
      <c r="B3321" s="1" t="n">
        <v>44021</v>
      </c>
      <c r="C3321" s="1" t="n">
        <v>45363</v>
      </c>
      <c r="D3321" t="inlineStr">
        <is>
          <t>JÄMTLANDS LÄN</t>
        </is>
      </c>
      <c r="E3321" t="inlineStr">
        <is>
          <t>HÄRJEDALEN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33205-2020</t>
        </is>
      </c>
      <c r="B3322" s="1" t="n">
        <v>44021</v>
      </c>
      <c r="C3322" s="1" t="n">
        <v>45363</v>
      </c>
      <c r="D3322" t="inlineStr">
        <is>
          <t>JÄMTLANDS LÄN</t>
        </is>
      </c>
      <c r="E3322" t="inlineStr">
        <is>
          <t>STRÖMSUND</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33207-2020</t>
        </is>
      </c>
      <c r="B3323" s="1" t="n">
        <v>44021</v>
      </c>
      <c r="C3323" s="1" t="n">
        <v>45363</v>
      </c>
      <c r="D3323" t="inlineStr">
        <is>
          <t>JÄMTLANDS LÄN</t>
        </is>
      </c>
      <c r="E3323" t="inlineStr">
        <is>
          <t>STRÖMSUND</t>
        </is>
      </c>
      <c r="F3323" t="inlineStr">
        <is>
          <t>SCA</t>
        </is>
      </c>
      <c r="G3323" t="n">
        <v>7.2</v>
      </c>
      <c r="H3323" t="n">
        <v>0</v>
      </c>
      <c r="I3323" t="n">
        <v>0</v>
      </c>
      <c r="J3323" t="n">
        <v>0</v>
      </c>
      <c r="K3323" t="n">
        <v>0</v>
      </c>
      <c r="L3323" t="n">
        <v>0</v>
      </c>
      <c r="M3323" t="n">
        <v>0</v>
      </c>
      <c r="N3323" t="n">
        <v>0</v>
      </c>
      <c r="O3323" t="n">
        <v>0</v>
      </c>
      <c r="P3323" t="n">
        <v>0</v>
      </c>
      <c r="Q3323" t="n">
        <v>0</v>
      </c>
      <c r="R3323" s="2" t="inlineStr"/>
    </row>
    <row r="3324" ht="15" customHeight="1">
      <c r="A3324" t="inlineStr">
        <is>
          <t>A 33198-2020</t>
        </is>
      </c>
      <c r="B3324" s="1" t="n">
        <v>44021</v>
      </c>
      <c r="C3324" s="1" t="n">
        <v>45363</v>
      </c>
      <c r="D3324" t="inlineStr">
        <is>
          <t>JÄMTLANDS LÄN</t>
        </is>
      </c>
      <c r="E3324" t="inlineStr">
        <is>
          <t>BRÄCKE</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33239-2020</t>
        </is>
      </c>
      <c r="B3325" s="1" t="n">
        <v>44022</v>
      </c>
      <c r="C3325" s="1" t="n">
        <v>45363</v>
      </c>
      <c r="D3325" t="inlineStr">
        <is>
          <t>JÄMTLANDS LÄN</t>
        </is>
      </c>
      <c r="E3325" t="inlineStr">
        <is>
          <t>ÅRE</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33460-2020</t>
        </is>
      </c>
      <c r="B3326" s="1" t="n">
        <v>44022</v>
      </c>
      <c r="C3326" s="1" t="n">
        <v>45363</v>
      </c>
      <c r="D3326" t="inlineStr">
        <is>
          <t>JÄMTLANDS LÄN</t>
        </is>
      </c>
      <c r="E3326" t="inlineStr">
        <is>
          <t>STRÖMSUND</t>
        </is>
      </c>
      <c r="F3326" t="inlineStr">
        <is>
          <t>SCA</t>
        </is>
      </c>
      <c r="G3326" t="n">
        <v>10.5</v>
      </c>
      <c r="H3326" t="n">
        <v>0</v>
      </c>
      <c r="I3326" t="n">
        <v>0</v>
      </c>
      <c r="J3326" t="n">
        <v>0</v>
      </c>
      <c r="K3326" t="n">
        <v>0</v>
      </c>
      <c r="L3326" t="n">
        <v>0</v>
      </c>
      <c r="M3326" t="n">
        <v>0</v>
      </c>
      <c r="N3326" t="n">
        <v>0</v>
      </c>
      <c r="O3326" t="n">
        <v>0</v>
      </c>
      <c r="P3326" t="n">
        <v>0</v>
      </c>
      <c r="Q3326" t="n">
        <v>0</v>
      </c>
      <c r="R3326" s="2" t="inlineStr"/>
    </row>
    <row r="3327" ht="15" customHeight="1">
      <c r="A3327" t="inlineStr">
        <is>
          <t>A 33439-2020</t>
        </is>
      </c>
      <c r="B3327" s="1" t="n">
        <v>44022</v>
      </c>
      <c r="C3327" s="1" t="n">
        <v>45363</v>
      </c>
      <c r="D3327" t="inlineStr">
        <is>
          <t>JÄMTLANDS LÄN</t>
        </is>
      </c>
      <c r="E3327" t="inlineStr">
        <is>
          <t>STRÖMSUND</t>
        </is>
      </c>
      <c r="F3327" t="inlineStr">
        <is>
          <t>SCA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33446-2020</t>
        </is>
      </c>
      <c r="B3328" s="1" t="n">
        <v>44022</v>
      </c>
      <c r="C3328" s="1" t="n">
        <v>45363</v>
      </c>
      <c r="D3328" t="inlineStr">
        <is>
          <t>JÄMTLANDS LÄN</t>
        </is>
      </c>
      <c r="E3328" t="inlineStr">
        <is>
          <t>STRÖMSUND</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33530-2020</t>
        </is>
      </c>
      <c r="B3329" s="1" t="n">
        <v>44025</v>
      </c>
      <c r="C3329" s="1" t="n">
        <v>45363</v>
      </c>
      <c r="D3329" t="inlineStr">
        <is>
          <t>JÄMTLANDS LÄN</t>
        </is>
      </c>
      <c r="E3329" t="inlineStr">
        <is>
          <t>ÅRE</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33632-2020</t>
        </is>
      </c>
      <c r="B3330" s="1" t="n">
        <v>44025</v>
      </c>
      <c r="C3330" s="1" t="n">
        <v>45363</v>
      </c>
      <c r="D3330" t="inlineStr">
        <is>
          <t>JÄMTLANDS LÄN</t>
        </is>
      </c>
      <c r="E3330" t="inlineStr">
        <is>
          <t>STRÖMSUND</t>
        </is>
      </c>
      <c r="F3330" t="inlineStr">
        <is>
          <t>SCA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33812-2020</t>
        </is>
      </c>
      <c r="B3331" s="1" t="n">
        <v>44025</v>
      </c>
      <c r="C3331" s="1" t="n">
        <v>45363</v>
      </c>
      <c r="D3331" t="inlineStr">
        <is>
          <t>JÄMTLANDS LÄN</t>
        </is>
      </c>
      <c r="E3331" t="inlineStr">
        <is>
          <t>HÄRJEDALEN</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33513-2020</t>
        </is>
      </c>
      <c r="B3332" s="1" t="n">
        <v>44025</v>
      </c>
      <c r="C3332" s="1" t="n">
        <v>45363</v>
      </c>
      <c r="D3332" t="inlineStr">
        <is>
          <t>JÄMTLANDS LÄN</t>
        </is>
      </c>
      <c r="E3332" t="inlineStr">
        <is>
          <t>HÄRJEDALEN</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33617-2020</t>
        </is>
      </c>
      <c r="B3333" s="1" t="n">
        <v>44025</v>
      </c>
      <c r="C3333" s="1" t="n">
        <v>45363</v>
      </c>
      <c r="D3333" t="inlineStr">
        <is>
          <t>JÄMTLANDS LÄN</t>
        </is>
      </c>
      <c r="E3333" t="inlineStr">
        <is>
          <t>STRÖMSUND</t>
        </is>
      </c>
      <c r="F3333" t="inlineStr">
        <is>
          <t>SCA</t>
        </is>
      </c>
      <c r="G3333" t="n">
        <v>135.3</v>
      </c>
      <c r="H3333" t="n">
        <v>0</v>
      </c>
      <c r="I3333" t="n">
        <v>0</v>
      </c>
      <c r="J3333" t="n">
        <v>0</v>
      </c>
      <c r="K3333" t="n">
        <v>0</v>
      </c>
      <c r="L3333" t="n">
        <v>0</v>
      </c>
      <c r="M3333" t="n">
        <v>0</v>
      </c>
      <c r="N3333" t="n">
        <v>0</v>
      </c>
      <c r="O3333" t="n">
        <v>0</v>
      </c>
      <c r="P3333" t="n">
        <v>0</v>
      </c>
      <c r="Q3333" t="n">
        <v>0</v>
      </c>
      <c r="R3333" s="2" t="inlineStr"/>
    </row>
    <row r="3334" ht="15" customHeight="1">
      <c r="A3334" t="inlineStr">
        <is>
          <t>A 33701-2020</t>
        </is>
      </c>
      <c r="B3334" s="1" t="n">
        <v>44026</v>
      </c>
      <c r="C3334" s="1" t="n">
        <v>45363</v>
      </c>
      <c r="D3334" t="inlineStr">
        <is>
          <t>JÄMTLANDS LÄN</t>
        </is>
      </c>
      <c r="E3334" t="inlineStr">
        <is>
          <t>HÄRJEDALEN</t>
        </is>
      </c>
      <c r="F3334" t="inlineStr">
        <is>
          <t>Bergvik skog väst AB</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33644-2020</t>
        </is>
      </c>
      <c r="B3335" s="1" t="n">
        <v>44026</v>
      </c>
      <c r="C3335" s="1" t="n">
        <v>45363</v>
      </c>
      <c r="D3335" t="inlineStr">
        <is>
          <t>JÄMTLANDS LÄN</t>
        </is>
      </c>
      <c r="E3335" t="inlineStr">
        <is>
          <t>RAGUNDA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33885-2020</t>
        </is>
      </c>
      <c r="B3336" s="1" t="n">
        <v>44027</v>
      </c>
      <c r="C3336" s="1" t="n">
        <v>45363</v>
      </c>
      <c r="D3336" t="inlineStr">
        <is>
          <t>JÄMTLANDS LÄN</t>
        </is>
      </c>
      <c r="E3336" t="inlineStr">
        <is>
          <t>BERG</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33945-2020</t>
        </is>
      </c>
      <c r="B3337" s="1" t="n">
        <v>44027</v>
      </c>
      <c r="C3337" s="1" t="n">
        <v>45363</v>
      </c>
      <c r="D3337" t="inlineStr">
        <is>
          <t>JÄMTLANDS LÄN</t>
        </is>
      </c>
      <c r="E3337" t="inlineStr">
        <is>
          <t>ÖSTERSUND</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33932-2020</t>
        </is>
      </c>
      <c r="B3338" s="1" t="n">
        <v>44027</v>
      </c>
      <c r="C3338" s="1" t="n">
        <v>45363</v>
      </c>
      <c r="D3338" t="inlineStr">
        <is>
          <t>JÄMTLANDS LÄN</t>
        </is>
      </c>
      <c r="E3338" t="inlineStr">
        <is>
          <t>RAGUNDA</t>
        </is>
      </c>
      <c r="F3338" t="inlineStr">
        <is>
          <t>SCA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33942-2020</t>
        </is>
      </c>
      <c r="B3339" s="1" t="n">
        <v>44028</v>
      </c>
      <c r="C3339" s="1" t="n">
        <v>45363</v>
      </c>
      <c r="D3339" t="inlineStr">
        <is>
          <t>JÄMTLANDS LÄN</t>
        </is>
      </c>
      <c r="E3339" t="inlineStr">
        <is>
          <t>HÄRJEDALEN</t>
        </is>
      </c>
      <c r="F3339" t="inlineStr">
        <is>
          <t>SCA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34079-2020</t>
        </is>
      </c>
      <c r="B3340" s="1" t="n">
        <v>44028</v>
      </c>
      <c r="C3340" s="1" t="n">
        <v>45363</v>
      </c>
      <c r="D3340" t="inlineStr">
        <is>
          <t>JÄMTLANDS LÄN</t>
        </is>
      </c>
      <c r="E3340" t="inlineStr">
        <is>
          <t>STRÖMSUND</t>
        </is>
      </c>
      <c r="F3340" t="inlineStr">
        <is>
          <t>SCA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34084-2020</t>
        </is>
      </c>
      <c r="B3341" s="1" t="n">
        <v>44028</v>
      </c>
      <c r="C3341" s="1" t="n">
        <v>45363</v>
      </c>
      <c r="D3341" t="inlineStr">
        <is>
          <t>JÄMTLANDS LÄN</t>
        </is>
      </c>
      <c r="E3341" t="inlineStr">
        <is>
          <t>STRÖMSUND</t>
        </is>
      </c>
      <c r="F3341" t="inlineStr">
        <is>
          <t>SCA</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34080-2020</t>
        </is>
      </c>
      <c r="B3342" s="1" t="n">
        <v>44028</v>
      </c>
      <c r="C3342" s="1" t="n">
        <v>45363</v>
      </c>
      <c r="D3342" t="inlineStr">
        <is>
          <t>JÄMTLANDS LÄN</t>
        </is>
      </c>
      <c r="E3342" t="inlineStr">
        <is>
          <t>STRÖMSUND</t>
        </is>
      </c>
      <c r="F3342" t="inlineStr">
        <is>
          <t>SCA</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33959-2020</t>
        </is>
      </c>
      <c r="B3343" s="1" t="n">
        <v>44028</v>
      </c>
      <c r="C3343" s="1" t="n">
        <v>45363</v>
      </c>
      <c r="D3343" t="inlineStr">
        <is>
          <t>JÄMTLANDS LÄN</t>
        </is>
      </c>
      <c r="E3343" t="inlineStr">
        <is>
          <t>STRÖMSUND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34013-2020</t>
        </is>
      </c>
      <c r="B3344" s="1" t="n">
        <v>44028</v>
      </c>
      <c r="C3344" s="1" t="n">
        <v>45363</v>
      </c>
      <c r="D3344" t="inlineStr">
        <is>
          <t>JÄMTLANDS LÄN</t>
        </is>
      </c>
      <c r="E3344" t="inlineStr">
        <is>
          <t>ÅRE</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34082-2020</t>
        </is>
      </c>
      <c r="B3345" s="1" t="n">
        <v>44028</v>
      </c>
      <c r="C3345" s="1" t="n">
        <v>45363</v>
      </c>
      <c r="D3345" t="inlineStr">
        <is>
          <t>JÄMTLANDS LÄN</t>
        </is>
      </c>
      <c r="E3345" t="inlineStr">
        <is>
          <t>STRÖMSUND</t>
        </is>
      </c>
      <c r="F3345" t="inlineStr">
        <is>
          <t>SCA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34086-2020</t>
        </is>
      </c>
      <c r="B3346" s="1" t="n">
        <v>44028</v>
      </c>
      <c r="C3346" s="1" t="n">
        <v>45363</v>
      </c>
      <c r="D3346" t="inlineStr">
        <is>
          <t>JÄMTLANDS LÄN</t>
        </is>
      </c>
      <c r="E3346" t="inlineStr">
        <is>
          <t>STRÖMSUND</t>
        </is>
      </c>
      <c r="F3346" t="inlineStr">
        <is>
          <t>SCA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34078-2020</t>
        </is>
      </c>
      <c r="B3347" s="1" t="n">
        <v>44028</v>
      </c>
      <c r="C3347" s="1" t="n">
        <v>45363</v>
      </c>
      <c r="D3347" t="inlineStr">
        <is>
          <t>JÄMTLANDS LÄN</t>
        </is>
      </c>
      <c r="E3347" t="inlineStr">
        <is>
          <t>STRÖMSUND</t>
        </is>
      </c>
      <c r="F3347" t="inlineStr">
        <is>
          <t>SCA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34083-2020</t>
        </is>
      </c>
      <c r="B3348" s="1" t="n">
        <v>44028</v>
      </c>
      <c r="C3348" s="1" t="n">
        <v>45363</v>
      </c>
      <c r="D3348" t="inlineStr">
        <is>
          <t>JÄMTLANDS LÄN</t>
        </is>
      </c>
      <c r="E3348" t="inlineStr">
        <is>
          <t>STRÖMSUND</t>
        </is>
      </c>
      <c r="F3348" t="inlineStr">
        <is>
          <t>SCA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34162-2020</t>
        </is>
      </c>
      <c r="B3349" s="1" t="n">
        <v>44029</v>
      </c>
      <c r="C3349" s="1" t="n">
        <v>45363</v>
      </c>
      <c r="D3349" t="inlineStr">
        <is>
          <t>JÄMTLANDS LÄN</t>
        </is>
      </c>
      <c r="E3349" t="inlineStr">
        <is>
          <t>STRÖMSUND</t>
        </is>
      </c>
      <c r="F3349" t="inlineStr">
        <is>
          <t>Sveaskog</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34207-2020</t>
        </is>
      </c>
      <c r="B3350" s="1" t="n">
        <v>44029</v>
      </c>
      <c r="C3350" s="1" t="n">
        <v>45363</v>
      </c>
      <c r="D3350" t="inlineStr">
        <is>
          <t>JÄMTLANDS LÄN</t>
        </is>
      </c>
      <c r="E3350" t="inlineStr">
        <is>
          <t>ÅRE</t>
        </is>
      </c>
      <c r="G3350" t="n">
        <v>10.2</v>
      </c>
      <c r="H3350" t="n">
        <v>0</v>
      </c>
      <c r="I3350" t="n">
        <v>0</v>
      </c>
      <c r="J3350" t="n">
        <v>0</v>
      </c>
      <c r="K3350" t="n">
        <v>0</v>
      </c>
      <c r="L3350" t="n">
        <v>0</v>
      </c>
      <c r="M3350" t="n">
        <v>0</v>
      </c>
      <c r="N3350" t="n">
        <v>0</v>
      </c>
      <c r="O3350" t="n">
        <v>0</v>
      </c>
      <c r="P3350" t="n">
        <v>0</v>
      </c>
      <c r="Q3350" t="n">
        <v>0</v>
      </c>
      <c r="R3350" s="2" t="inlineStr"/>
    </row>
    <row r="3351" ht="15" customHeight="1">
      <c r="A3351" t="inlineStr">
        <is>
          <t>A 34280-2020</t>
        </is>
      </c>
      <c r="B3351" s="1" t="n">
        <v>44029</v>
      </c>
      <c r="C3351" s="1" t="n">
        <v>45363</v>
      </c>
      <c r="D3351" t="inlineStr">
        <is>
          <t>JÄMTLANDS LÄN</t>
        </is>
      </c>
      <c r="E3351" t="inlineStr">
        <is>
          <t>STRÖMSUND</t>
        </is>
      </c>
      <c r="F3351" t="inlineStr">
        <is>
          <t>SCA</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34191-2020</t>
        </is>
      </c>
      <c r="B3352" s="1" t="n">
        <v>44029</v>
      </c>
      <c r="C3352" s="1" t="n">
        <v>45363</v>
      </c>
      <c r="D3352" t="inlineStr">
        <is>
          <t>JÄMTLANDS LÄN</t>
        </is>
      </c>
      <c r="E3352" t="inlineStr">
        <is>
          <t>HÄRJEDALEN</t>
        </is>
      </c>
      <c r="F3352" t="inlineStr">
        <is>
          <t>Holmen skog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34204-2020</t>
        </is>
      </c>
      <c r="B3353" s="1" t="n">
        <v>44029</v>
      </c>
      <c r="C3353" s="1" t="n">
        <v>45363</v>
      </c>
      <c r="D3353" t="inlineStr">
        <is>
          <t>JÄMTLANDS LÄN</t>
        </is>
      </c>
      <c r="E3353" t="inlineStr">
        <is>
          <t>RAGUNDA</t>
        </is>
      </c>
      <c r="G3353" t="n">
        <v>22.5</v>
      </c>
      <c r="H3353" t="n">
        <v>0</v>
      </c>
      <c r="I3353" t="n">
        <v>0</v>
      </c>
      <c r="J3353" t="n">
        <v>0</v>
      </c>
      <c r="K3353" t="n">
        <v>0</v>
      </c>
      <c r="L3353" t="n">
        <v>0</v>
      </c>
      <c r="M3353" t="n">
        <v>0</v>
      </c>
      <c r="N3353" t="n">
        <v>0</v>
      </c>
      <c r="O3353" t="n">
        <v>0</v>
      </c>
      <c r="P3353" t="n">
        <v>0</v>
      </c>
      <c r="Q3353" t="n">
        <v>0</v>
      </c>
      <c r="R3353" s="2" t="inlineStr"/>
    </row>
    <row r="3354" ht="15" customHeight="1">
      <c r="A3354" t="inlineStr">
        <is>
          <t>A 34292-2020</t>
        </is>
      </c>
      <c r="B3354" s="1" t="n">
        <v>44029</v>
      </c>
      <c r="C3354" s="1" t="n">
        <v>45363</v>
      </c>
      <c r="D3354" t="inlineStr">
        <is>
          <t>JÄMTLANDS LÄN</t>
        </is>
      </c>
      <c r="E3354" t="inlineStr">
        <is>
          <t>STRÖMSUND</t>
        </is>
      </c>
      <c r="F3354" t="inlineStr">
        <is>
          <t>SCA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34251-2020</t>
        </is>
      </c>
      <c r="B3355" s="1" t="n">
        <v>44029</v>
      </c>
      <c r="C3355" s="1" t="n">
        <v>45363</v>
      </c>
      <c r="D3355" t="inlineStr">
        <is>
          <t>JÄMTLANDS LÄN</t>
        </is>
      </c>
      <c r="E3355" t="inlineStr">
        <is>
          <t>RAGUNDA</t>
        </is>
      </c>
      <c r="F3355" t="inlineStr">
        <is>
          <t>SCA</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34289-2020</t>
        </is>
      </c>
      <c r="B3356" s="1" t="n">
        <v>44029</v>
      </c>
      <c r="C3356" s="1" t="n">
        <v>45363</v>
      </c>
      <c r="D3356" t="inlineStr">
        <is>
          <t>JÄMTLANDS LÄN</t>
        </is>
      </c>
      <c r="E3356" t="inlineStr">
        <is>
          <t>STRÖMSUND</t>
        </is>
      </c>
      <c r="F3356" t="inlineStr">
        <is>
          <t>SCA</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34469-2020</t>
        </is>
      </c>
      <c r="B3357" s="1" t="n">
        <v>44032</v>
      </c>
      <c r="C3357" s="1" t="n">
        <v>45363</v>
      </c>
      <c r="D3357" t="inlineStr">
        <is>
          <t>JÄMTLANDS LÄN</t>
        </is>
      </c>
      <c r="E3357" t="inlineStr">
        <is>
          <t>KROKOM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34619-2020</t>
        </is>
      </c>
      <c r="B3358" s="1" t="n">
        <v>44033</v>
      </c>
      <c r="C3358" s="1" t="n">
        <v>45363</v>
      </c>
      <c r="D3358" t="inlineStr">
        <is>
          <t>JÄMTLANDS LÄN</t>
        </is>
      </c>
      <c r="E3358" t="inlineStr">
        <is>
          <t>KROKOM</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34529-2020</t>
        </is>
      </c>
      <c r="B3359" s="1" t="n">
        <v>44033</v>
      </c>
      <c r="C3359" s="1" t="n">
        <v>45363</v>
      </c>
      <c r="D3359" t="inlineStr">
        <is>
          <t>JÄMTLANDS LÄN</t>
        </is>
      </c>
      <c r="E3359" t="inlineStr">
        <is>
          <t>ÅRE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34584-2020</t>
        </is>
      </c>
      <c r="B3360" s="1" t="n">
        <v>44033</v>
      </c>
      <c r="C3360" s="1" t="n">
        <v>45363</v>
      </c>
      <c r="D3360" t="inlineStr">
        <is>
          <t>JÄMTLANDS LÄN</t>
        </is>
      </c>
      <c r="E3360" t="inlineStr">
        <is>
          <t>BERG</t>
        </is>
      </c>
      <c r="F3360" t="inlineStr">
        <is>
          <t>SCA</t>
        </is>
      </c>
      <c r="G3360" t="n">
        <v>12.3</v>
      </c>
      <c r="H3360" t="n">
        <v>0</v>
      </c>
      <c r="I3360" t="n">
        <v>0</v>
      </c>
      <c r="J3360" t="n">
        <v>0</v>
      </c>
      <c r="K3360" t="n">
        <v>0</v>
      </c>
      <c r="L3360" t="n">
        <v>0</v>
      </c>
      <c r="M3360" t="n">
        <v>0</v>
      </c>
      <c r="N3360" t="n">
        <v>0</v>
      </c>
      <c r="O3360" t="n">
        <v>0</v>
      </c>
      <c r="P3360" t="n">
        <v>0</v>
      </c>
      <c r="Q3360" t="n">
        <v>0</v>
      </c>
      <c r="R3360" s="2" t="inlineStr"/>
    </row>
    <row r="3361" ht="15" customHeight="1">
      <c r="A3361" t="inlineStr">
        <is>
          <t>A 34581-2020</t>
        </is>
      </c>
      <c r="B3361" s="1" t="n">
        <v>44033</v>
      </c>
      <c r="C3361" s="1" t="n">
        <v>45363</v>
      </c>
      <c r="D3361" t="inlineStr">
        <is>
          <t>JÄMTLANDS LÄN</t>
        </is>
      </c>
      <c r="E3361" t="inlineStr">
        <is>
          <t>BERG</t>
        </is>
      </c>
      <c r="F3361" t="inlineStr">
        <is>
          <t>SCA</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34678-2020</t>
        </is>
      </c>
      <c r="B3362" s="1" t="n">
        <v>44033</v>
      </c>
      <c r="C3362" s="1" t="n">
        <v>45363</v>
      </c>
      <c r="D3362" t="inlineStr">
        <is>
          <t>JÄMTLANDS LÄN</t>
        </is>
      </c>
      <c r="E3362" t="inlineStr">
        <is>
          <t>ÅRE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34640-2020</t>
        </is>
      </c>
      <c r="B3363" s="1" t="n">
        <v>44034</v>
      </c>
      <c r="C3363" s="1" t="n">
        <v>45363</v>
      </c>
      <c r="D3363" t="inlineStr">
        <is>
          <t>JÄMTLANDS LÄN</t>
        </is>
      </c>
      <c r="E3363" t="inlineStr">
        <is>
          <t>ÅRE</t>
        </is>
      </c>
      <c r="G3363" t="n">
        <v>9.4</v>
      </c>
      <c r="H3363" t="n">
        <v>0</v>
      </c>
      <c r="I3363" t="n">
        <v>0</v>
      </c>
      <c r="J3363" t="n">
        <v>0</v>
      </c>
      <c r="K3363" t="n">
        <v>0</v>
      </c>
      <c r="L3363" t="n">
        <v>0</v>
      </c>
      <c r="M3363" t="n">
        <v>0</v>
      </c>
      <c r="N3363" t="n">
        <v>0</v>
      </c>
      <c r="O3363" t="n">
        <v>0</v>
      </c>
      <c r="P3363" t="n">
        <v>0</v>
      </c>
      <c r="Q3363" t="n">
        <v>0</v>
      </c>
      <c r="R3363" s="2" t="inlineStr"/>
    </row>
    <row r="3364" ht="15" customHeight="1">
      <c r="A3364" t="inlineStr">
        <is>
          <t>A 34660-2020</t>
        </is>
      </c>
      <c r="B3364" s="1" t="n">
        <v>44034</v>
      </c>
      <c r="C3364" s="1" t="n">
        <v>45363</v>
      </c>
      <c r="D3364" t="inlineStr">
        <is>
          <t>JÄMTLANDS LÄN</t>
        </is>
      </c>
      <c r="E3364" t="inlineStr">
        <is>
          <t>BRÄCKE</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34659-2020</t>
        </is>
      </c>
      <c r="B3365" s="1" t="n">
        <v>44034</v>
      </c>
      <c r="C3365" s="1" t="n">
        <v>45363</v>
      </c>
      <c r="D3365" t="inlineStr">
        <is>
          <t>JÄMTLANDS LÄN</t>
        </is>
      </c>
      <c r="E3365" t="inlineStr">
        <is>
          <t>BRÄCKE</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34658-2020</t>
        </is>
      </c>
      <c r="B3366" s="1" t="n">
        <v>44034</v>
      </c>
      <c r="C3366" s="1" t="n">
        <v>45363</v>
      </c>
      <c r="D3366" t="inlineStr">
        <is>
          <t>JÄMTLANDS LÄN</t>
        </is>
      </c>
      <c r="E3366" t="inlineStr">
        <is>
          <t>STRÖMSUND</t>
        </is>
      </c>
      <c r="F3366" t="inlineStr">
        <is>
          <t>SCA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34703-2020</t>
        </is>
      </c>
      <c r="B3367" s="1" t="n">
        <v>44035</v>
      </c>
      <c r="C3367" s="1" t="n">
        <v>45363</v>
      </c>
      <c r="D3367" t="inlineStr">
        <is>
          <t>JÄMTLANDS LÄN</t>
        </is>
      </c>
      <c r="E3367" t="inlineStr">
        <is>
          <t>ÖSTERSUND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34738-2020</t>
        </is>
      </c>
      <c r="B3368" s="1" t="n">
        <v>44035</v>
      </c>
      <c r="C3368" s="1" t="n">
        <v>45363</v>
      </c>
      <c r="D3368" t="inlineStr">
        <is>
          <t>JÄMTLANDS LÄN</t>
        </is>
      </c>
      <c r="E3368" t="inlineStr">
        <is>
          <t>BERG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34796-2020</t>
        </is>
      </c>
      <c r="B3369" s="1" t="n">
        <v>44035</v>
      </c>
      <c r="C3369" s="1" t="n">
        <v>45363</v>
      </c>
      <c r="D3369" t="inlineStr">
        <is>
          <t>JÄMTLANDS LÄN</t>
        </is>
      </c>
      <c r="E3369" t="inlineStr">
        <is>
          <t>STRÖMSUND</t>
        </is>
      </c>
      <c r="F3369" t="inlineStr">
        <is>
          <t>SCA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34804-2020</t>
        </is>
      </c>
      <c r="B3370" s="1" t="n">
        <v>44036</v>
      </c>
      <c r="C3370" s="1" t="n">
        <v>45363</v>
      </c>
      <c r="D3370" t="inlineStr">
        <is>
          <t>JÄMTLANDS LÄN</t>
        </is>
      </c>
      <c r="E3370" t="inlineStr">
        <is>
          <t>BERG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34894-2020</t>
        </is>
      </c>
      <c r="B3371" s="1" t="n">
        <v>44036</v>
      </c>
      <c r="C3371" s="1" t="n">
        <v>45363</v>
      </c>
      <c r="D3371" t="inlineStr">
        <is>
          <t>JÄMTLANDS LÄN</t>
        </is>
      </c>
      <c r="E3371" t="inlineStr">
        <is>
          <t>HÄRJEDALEN</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34855-2020</t>
        </is>
      </c>
      <c r="B3372" s="1" t="n">
        <v>44036</v>
      </c>
      <c r="C3372" s="1" t="n">
        <v>45363</v>
      </c>
      <c r="D3372" t="inlineStr">
        <is>
          <t>JÄMTLANDS LÄN</t>
        </is>
      </c>
      <c r="E3372" t="inlineStr">
        <is>
          <t>STRÖMSUND</t>
        </is>
      </c>
      <c r="G3372" t="n">
        <v>20.2</v>
      </c>
      <c r="H3372" t="n">
        <v>0</v>
      </c>
      <c r="I3372" t="n">
        <v>0</v>
      </c>
      <c r="J3372" t="n">
        <v>0</v>
      </c>
      <c r="K3372" t="n">
        <v>0</v>
      </c>
      <c r="L3372" t="n">
        <v>0</v>
      </c>
      <c r="M3372" t="n">
        <v>0</v>
      </c>
      <c r="N3372" t="n">
        <v>0</v>
      </c>
      <c r="O3372" t="n">
        <v>0</v>
      </c>
      <c r="P3372" t="n">
        <v>0</v>
      </c>
      <c r="Q3372" t="n">
        <v>0</v>
      </c>
      <c r="R3372" s="2" t="inlineStr"/>
    </row>
    <row r="3373" ht="15" customHeight="1">
      <c r="A3373" t="inlineStr">
        <is>
          <t>A 34900-2020</t>
        </is>
      </c>
      <c r="B3373" s="1" t="n">
        <v>44036</v>
      </c>
      <c r="C3373" s="1" t="n">
        <v>45363</v>
      </c>
      <c r="D3373" t="inlineStr">
        <is>
          <t>JÄMTLANDS LÄN</t>
        </is>
      </c>
      <c r="E3373" t="inlineStr">
        <is>
          <t>HÄRJEDALEN</t>
        </is>
      </c>
      <c r="G3373" t="n">
        <v>13.1</v>
      </c>
      <c r="H3373" t="n">
        <v>0</v>
      </c>
      <c r="I3373" t="n">
        <v>0</v>
      </c>
      <c r="J3373" t="n">
        <v>0</v>
      </c>
      <c r="K3373" t="n">
        <v>0</v>
      </c>
      <c r="L3373" t="n">
        <v>0</v>
      </c>
      <c r="M3373" t="n">
        <v>0</v>
      </c>
      <c r="N3373" t="n">
        <v>0</v>
      </c>
      <c r="O3373" t="n">
        <v>0</v>
      </c>
      <c r="P3373" t="n">
        <v>0</v>
      </c>
      <c r="Q3373" t="n">
        <v>0</v>
      </c>
      <c r="R3373" s="2" t="inlineStr"/>
    </row>
    <row r="3374" ht="15" customHeight="1">
      <c r="A3374" t="inlineStr">
        <is>
          <t>A 34870-2020</t>
        </is>
      </c>
      <c r="B3374" s="1" t="n">
        <v>44036</v>
      </c>
      <c r="C3374" s="1" t="n">
        <v>45363</v>
      </c>
      <c r="D3374" t="inlineStr">
        <is>
          <t>JÄMTLANDS LÄN</t>
        </is>
      </c>
      <c r="E3374" t="inlineStr">
        <is>
          <t>BRÄCKE</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34952-2020</t>
        </is>
      </c>
      <c r="B3375" s="1" t="n">
        <v>44038</v>
      </c>
      <c r="C3375" s="1" t="n">
        <v>45363</v>
      </c>
      <c r="D3375" t="inlineStr">
        <is>
          <t>JÄMTLANDS LÄN</t>
        </is>
      </c>
      <c r="E3375" t="inlineStr">
        <is>
          <t>STRÖMSUND</t>
        </is>
      </c>
      <c r="G3375" t="n">
        <v>26.1</v>
      </c>
      <c r="H3375" t="n">
        <v>0</v>
      </c>
      <c r="I3375" t="n">
        <v>0</v>
      </c>
      <c r="J3375" t="n">
        <v>0</v>
      </c>
      <c r="K3375" t="n">
        <v>0</v>
      </c>
      <c r="L3375" t="n">
        <v>0</v>
      </c>
      <c r="M3375" t="n">
        <v>0</v>
      </c>
      <c r="N3375" t="n">
        <v>0</v>
      </c>
      <c r="O3375" t="n">
        <v>0</v>
      </c>
      <c r="P3375" t="n">
        <v>0</v>
      </c>
      <c r="Q3375" t="n">
        <v>0</v>
      </c>
      <c r="R3375" s="2" t="inlineStr"/>
    </row>
    <row r="3376" ht="15" customHeight="1">
      <c r="A3376" t="inlineStr">
        <is>
          <t>A 34954-2020</t>
        </is>
      </c>
      <c r="B3376" s="1" t="n">
        <v>44038</v>
      </c>
      <c r="C3376" s="1" t="n">
        <v>45363</v>
      </c>
      <c r="D3376" t="inlineStr">
        <is>
          <t>JÄMTLANDS LÄN</t>
        </is>
      </c>
      <c r="E3376" t="inlineStr">
        <is>
          <t>KROKOM</t>
        </is>
      </c>
      <c r="G3376" t="n">
        <v>14.3</v>
      </c>
      <c r="H3376" t="n">
        <v>0</v>
      </c>
      <c r="I3376" t="n">
        <v>0</v>
      </c>
      <c r="J3376" t="n">
        <v>0</v>
      </c>
      <c r="K3376" t="n">
        <v>0</v>
      </c>
      <c r="L3376" t="n">
        <v>0</v>
      </c>
      <c r="M3376" t="n">
        <v>0</v>
      </c>
      <c r="N3376" t="n">
        <v>0</v>
      </c>
      <c r="O3376" t="n">
        <v>0</v>
      </c>
      <c r="P3376" t="n">
        <v>0</v>
      </c>
      <c r="Q3376" t="n">
        <v>0</v>
      </c>
      <c r="R3376" s="2" t="inlineStr"/>
    </row>
    <row r="3377" ht="15" customHeight="1">
      <c r="A3377" t="inlineStr">
        <is>
          <t>A 34975-2020</t>
        </is>
      </c>
      <c r="B3377" s="1" t="n">
        <v>44039</v>
      </c>
      <c r="C3377" s="1" t="n">
        <v>45363</v>
      </c>
      <c r="D3377" t="inlineStr">
        <is>
          <t>JÄMTLANDS LÄN</t>
        </is>
      </c>
      <c r="E3377" t="inlineStr">
        <is>
          <t>HÄRJEDALEN</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34963-2020</t>
        </is>
      </c>
      <c r="B3378" s="1" t="n">
        <v>44039</v>
      </c>
      <c r="C3378" s="1" t="n">
        <v>45363</v>
      </c>
      <c r="D3378" t="inlineStr">
        <is>
          <t>JÄMTLANDS LÄN</t>
        </is>
      </c>
      <c r="E3378" t="inlineStr">
        <is>
          <t>HÄRJEDALEN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35160-2020</t>
        </is>
      </c>
      <c r="B3379" s="1" t="n">
        <v>44040</v>
      </c>
      <c r="C3379" s="1" t="n">
        <v>45363</v>
      </c>
      <c r="D3379" t="inlineStr">
        <is>
          <t>JÄMTLANDS LÄN</t>
        </is>
      </c>
      <c r="E3379" t="inlineStr">
        <is>
          <t>HÄRJEDALEN</t>
        </is>
      </c>
      <c r="F3379" t="inlineStr">
        <is>
          <t>Bergvik skog väst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35193-2020</t>
        </is>
      </c>
      <c r="B3380" s="1" t="n">
        <v>44040</v>
      </c>
      <c r="C3380" s="1" t="n">
        <v>45363</v>
      </c>
      <c r="D3380" t="inlineStr">
        <is>
          <t>JÄMTLANDS LÄN</t>
        </is>
      </c>
      <c r="E3380" t="inlineStr">
        <is>
          <t>RAGUNDA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35250-2020</t>
        </is>
      </c>
      <c r="B3381" s="1" t="n">
        <v>44041</v>
      </c>
      <c r="C3381" s="1" t="n">
        <v>45363</v>
      </c>
      <c r="D3381" t="inlineStr">
        <is>
          <t>JÄMTLANDS LÄN</t>
        </is>
      </c>
      <c r="E3381" t="inlineStr">
        <is>
          <t>BRÄCKE</t>
        </is>
      </c>
      <c r="F3381" t="inlineStr">
        <is>
          <t>Övriga Aktiebolag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35365-2020</t>
        </is>
      </c>
      <c r="B3382" s="1" t="n">
        <v>44041</v>
      </c>
      <c r="C3382" s="1" t="n">
        <v>45363</v>
      </c>
      <c r="D3382" t="inlineStr">
        <is>
          <t>JÄMTLANDS LÄN</t>
        </is>
      </c>
      <c r="E3382" t="inlineStr">
        <is>
          <t>RAGUNDA</t>
        </is>
      </c>
      <c r="F3382" t="inlineStr">
        <is>
          <t>SCA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35364-2020</t>
        </is>
      </c>
      <c r="B3383" s="1" t="n">
        <v>44041</v>
      </c>
      <c r="C3383" s="1" t="n">
        <v>45363</v>
      </c>
      <c r="D3383" t="inlineStr">
        <is>
          <t>JÄMTLANDS LÄN</t>
        </is>
      </c>
      <c r="E3383" t="inlineStr">
        <is>
          <t>BRÄCKE</t>
        </is>
      </c>
      <c r="F3383" t="inlineStr">
        <is>
          <t>SCA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35436-2020</t>
        </is>
      </c>
      <c r="B3384" s="1" t="n">
        <v>44042</v>
      </c>
      <c r="C3384" s="1" t="n">
        <v>45363</v>
      </c>
      <c r="D3384" t="inlineStr">
        <is>
          <t>JÄMTLANDS LÄN</t>
        </is>
      </c>
      <c r="E3384" t="inlineStr">
        <is>
          <t>HÄRJEDALEN</t>
        </is>
      </c>
      <c r="F3384" t="inlineStr">
        <is>
          <t>Bergvik skog väst AB</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35423-2020</t>
        </is>
      </c>
      <c r="B3385" s="1" t="n">
        <v>44042</v>
      </c>
      <c r="C3385" s="1" t="n">
        <v>45363</v>
      </c>
      <c r="D3385" t="inlineStr">
        <is>
          <t>JÄMTLANDS LÄN</t>
        </is>
      </c>
      <c r="E3385" t="inlineStr">
        <is>
          <t>BRÄCKE</t>
        </is>
      </c>
      <c r="G3385" t="n">
        <v>13.2</v>
      </c>
      <c r="H3385" t="n">
        <v>0</v>
      </c>
      <c r="I3385" t="n">
        <v>0</v>
      </c>
      <c r="J3385" t="n">
        <v>0</v>
      </c>
      <c r="K3385" t="n">
        <v>0</v>
      </c>
      <c r="L3385" t="n">
        <v>0</v>
      </c>
      <c r="M3385" t="n">
        <v>0</v>
      </c>
      <c r="N3385" t="n">
        <v>0</v>
      </c>
      <c r="O3385" t="n">
        <v>0</v>
      </c>
      <c r="P3385" t="n">
        <v>0</v>
      </c>
      <c r="Q3385" t="n">
        <v>0</v>
      </c>
      <c r="R3385" s="2" t="inlineStr"/>
    </row>
    <row r="3386" ht="15" customHeight="1">
      <c r="A3386" t="inlineStr">
        <is>
          <t>A 35393-2020</t>
        </is>
      </c>
      <c r="B3386" s="1" t="n">
        <v>44042</v>
      </c>
      <c r="C3386" s="1" t="n">
        <v>45363</v>
      </c>
      <c r="D3386" t="inlineStr">
        <is>
          <t>JÄMTLANDS LÄN</t>
        </is>
      </c>
      <c r="E3386" t="inlineStr">
        <is>
          <t>STRÖMSUND</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35548-2020</t>
        </is>
      </c>
      <c r="B3387" s="1" t="n">
        <v>44043</v>
      </c>
      <c r="C3387" s="1" t="n">
        <v>45363</v>
      </c>
      <c r="D3387" t="inlineStr">
        <is>
          <t>JÄMTLANDS LÄN</t>
        </is>
      </c>
      <c r="E3387" t="inlineStr">
        <is>
          <t>HÄRJEDALEN</t>
        </is>
      </c>
      <c r="F3387" t="inlineStr">
        <is>
          <t>Holmen skog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35605-2020</t>
        </is>
      </c>
      <c r="B3388" s="1" t="n">
        <v>44043</v>
      </c>
      <c r="C3388" s="1" t="n">
        <v>45363</v>
      </c>
      <c r="D3388" t="inlineStr">
        <is>
          <t>JÄMTLANDS LÄN</t>
        </is>
      </c>
      <c r="E3388" t="inlineStr">
        <is>
          <t>STRÖMSUND</t>
        </is>
      </c>
      <c r="F3388" t="inlineStr">
        <is>
          <t>SCA</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35620-2020</t>
        </is>
      </c>
      <c r="B3389" s="1" t="n">
        <v>44045</v>
      </c>
      <c r="C3389" s="1" t="n">
        <v>45363</v>
      </c>
      <c r="D3389" t="inlineStr">
        <is>
          <t>JÄMTLANDS LÄN</t>
        </is>
      </c>
      <c r="E3389" t="inlineStr">
        <is>
          <t>BERG</t>
        </is>
      </c>
      <c r="F3389" t="inlineStr">
        <is>
          <t>SCA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35658-2020</t>
        </is>
      </c>
      <c r="B3390" s="1" t="n">
        <v>44046</v>
      </c>
      <c r="C3390" s="1" t="n">
        <v>45363</v>
      </c>
      <c r="D3390" t="inlineStr">
        <is>
          <t>JÄMTLANDS LÄN</t>
        </is>
      </c>
      <c r="E3390" t="inlineStr">
        <is>
          <t>STRÖMSUND</t>
        </is>
      </c>
      <c r="F3390" t="inlineStr">
        <is>
          <t>Holmen skog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35799-2020</t>
        </is>
      </c>
      <c r="B3391" s="1" t="n">
        <v>44046</v>
      </c>
      <c r="C3391" s="1" t="n">
        <v>45363</v>
      </c>
      <c r="D3391" t="inlineStr">
        <is>
          <t>JÄMTLANDS LÄN</t>
        </is>
      </c>
      <c r="E3391" t="inlineStr">
        <is>
          <t>BRÄCKE</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35801-2020</t>
        </is>
      </c>
      <c r="B3392" s="1" t="n">
        <v>44046</v>
      </c>
      <c r="C3392" s="1" t="n">
        <v>45363</v>
      </c>
      <c r="D3392" t="inlineStr">
        <is>
          <t>JÄMTLANDS LÄN</t>
        </is>
      </c>
      <c r="E3392" t="inlineStr">
        <is>
          <t>BRÄCKE</t>
        </is>
      </c>
      <c r="F3392" t="inlineStr">
        <is>
          <t>SCA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35800-2020</t>
        </is>
      </c>
      <c r="B3393" s="1" t="n">
        <v>44046</v>
      </c>
      <c r="C3393" s="1" t="n">
        <v>45363</v>
      </c>
      <c r="D3393" t="inlineStr">
        <is>
          <t>JÄMTLANDS LÄN</t>
        </is>
      </c>
      <c r="E3393" t="inlineStr">
        <is>
          <t>BRÄCKE</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35808-2020</t>
        </is>
      </c>
      <c r="B3394" s="1" t="n">
        <v>44046</v>
      </c>
      <c r="C3394" s="1" t="n">
        <v>45363</v>
      </c>
      <c r="D3394" t="inlineStr">
        <is>
          <t>JÄMTLANDS LÄN</t>
        </is>
      </c>
      <c r="E3394" t="inlineStr">
        <is>
          <t>BRÄCKE</t>
        </is>
      </c>
      <c r="F3394" t="inlineStr">
        <is>
          <t>SCA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35849-2020</t>
        </is>
      </c>
      <c r="B3395" s="1" t="n">
        <v>44047</v>
      </c>
      <c r="C3395" s="1" t="n">
        <v>45363</v>
      </c>
      <c r="D3395" t="inlineStr">
        <is>
          <t>JÄMTLANDS LÄN</t>
        </is>
      </c>
      <c r="E3395" t="inlineStr">
        <is>
          <t>ÅRE</t>
        </is>
      </c>
      <c r="G3395" t="n">
        <v>21.3</v>
      </c>
      <c r="H3395" t="n">
        <v>0</v>
      </c>
      <c r="I3395" t="n">
        <v>0</v>
      </c>
      <c r="J3395" t="n">
        <v>0</v>
      </c>
      <c r="K3395" t="n">
        <v>0</v>
      </c>
      <c r="L3395" t="n">
        <v>0</v>
      </c>
      <c r="M3395" t="n">
        <v>0</v>
      </c>
      <c r="N3395" t="n">
        <v>0</v>
      </c>
      <c r="O3395" t="n">
        <v>0</v>
      </c>
      <c r="P3395" t="n">
        <v>0</v>
      </c>
      <c r="Q3395" t="n">
        <v>0</v>
      </c>
      <c r="R3395" s="2" t="inlineStr"/>
    </row>
    <row r="3396" ht="15" customHeight="1">
      <c r="A3396" t="inlineStr">
        <is>
          <t>A 36098-2020</t>
        </is>
      </c>
      <c r="B3396" s="1" t="n">
        <v>44048</v>
      </c>
      <c r="C3396" s="1" t="n">
        <v>45363</v>
      </c>
      <c r="D3396" t="inlineStr">
        <is>
          <t>JÄMTLANDS LÄN</t>
        </is>
      </c>
      <c r="E3396" t="inlineStr">
        <is>
          <t>KROKOM</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36504-2020</t>
        </is>
      </c>
      <c r="B3397" s="1" t="n">
        <v>44050</v>
      </c>
      <c r="C3397" s="1" t="n">
        <v>45363</v>
      </c>
      <c r="D3397" t="inlineStr">
        <is>
          <t>JÄMTLANDS LÄN</t>
        </is>
      </c>
      <c r="E3397" t="inlineStr">
        <is>
          <t>STRÖMSUND</t>
        </is>
      </c>
      <c r="F3397" t="inlineStr">
        <is>
          <t>Holmen skog AB</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36698-2020</t>
        </is>
      </c>
      <c r="B3398" s="1" t="n">
        <v>44050</v>
      </c>
      <c r="C3398" s="1" t="n">
        <v>45363</v>
      </c>
      <c r="D3398" t="inlineStr">
        <is>
          <t>JÄMTLANDS LÄN</t>
        </is>
      </c>
      <c r="E3398" t="inlineStr">
        <is>
          <t>KROKOM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36506-2020</t>
        </is>
      </c>
      <c r="B3399" s="1" t="n">
        <v>44050</v>
      </c>
      <c r="C3399" s="1" t="n">
        <v>45363</v>
      </c>
      <c r="D3399" t="inlineStr">
        <is>
          <t>JÄMTLANDS LÄN</t>
        </is>
      </c>
      <c r="E3399" t="inlineStr">
        <is>
          <t>ÅRE</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36471-2020</t>
        </is>
      </c>
      <c r="B3400" s="1" t="n">
        <v>44050</v>
      </c>
      <c r="C3400" s="1" t="n">
        <v>45363</v>
      </c>
      <c r="D3400" t="inlineStr">
        <is>
          <t>JÄMTLANDS LÄN</t>
        </is>
      </c>
      <c r="E3400" t="inlineStr">
        <is>
          <t>HÄRJEDALEN</t>
        </is>
      </c>
      <c r="F3400" t="inlineStr">
        <is>
          <t>Sveaskog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36671-2020</t>
        </is>
      </c>
      <c r="B3401" s="1" t="n">
        <v>44050</v>
      </c>
      <c r="C3401" s="1" t="n">
        <v>45363</v>
      </c>
      <c r="D3401" t="inlineStr">
        <is>
          <t>JÄMTLANDS LÄN</t>
        </is>
      </c>
      <c r="E3401" t="inlineStr">
        <is>
          <t>BRÄCKE</t>
        </is>
      </c>
      <c r="F3401" t="inlineStr">
        <is>
          <t>SCA</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36501-2020</t>
        </is>
      </c>
      <c r="B3402" s="1" t="n">
        <v>44050</v>
      </c>
      <c r="C3402" s="1" t="n">
        <v>45363</v>
      </c>
      <c r="D3402" t="inlineStr">
        <is>
          <t>JÄMTLANDS LÄN</t>
        </is>
      </c>
      <c r="E3402" t="inlineStr">
        <is>
          <t>ÅRE</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36523-2020</t>
        </is>
      </c>
      <c r="B3403" s="1" t="n">
        <v>44050</v>
      </c>
      <c r="C3403" s="1" t="n">
        <v>45363</v>
      </c>
      <c r="D3403" t="inlineStr">
        <is>
          <t>JÄMTLANDS LÄN</t>
        </is>
      </c>
      <c r="E3403" t="inlineStr">
        <is>
          <t>KROKOM</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36696-2020</t>
        </is>
      </c>
      <c r="B3404" s="1" t="n">
        <v>44050</v>
      </c>
      <c r="C3404" s="1" t="n">
        <v>45363</v>
      </c>
      <c r="D3404" t="inlineStr">
        <is>
          <t>JÄMTLANDS LÄN</t>
        </is>
      </c>
      <c r="E3404" t="inlineStr">
        <is>
          <t>KROKOM</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36574-2020</t>
        </is>
      </c>
      <c r="B3405" s="1" t="n">
        <v>44050</v>
      </c>
      <c r="C3405" s="1" t="n">
        <v>45363</v>
      </c>
      <c r="D3405" t="inlineStr">
        <is>
          <t>JÄMTLANDS LÄN</t>
        </is>
      </c>
      <c r="E3405" t="inlineStr">
        <is>
          <t>STRÖMSUND</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36661-2020</t>
        </is>
      </c>
      <c r="B3406" s="1" t="n">
        <v>44050</v>
      </c>
      <c r="C3406" s="1" t="n">
        <v>45363</v>
      </c>
      <c r="D3406" t="inlineStr">
        <is>
          <t>JÄMTLANDS LÄN</t>
        </is>
      </c>
      <c r="E3406" t="inlineStr">
        <is>
          <t>BRÄCKE</t>
        </is>
      </c>
      <c r="F3406" t="inlineStr">
        <is>
          <t>SCA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36674-2020</t>
        </is>
      </c>
      <c r="B3407" s="1" t="n">
        <v>44051</v>
      </c>
      <c r="C3407" s="1" t="n">
        <v>45363</v>
      </c>
      <c r="D3407" t="inlineStr">
        <is>
          <t>JÄMTLANDS LÄN</t>
        </is>
      </c>
      <c r="E3407" t="inlineStr">
        <is>
          <t>RAGUNDA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36676-2020</t>
        </is>
      </c>
      <c r="B3408" s="1" t="n">
        <v>44051</v>
      </c>
      <c r="C3408" s="1" t="n">
        <v>45363</v>
      </c>
      <c r="D3408" t="inlineStr">
        <is>
          <t>JÄMTLANDS LÄN</t>
        </is>
      </c>
      <c r="E3408" t="inlineStr">
        <is>
          <t>RAGUNDA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36790-2020</t>
        </is>
      </c>
      <c r="B3409" s="1" t="n">
        <v>44053</v>
      </c>
      <c r="C3409" s="1" t="n">
        <v>45363</v>
      </c>
      <c r="D3409" t="inlineStr">
        <is>
          <t>JÄMTLANDS LÄN</t>
        </is>
      </c>
      <c r="E3409" t="inlineStr">
        <is>
          <t>HÄRJEDALEN</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36787-2020</t>
        </is>
      </c>
      <c r="B3410" s="1" t="n">
        <v>44053</v>
      </c>
      <c r="C3410" s="1" t="n">
        <v>45363</v>
      </c>
      <c r="D3410" t="inlineStr">
        <is>
          <t>JÄMTLANDS LÄN</t>
        </is>
      </c>
      <c r="E3410" t="inlineStr">
        <is>
          <t>STRÖMSUND</t>
        </is>
      </c>
      <c r="F3410" t="inlineStr">
        <is>
          <t>Holmen skog AB</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36971-2020</t>
        </is>
      </c>
      <c r="B3411" s="1" t="n">
        <v>44053</v>
      </c>
      <c r="C3411" s="1" t="n">
        <v>45363</v>
      </c>
      <c r="D3411" t="inlineStr">
        <is>
          <t>JÄMTLANDS LÄN</t>
        </is>
      </c>
      <c r="E3411" t="inlineStr">
        <is>
          <t>BRÄCKE</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36963-2020</t>
        </is>
      </c>
      <c r="B3412" s="1" t="n">
        <v>44053</v>
      </c>
      <c r="C3412" s="1" t="n">
        <v>45363</v>
      </c>
      <c r="D3412" t="inlineStr">
        <is>
          <t>JÄMTLANDS LÄN</t>
        </is>
      </c>
      <c r="E3412" t="inlineStr">
        <is>
          <t>STRÖMSUND</t>
        </is>
      </c>
      <c r="F3412" t="inlineStr">
        <is>
          <t>SCA</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37236-2020</t>
        </is>
      </c>
      <c r="B3413" s="1" t="n">
        <v>44055</v>
      </c>
      <c r="C3413" s="1" t="n">
        <v>45363</v>
      </c>
      <c r="D3413" t="inlineStr">
        <is>
          <t>JÄMTLANDS LÄN</t>
        </is>
      </c>
      <c r="E3413" t="inlineStr">
        <is>
          <t>BRÄCKE</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37229-2020</t>
        </is>
      </c>
      <c r="B3414" s="1" t="n">
        <v>44054</v>
      </c>
      <c r="C3414" s="1" t="n">
        <v>45363</v>
      </c>
      <c r="D3414" t="inlineStr">
        <is>
          <t>JÄMTLANDS LÄN</t>
        </is>
      </c>
      <c r="E3414" t="inlineStr">
        <is>
          <t>BRÄCKE</t>
        </is>
      </c>
      <c r="F3414" t="inlineStr">
        <is>
          <t>SCA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37308-2020</t>
        </is>
      </c>
      <c r="B3415" s="1" t="n">
        <v>44055</v>
      </c>
      <c r="C3415" s="1" t="n">
        <v>45363</v>
      </c>
      <c r="D3415" t="inlineStr">
        <is>
          <t>JÄMTLANDS LÄN</t>
        </is>
      </c>
      <c r="E3415" t="inlineStr">
        <is>
          <t>STRÖMSUND</t>
        </is>
      </c>
      <c r="F3415" t="inlineStr">
        <is>
          <t>Holmen skog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37498-2020</t>
        </is>
      </c>
      <c r="B3416" s="1" t="n">
        <v>44055</v>
      </c>
      <c r="C3416" s="1" t="n">
        <v>45363</v>
      </c>
      <c r="D3416" t="inlineStr">
        <is>
          <t>JÄMTLANDS LÄN</t>
        </is>
      </c>
      <c r="E3416" t="inlineStr">
        <is>
          <t>RAGUNDA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37500-2020</t>
        </is>
      </c>
      <c r="B3417" s="1" t="n">
        <v>44055</v>
      </c>
      <c r="C3417" s="1" t="n">
        <v>45363</v>
      </c>
      <c r="D3417" t="inlineStr">
        <is>
          <t>JÄMTLANDS LÄN</t>
        </is>
      </c>
      <c r="E3417" t="inlineStr">
        <is>
          <t>ÖSTERSUND</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37501-2020</t>
        </is>
      </c>
      <c r="B3418" s="1" t="n">
        <v>44055</v>
      </c>
      <c r="C3418" s="1" t="n">
        <v>45363</v>
      </c>
      <c r="D3418" t="inlineStr">
        <is>
          <t>JÄMTLANDS LÄN</t>
        </is>
      </c>
      <c r="E3418" t="inlineStr">
        <is>
          <t>STRÖMSUND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37780-2020</t>
        </is>
      </c>
      <c r="B3419" s="1" t="n">
        <v>44056</v>
      </c>
      <c r="C3419" s="1" t="n">
        <v>45363</v>
      </c>
      <c r="D3419" t="inlineStr">
        <is>
          <t>JÄMTLANDS LÄN</t>
        </is>
      </c>
      <c r="E3419" t="inlineStr">
        <is>
          <t>HÄRJEDALEN</t>
        </is>
      </c>
      <c r="F3419" t="inlineStr">
        <is>
          <t>SCA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39474-2020</t>
        </is>
      </c>
      <c r="B3420" s="1" t="n">
        <v>44056</v>
      </c>
      <c r="C3420" s="1" t="n">
        <v>45363</v>
      </c>
      <c r="D3420" t="inlineStr">
        <is>
          <t>JÄMTLANDS LÄN</t>
        </is>
      </c>
      <c r="E3420" t="inlineStr">
        <is>
          <t>RAGUNDA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37878-2020</t>
        </is>
      </c>
      <c r="B3421" s="1" t="n">
        <v>44057</v>
      </c>
      <c r="C3421" s="1" t="n">
        <v>45363</v>
      </c>
      <c r="D3421" t="inlineStr">
        <is>
          <t>JÄMTLANDS LÄN</t>
        </is>
      </c>
      <c r="E3421" t="inlineStr">
        <is>
          <t>STRÖMSUND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38001-2020</t>
        </is>
      </c>
      <c r="B3422" s="1" t="n">
        <v>44057</v>
      </c>
      <c r="C3422" s="1" t="n">
        <v>45363</v>
      </c>
      <c r="D3422" t="inlineStr">
        <is>
          <t>JÄMTLANDS LÄN</t>
        </is>
      </c>
      <c r="E3422" t="inlineStr">
        <is>
          <t>KROKOM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38019-2020</t>
        </is>
      </c>
      <c r="B3423" s="1" t="n">
        <v>44057</v>
      </c>
      <c r="C3423" s="1" t="n">
        <v>45363</v>
      </c>
      <c r="D3423" t="inlineStr">
        <is>
          <t>JÄMTLANDS LÄN</t>
        </is>
      </c>
      <c r="E3423" t="inlineStr">
        <is>
          <t>STRÖMSUND</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38029-2020</t>
        </is>
      </c>
      <c r="B3424" s="1" t="n">
        <v>44057</v>
      </c>
      <c r="C3424" s="1" t="n">
        <v>45363</v>
      </c>
      <c r="D3424" t="inlineStr">
        <is>
          <t>JÄMTLANDS LÄN</t>
        </is>
      </c>
      <c r="E3424" t="inlineStr">
        <is>
          <t>STRÖMSUND</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38044-2020</t>
        </is>
      </c>
      <c r="B3425" s="1" t="n">
        <v>44057</v>
      </c>
      <c r="C3425" s="1" t="n">
        <v>45363</v>
      </c>
      <c r="D3425" t="inlineStr">
        <is>
          <t>JÄMTLANDS LÄN</t>
        </is>
      </c>
      <c r="E3425" t="inlineStr">
        <is>
          <t>HÄRJEDALEN</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38084-2020</t>
        </is>
      </c>
      <c r="B3426" s="1" t="n">
        <v>44057</v>
      </c>
      <c r="C3426" s="1" t="n">
        <v>45363</v>
      </c>
      <c r="D3426" t="inlineStr">
        <is>
          <t>JÄMTLANDS LÄN</t>
        </is>
      </c>
      <c r="E3426" t="inlineStr">
        <is>
          <t>BRÄCKE</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38082-2020</t>
        </is>
      </c>
      <c r="B3427" s="1" t="n">
        <v>44057</v>
      </c>
      <c r="C3427" s="1" t="n">
        <v>45363</v>
      </c>
      <c r="D3427" t="inlineStr">
        <is>
          <t>JÄMTLANDS LÄN</t>
        </is>
      </c>
      <c r="E3427" t="inlineStr">
        <is>
          <t>BRÄCKE</t>
        </is>
      </c>
      <c r="F3427" t="inlineStr">
        <is>
          <t>SCA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38101-2020</t>
        </is>
      </c>
      <c r="B3428" s="1" t="n">
        <v>44057</v>
      </c>
      <c r="C3428" s="1" t="n">
        <v>45363</v>
      </c>
      <c r="D3428" t="inlineStr">
        <is>
          <t>JÄMTLANDS LÄN</t>
        </is>
      </c>
      <c r="E3428" t="inlineStr">
        <is>
          <t>BRÄCKE</t>
        </is>
      </c>
      <c r="F3428" t="inlineStr">
        <is>
          <t>SCA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38106-2020</t>
        </is>
      </c>
      <c r="B3429" s="1" t="n">
        <v>44057</v>
      </c>
      <c r="C3429" s="1" t="n">
        <v>45363</v>
      </c>
      <c r="D3429" t="inlineStr">
        <is>
          <t>JÄMTLANDS LÄN</t>
        </is>
      </c>
      <c r="E3429" t="inlineStr">
        <is>
          <t>RAGUNDA</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38098-2020</t>
        </is>
      </c>
      <c r="B3430" s="1" t="n">
        <v>44057</v>
      </c>
      <c r="C3430" s="1" t="n">
        <v>45363</v>
      </c>
      <c r="D3430" t="inlineStr">
        <is>
          <t>JÄMTLANDS LÄN</t>
        </is>
      </c>
      <c r="E3430" t="inlineStr">
        <is>
          <t>RAGUNDA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38077-2020</t>
        </is>
      </c>
      <c r="B3431" s="1" t="n">
        <v>44057</v>
      </c>
      <c r="C3431" s="1" t="n">
        <v>45363</v>
      </c>
      <c r="D3431" t="inlineStr">
        <is>
          <t>JÄMTLANDS LÄN</t>
        </is>
      </c>
      <c r="E3431" t="inlineStr">
        <is>
          <t>BERG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38070-2020</t>
        </is>
      </c>
      <c r="B3432" s="1" t="n">
        <v>44057</v>
      </c>
      <c r="C3432" s="1" t="n">
        <v>45363</v>
      </c>
      <c r="D3432" t="inlineStr">
        <is>
          <t>JÄMTLANDS LÄN</t>
        </is>
      </c>
      <c r="E3432" t="inlineStr">
        <is>
          <t>STRÖMSUND</t>
        </is>
      </c>
      <c r="F3432" t="inlineStr">
        <is>
          <t>SCA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38105-2020</t>
        </is>
      </c>
      <c r="B3433" s="1" t="n">
        <v>44057</v>
      </c>
      <c r="C3433" s="1" t="n">
        <v>45363</v>
      </c>
      <c r="D3433" t="inlineStr">
        <is>
          <t>JÄMTLANDS LÄN</t>
        </is>
      </c>
      <c r="E3433" t="inlineStr">
        <is>
          <t>BRÄCKE</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38107-2020</t>
        </is>
      </c>
      <c r="B3434" s="1" t="n">
        <v>44057</v>
      </c>
      <c r="C3434" s="1" t="n">
        <v>45363</v>
      </c>
      <c r="D3434" t="inlineStr">
        <is>
          <t>JÄMTLANDS LÄN</t>
        </is>
      </c>
      <c r="E3434" t="inlineStr">
        <is>
          <t>HÄRJEDALEN</t>
        </is>
      </c>
      <c r="F3434" t="inlineStr">
        <is>
          <t>SCA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38071-2020</t>
        </is>
      </c>
      <c r="B3435" s="1" t="n">
        <v>44057</v>
      </c>
      <c r="C3435" s="1" t="n">
        <v>45363</v>
      </c>
      <c r="D3435" t="inlineStr">
        <is>
          <t>JÄMTLANDS LÄN</t>
        </is>
      </c>
      <c r="E3435" t="inlineStr">
        <is>
          <t>STRÖMSUND</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38099-2020</t>
        </is>
      </c>
      <c r="B3436" s="1" t="n">
        <v>44057</v>
      </c>
      <c r="C3436" s="1" t="n">
        <v>45363</v>
      </c>
      <c r="D3436" t="inlineStr">
        <is>
          <t>JÄMTLANDS LÄN</t>
        </is>
      </c>
      <c r="E3436" t="inlineStr">
        <is>
          <t>ÖSTERSUND</t>
        </is>
      </c>
      <c r="F3436" t="inlineStr">
        <is>
          <t>SCA</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38266-2020</t>
        </is>
      </c>
      <c r="B3437" s="1" t="n">
        <v>44060</v>
      </c>
      <c r="C3437" s="1" t="n">
        <v>45363</v>
      </c>
      <c r="D3437" t="inlineStr">
        <is>
          <t>JÄMTLANDS LÄN</t>
        </is>
      </c>
      <c r="E3437" t="inlineStr">
        <is>
          <t>STRÖMSUND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38261-2020</t>
        </is>
      </c>
      <c r="B3438" s="1" t="n">
        <v>44060</v>
      </c>
      <c r="C3438" s="1" t="n">
        <v>45363</v>
      </c>
      <c r="D3438" t="inlineStr">
        <is>
          <t>JÄMTLANDS LÄN</t>
        </is>
      </c>
      <c r="E3438" t="inlineStr">
        <is>
          <t>STRÖMSUND</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38268-2020</t>
        </is>
      </c>
      <c r="B3439" s="1" t="n">
        <v>44060</v>
      </c>
      <c r="C3439" s="1" t="n">
        <v>45363</v>
      </c>
      <c r="D3439" t="inlineStr">
        <is>
          <t>JÄMTLANDS LÄN</t>
        </is>
      </c>
      <c r="E3439" t="inlineStr">
        <is>
          <t>STRÖMSUND</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38403-2020</t>
        </is>
      </c>
      <c r="B3440" s="1" t="n">
        <v>44060</v>
      </c>
      <c r="C3440" s="1" t="n">
        <v>45363</v>
      </c>
      <c r="D3440" t="inlineStr">
        <is>
          <t>JÄMTLANDS LÄN</t>
        </is>
      </c>
      <c r="E3440" t="inlineStr">
        <is>
          <t>HÄRJEDALEN</t>
        </is>
      </c>
      <c r="G3440" t="n">
        <v>4.7</v>
      </c>
      <c r="H3440" t="n">
        <v>0</v>
      </c>
      <c r="I3440" t="n">
        <v>0</v>
      </c>
      <c r="J3440" t="n">
        <v>0</v>
      </c>
      <c r="K3440" t="n">
        <v>0</v>
      </c>
      <c r="L3440" t="n">
        <v>0</v>
      </c>
      <c r="M3440" t="n">
        <v>0</v>
      </c>
      <c r="N3440" t="n">
        <v>0</v>
      </c>
      <c r="O3440" t="n">
        <v>0</v>
      </c>
      <c r="P3440" t="n">
        <v>0</v>
      </c>
      <c r="Q3440" t="n">
        <v>0</v>
      </c>
      <c r="R3440" s="2" t="inlineStr"/>
      <c r="U3440">
        <f>HYPERLINK("https://klasma.github.io/Logging_2361/knärot/A 38403-2020 karta knärot.png", "A 38403-2020")</f>
        <v/>
      </c>
      <c r="V3440">
        <f>HYPERLINK("https://klasma.github.io/Logging_2361/klagomål/A 38403-2020 FSC-klagomål.docx", "A 38403-2020")</f>
        <v/>
      </c>
      <c r="W3440">
        <f>HYPERLINK("https://klasma.github.io/Logging_2361/klagomålsmail/A 38403-2020 FSC-klagomål mail.docx", "A 38403-2020")</f>
        <v/>
      </c>
      <c r="X3440">
        <f>HYPERLINK("https://klasma.github.io/Logging_2361/tillsyn/A 38403-2020 tillsynsbegäran.docx", "A 38403-2020")</f>
        <v/>
      </c>
      <c r="Y3440">
        <f>HYPERLINK("https://klasma.github.io/Logging_2361/tillsynsmail/A 38403-2020 tillsynsbegäran mail.docx", "A 38403-2020")</f>
        <v/>
      </c>
    </row>
    <row r="3441" ht="15" customHeight="1">
      <c r="A3441" t="inlineStr">
        <is>
          <t>A 38454-2020</t>
        </is>
      </c>
      <c r="B3441" s="1" t="n">
        <v>44060</v>
      </c>
      <c r="C3441" s="1" t="n">
        <v>45363</v>
      </c>
      <c r="D3441" t="inlineStr">
        <is>
          <t>JÄMTLANDS LÄN</t>
        </is>
      </c>
      <c r="E3441" t="inlineStr">
        <is>
          <t>ÅRE</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38459-2020</t>
        </is>
      </c>
      <c r="B3442" s="1" t="n">
        <v>44060</v>
      </c>
      <c r="C3442" s="1" t="n">
        <v>45363</v>
      </c>
      <c r="D3442" t="inlineStr">
        <is>
          <t>JÄMTLANDS LÄN</t>
        </is>
      </c>
      <c r="E3442" t="inlineStr">
        <is>
          <t>BRÄCKE</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38484-2020</t>
        </is>
      </c>
      <c r="B3443" s="1" t="n">
        <v>44060</v>
      </c>
      <c r="C3443" s="1" t="n">
        <v>45363</v>
      </c>
      <c r="D3443" t="inlineStr">
        <is>
          <t>JÄMTLANDS LÄN</t>
        </is>
      </c>
      <c r="E3443" t="inlineStr">
        <is>
          <t>STRÖMSUND</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38455-2020</t>
        </is>
      </c>
      <c r="B3444" s="1" t="n">
        <v>44060</v>
      </c>
      <c r="C3444" s="1" t="n">
        <v>45363</v>
      </c>
      <c r="D3444" t="inlineStr">
        <is>
          <t>JÄMTLANDS LÄN</t>
        </is>
      </c>
      <c r="E3444" t="inlineStr">
        <is>
          <t>ÅRE</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38467-2020</t>
        </is>
      </c>
      <c r="B3445" s="1" t="n">
        <v>44060</v>
      </c>
      <c r="C3445" s="1" t="n">
        <v>45363</v>
      </c>
      <c r="D3445" t="inlineStr">
        <is>
          <t>JÄMTLANDS LÄN</t>
        </is>
      </c>
      <c r="E3445" t="inlineStr">
        <is>
          <t>STRÖMSUND</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38485-2020</t>
        </is>
      </c>
      <c r="B3446" s="1" t="n">
        <v>44060</v>
      </c>
      <c r="C3446" s="1" t="n">
        <v>45363</v>
      </c>
      <c r="D3446" t="inlineStr">
        <is>
          <t>JÄMTLANDS LÄN</t>
        </is>
      </c>
      <c r="E3446" t="inlineStr">
        <is>
          <t>STRÖMSUND</t>
        </is>
      </c>
      <c r="F3446" t="inlineStr">
        <is>
          <t>SCA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38779-2020</t>
        </is>
      </c>
      <c r="B3447" s="1" t="n">
        <v>44061</v>
      </c>
      <c r="C3447" s="1" t="n">
        <v>45363</v>
      </c>
      <c r="D3447" t="inlineStr">
        <is>
          <t>JÄMTLANDS LÄN</t>
        </is>
      </c>
      <c r="E3447" t="inlineStr">
        <is>
          <t>STRÖMSUND</t>
        </is>
      </c>
      <c r="F3447" t="inlineStr">
        <is>
          <t>SCA</t>
        </is>
      </c>
      <c r="G3447" t="n">
        <v>34.2</v>
      </c>
      <c r="H3447" t="n">
        <v>0</v>
      </c>
      <c r="I3447" t="n">
        <v>0</v>
      </c>
      <c r="J3447" t="n">
        <v>0</v>
      </c>
      <c r="K3447" t="n">
        <v>0</v>
      </c>
      <c r="L3447" t="n">
        <v>0</v>
      </c>
      <c r="M3447" t="n">
        <v>0</v>
      </c>
      <c r="N3447" t="n">
        <v>0</v>
      </c>
      <c r="O3447" t="n">
        <v>0</v>
      </c>
      <c r="P3447" t="n">
        <v>0</v>
      </c>
      <c r="Q3447" t="n">
        <v>0</v>
      </c>
      <c r="R3447" s="2" t="inlineStr"/>
    </row>
    <row r="3448" ht="15" customHeight="1">
      <c r="A3448" t="inlineStr">
        <is>
          <t>A 38787-2020</t>
        </is>
      </c>
      <c r="B3448" s="1" t="n">
        <v>44061</v>
      </c>
      <c r="C3448" s="1" t="n">
        <v>45363</v>
      </c>
      <c r="D3448" t="inlineStr">
        <is>
          <t>JÄMTLANDS LÄN</t>
        </is>
      </c>
      <c r="E3448" t="inlineStr">
        <is>
          <t>BRÄCKE</t>
        </is>
      </c>
      <c r="F3448" t="inlineStr">
        <is>
          <t>SCA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38781-2020</t>
        </is>
      </c>
      <c r="B3449" s="1" t="n">
        <v>44061</v>
      </c>
      <c r="C3449" s="1" t="n">
        <v>45363</v>
      </c>
      <c r="D3449" t="inlineStr">
        <is>
          <t>JÄMTLANDS LÄN</t>
        </is>
      </c>
      <c r="E3449" t="inlineStr">
        <is>
          <t>STRÖMSUND</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38720-2020</t>
        </is>
      </c>
      <c r="B3450" s="1" t="n">
        <v>44061</v>
      </c>
      <c r="C3450" s="1" t="n">
        <v>45363</v>
      </c>
      <c r="D3450" t="inlineStr">
        <is>
          <t>JÄMTLANDS LÄN</t>
        </is>
      </c>
      <c r="E3450" t="inlineStr">
        <is>
          <t>KROKOM</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38780-2020</t>
        </is>
      </c>
      <c r="B3451" s="1" t="n">
        <v>44061</v>
      </c>
      <c r="C3451" s="1" t="n">
        <v>45363</v>
      </c>
      <c r="D3451" t="inlineStr">
        <is>
          <t>JÄMTLANDS LÄN</t>
        </is>
      </c>
      <c r="E3451" t="inlineStr">
        <is>
          <t>STRÖMSUND</t>
        </is>
      </c>
      <c r="F3451" t="inlineStr">
        <is>
          <t>SCA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38782-2020</t>
        </is>
      </c>
      <c r="B3452" s="1" t="n">
        <v>44061</v>
      </c>
      <c r="C3452" s="1" t="n">
        <v>45363</v>
      </c>
      <c r="D3452" t="inlineStr">
        <is>
          <t>JÄMTLANDS LÄN</t>
        </is>
      </c>
      <c r="E3452" t="inlineStr">
        <is>
          <t>STRÖMSUND</t>
        </is>
      </c>
      <c r="F3452" t="inlineStr">
        <is>
          <t>SCA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38866-2020</t>
        </is>
      </c>
      <c r="B3453" s="1" t="n">
        <v>44062</v>
      </c>
      <c r="C3453" s="1" t="n">
        <v>45363</v>
      </c>
      <c r="D3453" t="inlineStr">
        <is>
          <t>JÄMTLANDS LÄN</t>
        </is>
      </c>
      <c r="E3453" t="inlineStr">
        <is>
          <t>KROKOM</t>
        </is>
      </c>
      <c r="F3453" t="inlineStr">
        <is>
          <t>Övriga Aktiebolag</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39040-2020</t>
        </is>
      </c>
      <c r="B3454" s="1" t="n">
        <v>44062</v>
      </c>
      <c r="C3454" s="1" t="n">
        <v>45363</v>
      </c>
      <c r="D3454" t="inlineStr">
        <is>
          <t>JÄMTLANDS LÄN</t>
        </is>
      </c>
      <c r="E3454" t="inlineStr">
        <is>
          <t>RAGUNDA</t>
        </is>
      </c>
      <c r="F3454" t="inlineStr">
        <is>
          <t>SCA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39053-2020</t>
        </is>
      </c>
      <c r="B3455" s="1" t="n">
        <v>44062</v>
      </c>
      <c r="C3455" s="1" t="n">
        <v>45363</v>
      </c>
      <c r="D3455" t="inlineStr">
        <is>
          <t>JÄMTLANDS LÄN</t>
        </is>
      </c>
      <c r="E3455" t="inlineStr">
        <is>
          <t>BRÄCKE</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39137-2020</t>
        </is>
      </c>
      <c r="B3456" s="1" t="n">
        <v>44062</v>
      </c>
      <c r="C3456" s="1" t="n">
        <v>45363</v>
      </c>
      <c r="D3456" t="inlineStr">
        <is>
          <t>JÄMTLANDS LÄN</t>
        </is>
      </c>
      <c r="E3456" t="inlineStr">
        <is>
          <t>BERG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39043-2020</t>
        </is>
      </c>
      <c r="B3457" s="1" t="n">
        <v>44062</v>
      </c>
      <c r="C3457" s="1" t="n">
        <v>45363</v>
      </c>
      <c r="D3457" t="inlineStr">
        <is>
          <t>JÄMTLANDS LÄN</t>
        </is>
      </c>
      <c r="E3457" t="inlineStr">
        <is>
          <t>BRÄCKE</t>
        </is>
      </c>
      <c r="F3457" t="inlineStr">
        <is>
          <t>SCA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39052-2020</t>
        </is>
      </c>
      <c r="B3458" s="1" t="n">
        <v>44062</v>
      </c>
      <c r="C3458" s="1" t="n">
        <v>45363</v>
      </c>
      <c r="D3458" t="inlineStr">
        <is>
          <t>JÄMTLANDS LÄN</t>
        </is>
      </c>
      <c r="E3458" t="inlineStr">
        <is>
          <t>BRÄCKE</t>
        </is>
      </c>
      <c r="F3458" t="inlineStr">
        <is>
          <t>SCA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39220-2020</t>
        </is>
      </c>
      <c r="B3459" s="1" t="n">
        <v>44063</v>
      </c>
      <c r="C3459" s="1" t="n">
        <v>45363</v>
      </c>
      <c r="D3459" t="inlineStr">
        <is>
          <t>JÄMTLANDS LÄN</t>
        </is>
      </c>
      <c r="E3459" t="inlineStr">
        <is>
          <t>BERG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39200-2020</t>
        </is>
      </c>
      <c r="B3460" s="1" t="n">
        <v>44063</v>
      </c>
      <c r="C3460" s="1" t="n">
        <v>45363</v>
      </c>
      <c r="D3460" t="inlineStr">
        <is>
          <t>JÄMTLANDS LÄN</t>
        </is>
      </c>
      <c r="E3460" t="inlineStr">
        <is>
          <t>BERG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39212-2020</t>
        </is>
      </c>
      <c r="B3461" s="1" t="n">
        <v>44063</v>
      </c>
      <c r="C3461" s="1" t="n">
        <v>45363</v>
      </c>
      <c r="D3461" t="inlineStr">
        <is>
          <t>JÄMTLANDS LÄN</t>
        </is>
      </c>
      <c r="E3461" t="inlineStr">
        <is>
          <t>BERG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39228-2020</t>
        </is>
      </c>
      <c r="B3462" s="1" t="n">
        <v>44063</v>
      </c>
      <c r="C3462" s="1" t="n">
        <v>45363</v>
      </c>
      <c r="D3462" t="inlineStr">
        <is>
          <t>JÄMTLANDS LÄN</t>
        </is>
      </c>
      <c r="E3462" t="inlineStr">
        <is>
          <t>BERG</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39350-2020</t>
        </is>
      </c>
      <c r="B3463" s="1" t="n">
        <v>44063</v>
      </c>
      <c r="C3463" s="1" t="n">
        <v>45363</v>
      </c>
      <c r="D3463" t="inlineStr">
        <is>
          <t>JÄMTLANDS LÄN</t>
        </is>
      </c>
      <c r="E3463" t="inlineStr">
        <is>
          <t>BRÄCKE</t>
        </is>
      </c>
      <c r="F3463" t="inlineStr">
        <is>
          <t>SCA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39340-2020</t>
        </is>
      </c>
      <c r="B3464" s="1" t="n">
        <v>44063</v>
      </c>
      <c r="C3464" s="1" t="n">
        <v>45363</v>
      </c>
      <c r="D3464" t="inlineStr">
        <is>
          <t>JÄMTLANDS LÄN</t>
        </is>
      </c>
      <c r="E3464" t="inlineStr">
        <is>
          <t>RAGUNDA</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39337-2020</t>
        </is>
      </c>
      <c r="B3465" s="1" t="n">
        <v>44063</v>
      </c>
      <c r="C3465" s="1" t="n">
        <v>45363</v>
      </c>
      <c r="D3465" t="inlineStr">
        <is>
          <t>JÄMTLANDS LÄN</t>
        </is>
      </c>
      <c r="E3465" t="inlineStr">
        <is>
          <t>BRÄCKE</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39351-2020</t>
        </is>
      </c>
      <c r="B3466" s="1" t="n">
        <v>44063</v>
      </c>
      <c r="C3466" s="1" t="n">
        <v>45363</v>
      </c>
      <c r="D3466" t="inlineStr">
        <is>
          <t>JÄMTLANDS LÄN</t>
        </is>
      </c>
      <c r="E3466" t="inlineStr">
        <is>
          <t>BRÄCKE</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39205-2020</t>
        </is>
      </c>
      <c r="B3467" s="1" t="n">
        <v>44063</v>
      </c>
      <c r="C3467" s="1" t="n">
        <v>45363</v>
      </c>
      <c r="D3467" t="inlineStr">
        <is>
          <t>JÄMTLANDS LÄN</t>
        </is>
      </c>
      <c r="E3467" t="inlineStr">
        <is>
          <t>BERG</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39396-2020</t>
        </is>
      </c>
      <c r="B3468" s="1" t="n">
        <v>44064</v>
      </c>
      <c r="C3468" s="1" t="n">
        <v>45363</v>
      </c>
      <c r="D3468" t="inlineStr">
        <is>
          <t>JÄMTLANDS LÄN</t>
        </is>
      </c>
      <c r="E3468" t="inlineStr">
        <is>
          <t>STRÖMSUND</t>
        </is>
      </c>
      <c r="F3468" t="inlineStr">
        <is>
          <t>Holmen skog AB</t>
        </is>
      </c>
      <c r="G3468" t="n">
        <v>7.2</v>
      </c>
      <c r="H3468" t="n">
        <v>0</v>
      </c>
      <c r="I3468" t="n">
        <v>0</v>
      </c>
      <c r="J3468" t="n">
        <v>0</v>
      </c>
      <c r="K3468" t="n">
        <v>0</v>
      </c>
      <c r="L3468" t="n">
        <v>0</v>
      </c>
      <c r="M3468" t="n">
        <v>0</v>
      </c>
      <c r="N3468" t="n">
        <v>0</v>
      </c>
      <c r="O3468" t="n">
        <v>0</v>
      </c>
      <c r="P3468" t="n">
        <v>0</v>
      </c>
      <c r="Q3468" t="n">
        <v>0</v>
      </c>
      <c r="R3468" s="2" t="inlineStr"/>
    </row>
    <row r="3469" ht="15" customHeight="1">
      <c r="A3469" t="inlineStr">
        <is>
          <t>A 39390-2020</t>
        </is>
      </c>
      <c r="B3469" s="1" t="n">
        <v>44064</v>
      </c>
      <c r="C3469" s="1" t="n">
        <v>45363</v>
      </c>
      <c r="D3469" t="inlineStr">
        <is>
          <t>JÄMTLANDS LÄN</t>
        </is>
      </c>
      <c r="E3469" t="inlineStr">
        <is>
          <t>STRÖMSUND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39397-2020</t>
        </is>
      </c>
      <c r="B3470" s="1" t="n">
        <v>44064</v>
      </c>
      <c r="C3470" s="1" t="n">
        <v>45363</v>
      </c>
      <c r="D3470" t="inlineStr">
        <is>
          <t>JÄMTLANDS LÄN</t>
        </is>
      </c>
      <c r="E3470" t="inlineStr">
        <is>
          <t>STRÖMSUND</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39648-2020</t>
        </is>
      </c>
      <c r="B3471" s="1" t="n">
        <v>44065</v>
      </c>
      <c r="C3471" s="1" t="n">
        <v>45363</v>
      </c>
      <c r="D3471" t="inlineStr">
        <is>
          <t>JÄMTLANDS LÄN</t>
        </is>
      </c>
      <c r="E3471" t="inlineStr">
        <is>
          <t>STRÖMSUND</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39998-2020</t>
        </is>
      </c>
      <c r="B3472" s="1" t="n">
        <v>44067</v>
      </c>
      <c r="C3472" s="1" t="n">
        <v>45363</v>
      </c>
      <c r="D3472" t="inlineStr">
        <is>
          <t>JÄMTLANDS LÄN</t>
        </is>
      </c>
      <c r="E3472" t="inlineStr">
        <is>
          <t>BRÄCKE</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40051-2020</t>
        </is>
      </c>
      <c r="B3473" s="1" t="n">
        <v>44067</v>
      </c>
      <c r="C3473" s="1" t="n">
        <v>45363</v>
      </c>
      <c r="D3473" t="inlineStr">
        <is>
          <t>JÄMTLANDS LÄN</t>
        </is>
      </c>
      <c r="E3473" t="inlineStr">
        <is>
          <t>RAGUNDA</t>
        </is>
      </c>
      <c r="F3473" t="inlineStr">
        <is>
          <t>SCA</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40080-2020</t>
        </is>
      </c>
      <c r="B3474" s="1" t="n">
        <v>44067</v>
      </c>
      <c r="C3474" s="1" t="n">
        <v>45363</v>
      </c>
      <c r="D3474" t="inlineStr">
        <is>
          <t>JÄMTLANDS LÄN</t>
        </is>
      </c>
      <c r="E3474" t="inlineStr">
        <is>
          <t>STRÖMSUND</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40057-2020</t>
        </is>
      </c>
      <c r="B3475" s="1" t="n">
        <v>44068</v>
      </c>
      <c r="C3475" s="1" t="n">
        <v>45363</v>
      </c>
      <c r="D3475" t="inlineStr">
        <is>
          <t>JÄMTLANDS LÄN</t>
        </is>
      </c>
      <c r="E3475" t="inlineStr">
        <is>
          <t>BRÄCKE</t>
        </is>
      </c>
      <c r="G3475" t="n">
        <v>25.5</v>
      </c>
      <c r="H3475" t="n">
        <v>0</v>
      </c>
      <c r="I3475" t="n">
        <v>0</v>
      </c>
      <c r="J3475" t="n">
        <v>0</v>
      </c>
      <c r="K3475" t="n">
        <v>0</v>
      </c>
      <c r="L3475" t="n">
        <v>0</v>
      </c>
      <c r="M3475" t="n">
        <v>0</v>
      </c>
      <c r="N3475" t="n">
        <v>0</v>
      </c>
      <c r="O3475" t="n">
        <v>0</v>
      </c>
      <c r="P3475" t="n">
        <v>0</v>
      </c>
      <c r="Q3475" t="n">
        <v>0</v>
      </c>
      <c r="R3475" s="2" t="inlineStr"/>
    </row>
    <row r="3476" ht="15" customHeight="1">
      <c r="A3476" t="inlineStr">
        <is>
          <t>A 40083-2020</t>
        </is>
      </c>
      <c r="B3476" s="1" t="n">
        <v>44067</v>
      </c>
      <c r="C3476" s="1" t="n">
        <v>45363</v>
      </c>
      <c r="D3476" t="inlineStr">
        <is>
          <t>JÄMTLANDS LÄN</t>
        </is>
      </c>
      <c r="E3476" t="inlineStr">
        <is>
          <t>BRÄCKE</t>
        </is>
      </c>
      <c r="F3476" t="inlineStr">
        <is>
          <t>SCA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40148-2020</t>
        </is>
      </c>
      <c r="B3477" s="1" t="n">
        <v>44068</v>
      </c>
      <c r="C3477" s="1" t="n">
        <v>45363</v>
      </c>
      <c r="D3477" t="inlineStr">
        <is>
          <t>JÄMTLANDS LÄN</t>
        </is>
      </c>
      <c r="E3477" t="inlineStr">
        <is>
          <t>ÅRE</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40333-2020</t>
        </is>
      </c>
      <c r="B3478" s="1" t="n">
        <v>44068</v>
      </c>
      <c r="C3478" s="1" t="n">
        <v>45363</v>
      </c>
      <c r="D3478" t="inlineStr">
        <is>
          <t>JÄMTLANDS LÄN</t>
        </is>
      </c>
      <c r="E3478" t="inlineStr">
        <is>
          <t>BERG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40316-2020</t>
        </is>
      </c>
      <c r="B3479" s="1" t="n">
        <v>44068</v>
      </c>
      <c r="C3479" s="1" t="n">
        <v>45363</v>
      </c>
      <c r="D3479" t="inlineStr">
        <is>
          <t>JÄMTLANDS LÄN</t>
        </is>
      </c>
      <c r="E3479" t="inlineStr">
        <is>
          <t>RAGUNDA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40387-2020</t>
        </is>
      </c>
      <c r="B3480" s="1" t="n">
        <v>44068</v>
      </c>
      <c r="C3480" s="1" t="n">
        <v>45363</v>
      </c>
      <c r="D3480" t="inlineStr">
        <is>
          <t>JÄMTLANDS LÄN</t>
        </is>
      </c>
      <c r="E3480" t="inlineStr">
        <is>
          <t>BRÄCKE</t>
        </is>
      </c>
      <c r="F3480" t="inlineStr">
        <is>
          <t>SCA</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40742-2020</t>
        </is>
      </c>
      <c r="B3481" s="1" t="n">
        <v>44069</v>
      </c>
      <c r="C3481" s="1" t="n">
        <v>45363</v>
      </c>
      <c r="D3481" t="inlineStr">
        <is>
          <t>JÄMTLANDS LÄN</t>
        </is>
      </c>
      <c r="E3481" t="inlineStr">
        <is>
          <t>RAGUNDA</t>
        </is>
      </c>
      <c r="F3481" t="inlineStr">
        <is>
          <t>SCA</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40519-2020</t>
        </is>
      </c>
      <c r="B3482" s="1" t="n">
        <v>44069</v>
      </c>
      <c r="C3482" s="1" t="n">
        <v>45363</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41025-2020</t>
        </is>
      </c>
      <c r="B3483" s="1" t="n">
        <v>44071</v>
      </c>
      <c r="C3483" s="1" t="n">
        <v>45363</v>
      </c>
      <c r="D3483" t="inlineStr">
        <is>
          <t>JÄMTLANDS LÄN</t>
        </is>
      </c>
      <c r="E3483" t="inlineStr">
        <is>
          <t>BRÄCKE</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41352-2020</t>
        </is>
      </c>
      <c r="B3484" s="1" t="n">
        <v>44071</v>
      </c>
      <c r="C3484" s="1" t="n">
        <v>45363</v>
      </c>
      <c r="D3484" t="inlineStr">
        <is>
          <t>JÄMTLANDS LÄN</t>
        </is>
      </c>
      <c r="E3484" t="inlineStr">
        <is>
          <t>BRÄCKE</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41354-2020</t>
        </is>
      </c>
      <c r="B3485" s="1" t="n">
        <v>44072</v>
      </c>
      <c r="C3485" s="1" t="n">
        <v>45363</v>
      </c>
      <c r="D3485" t="inlineStr">
        <is>
          <t>JÄMTLANDS LÄN</t>
        </is>
      </c>
      <c r="E3485" t="inlineStr">
        <is>
          <t>ÖSTERSUND</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41346-2020</t>
        </is>
      </c>
      <c r="B3486" s="1" t="n">
        <v>44071</v>
      </c>
      <c r="C3486" s="1" t="n">
        <v>45363</v>
      </c>
      <c r="D3486" t="inlineStr">
        <is>
          <t>JÄMTLANDS LÄN</t>
        </is>
      </c>
      <c r="E3486" t="inlineStr">
        <is>
          <t>RAGUNDA</t>
        </is>
      </c>
      <c r="F3486" t="inlineStr">
        <is>
          <t>SCA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41349-2020</t>
        </is>
      </c>
      <c r="B3487" s="1" t="n">
        <v>44071</v>
      </c>
      <c r="C3487" s="1" t="n">
        <v>45363</v>
      </c>
      <c r="D3487" t="inlineStr">
        <is>
          <t>JÄMTLANDS LÄN</t>
        </is>
      </c>
      <c r="E3487" t="inlineStr">
        <is>
          <t>BRÄCKE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41368-2020</t>
        </is>
      </c>
      <c r="B3488" s="1" t="n">
        <v>44071</v>
      </c>
      <c r="C3488" s="1" t="n">
        <v>45363</v>
      </c>
      <c r="D3488" t="inlineStr">
        <is>
          <t>JÄMTLANDS LÄN</t>
        </is>
      </c>
      <c r="E3488" t="inlineStr">
        <is>
          <t>STRÖMSUND</t>
        </is>
      </c>
      <c r="F3488" t="inlineStr">
        <is>
          <t>SCA</t>
        </is>
      </c>
      <c r="G3488" t="n">
        <v>8.199999999999999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41451-2020</t>
        </is>
      </c>
      <c r="B3489" s="1" t="n">
        <v>44073</v>
      </c>
      <c r="C3489" s="1" t="n">
        <v>45363</v>
      </c>
      <c r="D3489" t="inlineStr">
        <is>
          <t>JÄMTLANDS LÄN</t>
        </is>
      </c>
      <c r="E3489" t="inlineStr">
        <is>
          <t>STRÖMSUND</t>
        </is>
      </c>
      <c r="F3489" t="inlineStr">
        <is>
          <t>SCA</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41450-2020</t>
        </is>
      </c>
      <c r="B3490" s="1" t="n">
        <v>44073</v>
      </c>
      <c r="C3490" s="1" t="n">
        <v>45363</v>
      </c>
      <c r="D3490" t="inlineStr">
        <is>
          <t>JÄMTLANDS LÄN</t>
        </is>
      </c>
      <c r="E3490" t="inlineStr">
        <is>
          <t>STRÖMSUND</t>
        </is>
      </c>
      <c r="F3490" t="inlineStr">
        <is>
          <t>SCA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41454-2020</t>
        </is>
      </c>
      <c r="B3491" s="1" t="n">
        <v>44073</v>
      </c>
      <c r="C3491" s="1" t="n">
        <v>45363</v>
      </c>
      <c r="D3491" t="inlineStr">
        <is>
          <t>JÄMTLANDS LÄN</t>
        </is>
      </c>
      <c r="E3491" t="inlineStr">
        <is>
          <t>STRÖMSUND</t>
        </is>
      </c>
      <c r="F3491" t="inlineStr">
        <is>
          <t>SCA</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41889-2020</t>
        </is>
      </c>
      <c r="B3492" s="1" t="n">
        <v>44075</v>
      </c>
      <c r="C3492" s="1" t="n">
        <v>45363</v>
      </c>
      <c r="D3492" t="inlineStr">
        <is>
          <t>JÄMTLANDS LÄN</t>
        </is>
      </c>
      <c r="E3492" t="inlineStr">
        <is>
          <t>RAGUNDA</t>
        </is>
      </c>
      <c r="F3492" t="inlineStr">
        <is>
          <t>SCA</t>
        </is>
      </c>
      <c r="G3492" t="n">
        <v>11.4</v>
      </c>
      <c r="H3492" t="n">
        <v>0</v>
      </c>
      <c r="I3492" t="n">
        <v>0</v>
      </c>
      <c r="J3492" t="n">
        <v>0</v>
      </c>
      <c r="K3492" t="n">
        <v>0</v>
      </c>
      <c r="L3492" t="n">
        <v>0</v>
      </c>
      <c r="M3492" t="n">
        <v>0</v>
      </c>
      <c r="N3492" t="n">
        <v>0</v>
      </c>
      <c r="O3492" t="n">
        <v>0</v>
      </c>
      <c r="P3492" t="n">
        <v>0</v>
      </c>
      <c r="Q3492" t="n">
        <v>0</v>
      </c>
      <c r="R3492" s="2" t="inlineStr"/>
    </row>
    <row r="3493" ht="15" customHeight="1">
      <c r="A3493" t="inlineStr">
        <is>
          <t>A 41875-2020</t>
        </is>
      </c>
      <c r="B3493" s="1" t="n">
        <v>44074</v>
      </c>
      <c r="C3493" s="1" t="n">
        <v>45363</v>
      </c>
      <c r="D3493" t="inlineStr">
        <is>
          <t>JÄMTLANDS LÄN</t>
        </is>
      </c>
      <c r="E3493" t="inlineStr">
        <is>
          <t>RAGUNDA</t>
        </is>
      </c>
      <c r="F3493" t="inlineStr">
        <is>
          <t>Naturvårdsverket</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41892-2020</t>
        </is>
      </c>
      <c r="B3494" s="1" t="n">
        <v>44074</v>
      </c>
      <c r="C3494" s="1" t="n">
        <v>45363</v>
      </c>
      <c r="D3494" t="inlineStr">
        <is>
          <t>JÄMTLANDS LÄN</t>
        </is>
      </c>
      <c r="E3494" t="inlineStr">
        <is>
          <t>STRÖMSUND</t>
        </is>
      </c>
      <c r="F3494" t="inlineStr">
        <is>
          <t>SCA</t>
        </is>
      </c>
      <c r="G3494" t="n">
        <v>12.2</v>
      </c>
      <c r="H3494" t="n">
        <v>0</v>
      </c>
      <c r="I3494" t="n">
        <v>0</v>
      </c>
      <c r="J3494" t="n">
        <v>0</v>
      </c>
      <c r="K3494" t="n">
        <v>0</v>
      </c>
      <c r="L3494" t="n">
        <v>0</v>
      </c>
      <c r="M3494" t="n">
        <v>0</v>
      </c>
      <c r="N3494" t="n">
        <v>0</v>
      </c>
      <c r="O3494" t="n">
        <v>0</v>
      </c>
      <c r="P3494" t="n">
        <v>0</v>
      </c>
      <c r="Q3494" t="n">
        <v>0</v>
      </c>
      <c r="R3494" s="2" t="inlineStr"/>
    </row>
    <row r="3495" ht="15" customHeight="1">
      <c r="A3495" t="inlineStr">
        <is>
          <t>A 41887-2020</t>
        </is>
      </c>
      <c r="B3495" s="1" t="n">
        <v>44074</v>
      </c>
      <c r="C3495" s="1" t="n">
        <v>45363</v>
      </c>
      <c r="D3495" t="inlineStr">
        <is>
          <t>JÄMTLANDS LÄN</t>
        </is>
      </c>
      <c r="E3495" t="inlineStr">
        <is>
          <t>RAGUNDA</t>
        </is>
      </c>
      <c r="F3495" t="inlineStr">
        <is>
          <t>SCA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41885-2020</t>
        </is>
      </c>
      <c r="B3496" s="1" t="n">
        <v>44074</v>
      </c>
      <c r="C3496" s="1" t="n">
        <v>45363</v>
      </c>
      <c r="D3496" t="inlineStr">
        <is>
          <t>JÄMTLANDS LÄN</t>
        </is>
      </c>
      <c r="E3496" t="inlineStr">
        <is>
          <t>RAGUNDA</t>
        </is>
      </c>
      <c r="F3496" t="inlineStr">
        <is>
          <t>SCA</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41490-2020</t>
        </is>
      </c>
      <c r="B3497" s="1" t="n">
        <v>44074</v>
      </c>
      <c r="C3497" s="1" t="n">
        <v>45363</v>
      </c>
      <c r="D3497" t="inlineStr">
        <is>
          <t>JÄMTLANDS LÄN</t>
        </is>
      </c>
      <c r="E3497" t="inlineStr">
        <is>
          <t>STRÖMSUND</t>
        </is>
      </c>
      <c r="F3497" t="inlineStr">
        <is>
          <t>SCA</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42078-2020</t>
        </is>
      </c>
      <c r="B3498" s="1" t="n">
        <v>44075</v>
      </c>
      <c r="C3498" s="1" t="n">
        <v>45363</v>
      </c>
      <c r="D3498" t="inlineStr">
        <is>
          <t>JÄMTLANDS LÄN</t>
        </is>
      </c>
      <c r="E3498" t="inlineStr">
        <is>
          <t>HÄRJEDALEN</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42204-2020</t>
        </is>
      </c>
      <c r="B3499" s="1" t="n">
        <v>44075</v>
      </c>
      <c r="C3499" s="1" t="n">
        <v>45363</v>
      </c>
      <c r="D3499" t="inlineStr">
        <is>
          <t>JÄMTLANDS LÄN</t>
        </is>
      </c>
      <c r="E3499" t="inlineStr">
        <is>
          <t>BRÄCKE</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42203-2020</t>
        </is>
      </c>
      <c r="B3500" s="1" t="n">
        <v>44075</v>
      </c>
      <c r="C3500" s="1" t="n">
        <v>45363</v>
      </c>
      <c r="D3500" t="inlineStr">
        <is>
          <t>JÄMTLANDS LÄN</t>
        </is>
      </c>
      <c r="E3500" t="inlineStr">
        <is>
          <t>BRÄCKE</t>
        </is>
      </c>
      <c r="F3500" t="inlineStr">
        <is>
          <t>SCA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42202-2020</t>
        </is>
      </c>
      <c r="B3501" s="1" t="n">
        <v>44075</v>
      </c>
      <c r="C3501" s="1" t="n">
        <v>45363</v>
      </c>
      <c r="D3501" t="inlineStr">
        <is>
          <t>JÄMTLANDS LÄN</t>
        </is>
      </c>
      <c r="E3501" t="inlineStr">
        <is>
          <t>BRÄCKE</t>
        </is>
      </c>
      <c r="F3501" t="inlineStr">
        <is>
          <t>SCA</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42208-2020</t>
        </is>
      </c>
      <c r="B3502" s="1" t="n">
        <v>44075</v>
      </c>
      <c r="C3502" s="1" t="n">
        <v>45363</v>
      </c>
      <c r="D3502" t="inlineStr">
        <is>
          <t>JÄMTLANDS LÄN</t>
        </is>
      </c>
      <c r="E3502" t="inlineStr">
        <is>
          <t>RAGUNDA</t>
        </is>
      </c>
      <c r="F3502" t="inlineStr">
        <is>
          <t>SCA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42385-2020</t>
        </is>
      </c>
      <c r="B3503" s="1" t="n">
        <v>44076</v>
      </c>
      <c r="C3503" s="1" t="n">
        <v>45363</v>
      </c>
      <c r="D3503" t="inlineStr">
        <is>
          <t>JÄMTLANDS LÄN</t>
        </is>
      </c>
      <c r="E3503" t="inlineStr">
        <is>
          <t>KROKOM</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42337-2020</t>
        </is>
      </c>
      <c r="B3504" s="1" t="n">
        <v>44076</v>
      </c>
      <c r="C3504" s="1" t="n">
        <v>45363</v>
      </c>
      <c r="D3504" t="inlineStr">
        <is>
          <t>JÄMTLANDS LÄN</t>
        </is>
      </c>
      <c r="E3504" t="inlineStr">
        <is>
          <t>ÅRE</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42712-2020</t>
        </is>
      </c>
      <c r="B3505" s="1" t="n">
        <v>44076</v>
      </c>
      <c r="C3505" s="1" t="n">
        <v>45363</v>
      </c>
      <c r="D3505" t="inlineStr">
        <is>
          <t>JÄMTLANDS LÄN</t>
        </is>
      </c>
      <c r="E3505" t="inlineStr">
        <is>
          <t>ÖSTERSUND</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42643-2020</t>
        </is>
      </c>
      <c r="B3506" s="1" t="n">
        <v>44077</v>
      </c>
      <c r="C3506" s="1" t="n">
        <v>45363</v>
      </c>
      <c r="D3506" t="inlineStr">
        <is>
          <t>JÄMTLANDS LÄN</t>
        </is>
      </c>
      <c r="E3506" t="inlineStr">
        <is>
          <t>ÅRE</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42634-2020</t>
        </is>
      </c>
      <c r="B3507" s="1" t="n">
        <v>44077</v>
      </c>
      <c r="C3507" s="1" t="n">
        <v>45363</v>
      </c>
      <c r="D3507" t="inlineStr">
        <is>
          <t>JÄMTLANDS LÄN</t>
        </is>
      </c>
      <c r="E3507" t="inlineStr">
        <is>
          <t>ÅRE</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42749-2020</t>
        </is>
      </c>
      <c r="B3508" s="1" t="n">
        <v>44078</v>
      </c>
      <c r="C3508" s="1" t="n">
        <v>45363</v>
      </c>
      <c r="D3508" t="inlineStr">
        <is>
          <t>JÄMTLANDS LÄN</t>
        </is>
      </c>
      <c r="E3508" t="inlineStr">
        <is>
          <t>ÖSTERSUND</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43167-2020</t>
        </is>
      </c>
      <c r="B3509" s="1" t="n">
        <v>44077</v>
      </c>
      <c r="C3509" s="1" t="n">
        <v>45363</v>
      </c>
      <c r="D3509" t="inlineStr">
        <is>
          <t>JÄMTLANDS LÄN</t>
        </is>
      </c>
      <c r="E3509" t="inlineStr">
        <is>
          <t>ÅRE</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42650-2020</t>
        </is>
      </c>
      <c r="B3510" s="1" t="n">
        <v>44077</v>
      </c>
      <c r="C3510" s="1" t="n">
        <v>45363</v>
      </c>
      <c r="D3510" t="inlineStr">
        <is>
          <t>JÄMTLANDS LÄN</t>
        </is>
      </c>
      <c r="E3510" t="inlineStr">
        <is>
          <t>ÅRE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42550-2020</t>
        </is>
      </c>
      <c r="B3511" s="1" t="n">
        <v>44077</v>
      </c>
      <c r="C3511" s="1" t="n">
        <v>45363</v>
      </c>
      <c r="D3511" t="inlineStr">
        <is>
          <t>JÄMTLANDS LÄN</t>
        </is>
      </c>
      <c r="E3511" t="inlineStr">
        <is>
          <t>KROKOM</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42765-2020</t>
        </is>
      </c>
      <c r="B3512" s="1" t="n">
        <v>44077</v>
      </c>
      <c r="C3512" s="1" t="n">
        <v>45363</v>
      </c>
      <c r="D3512" t="inlineStr">
        <is>
          <t>JÄMTLANDS LÄN</t>
        </is>
      </c>
      <c r="E3512" t="inlineStr">
        <is>
          <t>ÖSTERSUND</t>
        </is>
      </c>
      <c r="F3512" t="inlineStr">
        <is>
          <t>SCA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42766-2020</t>
        </is>
      </c>
      <c r="B3513" s="1" t="n">
        <v>44077</v>
      </c>
      <c r="C3513" s="1" t="n">
        <v>45363</v>
      </c>
      <c r="D3513" t="inlineStr">
        <is>
          <t>JÄMTLANDS LÄN</t>
        </is>
      </c>
      <c r="E3513" t="inlineStr">
        <is>
          <t>ÖSTERSUND</t>
        </is>
      </c>
      <c r="F3513" t="inlineStr">
        <is>
          <t>SCA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42899-2020</t>
        </is>
      </c>
      <c r="B3514" s="1" t="n">
        <v>44078</v>
      </c>
      <c r="C3514" s="1" t="n">
        <v>45363</v>
      </c>
      <c r="D3514" t="inlineStr">
        <is>
          <t>JÄMTLANDS LÄN</t>
        </is>
      </c>
      <c r="E3514" t="inlineStr">
        <is>
          <t>RAGUNDA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42897-2020</t>
        </is>
      </c>
      <c r="B3515" s="1" t="n">
        <v>44078</v>
      </c>
      <c r="C3515" s="1" t="n">
        <v>45363</v>
      </c>
      <c r="D3515" t="inlineStr">
        <is>
          <t>JÄMTLANDS LÄN</t>
        </is>
      </c>
      <c r="E3515" t="inlineStr">
        <is>
          <t>BRÄCKE</t>
        </is>
      </c>
      <c r="G3515" t="n">
        <v>12.9</v>
      </c>
      <c r="H3515" t="n">
        <v>0</v>
      </c>
      <c r="I3515" t="n">
        <v>0</v>
      </c>
      <c r="J3515" t="n">
        <v>0</v>
      </c>
      <c r="K3515" t="n">
        <v>0</v>
      </c>
      <c r="L3515" t="n">
        <v>0</v>
      </c>
      <c r="M3515" t="n">
        <v>0</v>
      </c>
      <c r="N3515" t="n">
        <v>0</v>
      </c>
      <c r="O3515" t="n">
        <v>0</v>
      </c>
      <c r="P3515" t="n">
        <v>0</v>
      </c>
      <c r="Q3515" t="n">
        <v>0</v>
      </c>
      <c r="R3515" s="2" t="inlineStr"/>
    </row>
    <row r="3516" ht="15" customHeight="1">
      <c r="A3516" t="inlineStr">
        <is>
          <t>A 43070-2020</t>
        </is>
      </c>
      <c r="B3516" s="1" t="n">
        <v>44078</v>
      </c>
      <c r="C3516" s="1" t="n">
        <v>45363</v>
      </c>
      <c r="D3516" t="inlineStr">
        <is>
          <t>JÄMTLANDS LÄN</t>
        </is>
      </c>
      <c r="E3516" t="inlineStr">
        <is>
          <t>BRÄCKE</t>
        </is>
      </c>
      <c r="F3516" t="inlineStr">
        <is>
          <t>SCA</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43417-2020</t>
        </is>
      </c>
      <c r="B3517" s="1" t="n">
        <v>44078</v>
      </c>
      <c r="C3517" s="1" t="n">
        <v>45363</v>
      </c>
      <c r="D3517" t="inlineStr">
        <is>
          <t>JÄMTLANDS LÄN</t>
        </is>
      </c>
      <c r="E3517" t="inlineStr">
        <is>
          <t>HÄRJEDALEN</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43075-2020</t>
        </is>
      </c>
      <c r="B3518" s="1" t="n">
        <v>44078</v>
      </c>
      <c r="C3518" s="1" t="n">
        <v>45363</v>
      </c>
      <c r="D3518" t="inlineStr">
        <is>
          <t>JÄMTLANDS LÄN</t>
        </is>
      </c>
      <c r="E3518" t="inlineStr">
        <is>
          <t>BRÄCKE</t>
        </is>
      </c>
      <c r="F3518" t="inlineStr">
        <is>
          <t>SCA</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43085-2020</t>
        </is>
      </c>
      <c r="B3519" s="1" t="n">
        <v>44078</v>
      </c>
      <c r="C3519" s="1" t="n">
        <v>45363</v>
      </c>
      <c r="D3519" t="inlineStr">
        <is>
          <t>JÄMTLANDS LÄN</t>
        </is>
      </c>
      <c r="E3519" t="inlineStr">
        <is>
          <t>BRÄCKE</t>
        </is>
      </c>
      <c r="F3519" t="inlineStr">
        <is>
          <t>SCA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43447-2020</t>
        </is>
      </c>
      <c r="B3520" s="1" t="n">
        <v>44081</v>
      </c>
      <c r="C3520" s="1" t="n">
        <v>45363</v>
      </c>
      <c r="D3520" t="inlineStr">
        <is>
          <t>JÄMTLANDS LÄN</t>
        </is>
      </c>
      <c r="E3520" t="inlineStr">
        <is>
          <t>STRÖMSUND</t>
        </is>
      </c>
      <c r="F3520" t="inlineStr">
        <is>
          <t>SCA</t>
        </is>
      </c>
      <c r="G3520" t="n">
        <v>24.7</v>
      </c>
      <c r="H3520" t="n">
        <v>0</v>
      </c>
      <c r="I3520" t="n">
        <v>0</v>
      </c>
      <c r="J3520" t="n">
        <v>0</v>
      </c>
      <c r="K3520" t="n">
        <v>0</v>
      </c>
      <c r="L3520" t="n">
        <v>0</v>
      </c>
      <c r="M3520" t="n">
        <v>0</v>
      </c>
      <c r="N3520" t="n">
        <v>0</v>
      </c>
      <c r="O3520" t="n">
        <v>0</v>
      </c>
      <c r="P3520" t="n">
        <v>0</v>
      </c>
      <c r="Q3520" t="n">
        <v>0</v>
      </c>
      <c r="R3520" s="2" t="inlineStr"/>
    </row>
    <row r="3521" ht="15" customHeight="1">
      <c r="A3521" t="inlineStr">
        <is>
          <t>A 43448-2020</t>
        </is>
      </c>
      <c r="B3521" s="1" t="n">
        <v>44081</v>
      </c>
      <c r="C3521" s="1" t="n">
        <v>45363</v>
      </c>
      <c r="D3521" t="inlineStr">
        <is>
          <t>JÄMTLANDS LÄN</t>
        </is>
      </c>
      <c r="E3521" t="inlineStr">
        <is>
          <t>STRÖMSUND</t>
        </is>
      </c>
      <c r="F3521" t="inlineStr">
        <is>
          <t>SCA</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43748-2020</t>
        </is>
      </c>
      <c r="B3522" s="1" t="n">
        <v>44082</v>
      </c>
      <c r="C3522" s="1" t="n">
        <v>45363</v>
      </c>
      <c r="D3522" t="inlineStr">
        <is>
          <t>JÄMTLANDS LÄN</t>
        </is>
      </c>
      <c r="E3522" t="inlineStr">
        <is>
          <t>HÄRJEDALEN</t>
        </is>
      </c>
      <c r="F3522" t="inlineStr">
        <is>
          <t>Holmen skog AB</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43796-2020</t>
        </is>
      </c>
      <c r="B3523" s="1" t="n">
        <v>44082</v>
      </c>
      <c r="C3523" s="1" t="n">
        <v>45363</v>
      </c>
      <c r="D3523" t="inlineStr">
        <is>
          <t>JÄMTLANDS LÄN</t>
        </is>
      </c>
      <c r="E3523" t="inlineStr">
        <is>
          <t>ÖSTERSUND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43750-2020</t>
        </is>
      </c>
      <c r="B3524" s="1" t="n">
        <v>44082</v>
      </c>
      <c r="C3524" s="1" t="n">
        <v>45363</v>
      </c>
      <c r="D3524" t="inlineStr">
        <is>
          <t>JÄMTLANDS LÄN</t>
        </is>
      </c>
      <c r="E3524" t="inlineStr">
        <is>
          <t>HÄRJEDALEN</t>
        </is>
      </c>
      <c r="F3524" t="inlineStr">
        <is>
          <t>Holmen skog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43828-2020</t>
        </is>
      </c>
      <c r="B3525" s="1" t="n">
        <v>44082</v>
      </c>
      <c r="C3525" s="1" t="n">
        <v>45363</v>
      </c>
      <c r="D3525" t="inlineStr">
        <is>
          <t>JÄMTLANDS LÄN</t>
        </is>
      </c>
      <c r="E3525" t="inlineStr">
        <is>
          <t>RAGUNDA</t>
        </is>
      </c>
      <c r="F3525" t="inlineStr">
        <is>
          <t>SCA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44003-2020</t>
        </is>
      </c>
      <c r="B3526" s="1" t="n">
        <v>44083</v>
      </c>
      <c r="C3526" s="1" t="n">
        <v>45363</v>
      </c>
      <c r="D3526" t="inlineStr">
        <is>
          <t>JÄMTLANDS LÄN</t>
        </is>
      </c>
      <c r="E3526" t="inlineStr">
        <is>
          <t>BERG</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44009-2020</t>
        </is>
      </c>
      <c r="B3527" s="1" t="n">
        <v>44083</v>
      </c>
      <c r="C3527" s="1" t="n">
        <v>45363</v>
      </c>
      <c r="D3527" t="inlineStr">
        <is>
          <t>JÄMTLANDS LÄN</t>
        </is>
      </c>
      <c r="E3527" t="inlineStr">
        <is>
          <t>STRÖMSUND</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44065-2020</t>
        </is>
      </c>
      <c r="B3528" s="1" t="n">
        <v>44083</v>
      </c>
      <c r="C3528" s="1" t="n">
        <v>45363</v>
      </c>
      <c r="D3528" t="inlineStr">
        <is>
          <t>JÄMTLANDS LÄN</t>
        </is>
      </c>
      <c r="E3528" t="inlineStr">
        <is>
          <t>BRÄCKE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44197-2020</t>
        </is>
      </c>
      <c r="B3529" s="1" t="n">
        <v>44083</v>
      </c>
      <c r="C3529" s="1" t="n">
        <v>45363</v>
      </c>
      <c r="D3529" t="inlineStr">
        <is>
          <t>JÄMTLANDS LÄN</t>
        </is>
      </c>
      <c r="E3529" t="inlineStr">
        <is>
          <t>STRÖMSUND</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44989-2020</t>
        </is>
      </c>
      <c r="B3530" s="1" t="n">
        <v>44083</v>
      </c>
      <c r="C3530" s="1" t="n">
        <v>45363</v>
      </c>
      <c r="D3530" t="inlineStr">
        <is>
          <t>JÄMTLANDS LÄN</t>
        </is>
      </c>
      <c r="E3530" t="inlineStr">
        <is>
          <t>STRÖMSUND</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44992-2020</t>
        </is>
      </c>
      <c r="B3531" s="1" t="n">
        <v>44083</v>
      </c>
      <c r="C3531" s="1" t="n">
        <v>45363</v>
      </c>
      <c r="D3531" t="inlineStr">
        <is>
          <t>JÄMTLANDS LÄN</t>
        </is>
      </c>
      <c r="E3531" t="inlineStr">
        <is>
          <t>STRÖMSUND</t>
        </is>
      </c>
      <c r="G3531" t="n">
        <v>20.3</v>
      </c>
      <c r="H3531" t="n">
        <v>0</v>
      </c>
      <c r="I3531" t="n">
        <v>0</v>
      </c>
      <c r="J3531" t="n">
        <v>0</v>
      </c>
      <c r="K3531" t="n">
        <v>0</v>
      </c>
      <c r="L3531" t="n">
        <v>0</v>
      </c>
      <c r="M3531" t="n">
        <v>0</v>
      </c>
      <c r="N3531" t="n">
        <v>0</v>
      </c>
      <c r="O3531" t="n">
        <v>0</v>
      </c>
      <c r="P3531" t="n">
        <v>0</v>
      </c>
      <c r="Q3531" t="n">
        <v>0</v>
      </c>
      <c r="R3531" s="2" t="inlineStr"/>
    </row>
    <row r="3532" ht="15" customHeight="1">
      <c r="A3532" t="inlineStr">
        <is>
          <t>A 44218-2020</t>
        </is>
      </c>
      <c r="B3532" s="1" t="n">
        <v>44084</v>
      </c>
      <c r="C3532" s="1" t="n">
        <v>45363</v>
      </c>
      <c r="D3532" t="inlineStr">
        <is>
          <t>JÄMTLANDS LÄN</t>
        </is>
      </c>
      <c r="E3532" t="inlineStr">
        <is>
          <t>BRÄCKE</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44381-2020</t>
        </is>
      </c>
      <c r="B3533" s="1" t="n">
        <v>44084</v>
      </c>
      <c r="C3533" s="1" t="n">
        <v>45363</v>
      </c>
      <c r="D3533" t="inlineStr">
        <is>
          <t>JÄMTLANDS LÄN</t>
        </is>
      </c>
      <c r="E3533" t="inlineStr">
        <is>
          <t>HÄRJEDALEN</t>
        </is>
      </c>
      <c r="F3533" t="inlineStr">
        <is>
          <t>Holmen skog AB</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44422-2020</t>
        </is>
      </c>
      <c r="B3534" s="1" t="n">
        <v>44084</v>
      </c>
      <c r="C3534" s="1" t="n">
        <v>45363</v>
      </c>
      <c r="D3534" t="inlineStr">
        <is>
          <t>JÄMTLANDS LÄN</t>
        </is>
      </c>
      <c r="E3534" t="inlineStr">
        <is>
          <t>BERG</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44511-2020</t>
        </is>
      </c>
      <c r="B3535" s="1" t="n">
        <v>44084</v>
      </c>
      <c r="C3535" s="1" t="n">
        <v>45363</v>
      </c>
      <c r="D3535" t="inlineStr">
        <is>
          <t>JÄMTLANDS LÄN</t>
        </is>
      </c>
      <c r="E3535" t="inlineStr">
        <is>
          <t>RAGUNDA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44498-2020</t>
        </is>
      </c>
      <c r="B3536" s="1" t="n">
        <v>44084</v>
      </c>
      <c r="C3536" s="1" t="n">
        <v>45363</v>
      </c>
      <c r="D3536" t="inlineStr">
        <is>
          <t>JÄMTLANDS LÄN</t>
        </is>
      </c>
      <c r="E3536" t="inlineStr">
        <is>
          <t>RAGUNDA</t>
        </is>
      </c>
      <c r="F3536" t="inlineStr">
        <is>
          <t>SCA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45272-2020</t>
        </is>
      </c>
      <c r="B3537" s="1" t="n">
        <v>44084</v>
      </c>
      <c r="C3537" s="1" t="n">
        <v>45363</v>
      </c>
      <c r="D3537" t="inlineStr">
        <is>
          <t>JÄMTLANDS LÄN</t>
        </is>
      </c>
      <c r="E3537" t="inlineStr">
        <is>
          <t>RAGUNDA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45426-2020</t>
        </is>
      </c>
      <c r="B3538" s="1" t="n">
        <v>44088</v>
      </c>
      <c r="C3538" s="1" t="n">
        <v>45363</v>
      </c>
      <c r="D3538" t="inlineStr">
        <is>
          <t>JÄMTLANDS LÄN</t>
        </is>
      </c>
      <c r="E3538" t="inlineStr">
        <is>
          <t>HÄRJEDALEN</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44908-2020</t>
        </is>
      </c>
      <c r="B3539" s="1" t="n">
        <v>44088</v>
      </c>
      <c r="C3539" s="1" t="n">
        <v>45363</v>
      </c>
      <c r="D3539" t="inlineStr">
        <is>
          <t>JÄMTLANDS LÄN</t>
        </is>
      </c>
      <c r="E3539" t="inlineStr">
        <is>
          <t>BRÄCKE</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45602-2020</t>
        </is>
      </c>
      <c r="B3540" s="1" t="n">
        <v>44090</v>
      </c>
      <c r="C3540" s="1" t="n">
        <v>45363</v>
      </c>
      <c r="D3540" t="inlineStr">
        <is>
          <t>JÄMTLANDS LÄN</t>
        </is>
      </c>
      <c r="E3540" t="inlineStr">
        <is>
          <t>KROKOM</t>
        </is>
      </c>
      <c r="F3540" t="inlineStr">
        <is>
          <t>Övriga Aktiebolag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45820-2020</t>
        </is>
      </c>
      <c r="B3541" s="1" t="n">
        <v>44090</v>
      </c>
      <c r="C3541" s="1" t="n">
        <v>45363</v>
      </c>
      <c r="D3541" t="inlineStr">
        <is>
          <t>JÄMTLANDS LÄN</t>
        </is>
      </c>
      <c r="E3541" t="inlineStr">
        <is>
          <t>ÖSTERSUND</t>
        </is>
      </c>
      <c r="F3541" t="inlineStr">
        <is>
          <t>SCA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45832-2020</t>
        </is>
      </c>
      <c r="B3542" s="1" t="n">
        <v>44090</v>
      </c>
      <c r="C3542" s="1" t="n">
        <v>45363</v>
      </c>
      <c r="D3542" t="inlineStr">
        <is>
          <t>JÄMTLANDS LÄN</t>
        </is>
      </c>
      <c r="E3542" t="inlineStr">
        <is>
          <t>BRÄCKE</t>
        </is>
      </c>
      <c r="F3542" t="inlineStr">
        <is>
          <t>SCA</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46920-2020</t>
        </is>
      </c>
      <c r="B3543" s="1" t="n">
        <v>44090</v>
      </c>
      <c r="C3543" s="1" t="n">
        <v>45363</v>
      </c>
      <c r="D3543" t="inlineStr">
        <is>
          <t>JÄMTLANDS LÄN</t>
        </is>
      </c>
      <c r="E3543" t="inlineStr">
        <is>
          <t>RAGUNDA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45866-2020</t>
        </is>
      </c>
      <c r="B3544" s="1" t="n">
        <v>44091</v>
      </c>
      <c r="C3544" s="1" t="n">
        <v>45363</v>
      </c>
      <c r="D3544" t="inlineStr">
        <is>
          <t>JÄMTLANDS LÄN</t>
        </is>
      </c>
      <c r="E3544" t="inlineStr">
        <is>
          <t>HÄRJEDALEN</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46103-2020</t>
        </is>
      </c>
      <c r="B3545" s="1" t="n">
        <v>44091</v>
      </c>
      <c r="C3545" s="1" t="n">
        <v>45363</v>
      </c>
      <c r="D3545" t="inlineStr">
        <is>
          <t>JÄMTLANDS LÄN</t>
        </is>
      </c>
      <c r="E3545" t="inlineStr">
        <is>
          <t>HÄRJEDALEN</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46310-2020</t>
        </is>
      </c>
      <c r="B3546" s="1" t="n">
        <v>44092</v>
      </c>
      <c r="C3546" s="1" t="n">
        <v>45363</v>
      </c>
      <c r="D3546" t="inlineStr">
        <is>
          <t>JÄMTLANDS LÄN</t>
        </is>
      </c>
      <c r="E3546" t="inlineStr">
        <is>
          <t>HÄRJEDALEN</t>
        </is>
      </c>
      <c r="F3546" t="inlineStr">
        <is>
          <t>Bergvik skog väst AB</t>
        </is>
      </c>
      <c r="G3546" t="n">
        <v>26.6</v>
      </c>
      <c r="H3546" t="n">
        <v>0</v>
      </c>
      <c r="I3546" t="n">
        <v>0</v>
      </c>
      <c r="J3546" t="n">
        <v>0</v>
      </c>
      <c r="K3546" t="n">
        <v>0</v>
      </c>
      <c r="L3546" t="n">
        <v>0</v>
      </c>
      <c r="M3546" t="n">
        <v>0</v>
      </c>
      <c r="N3546" t="n">
        <v>0</v>
      </c>
      <c r="O3546" t="n">
        <v>0</v>
      </c>
      <c r="P3546" t="n">
        <v>0</v>
      </c>
      <c r="Q3546" t="n">
        <v>0</v>
      </c>
      <c r="R3546" s="2" t="inlineStr"/>
    </row>
    <row r="3547" ht="15" customHeight="1">
      <c r="A3547" t="inlineStr">
        <is>
          <t>A 46425-2020</t>
        </is>
      </c>
      <c r="B3547" s="1" t="n">
        <v>44095</v>
      </c>
      <c r="C3547" s="1" t="n">
        <v>45363</v>
      </c>
      <c r="D3547" t="inlineStr">
        <is>
          <t>JÄMTLANDS LÄN</t>
        </is>
      </c>
      <c r="E3547" t="inlineStr">
        <is>
          <t>STRÖMSUND</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46496-2020</t>
        </is>
      </c>
      <c r="B3548" s="1" t="n">
        <v>44095</v>
      </c>
      <c r="C3548" s="1" t="n">
        <v>45363</v>
      </c>
      <c r="D3548" t="inlineStr">
        <is>
          <t>JÄMTLANDS LÄN</t>
        </is>
      </c>
      <c r="E3548" t="inlineStr">
        <is>
          <t>RAGUNDA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46540-2020</t>
        </is>
      </c>
      <c r="B3549" s="1" t="n">
        <v>44095</v>
      </c>
      <c r="C3549" s="1" t="n">
        <v>45363</v>
      </c>
      <c r="D3549" t="inlineStr">
        <is>
          <t>JÄMTLANDS LÄN</t>
        </is>
      </c>
      <c r="E3549" t="inlineStr">
        <is>
          <t>STRÖMSUND</t>
        </is>
      </c>
      <c r="F3549" t="inlineStr">
        <is>
          <t>Holmen skog AB</t>
        </is>
      </c>
      <c r="G3549" t="n">
        <v>10.8</v>
      </c>
      <c r="H3549" t="n">
        <v>0</v>
      </c>
      <c r="I3549" t="n">
        <v>0</v>
      </c>
      <c r="J3549" t="n">
        <v>0</v>
      </c>
      <c r="K3549" t="n">
        <v>0</v>
      </c>
      <c r="L3549" t="n">
        <v>0</v>
      </c>
      <c r="M3549" t="n">
        <v>0</v>
      </c>
      <c r="N3549" t="n">
        <v>0</v>
      </c>
      <c r="O3549" t="n">
        <v>0</v>
      </c>
      <c r="P3549" t="n">
        <v>0</v>
      </c>
      <c r="Q3549" t="n">
        <v>0</v>
      </c>
      <c r="R3549" s="2" t="inlineStr"/>
    </row>
    <row r="3550" ht="15" customHeight="1">
      <c r="A3550" t="inlineStr">
        <is>
          <t>A 46589-2020</t>
        </is>
      </c>
      <c r="B3550" s="1" t="n">
        <v>44095</v>
      </c>
      <c r="C3550" s="1" t="n">
        <v>45363</v>
      </c>
      <c r="D3550" t="inlineStr">
        <is>
          <t>JÄMTLANDS LÄN</t>
        </is>
      </c>
      <c r="E3550" t="inlineStr">
        <is>
          <t>KROKOM</t>
        </is>
      </c>
      <c r="G3550" t="n">
        <v>8.5</v>
      </c>
      <c r="H3550" t="n">
        <v>0</v>
      </c>
      <c r="I3550" t="n">
        <v>0</v>
      </c>
      <c r="J3550" t="n">
        <v>0</v>
      </c>
      <c r="K3550" t="n">
        <v>0</v>
      </c>
      <c r="L3550" t="n">
        <v>0</v>
      </c>
      <c r="M3550" t="n">
        <v>0</v>
      </c>
      <c r="N3550" t="n">
        <v>0</v>
      </c>
      <c r="O3550" t="n">
        <v>0</v>
      </c>
      <c r="P3550" t="n">
        <v>0</v>
      </c>
      <c r="Q3550" t="n">
        <v>0</v>
      </c>
      <c r="R3550" s="2" t="inlineStr"/>
    </row>
    <row r="3551" ht="15" customHeight="1">
      <c r="A3551" t="inlineStr">
        <is>
          <t>A 46426-2020</t>
        </is>
      </c>
      <c r="B3551" s="1" t="n">
        <v>44095</v>
      </c>
      <c r="C3551" s="1" t="n">
        <v>45363</v>
      </c>
      <c r="D3551" t="inlineStr">
        <is>
          <t>JÄMTLANDS LÄN</t>
        </is>
      </c>
      <c r="E3551" t="inlineStr">
        <is>
          <t>STRÖMSUND</t>
        </is>
      </c>
      <c r="F3551" t="inlineStr">
        <is>
          <t>Sveaskog</t>
        </is>
      </c>
      <c r="G3551" t="n">
        <v>7.9</v>
      </c>
      <c r="H3551" t="n">
        <v>0</v>
      </c>
      <c r="I3551" t="n">
        <v>0</v>
      </c>
      <c r="J3551" t="n">
        <v>0</v>
      </c>
      <c r="K3551" t="n">
        <v>0</v>
      </c>
      <c r="L3551" t="n">
        <v>0</v>
      </c>
      <c r="M3551" t="n">
        <v>0</v>
      </c>
      <c r="N3551" t="n">
        <v>0</v>
      </c>
      <c r="O3551" t="n">
        <v>0</v>
      </c>
      <c r="P3551" t="n">
        <v>0</v>
      </c>
      <c r="Q3551" t="n">
        <v>0</v>
      </c>
      <c r="R3551" s="2" t="inlineStr"/>
    </row>
    <row r="3552" ht="15" customHeight="1">
      <c r="A3552" t="inlineStr">
        <is>
          <t>A 46657-2020</t>
        </is>
      </c>
      <c r="B3552" s="1" t="n">
        <v>44095</v>
      </c>
      <c r="C3552" s="1" t="n">
        <v>45363</v>
      </c>
      <c r="D3552" t="inlineStr">
        <is>
          <t>JÄMTLANDS LÄN</t>
        </is>
      </c>
      <c r="E3552" t="inlineStr">
        <is>
          <t>BERG</t>
        </is>
      </c>
      <c r="F3552" t="inlineStr">
        <is>
          <t>Kommuner</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46616-2020</t>
        </is>
      </c>
      <c r="B3553" s="1" t="n">
        <v>44095</v>
      </c>
      <c r="C3553" s="1" t="n">
        <v>45363</v>
      </c>
      <c r="D3553" t="inlineStr">
        <is>
          <t>JÄMTLANDS LÄN</t>
        </is>
      </c>
      <c r="E3553" t="inlineStr">
        <is>
          <t>BERG</t>
        </is>
      </c>
      <c r="F3553" t="inlineStr">
        <is>
          <t>Kommuner</t>
        </is>
      </c>
      <c r="G3553" t="n">
        <v>42.8</v>
      </c>
      <c r="H3553" t="n">
        <v>0</v>
      </c>
      <c r="I3553" t="n">
        <v>0</v>
      </c>
      <c r="J3553" t="n">
        <v>0</v>
      </c>
      <c r="K3553" t="n">
        <v>0</v>
      </c>
      <c r="L3553" t="n">
        <v>0</v>
      </c>
      <c r="M3553" t="n">
        <v>0</v>
      </c>
      <c r="N3553" t="n">
        <v>0</v>
      </c>
      <c r="O3553" t="n">
        <v>0</v>
      </c>
      <c r="P3553" t="n">
        <v>0</v>
      </c>
      <c r="Q3553" t="n">
        <v>0</v>
      </c>
      <c r="R3553" s="2" t="inlineStr"/>
    </row>
    <row r="3554" ht="15" customHeight="1">
      <c r="A3554" t="inlineStr">
        <is>
          <t>A 46635-2020</t>
        </is>
      </c>
      <c r="B3554" s="1" t="n">
        <v>44095</v>
      </c>
      <c r="C3554" s="1" t="n">
        <v>45363</v>
      </c>
      <c r="D3554" t="inlineStr">
        <is>
          <t>JÄMTLANDS LÄN</t>
        </is>
      </c>
      <c r="E3554" t="inlineStr">
        <is>
          <t>BERG</t>
        </is>
      </c>
      <c r="F3554" t="inlineStr">
        <is>
          <t>Kommuner</t>
        </is>
      </c>
      <c r="G3554" t="n">
        <v>14.5</v>
      </c>
      <c r="H3554" t="n">
        <v>0</v>
      </c>
      <c r="I3554" t="n">
        <v>0</v>
      </c>
      <c r="J3554" t="n">
        <v>0</v>
      </c>
      <c r="K3554" t="n">
        <v>0</v>
      </c>
      <c r="L3554" t="n">
        <v>0</v>
      </c>
      <c r="M3554" t="n">
        <v>0</v>
      </c>
      <c r="N3554" t="n">
        <v>0</v>
      </c>
      <c r="O3554" t="n">
        <v>0</v>
      </c>
      <c r="P3554" t="n">
        <v>0</v>
      </c>
      <c r="Q3554" t="n">
        <v>0</v>
      </c>
      <c r="R3554" s="2" t="inlineStr"/>
    </row>
    <row r="3555" ht="15" customHeight="1">
      <c r="A3555" t="inlineStr">
        <is>
          <t>A 46660-2020</t>
        </is>
      </c>
      <c r="B3555" s="1" t="n">
        <v>44095</v>
      </c>
      <c r="C3555" s="1" t="n">
        <v>45363</v>
      </c>
      <c r="D3555" t="inlineStr">
        <is>
          <t>JÄMTLANDS LÄN</t>
        </is>
      </c>
      <c r="E3555" t="inlineStr">
        <is>
          <t>BERG</t>
        </is>
      </c>
      <c r="F3555" t="inlineStr">
        <is>
          <t>Kommuner</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46597-2020</t>
        </is>
      </c>
      <c r="B3556" s="1" t="n">
        <v>44095</v>
      </c>
      <c r="C3556" s="1" t="n">
        <v>45363</v>
      </c>
      <c r="D3556" t="inlineStr">
        <is>
          <t>JÄMTLANDS LÄN</t>
        </is>
      </c>
      <c r="E3556" t="inlineStr">
        <is>
          <t>KROKOM</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46982-2020</t>
        </is>
      </c>
      <c r="B3557" s="1" t="n">
        <v>44096</v>
      </c>
      <c r="C3557" s="1" t="n">
        <v>45363</v>
      </c>
      <c r="D3557" t="inlineStr">
        <is>
          <t>JÄMTLANDS LÄN</t>
        </is>
      </c>
      <c r="E3557" t="inlineStr">
        <is>
          <t>ÅRE</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47122-2020</t>
        </is>
      </c>
      <c r="B3558" s="1" t="n">
        <v>44096</v>
      </c>
      <c r="C3558" s="1" t="n">
        <v>45363</v>
      </c>
      <c r="D3558" t="inlineStr">
        <is>
          <t>JÄMTLANDS LÄN</t>
        </is>
      </c>
      <c r="E3558" t="inlineStr">
        <is>
          <t>RAGUNDA</t>
        </is>
      </c>
      <c r="F3558" t="inlineStr">
        <is>
          <t>SCA</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47131-2020</t>
        </is>
      </c>
      <c r="B3559" s="1" t="n">
        <v>44096</v>
      </c>
      <c r="C3559" s="1" t="n">
        <v>45363</v>
      </c>
      <c r="D3559" t="inlineStr">
        <is>
          <t>JÄMTLANDS LÄN</t>
        </is>
      </c>
      <c r="E3559" t="inlineStr">
        <is>
          <t>RAGUNDA</t>
        </is>
      </c>
      <c r="F3559" t="inlineStr">
        <is>
          <t>SCA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47685-2020</t>
        </is>
      </c>
      <c r="B3560" s="1" t="n">
        <v>44096</v>
      </c>
      <c r="C3560" s="1" t="n">
        <v>45363</v>
      </c>
      <c r="D3560" t="inlineStr">
        <is>
          <t>JÄMTLANDS LÄN</t>
        </is>
      </c>
      <c r="E3560" t="inlineStr">
        <is>
          <t>HÄRJEDALEN</t>
        </is>
      </c>
      <c r="F3560" t="inlineStr">
        <is>
          <t>Sveaskog</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47126-2020</t>
        </is>
      </c>
      <c r="B3561" s="1" t="n">
        <v>44096</v>
      </c>
      <c r="C3561" s="1" t="n">
        <v>45363</v>
      </c>
      <c r="D3561" t="inlineStr">
        <is>
          <t>JÄMTLANDS LÄN</t>
        </is>
      </c>
      <c r="E3561" t="inlineStr">
        <is>
          <t>STRÖMSUND</t>
        </is>
      </c>
      <c r="F3561" t="inlineStr">
        <is>
          <t>SCA</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47504-2020</t>
        </is>
      </c>
      <c r="B3562" s="1" t="n">
        <v>44098</v>
      </c>
      <c r="C3562" s="1" t="n">
        <v>45363</v>
      </c>
      <c r="D3562" t="inlineStr">
        <is>
          <t>JÄMTLANDS LÄN</t>
        </is>
      </c>
      <c r="E3562" t="inlineStr">
        <is>
          <t>STRÖMSUND</t>
        </is>
      </c>
      <c r="F3562" t="inlineStr">
        <is>
          <t>Holmen skog AB</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47825-2020</t>
        </is>
      </c>
      <c r="B3563" s="1" t="n">
        <v>44098</v>
      </c>
      <c r="C3563" s="1" t="n">
        <v>45363</v>
      </c>
      <c r="D3563" t="inlineStr">
        <is>
          <t>JÄMTLANDS LÄN</t>
        </is>
      </c>
      <c r="E3563" t="inlineStr">
        <is>
          <t>RAGUNDA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47838-2020</t>
        </is>
      </c>
      <c r="B3564" s="1" t="n">
        <v>44098</v>
      </c>
      <c r="C3564" s="1" t="n">
        <v>45363</v>
      </c>
      <c r="D3564" t="inlineStr">
        <is>
          <t>JÄMTLANDS LÄN</t>
        </is>
      </c>
      <c r="E3564" t="inlineStr">
        <is>
          <t>BRÄCKE</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47864-2020</t>
        </is>
      </c>
      <c r="B3565" s="1" t="n">
        <v>44098</v>
      </c>
      <c r="C3565" s="1" t="n">
        <v>45363</v>
      </c>
      <c r="D3565" t="inlineStr">
        <is>
          <t>JÄMTLANDS LÄN</t>
        </is>
      </c>
      <c r="E3565" t="inlineStr">
        <is>
          <t>BRÄCKE</t>
        </is>
      </c>
      <c r="F3565" t="inlineStr">
        <is>
          <t>SCA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48667-2020</t>
        </is>
      </c>
      <c r="B3566" s="1" t="n">
        <v>44098</v>
      </c>
      <c r="C3566" s="1" t="n">
        <v>45363</v>
      </c>
      <c r="D3566" t="inlineStr">
        <is>
          <t>JÄMTLANDS LÄN</t>
        </is>
      </c>
      <c r="E3566" t="inlineStr">
        <is>
          <t>BRÄCKE</t>
        </is>
      </c>
      <c r="F3566" t="inlineStr">
        <is>
          <t>SCA</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48056-2020</t>
        </is>
      </c>
      <c r="B3567" s="1" t="n">
        <v>44099</v>
      </c>
      <c r="C3567" s="1" t="n">
        <v>45363</v>
      </c>
      <c r="D3567" t="inlineStr">
        <is>
          <t>JÄMTLANDS LÄN</t>
        </is>
      </c>
      <c r="E3567" t="inlineStr">
        <is>
          <t>RAGUNDA</t>
        </is>
      </c>
      <c r="F3567" t="inlineStr">
        <is>
          <t>SCA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49212-2020</t>
        </is>
      </c>
      <c r="B3568" s="1" t="n">
        <v>44099</v>
      </c>
      <c r="C3568" s="1" t="n">
        <v>45363</v>
      </c>
      <c r="D3568" t="inlineStr">
        <is>
          <t>JÄMTLANDS LÄN</t>
        </is>
      </c>
      <c r="E3568" t="inlineStr">
        <is>
          <t>BRÄCKE</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48227-2020</t>
        </is>
      </c>
      <c r="B3569" s="1" t="n">
        <v>44102</v>
      </c>
      <c r="C3569" s="1" t="n">
        <v>45363</v>
      </c>
      <c r="D3569" t="inlineStr">
        <is>
          <t>JÄMTLANDS LÄN</t>
        </is>
      </c>
      <c r="E3569" t="inlineStr">
        <is>
          <t>STRÖMSUND</t>
        </is>
      </c>
      <c r="F3569" t="inlineStr">
        <is>
          <t>Holmen skog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48177-2020</t>
        </is>
      </c>
      <c r="B3570" s="1" t="n">
        <v>44102</v>
      </c>
      <c r="C3570" s="1" t="n">
        <v>45363</v>
      </c>
      <c r="D3570" t="inlineStr">
        <is>
          <t>JÄMTLANDS LÄN</t>
        </is>
      </c>
      <c r="E3570" t="inlineStr">
        <is>
          <t>ÅRE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48224-2020</t>
        </is>
      </c>
      <c r="B3571" s="1" t="n">
        <v>44102</v>
      </c>
      <c r="C3571" s="1" t="n">
        <v>45363</v>
      </c>
      <c r="D3571" t="inlineStr">
        <is>
          <t>JÄMTLANDS LÄN</t>
        </is>
      </c>
      <c r="E3571" t="inlineStr">
        <is>
          <t>STRÖMSUND</t>
        </is>
      </c>
      <c r="F3571" t="inlineStr">
        <is>
          <t>Holmen skog AB</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48479-2020</t>
        </is>
      </c>
      <c r="B3572" s="1" t="n">
        <v>44103</v>
      </c>
      <c r="C3572" s="1" t="n">
        <v>45363</v>
      </c>
      <c r="D3572" t="inlineStr">
        <is>
          <t>JÄMTLANDS LÄN</t>
        </is>
      </c>
      <c r="E3572" t="inlineStr">
        <is>
          <t>BRÄCKE</t>
        </is>
      </c>
      <c r="F3572" t="inlineStr">
        <is>
          <t>SCA</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49037-2020</t>
        </is>
      </c>
      <c r="B3573" s="1" t="n">
        <v>44102</v>
      </c>
      <c r="C3573" s="1" t="n">
        <v>45363</v>
      </c>
      <c r="D3573" t="inlineStr">
        <is>
          <t>JÄMTLANDS LÄN</t>
        </is>
      </c>
      <c r="E3573" t="inlineStr">
        <is>
          <t>KROKOM</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49430-2020</t>
        </is>
      </c>
      <c r="B3574" s="1" t="n">
        <v>44102</v>
      </c>
      <c r="C3574" s="1" t="n">
        <v>45363</v>
      </c>
      <c r="D3574" t="inlineStr">
        <is>
          <t>JÄMTLANDS LÄN</t>
        </is>
      </c>
      <c r="E3574" t="inlineStr">
        <is>
          <t>HÄRJEDALEN</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49447-2020</t>
        </is>
      </c>
      <c r="B3575" s="1" t="n">
        <v>44102</v>
      </c>
      <c r="C3575" s="1" t="n">
        <v>45363</v>
      </c>
      <c r="D3575" t="inlineStr">
        <is>
          <t>JÄMTLANDS LÄN</t>
        </is>
      </c>
      <c r="E3575" t="inlineStr">
        <is>
          <t>HÄRJEDALEN</t>
        </is>
      </c>
      <c r="F3575" t="inlineStr">
        <is>
          <t>Bergvik skog väst AB</t>
        </is>
      </c>
      <c r="G3575" t="n">
        <v>8.4</v>
      </c>
      <c r="H3575" t="n">
        <v>0</v>
      </c>
      <c r="I3575" t="n">
        <v>0</v>
      </c>
      <c r="J3575" t="n">
        <v>0</v>
      </c>
      <c r="K3575" t="n">
        <v>0</v>
      </c>
      <c r="L3575" t="n">
        <v>0</v>
      </c>
      <c r="M3575" t="n">
        <v>0</v>
      </c>
      <c r="N3575" t="n">
        <v>0</v>
      </c>
      <c r="O3575" t="n">
        <v>0</v>
      </c>
      <c r="P3575" t="n">
        <v>0</v>
      </c>
      <c r="Q3575" t="n">
        <v>0</v>
      </c>
      <c r="R3575" s="2" t="inlineStr"/>
    </row>
    <row r="3576" ht="15" customHeight="1">
      <c r="A3576" t="inlineStr">
        <is>
          <t>A 48610-2020</t>
        </is>
      </c>
      <c r="B3576" s="1" t="n">
        <v>44103</v>
      </c>
      <c r="C3576" s="1" t="n">
        <v>45363</v>
      </c>
      <c r="D3576" t="inlineStr">
        <is>
          <t>JÄMTLANDS LÄN</t>
        </is>
      </c>
      <c r="E3576" t="inlineStr">
        <is>
          <t>KROKOM</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48799-2020</t>
        </is>
      </c>
      <c r="B3577" s="1" t="n">
        <v>44103</v>
      </c>
      <c r="C3577" s="1" t="n">
        <v>45363</v>
      </c>
      <c r="D3577" t="inlineStr">
        <is>
          <t>JÄMTLANDS LÄN</t>
        </is>
      </c>
      <c r="E3577" t="inlineStr">
        <is>
          <t>BRÄCKE</t>
        </is>
      </c>
      <c r="F3577" t="inlineStr">
        <is>
          <t>SCA</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49772-2020</t>
        </is>
      </c>
      <c r="B3578" s="1" t="n">
        <v>44103</v>
      </c>
      <c r="C3578" s="1" t="n">
        <v>45363</v>
      </c>
      <c r="D3578" t="inlineStr">
        <is>
          <t>JÄMTLANDS LÄN</t>
        </is>
      </c>
      <c r="E3578" t="inlineStr">
        <is>
          <t>STRÖMSUND</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48801-2020</t>
        </is>
      </c>
      <c r="B3579" s="1" t="n">
        <v>44103</v>
      </c>
      <c r="C3579" s="1" t="n">
        <v>45363</v>
      </c>
      <c r="D3579" t="inlineStr">
        <is>
          <t>JÄMTLANDS LÄN</t>
        </is>
      </c>
      <c r="E3579" t="inlineStr">
        <is>
          <t>BERG</t>
        </is>
      </c>
      <c r="F3579" t="inlineStr">
        <is>
          <t>SCA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48806-2020</t>
        </is>
      </c>
      <c r="B3580" s="1" t="n">
        <v>44103</v>
      </c>
      <c r="C3580" s="1" t="n">
        <v>45363</v>
      </c>
      <c r="D3580" t="inlineStr">
        <is>
          <t>JÄMTLANDS LÄN</t>
        </is>
      </c>
      <c r="E3580" t="inlineStr">
        <is>
          <t>RAGUNDA</t>
        </is>
      </c>
      <c r="F3580" t="inlineStr">
        <is>
          <t>Naturvårdsverket</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49156-2020</t>
        </is>
      </c>
      <c r="B3581" s="1" t="n">
        <v>44104</v>
      </c>
      <c r="C3581" s="1" t="n">
        <v>45363</v>
      </c>
      <c r="D3581" t="inlineStr">
        <is>
          <t>JÄMTLANDS LÄN</t>
        </is>
      </c>
      <c r="E3581" t="inlineStr">
        <is>
          <t>STRÖMSUND</t>
        </is>
      </c>
      <c r="F3581" t="inlineStr">
        <is>
          <t>SCA</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49161-2020</t>
        </is>
      </c>
      <c r="B3582" s="1" t="n">
        <v>44104</v>
      </c>
      <c r="C3582" s="1" t="n">
        <v>45363</v>
      </c>
      <c r="D3582" t="inlineStr">
        <is>
          <t>JÄMTLANDS LÄN</t>
        </is>
      </c>
      <c r="E3582" t="inlineStr">
        <is>
          <t>STRÖMSUND</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49152-2020</t>
        </is>
      </c>
      <c r="B3583" s="1" t="n">
        <v>44104</v>
      </c>
      <c r="C3583" s="1" t="n">
        <v>45363</v>
      </c>
      <c r="D3583" t="inlineStr">
        <is>
          <t>JÄMTLANDS LÄN</t>
        </is>
      </c>
      <c r="E3583" t="inlineStr">
        <is>
          <t>STRÖMSUND</t>
        </is>
      </c>
      <c r="F3583" t="inlineStr">
        <is>
          <t>SCA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49164-2020</t>
        </is>
      </c>
      <c r="B3584" s="1" t="n">
        <v>44104</v>
      </c>
      <c r="C3584" s="1" t="n">
        <v>45363</v>
      </c>
      <c r="D3584" t="inlineStr">
        <is>
          <t>JÄMTLANDS LÄN</t>
        </is>
      </c>
      <c r="E3584" t="inlineStr">
        <is>
          <t>BRÄCKE</t>
        </is>
      </c>
      <c r="F3584" t="inlineStr">
        <is>
          <t>SCA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49174-2020</t>
        </is>
      </c>
      <c r="B3585" s="1" t="n">
        <v>44104</v>
      </c>
      <c r="C3585" s="1" t="n">
        <v>45363</v>
      </c>
      <c r="D3585" t="inlineStr">
        <is>
          <t>JÄMTLANDS LÄN</t>
        </is>
      </c>
      <c r="E3585" t="inlineStr">
        <is>
          <t>BERG</t>
        </is>
      </c>
      <c r="F3585" t="inlineStr">
        <is>
          <t>SCA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49167-2020</t>
        </is>
      </c>
      <c r="B3586" s="1" t="n">
        <v>44104</v>
      </c>
      <c r="C3586" s="1" t="n">
        <v>45363</v>
      </c>
      <c r="D3586" t="inlineStr">
        <is>
          <t>JÄMTLANDS LÄN</t>
        </is>
      </c>
      <c r="E3586" t="inlineStr">
        <is>
          <t>STRÖMSUND</t>
        </is>
      </c>
      <c r="F3586" t="inlineStr">
        <is>
          <t>SCA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49248-2020</t>
        </is>
      </c>
      <c r="B3587" s="1" t="n">
        <v>44105</v>
      </c>
      <c r="C3587" s="1" t="n">
        <v>45363</v>
      </c>
      <c r="D3587" t="inlineStr">
        <is>
          <t>JÄMTLANDS LÄN</t>
        </is>
      </c>
      <c r="E3587" t="inlineStr">
        <is>
          <t>HÄRJEDALEN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49246-2020</t>
        </is>
      </c>
      <c r="B3588" s="1" t="n">
        <v>44105</v>
      </c>
      <c r="C3588" s="1" t="n">
        <v>45363</v>
      </c>
      <c r="D3588" t="inlineStr">
        <is>
          <t>JÄMTLANDS LÄN</t>
        </is>
      </c>
      <c r="E3588" t="inlineStr">
        <is>
          <t>HÄRJEDALEN</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49511-2020</t>
        </is>
      </c>
      <c r="B3589" s="1" t="n">
        <v>44105</v>
      </c>
      <c r="C3589" s="1" t="n">
        <v>45363</v>
      </c>
      <c r="D3589" t="inlineStr">
        <is>
          <t>JÄMTLANDS LÄN</t>
        </is>
      </c>
      <c r="E3589" t="inlineStr">
        <is>
          <t>STRÖMSUND</t>
        </is>
      </c>
      <c r="F3589" t="inlineStr">
        <is>
          <t>SCA</t>
        </is>
      </c>
      <c r="G3589" t="n">
        <v>13.6</v>
      </c>
      <c r="H3589" t="n">
        <v>0</v>
      </c>
      <c r="I3589" t="n">
        <v>0</v>
      </c>
      <c r="J3589" t="n">
        <v>0</v>
      </c>
      <c r="K3589" t="n">
        <v>0</v>
      </c>
      <c r="L3589" t="n">
        <v>0</v>
      </c>
      <c r="M3589" t="n">
        <v>0</v>
      </c>
      <c r="N3589" t="n">
        <v>0</v>
      </c>
      <c r="O3589" t="n">
        <v>0</v>
      </c>
      <c r="P3589" t="n">
        <v>0</v>
      </c>
      <c r="Q3589" t="n">
        <v>0</v>
      </c>
      <c r="R3589" s="2" t="inlineStr"/>
    </row>
    <row r="3590" ht="15" customHeight="1">
      <c r="A3590" t="inlineStr">
        <is>
          <t>A 49510-2020</t>
        </is>
      </c>
      <c r="B3590" s="1" t="n">
        <v>44105</v>
      </c>
      <c r="C3590" s="1" t="n">
        <v>45363</v>
      </c>
      <c r="D3590" t="inlineStr">
        <is>
          <t>JÄMTLANDS LÄN</t>
        </is>
      </c>
      <c r="E3590" t="inlineStr">
        <is>
          <t>STRÖMSUND</t>
        </is>
      </c>
      <c r="F3590" t="inlineStr">
        <is>
          <t>SCA</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49661-2020</t>
        </is>
      </c>
      <c r="B3591" s="1" t="n">
        <v>44105</v>
      </c>
      <c r="C3591" s="1" t="n">
        <v>45363</v>
      </c>
      <c r="D3591" t="inlineStr">
        <is>
          <t>JÄMTLANDS LÄN</t>
        </is>
      </c>
      <c r="E3591" t="inlineStr">
        <is>
          <t>ÅRE</t>
        </is>
      </c>
      <c r="F3591" t="inlineStr">
        <is>
          <t>Övriga Aktiebolag</t>
        </is>
      </c>
      <c r="G3591" t="n">
        <v>24.4</v>
      </c>
      <c r="H3591" t="n">
        <v>0</v>
      </c>
      <c r="I3591" t="n">
        <v>0</v>
      </c>
      <c r="J3591" t="n">
        <v>0</v>
      </c>
      <c r="K3591" t="n">
        <v>0</v>
      </c>
      <c r="L3591" t="n">
        <v>0</v>
      </c>
      <c r="M3591" t="n">
        <v>0</v>
      </c>
      <c r="N3591" t="n">
        <v>0</v>
      </c>
      <c r="O3591" t="n">
        <v>0</v>
      </c>
      <c r="P3591" t="n">
        <v>0</v>
      </c>
      <c r="Q3591" t="n">
        <v>0</v>
      </c>
      <c r="R3591" s="2" t="inlineStr"/>
    </row>
    <row r="3592" ht="15" customHeight="1">
      <c r="A3592" t="inlineStr">
        <is>
          <t>A 49744-2020</t>
        </is>
      </c>
      <c r="B3592" s="1" t="n">
        <v>44106</v>
      </c>
      <c r="C3592" s="1" t="n">
        <v>45363</v>
      </c>
      <c r="D3592" t="inlineStr">
        <is>
          <t>JÄMTLANDS LÄN</t>
        </is>
      </c>
      <c r="E3592" t="inlineStr">
        <is>
          <t>ÅRE</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49697-2020</t>
        </is>
      </c>
      <c r="B3593" s="1" t="n">
        <v>44106</v>
      </c>
      <c r="C3593" s="1" t="n">
        <v>45363</v>
      </c>
      <c r="D3593" t="inlineStr">
        <is>
          <t>JÄMTLANDS LÄN</t>
        </is>
      </c>
      <c r="E3593" t="inlineStr">
        <is>
          <t>KROKOM</t>
        </is>
      </c>
      <c r="F3593" t="inlineStr">
        <is>
          <t>Kyrkan</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49748-2020</t>
        </is>
      </c>
      <c r="B3594" s="1" t="n">
        <v>44106</v>
      </c>
      <c r="C3594" s="1" t="n">
        <v>45363</v>
      </c>
      <c r="D3594" t="inlineStr">
        <is>
          <t>JÄMTLANDS LÄN</t>
        </is>
      </c>
      <c r="E3594" t="inlineStr">
        <is>
          <t>ÅRE</t>
        </is>
      </c>
      <c r="G3594" t="n">
        <v>13.4</v>
      </c>
      <c r="H3594" t="n">
        <v>0</v>
      </c>
      <c r="I3594" t="n">
        <v>0</v>
      </c>
      <c r="J3594" t="n">
        <v>0</v>
      </c>
      <c r="K3594" t="n">
        <v>0</v>
      </c>
      <c r="L3594" t="n">
        <v>0</v>
      </c>
      <c r="M3594" t="n">
        <v>0</v>
      </c>
      <c r="N3594" t="n">
        <v>0</v>
      </c>
      <c r="O3594" t="n">
        <v>0</v>
      </c>
      <c r="P3594" t="n">
        <v>0</v>
      </c>
      <c r="Q3594" t="n">
        <v>0</v>
      </c>
      <c r="R3594" s="2" t="inlineStr"/>
    </row>
    <row r="3595" ht="15" customHeight="1">
      <c r="A3595" t="inlineStr">
        <is>
          <t>A 49747-2020</t>
        </is>
      </c>
      <c r="B3595" s="1" t="n">
        <v>44106</v>
      </c>
      <c r="C3595" s="1" t="n">
        <v>45363</v>
      </c>
      <c r="D3595" t="inlineStr">
        <is>
          <t>JÄMTLANDS LÄN</t>
        </is>
      </c>
      <c r="E3595" t="inlineStr">
        <is>
          <t>ÅRE</t>
        </is>
      </c>
      <c r="G3595" t="n">
        <v>9.4</v>
      </c>
      <c r="H3595" t="n">
        <v>0</v>
      </c>
      <c r="I3595" t="n">
        <v>0</v>
      </c>
      <c r="J3595" t="n">
        <v>0</v>
      </c>
      <c r="K3595" t="n">
        <v>0</v>
      </c>
      <c r="L3595" t="n">
        <v>0</v>
      </c>
      <c r="M3595" t="n">
        <v>0</v>
      </c>
      <c r="N3595" t="n">
        <v>0</v>
      </c>
      <c r="O3595" t="n">
        <v>0</v>
      </c>
      <c r="P3595" t="n">
        <v>0</v>
      </c>
      <c r="Q3595" t="n">
        <v>0</v>
      </c>
      <c r="R3595" s="2" t="inlineStr"/>
    </row>
    <row r="3596" ht="15" customHeight="1">
      <c r="A3596" t="inlineStr">
        <is>
          <t>A 50121-2020</t>
        </is>
      </c>
      <c r="B3596" s="1" t="n">
        <v>44106</v>
      </c>
      <c r="C3596" s="1" t="n">
        <v>45363</v>
      </c>
      <c r="D3596" t="inlineStr">
        <is>
          <t>JÄMTLANDS LÄN</t>
        </is>
      </c>
      <c r="E3596" t="inlineStr">
        <is>
          <t>ÖSTERSUND</t>
        </is>
      </c>
      <c r="F3596" t="inlineStr">
        <is>
          <t>Övriga statliga verk och myndigheter</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50153-2020</t>
        </is>
      </c>
      <c r="B3597" s="1" t="n">
        <v>44106</v>
      </c>
      <c r="C3597" s="1" t="n">
        <v>45363</v>
      </c>
      <c r="D3597" t="inlineStr">
        <is>
          <t>JÄMTLANDS LÄN</t>
        </is>
      </c>
      <c r="E3597" t="inlineStr">
        <is>
          <t>ÖSTERSUND</t>
        </is>
      </c>
      <c r="F3597" t="inlineStr">
        <is>
          <t>Övriga statliga verk och myndigheter</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50144-2020</t>
        </is>
      </c>
      <c r="B3598" s="1" t="n">
        <v>44106</v>
      </c>
      <c r="C3598" s="1" t="n">
        <v>45363</v>
      </c>
      <c r="D3598" t="inlineStr">
        <is>
          <t>JÄMTLANDS LÄN</t>
        </is>
      </c>
      <c r="E3598" t="inlineStr">
        <is>
          <t>ÖSTERSUND</t>
        </is>
      </c>
      <c r="F3598" t="inlineStr">
        <is>
          <t>Övriga statliga verk och myndigheter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51481-2020</t>
        </is>
      </c>
      <c r="B3599" s="1" t="n">
        <v>44106</v>
      </c>
      <c r="C3599" s="1" t="n">
        <v>45363</v>
      </c>
      <c r="D3599" t="inlineStr">
        <is>
          <t>JÄMTLANDS LÄN</t>
        </is>
      </c>
      <c r="E3599" t="inlineStr">
        <is>
          <t>RAGUNDA</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49903-2020</t>
        </is>
      </c>
      <c r="B3600" s="1" t="n">
        <v>44108</v>
      </c>
      <c r="C3600" s="1" t="n">
        <v>45363</v>
      </c>
      <c r="D3600" t="inlineStr">
        <is>
          <t>JÄMTLANDS LÄN</t>
        </is>
      </c>
      <c r="E3600" t="inlineStr">
        <is>
          <t>HÄRJEDALEN</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50018-2020</t>
        </is>
      </c>
      <c r="B3601" s="1" t="n">
        <v>44109</v>
      </c>
      <c r="C3601" s="1" t="n">
        <v>45363</v>
      </c>
      <c r="D3601" t="inlineStr">
        <is>
          <t>JÄMTLANDS LÄN</t>
        </is>
      </c>
      <c r="E3601" t="inlineStr">
        <is>
          <t>HÄRJEDALEN</t>
        </is>
      </c>
      <c r="F3601" t="inlineStr">
        <is>
          <t>Bergvik skog väst AB</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49997-2020</t>
        </is>
      </c>
      <c r="B3602" s="1" t="n">
        <v>44109</v>
      </c>
      <c r="C3602" s="1" t="n">
        <v>45363</v>
      </c>
      <c r="D3602" t="inlineStr">
        <is>
          <t>JÄMTLANDS LÄN</t>
        </is>
      </c>
      <c r="E3602" t="inlineStr">
        <is>
          <t>STRÖMSUND</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50632-2020</t>
        </is>
      </c>
      <c r="B3603" s="1" t="n">
        <v>44110</v>
      </c>
      <c r="C3603" s="1" t="n">
        <v>45363</v>
      </c>
      <c r="D3603" t="inlineStr">
        <is>
          <t>JÄMTLANDS LÄN</t>
        </is>
      </c>
      <c r="E3603" t="inlineStr">
        <is>
          <t>ÖSTERSUND</t>
        </is>
      </c>
      <c r="F3603" t="inlineStr">
        <is>
          <t>SCA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50645-2020</t>
        </is>
      </c>
      <c r="B3604" s="1" t="n">
        <v>44110</v>
      </c>
      <c r="C3604" s="1" t="n">
        <v>45363</v>
      </c>
      <c r="D3604" t="inlineStr">
        <is>
          <t>JÄMTLANDS LÄN</t>
        </is>
      </c>
      <c r="E3604" t="inlineStr">
        <is>
          <t>STRÖMSUND</t>
        </is>
      </c>
      <c r="F3604" t="inlineStr">
        <is>
          <t>SCA</t>
        </is>
      </c>
      <c r="G3604" t="n">
        <v>8.4</v>
      </c>
      <c r="H3604" t="n">
        <v>0</v>
      </c>
      <c r="I3604" t="n">
        <v>0</v>
      </c>
      <c r="J3604" t="n">
        <v>0</v>
      </c>
      <c r="K3604" t="n">
        <v>0</v>
      </c>
      <c r="L3604" t="n">
        <v>0</v>
      </c>
      <c r="M3604" t="n">
        <v>0</v>
      </c>
      <c r="N3604" t="n">
        <v>0</v>
      </c>
      <c r="O3604" t="n">
        <v>0</v>
      </c>
      <c r="P3604" t="n">
        <v>0</v>
      </c>
      <c r="Q3604" t="n">
        <v>0</v>
      </c>
      <c r="R3604" s="2" t="inlineStr"/>
    </row>
    <row r="3605" ht="15" customHeight="1">
      <c r="A3605" t="inlineStr">
        <is>
          <t>A 50983-2020</t>
        </is>
      </c>
      <c r="B3605" s="1" t="n">
        <v>44111</v>
      </c>
      <c r="C3605" s="1" t="n">
        <v>45363</v>
      </c>
      <c r="D3605" t="inlineStr">
        <is>
          <t>JÄMTLANDS LÄN</t>
        </is>
      </c>
      <c r="E3605" t="inlineStr">
        <is>
          <t>BRÄCKE</t>
        </is>
      </c>
      <c r="F3605" t="inlineStr">
        <is>
          <t>SCA</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50988-2020</t>
        </is>
      </c>
      <c r="B3606" s="1" t="n">
        <v>44111</v>
      </c>
      <c r="C3606" s="1" t="n">
        <v>45363</v>
      </c>
      <c r="D3606" t="inlineStr">
        <is>
          <t>JÄMTLANDS LÄN</t>
        </is>
      </c>
      <c r="E3606" t="inlineStr">
        <is>
          <t>RAGUNDA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51016-2020</t>
        </is>
      </c>
      <c r="B3607" s="1" t="n">
        <v>44111</v>
      </c>
      <c r="C3607" s="1" t="n">
        <v>45363</v>
      </c>
      <c r="D3607" t="inlineStr">
        <is>
          <t>JÄMTLANDS LÄN</t>
        </is>
      </c>
      <c r="E3607" t="inlineStr">
        <is>
          <t>RAGUNDA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50981-2020</t>
        </is>
      </c>
      <c r="B3608" s="1" t="n">
        <v>44111</v>
      </c>
      <c r="C3608" s="1" t="n">
        <v>45363</v>
      </c>
      <c r="D3608" t="inlineStr">
        <is>
          <t>JÄMTLANDS LÄN</t>
        </is>
      </c>
      <c r="E3608" t="inlineStr">
        <is>
          <t>BRÄCKE</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51004-2020</t>
        </is>
      </c>
      <c r="B3609" s="1" t="n">
        <v>44111</v>
      </c>
      <c r="C3609" s="1" t="n">
        <v>45363</v>
      </c>
      <c r="D3609" t="inlineStr">
        <is>
          <t>JÄMTLANDS LÄN</t>
        </is>
      </c>
      <c r="E3609" t="inlineStr">
        <is>
          <t>RAGUNDA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51042-2020</t>
        </is>
      </c>
      <c r="B3610" s="1" t="n">
        <v>44112</v>
      </c>
      <c r="C3610" s="1" t="n">
        <v>45363</v>
      </c>
      <c r="D3610" t="inlineStr">
        <is>
          <t>JÄMTLANDS LÄN</t>
        </is>
      </c>
      <c r="E3610" t="inlineStr">
        <is>
          <t>STRÖMSUND</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51670-2020</t>
        </is>
      </c>
      <c r="B3611" s="1" t="n">
        <v>44113</v>
      </c>
      <c r="C3611" s="1" t="n">
        <v>45363</v>
      </c>
      <c r="D3611" t="inlineStr">
        <is>
          <t>JÄMTLANDS LÄN</t>
        </is>
      </c>
      <c r="E3611" t="inlineStr">
        <is>
          <t>STRÖMSUND</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51689-2020</t>
        </is>
      </c>
      <c r="B3612" s="1" t="n">
        <v>44113</v>
      </c>
      <c r="C3612" s="1" t="n">
        <v>45363</v>
      </c>
      <c r="D3612" t="inlineStr">
        <is>
          <t>JÄMTLANDS LÄN</t>
        </is>
      </c>
      <c r="E3612" t="inlineStr">
        <is>
          <t>STRÖMSUND</t>
        </is>
      </c>
      <c r="F3612" t="inlineStr">
        <is>
          <t>SCA</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51719-2020</t>
        </is>
      </c>
      <c r="B3613" s="1" t="n">
        <v>44113</v>
      </c>
      <c r="C3613" s="1" t="n">
        <v>45363</v>
      </c>
      <c r="D3613" t="inlineStr">
        <is>
          <t>JÄMTLANDS LÄN</t>
        </is>
      </c>
      <c r="E3613" t="inlineStr">
        <is>
          <t>KROKOM</t>
        </is>
      </c>
      <c r="F3613" t="inlineStr">
        <is>
          <t>SCA</t>
        </is>
      </c>
      <c r="G3613" t="n">
        <v>9</v>
      </c>
      <c r="H3613" t="n">
        <v>0</v>
      </c>
      <c r="I3613" t="n">
        <v>0</v>
      </c>
      <c r="J3613" t="n">
        <v>0</v>
      </c>
      <c r="K3613" t="n">
        <v>0</v>
      </c>
      <c r="L3613" t="n">
        <v>0</v>
      </c>
      <c r="M3613" t="n">
        <v>0</v>
      </c>
      <c r="N3613" t="n">
        <v>0</v>
      </c>
      <c r="O3613" t="n">
        <v>0</v>
      </c>
      <c r="P3613" t="n">
        <v>0</v>
      </c>
      <c r="Q3613" t="n">
        <v>0</v>
      </c>
      <c r="R3613" s="2" t="inlineStr"/>
    </row>
    <row r="3614" ht="15" customHeight="1">
      <c r="A3614" t="inlineStr">
        <is>
          <t>A 51685-2020</t>
        </is>
      </c>
      <c r="B3614" s="1" t="n">
        <v>44113</v>
      </c>
      <c r="C3614" s="1" t="n">
        <v>45363</v>
      </c>
      <c r="D3614" t="inlineStr">
        <is>
          <t>JÄMTLANDS LÄN</t>
        </is>
      </c>
      <c r="E3614" t="inlineStr">
        <is>
          <t>RAGUNDA</t>
        </is>
      </c>
      <c r="F3614" t="inlineStr">
        <is>
          <t>SCA</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52478-2020</t>
        </is>
      </c>
      <c r="B3615" s="1" t="n">
        <v>44113</v>
      </c>
      <c r="C3615" s="1" t="n">
        <v>45363</v>
      </c>
      <c r="D3615" t="inlineStr">
        <is>
          <t>JÄMTLANDS LÄN</t>
        </is>
      </c>
      <c r="E3615" t="inlineStr">
        <is>
          <t>ÖSTERSUND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51717-2020</t>
        </is>
      </c>
      <c r="B3616" s="1" t="n">
        <v>44113</v>
      </c>
      <c r="C3616" s="1" t="n">
        <v>45363</v>
      </c>
      <c r="D3616" t="inlineStr">
        <is>
          <t>JÄMTLANDS LÄN</t>
        </is>
      </c>
      <c r="E3616" t="inlineStr">
        <is>
          <t>KROKOM</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52487-2020</t>
        </is>
      </c>
      <c r="B3617" s="1" t="n">
        <v>44113</v>
      </c>
      <c r="C3617" s="1" t="n">
        <v>45363</v>
      </c>
      <c r="D3617" t="inlineStr">
        <is>
          <t>JÄMTLANDS LÄN</t>
        </is>
      </c>
      <c r="E3617" t="inlineStr">
        <is>
          <t>KROKOM</t>
        </is>
      </c>
      <c r="F3617" t="inlineStr">
        <is>
          <t>SCA</t>
        </is>
      </c>
      <c r="G3617" t="n">
        <v>9.699999999999999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52491-2020</t>
        </is>
      </c>
      <c r="B3618" s="1" t="n">
        <v>44113</v>
      </c>
      <c r="C3618" s="1" t="n">
        <v>45363</v>
      </c>
      <c r="D3618" t="inlineStr">
        <is>
          <t>JÄMTLANDS LÄN</t>
        </is>
      </c>
      <c r="E3618" t="inlineStr">
        <is>
          <t>KROKOM</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52030-2020</t>
        </is>
      </c>
      <c r="B3619" s="1" t="n">
        <v>44116</v>
      </c>
      <c r="C3619" s="1" t="n">
        <v>45363</v>
      </c>
      <c r="D3619" t="inlineStr">
        <is>
          <t>JÄMTLANDS LÄN</t>
        </is>
      </c>
      <c r="E3619" t="inlineStr">
        <is>
          <t>STRÖMSUND</t>
        </is>
      </c>
      <c r="F3619" t="inlineStr">
        <is>
          <t>SCA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52548-2020</t>
        </is>
      </c>
      <c r="B3620" s="1" t="n">
        <v>44116</v>
      </c>
      <c r="C3620" s="1" t="n">
        <v>45363</v>
      </c>
      <c r="D3620" t="inlineStr">
        <is>
          <t>JÄMTLANDS LÄN</t>
        </is>
      </c>
      <c r="E3620" t="inlineStr">
        <is>
          <t>ÅRE</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52535-2020</t>
        </is>
      </c>
      <c r="B3621" s="1" t="n">
        <v>44118</v>
      </c>
      <c r="C3621" s="1" t="n">
        <v>45363</v>
      </c>
      <c r="D3621" t="inlineStr">
        <is>
          <t>JÄMTLANDS LÄN</t>
        </is>
      </c>
      <c r="E3621" t="inlineStr">
        <is>
          <t>ÖSTERSUND</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52626-2020</t>
        </is>
      </c>
      <c r="B3622" s="1" t="n">
        <v>44119</v>
      </c>
      <c r="C3622" s="1" t="n">
        <v>45363</v>
      </c>
      <c r="D3622" t="inlineStr">
        <is>
          <t>JÄMTLANDS LÄN</t>
        </is>
      </c>
      <c r="E3622" t="inlineStr">
        <is>
          <t>KROKOM</t>
        </is>
      </c>
      <c r="F3622" t="inlineStr">
        <is>
          <t>SCA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52622-2020</t>
        </is>
      </c>
      <c r="B3623" s="1" t="n">
        <v>44118</v>
      </c>
      <c r="C3623" s="1" t="n">
        <v>45363</v>
      </c>
      <c r="D3623" t="inlineStr">
        <is>
          <t>JÄMTLANDS LÄN</t>
        </is>
      </c>
      <c r="E3623" t="inlineStr">
        <is>
          <t>STRÖMSUND</t>
        </is>
      </c>
      <c r="F3623" t="inlineStr">
        <is>
          <t>SCA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52777-2020</t>
        </is>
      </c>
      <c r="B3624" s="1" t="n">
        <v>44118</v>
      </c>
      <c r="C3624" s="1" t="n">
        <v>45363</v>
      </c>
      <c r="D3624" t="inlineStr">
        <is>
          <t>JÄMTLANDS LÄN</t>
        </is>
      </c>
      <c r="E3624" t="inlineStr">
        <is>
          <t>ÖSTERSUND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52791-2020</t>
        </is>
      </c>
      <c r="B3625" s="1" t="n">
        <v>44118</v>
      </c>
      <c r="C3625" s="1" t="n">
        <v>45363</v>
      </c>
      <c r="D3625" t="inlineStr">
        <is>
          <t>JÄMTLANDS LÄN</t>
        </is>
      </c>
      <c r="E3625" t="inlineStr">
        <is>
          <t>ÖSTERSUND</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53176-2020</t>
        </is>
      </c>
      <c r="B3626" s="1" t="n">
        <v>44120</v>
      </c>
      <c r="C3626" s="1" t="n">
        <v>45363</v>
      </c>
      <c r="D3626" t="inlineStr">
        <is>
          <t>JÄMTLANDS LÄN</t>
        </is>
      </c>
      <c r="E3626" t="inlineStr">
        <is>
          <t>BRÄCKE</t>
        </is>
      </c>
      <c r="F3626" t="inlineStr">
        <is>
          <t>SCA</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53042-2020</t>
        </is>
      </c>
      <c r="B3627" s="1" t="n">
        <v>44120</v>
      </c>
      <c r="C3627" s="1" t="n">
        <v>45363</v>
      </c>
      <c r="D3627" t="inlineStr">
        <is>
          <t>JÄMTLANDS LÄN</t>
        </is>
      </c>
      <c r="E3627" t="inlineStr">
        <is>
          <t>ÅRE</t>
        </is>
      </c>
      <c r="G3627" t="n">
        <v>17.1</v>
      </c>
      <c r="H3627" t="n">
        <v>0</v>
      </c>
      <c r="I3627" t="n">
        <v>0</v>
      </c>
      <c r="J3627" t="n">
        <v>0</v>
      </c>
      <c r="K3627" t="n">
        <v>0</v>
      </c>
      <c r="L3627" t="n">
        <v>0</v>
      </c>
      <c r="M3627" t="n">
        <v>0</v>
      </c>
      <c r="N3627" t="n">
        <v>0</v>
      </c>
      <c r="O3627" t="n">
        <v>0</v>
      </c>
      <c r="P3627" t="n">
        <v>0</v>
      </c>
      <c r="Q3627" t="n">
        <v>0</v>
      </c>
      <c r="R3627" s="2" t="inlineStr"/>
    </row>
    <row r="3628" ht="15" customHeight="1">
      <c r="A3628" t="inlineStr">
        <is>
          <t>A 53196-2020</t>
        </is>
      </c>
      <c r="B3628" s="1" t="n">
        <v>44122</v>
      </c>
      <c r="C3628" s="1" t="n">
        <v>45363</v>
      </c>
      <c r="D3628" t="inlineStr">
        <is>
          <t>JÄMTLANDS LÄN</t>
        </is>
      </c>
      <c r="E3628" t="inlineStr">
        <is>
          <t>BRÄCKE</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53323-2020</t>
        </is>
      </c>
      <c r="B3629" s="1" t="n">
        <v>44123</v>
      </c>
      <c r="C3629" s="1" t="n">
        <v>45363</v>
      </c>
      <c r="D3629" t="inlineStr">
        <is>
          <t>JÄMTLANDS LÄN</t>
        </is>
      </c>
      <c r="E3629" t="inlineStr">
        <is>
          <t>ÖSTERSUND</t>
        </is>
      </c>
      <c r="F3629" t="inlineStr">
        <is>
          <t>Övriga Aktiebolag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53241-2020</t>
        </is>
      </c>
      <c r="B3630" s="1" t="n">
        <v>44123</v>
      </c>
      <c r="C3630" s="1" t="n">
        <v>45363</v>
      </c>
      <c r="D3630" t="inlineStr">
        <is>
          <t>JÄMTLANDS LÄN</t>
        </is>
      </c>
      <c r="E3630" t="inlineStr">
        <is>
          <t>KROKOM</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53293-2020</t>
        </is>
      </c>
      <c r="B3631" s="1" t="n">
        <v>44123</v>
      </c>
      <c r="C3631" s="1" t="n">
        <v>45363</v>
      </c>
      <c r="D3631" t="inlineStr">
        <is>
          <t>JÄMTLANDS LÄN</t>
        </is>
      </c>
      <c r="E3631" t="inlineStr">
        <is>
          <t>STRÖMSUND</t>
        </is>
      </c>
      <c r="F3631" t="inlineStr">
        <is>
          <t>Holmen skog AB</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53501-2020</t>
        </is>
      </c>
      <c r="B3632" s="1" t="n">
        <v>44123</v>
      </c>
      <c r="C3632" s="1" t="n">
        <v>45363</v>
      </c>
      <c r="D3632" t="inlineStr">
        <is>
          <t>JÄMTLANDS LÄN</t>
        </is>
      </c>
      <c r="E3632" t="inlineStr">
        <is>
          <t>KROKOM</t>
        </is>
      </c>
      <c r="F3632" t="inlineStr">
        <is>
          <t>SCA</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53499-2020</t>
        </is>
      </c>
      <c r="B3633" s="1" t="n">
        <v>44123</v>
      </c>
      <c r="C3633" s="1" t="n">
        <v>45363</v>
      </c>
      <c r="D3633" t="inlineStr">
        <is>
          <t>JÄMTLANDS LÄN</t>
        </is>
      </c>
      <c r="E3633" t="inlineStr">
        <is>
          <t>KROKOM</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53958-2020</t>
        </is>
      </c>
      <c r="B3634" s="1" t="n">
        <v>44123</v>
      </c>
      <c r="C3634" s="1" t="n">
        <v>45363</v>
      </c>
      <c r="D3634" t="inlineStr">
        <is>
          <t>JÄMTLANDS LÄN</t>
        </is>
      </c>
      <c r="E3634" t="inlineStr">
        <is>
          <t>BERG</t>
        </is>
      </c>
      <c r="G3634" t="n">
        <v>27.9</v>
      </c>
      <c r="H3634" t="n">
        <v>0</v>
      </c>
      <c r="I3634" t="n">
        <v>0</v>
      </c>
      <c r="J3634" t="n">
        <v>0</v>
      </c>
      <c r="K3634" t="n">
        <v>0</v>
      </c>
      <c r="L3634" t="n">
        <v>0</v>
      </c>
      <c r="M3634" t="n">
        <v>0</v>
      </c>
      <c r="N3634" t="n">
        <v>0</v>
      </c>
      <c r="O3634" t="n">
        <v>0</v>
      </c>
      <c r="P3634" t="n">
        <v>0</v>
      </c>
      <c r="Q3634" t="n">
        <v>0</v>
      </c>
      <c r="R3634" s="2" t="inlineStr"/>
    </row>
    <row r="3635" ht="15" customHeight="1">
      <c r="A3635" t="inlineStr">
        <is>
          <t>A 53500-2020</t>
        </is>
      </c>
      <c r="B3635" s="1" t="n">
        <v>44123</v>
      </c>
      <c r="C3635" s="1" t="n">
        <v>45363</v>
      </c>
      <c r="D3635" t="inlineStr">
        <is>
          <t>JÄMTLANDS LÄN</t>
        </is>
      </c>
      <c r="E3635" t="inlineStr">
        <is>
          <t>KROKOM</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53950-2020</t>
        </is>
      </c>
      <c r="B3636" s="1" t="n">
        <v>44123</v>
      </c>
      <c r="C3636" s="1" t="n">
        <v>45363</v>
      </c>
      <c r="D3636" t="inlineStr">
        <is>
          <t>JÄMTLANDS LÄN</t>
        </is>
      </c>
      <c r="E3636" t="inlineStr">
        <is>
          <t>BERG</t>
        </is>
      </c>
      <c r="G3636" t="n">
        <v>11.8</v>
      </c>
      <c r="H3636" t="n">
        <v>0</v>
      </c>
      <c r="I3636" t="n">
        <v>0</v>
      </c>
      <c r="J3636" t="n">
        <v>0</v>
      </c>
      <c r="K3636" t="n">
        <v>0</v>
      </c>
      <c r="L3636" t="n">
        <v>0</v>
      </c>
      <c r="M3636" t="n">
        <v>0</v>
      </c>
      <c r="N3636" t="n">
        <v>0</v>
      </c>
      <c r="O3636" t="n">
        <v>0</v>
      </c>
      <c r="P3636" t="n">
        <v>0</v>
      </c>
      <c r="Q3636" t="n">
        <v>0</v>
      </c>
      <c r="R3636" s="2" t="inlineStr"/>
    </row>
    <row r="3637" ht="15" customHeight="1">
      <c r="A3637" t="inlineStr">
        <is>
          <t>A 53877-2020</t>
        </is>
      </c>
      <c r="B3637" s="1" t="n">
        <v>44123</v>
      </c>
      <c r="C3637" s="1" t="n">
        <v>45363</v>
      </c>
      <c r="D3637" t="inlineStr">
        <is>
          <t>JÄMTLANDS LÄN</t>
        </is>
      </c>
      <c r="E3637" t="inlineStr">
        <is>
          <t>BERG</t>
        </is>
      </c>
      <c r="G3637" t="n">
        <v>32.8</v>
      </c>
      <c r="H3637" t="n">
        <v>0</v>
      </c>
      <c r="I3637" t="n">
        <v>0</v>
      </c>
      <c r="J3637" t="n">
        <v>0</v>
      </c>
      <c r="K3637" t="n">
        <v>0</v>
      </c>
      <c r="L3637" t="n">
        <v>0</v>
      </c>
      <c r="M3637" t="n">
        <v>0</v>
      </c>
      <c r="N3637" t="n">
        <v>0</v>
      </c>
      <c r="O3637" t="n">
        <v>0</v>
      </c>
      <c r="P3637" t="n">
        <v>0</v>
      </c>
      <c r="Q3637" t="n">
        <v>0</v>
      </c>
      <c r="R3637" s="2" t="inlineStr"/>
    </row>
    <row r="3638" ht="15" customHeight="1">
      <c r="A3638" t="inlineStr">
        <is>
          <t>A 53886-2020</t>
        </is>
      </c>
      <c r="B3638" s="1" t="n">
        <v>44123</v>
      </c>
      <c r="C3638" s="1" t="n">
        <v>45363</v>
      </c>
      <c r="D3638" t="inlineStr">
        <is>
          <t>JÄMTLANDS LÄN</t>
        </is>
      </c>
      <c r="E3638" t="inlineStr">
        <is>
          <t>BERG</t>
        </is>
      </c>
      <c r="G3638" t="n">
        <v>8.800000000000001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53902-2020</t>
        </is>
      </c>
      <c r="B3639" s="1" t="n">
        <v>44123</v>
      </c>
      <c r="C3639" s="1" t="n">
        <v>45363</v>
      </c>
      <c r="D3639" t="inlineStr">
        <is>
          <t>JÄMTLANDS LÄN</t>
        </is>
      </c>
      <c r="E3639" t="inlineStr">
        <is>
          <t>BERG</t>
        </is>
      </c>
      <c r="G3639" t="n">
        <v>22.5</v>
      </c>
      <c r="H3639" t="n">
        <v>0</v>
      </c>
      <c r="I3639" t="n">
        <v>0</v>
      </c>
      <c r="J3639" t="n">
        <v>0</v>
      </c>
      <c r="K3639" t="n">
        <v>0</v>
      </c>
      <c r="L3639" t="n">
        <v>0</v>
      </c>
      <c r="M3639" t="n">
        <v>0</v>
      </c>
      <c r="N3639" t="n">
        <v>0</v>
      </c>
      <c r="O3639" t="n">
        <v>0</v>
      </c>
      <c r="P3639" t="n">
        <v>0</v>
      </c>
      <c r="Q3639" t="n">
        <v>0</v>
      </c>
      <c r="R3639" s="2" t="inlineStr"/>
    </row>
    <row r="3640" ht="15" customHeight="1">
      <c r="A3640" t="inlineStr">
        <is>
          <t>A 53522-2020</t>
        </is>
      </c>
      <c r="B3640" s="1" t="n">
        <v>44124</v>
      </c>
      <c r="C3640" s="1" t="n">
        <v>45363</v>
      </c>
      <c r="D3640" t="inlineStr">
        <is>
          <t>JÄMTLANDS LÄN</t>
        </is>
      </c>
      <c r="E3640" t="inlineStr">
        <is>
          <t>RAGUNDA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53826-2020</t>
        </is>
      </c>
      <c r="B3641" s="1" t="n">
        <v>44124</v>
      </c>
      <c r="C3641" s="1" t="n">
        <v>45363</v>
      </c>
      <c r="D3641" t="inlineStr">
        <is>
          <t>JÄMTLANDS LÄN</t>
        </is>
      </c>
      <c r="E3641" t="inlineStr">
        <is>
          <t>BRÄCKE</t>
        </is>
      </c>
      <c r="F3641" t="inlineStr">
        <is>
          <t>SCA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53839-2020</t>
        </is>
      </c>
      <c r="B3642" s="1" t="n">
        <v>44124</v>
      </c>
      <c r="C3642" s="1" t="n">
        <v>45363</v>
      </c>
      <c r="D3642" t="inlineStr">
        <is>
          <t>JÄMTLANDS LÄN</t>
        </is>
      </c>
      <c r="E3642" t="inlineStr">
        <is>
          <t>BRÄCKE</t>
        </is>
      </c>
      <c r="F3642" t="inlineStr">
        <is>
          <t>SCA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54015-2020</t>
        </is>
      </c>
      <c r="B3643" s="1" t="n">
        <v>44125</v>
      </c>
      <c r="C3643" s="1" t="n">
        <v>45363</v>
      </c>
      <c r="D3643" t="inlineStr">
        <is>
          <t>JÄMTLANDS LÄN</t>
        </is>
      </c>
      <c r="E3643" t="inlineStr">
        <is>
          <t>ÅRE</t>
        </is>
      </c>
      <c r="F3643" t="inlineStr">
        <is>
          <t>Övriga Aktiebolag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53967-2020</t>
        </is>
      </c>
      <c r="B3644" s="1" t="n">
        <v>44125</v>
      </c>
      <c r="C3644" s="1" t="n">
        <v>45363</v>
      </c>
      <c r="D3644" t="inlineStr">
        <is>
          <t>JÄMTLANDS LÄN</t>
        </is>
      </c>
      <c r="E3644" t="inlineStr">
        <is>
          <t>ÖSTERSUND</t>
        </is>
      </c>
      <c r="G3644" t="n">
        <v>25.8</v>
      </c>
      <c r="H3644" t="n">
        <v>0</v>
      </c>
      <c r="I3644" t="n">
        <v>0</v>
      </c>
      <c r="J3644" t="n">
        <v>0</v>
      </c>
      <c r="K3644" t="n">
        <v>0</v>
      </c>
      <c r="L3644" t="n">
        <v>0</v>
      </c>
      <c r="M3644" t="n">
        <v>0</v>
      </c>
      <c r="N3644" t="n">
        <v>0</v>
      </c>
      <c r="O3644" t="n">
        <v>0</v>
      </c>
      <c r="P3644" t="n">
        <v>0</v>
      </c>
      <c r="Q3644" t="n">
        <v>0</v>
      </c>
      <c r="R3644" s="2" t="inlineStr"/>
    </row>
    <row r="3645" ht="15" customHeight="1">
      <c r="A3645" t="inlineStr">
        <is>
          <t>A 54199-2020</t>
        </is>
      </c>
      <c r="B3645" s="1" t="n">
        <v>44126</v>
      </c>
      <c r="C3645" s="1" t="n">
        <v>45363</v>
      </c>
      <c r="D3645" t="inlineStr">
        <is>
          <t>JÄMTLANDS LÄN</t>
        </is>
      </c>
      <c r="E3645" t="inlineStr">
        <is>
          <t>RAGUNDA</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54481-2020</t>
        </is>
      </c>
      <c r="B3646" s="1" t="n">
        <v>44126</v>
      </c>
      <c r="C3646" s="1" t="n">
        <v>45363</v>
      </c>
      <c r="D3646" t="inlineStr">
        <is>
          <t>JÄMTLANDS LÄN</t>
        </is>
      </c>
      <c r="E3646" t="inlineStr">
        <is>
          <t>HÄRJEDALEN</t>
        </is>
      </c>
      <c r="F3646" t="inlineStr">
        <is>
          <t>Sveaskog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54511-2020</t>
        </is>
      </c>
      <c r="B3647" s="1" t="n">
        <v>44126</v>
      </c>
      <c r="C3647" s="1" t="n">
        <v>45363</v>
      </c>
      <c r="D3647" t="inlineStr">
        <is>
          <t>JÄMTLANDS LÄN</t>
        </is>
      </c>
      <c r="E3647" t="inlineStr">
        <is>
          <t>BERG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54539-2020</t>
        </is>
      </c>
      <c r="B3648" s="1" t="n">
        <v>44126</v>
      </c>
      <c r="C3648" s="1" t="n">
        <v>45363</v>
      </c>
      <c r="D3648" t="inlineStr">
        <is>
          <t>JÄMTLANDS LÄN</t>
        </is>
      </c>
      <c r="E3648" t="inlineStr">
        <is>
          <t>ÖSTERSUND</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54575-2020</t>
        </is>
      </c>
      <c r="B3649" s="1" t="n">
        <v>44126</v>
      </c>
      <c r="C3649" s="1" t="n">
        <v>45363</v>
      </c>
      <c r="D3649" t="inlineStr">
        <is>
          <t>JÄMTLANDS LÄN</t>
        </is>
      </c>
      <c r="E3649" t="inlineStr">
        <is>
          <t>KROKOM</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54587-2020</t>
        </is>
      </c>
      <c r="B3650" s="1" t="n">
        <v>44126</v>
      </c>
      <c r="C3650" s="1" t="n">
        <v>45363</v>
      </c>
      <c r="D3650" t="inlineStr">
        <is>
          <t>JÄMTLANDS LÄN</t>
        </is>
      </c>
      <c r="E3650" t="inlineStr">
        <is>
          <t>BRÄCKE</t>
        </is>
      </c>
      <c r="F3650" t="inlineStr">
        <is>
          <t>SCA</t>
        </is>
      </c>
      <c r="G3650" t="n">
        <v>24.9</v>
      </c>
      <c r="H3650" t="n">
        <v>0</v>
      </c>
      <c r="I3650" t="n">
        <v>0</v>
      </c>
      <c r="J3650" t="n">
        <v>0</v>
      </c>
      <c r="K3650" t="n">
        <v>0</v>
      </c>
      <c r="L3650" t="n">
        <v>0</v>
      </c>
      <c r="M3650" t="n">
        <v>0</v>
      </c>
      <c r="N3650" t="n">
        <v>0</v>
      </c>
      <c r="O3650" t="n">
        <v>0</v>
      </c>
      <c r="P3650" t="n">
        <v>0</v>
      </c>
      <c r="Q3650" t="n">
        <v>0</v>
      </c>
      <c r="R3650" s="2" t="inlineStr"/>
    </row>
    <row r="3651" ht="15" customHeight="1">
      <c r="A3651" t="inlineStr">
        <is>
          <t>A 54537-2020</t>
        </is>
      </c>
      <c r="B3651" s="1" t="n">
        <v>44126</v>
      </c>
      <c r="C3651" s="1" t="n">
        <v>45363</v>
      </c>
      <c r="D3651" t="inlineStr">
        <is>
          <t>JÄMTLANDS LÄN</t>
        </is>
      </c>
      <c r="E3651" t="inlineStr">
        <is>
          <t>HÄRJEDALEN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54580-2020</t>
        </is>
      </c>
      <c r="B3652" s="1" t="n">
        <v>44126</v>
      </c>
      <c r="C3652" s="1" t="n">
        <v>45363</v>
      </c>
      <c r="D3652" t="inlineStr">
        <is>
          <t>JÄMTLANDS LÄN</t>
        </is>
      </c>
      <c r="E3652" t="inlineStr">
        <is>
          <t>RAGUNDA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54844-2020</t>
        </is>
      </c>
      <c r="B3653" s="1" t="n">
        <v>44126</v>
      </c>
      <c r="C3653" s="1" t="n">
        <v>45363</v>
      </c>
      <c r="D3653" t="inlineStr">
        <is>
          <t>JÄMTLANDS LÄN</t>
        </is>
      </c>
      <c r="E3653" t="inlineStr">
        <is>
          <t>ÖSTERSUND</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54593-2020</t>
        </is>
      </c>
      <c r="B3654" s="1" t="n">
        <v>44126</v>
      </c>
      <c r="C3654" s="1" t="n">
        <v>45363</v>
      </c>
      <c r="D3654" t="inlineStr">
        <is>
          <t>JÄMTLANDS LÄN</t>
        </is>
      </c>
      <c r="E3654" t="inlineStr">
        <is>
          <t>HÄRJEDALEN</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54582-2020</t>
        </is>
      </c>
      <c r="B3655" s="1" t="n">
        <v>44127</v>
      </c>
      <c r="C3655" s="1" t="n">
        <v>45363</v>
      </c>
      <c r="D3655" t="inlineStr">
        <is>
          <t>JÄMTLANDS LÄN</t>
        </is>
      </c>
      <c r="E3655" t="inlineStr">
        <is>
          <t>KROKOM</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54716-2020</t>
        </is>
      </c>
      <c r="B3656" s="1" t="n">
        <v>44127</v>
      </c>
      <c r="C3656" s="1" t="n">
        <v>45363</v>
      </c>
      <c r="D3656" t="inlineStr">
        <is>
          <t>JÄMTLANDS LÄN</t>
        </is>
      </c>
      <c r="E3656" t="inlineStr">
        <is>
          <t>HÄRJEDALEN</t>
        </is>
      </c>
      <c r="F3656" t="inlineStr">
        <is>
          <t>Kyrkan</t>
        </is>
      </c>
      <c r="G3656" t="n">
        <v>21.3</v>
      </c>
      <c r="H3656" t="n">
        <v>0</v>
      </c>
      <c r="I3656" t="n">
        <v>0</v>
      </c>
      <c r="J3656" t="n">
        <v>0</v>
      </c>
      <c r="K3656" t="n">
        <v>0</v>
      </c>
      <c r="L3656" t="n">
        <v>0</v>
      </c>
      <c r="M3656" t="n">
        <v>0</v>
      </c>
      <c r="N3656" t="n">
        <v>0</v>
      </c>
      <c r="O3656" t="n">
        <v>0</v>
      </c>
      <c r="P3656" t="n">
        <v>0</v>
      </c>
      <c r="Q3656" t="n">
        <v>0</v>
      </c>
      <c r="R3656" s="2" t="inlineStr"/>
    </row>
    <row r="3657" ht="15" customHeight="1">
      <c r="A3657" t="inlineStr">
        <is>
          <t>A 54945-2020</t>
        </is>
      </c>
      <c r="B3657" s="1" t="n">
        <v>44129</v>
      </c>
      <c r="C3657" s="1" t="n">
        <v>45363</v>
      </c>
      <c r="D3657" t="inlineStr">
        <is>
          <t>JÄMTLANDS LÄN</t>
        </is>
      </c>
      <c r="E3657" t="inlineStr">
        <is>
          <t>ÅRE</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54944-2020</t>
        </is>
      </c>
      <c r="B3658" s="1" t="n">
        <v>44129</v>
      </c>
      <c r="C3658" s="1" t="n">
        <v>45363</v>
      </c>
      <c r="D3658" t="inlineStr">
        <is>
          <t>JÄMTLANDS LÄN</t>
        </is>
      </c>
      <c r="E3658" t="inlineStr">
        <is>
          <t>ÅRE</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55311-2020</t>
        </is>
      </c>
      <c r="B3659" s="1" t="n">
        <v>44130</v>
      </c>
      <c r="C3659" s="1" t="n">
        <v>45363</v>
      </c>
      <c r="D3659" t="inlineStr">
        <is>
          <t>JÄMTLANDS LÄN</t>
        </is>
      </c>
      <c r="E3659" t="inlineStr">
        <is>
          <t>BERG</t>
        </is>
      </c>
      <c r="F3659" t="inlineStr">
        <is>
          <t>SCA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55342-2020</t>
        </is>
      </c>
      <c r="B3660" s="1" t="n">
        <v>44130</v>
      </c>
      <c r="C3660" s="1" t="n">
        <v>45363</v>
      </c>
      <c r="D3660" t="inlineStr">
        <is>
          <t>JÄMTLANDS LÄN</t>
        </is>
      </c>
      <c r="E3660" t="inlineStr">
        <is>
          <t>STRÖMSUND</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55309-2020</t>
        </is>
      </c>
      <c r="B3661" s="1" t="n">
        <v>44130</v>
      </c>
      <c r="C3661" s="1" t="n">
        <v>45363</v>
      </c>
      <c r="D3661" t="inlineStr">
        <is>
          <t>JÄMTLANDS LÄN</t>
        </is>
      </c>
      <c r="E3661" t="inlineStr">
        <is>
          <t>RAGUNDA</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55340-2020</t>
        </is>
      </c>
      <c r="B3662" s="1" t="n">
        <v>44130</v>
      </c>
      <c r="C3662" s="1" t="n">
        <v>45363</v>
      </c>
      <c r="D3662" t="inlineStr">
        <is>
          <t>JÄMTLANDS LÄN</t>
        </is>
      </c>
      <c r="E3662" t="inlineStr">
        <is>
          <t>BRÄCKE</t>
        </is>
      </c>
      <c r="F3662" t="inlineStr">
        <is>
          <t>SCA</t>
        </is>
      </c>
      <c r="G3662" t="n">
        <v>13.5</v>
      </c>
      <c r="H3662" t="n">
        <v>0</v>
      </c>
      <c r="I3662" t="n">
        <v>0</v>
      </c>
      <c r="J3662" t="n">
        <v>0</v>
      </c>
      <c r="K3662" t="n">
        <v>0</v>
      </c>
      <c r="L3662" t="n">
        <v>0</v>
      </c>
      <c r="M3662" t="n">
        <v>0</v>
      </c>
      <c r="N3662" t="n">
        <v>0</v>
      </c>
      <c r="O3662" t="n">
        <v>0</v>
      </c>
      <c r="P3662" t="n">
        <v>0</v>
      </c>
      <c r="Q3662" t="n">
        <v>0</v>
      </c>
      <c r="R3662" s="2" t="inlineStr"/>
    </row>
    <row r="3663" ht="15" customHeight="1">
      <c r="A3663" t="inlineStr">
        <is>
          <t>A 55655-2020</t>
        </is>
      </c>
      <c r="B3663" s="1" t="n">
        <v>44131</v>
      </c>
      <c r="C3663" s="1" t="n">
        <v>45363</v>
      </c>
      <c r="D3663" t="inlineStr">
        <is>
          <t>JÄMTLANDS LÄN</t>
        </is>
      </c>
      <c r="E3663" t="inlineStr">
        <is>
          <t>BRÄCKE</t>
        </is>
      </c>
      <c r="F3663" t="inlineStr">
        <is>
          <t>SCA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55658-2020</t>
        </is>
      </c>
      <c r="B3664" s="1" t="n">
        <v>44131</v>
      </c>
      <c r="C3664" s="1" t="n">
        <v>45363</v>
      </c>
      <c r="D3664" t="inlineStr">
        <is>
          <t>JÄMTLANDS LÄN</t>
        </is>
      </c>
      <c r="E3664" t="inlineStr">
        <is>
          <t>BRÄCKE</t>
        </is>
      </c>
      <c r="F3664" t="inlineStr">
        <is>
          <t>SCA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55654-2020</t>
        </is>
      </c>
      <c r="B3665" s="1" t="n">
        <v>44131</v>
      </c>
      <c r="C3665" s="1" t="n">
        <v>45363</v>
      </c>
      <c r="D3665" t="inlineStr">
        <is>
          <t>JÄMTLANDS LÄN</t>
        </is>
      </c>
      <c r="E3665" t="inlineStr">
        <is>
          <t>BRÄCKE</t>
        </is>
      </c>
      <c r="F3665" t="inlineStr">
        <is>
          <t>SCA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55708-2020</t>
        </is>
      </c>
      <c r="B3666" s="1" t="n">
        <v>44131</v>
      </c>
      <c r="C3666" s="1" t="n">
        <v>45363</v>
      </c>
      <c r="D3666" t="inlineStr">
        <is>
          <t>JÄMTLANDS LÄN</t>
        </is>
      </c>
      <c r="E3666" t="inlineStr">
        <is>
          <t>STRÖMSUND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55657-2020</t>
        </is>
      </c>
      <c r="B3667" s="1" t="n">
        <v>44131</v>
      </c>
      <c r="C3667" s="1" t="n">
        <v>45363</v>
      </c>
      <c r="D3667" t="inlineStr">
        <is>
          <t>JÄMTLANDS LÄN</t>
        </is>
      </c>
      <c r="E3667" t="inlineStr">
        <is>
          <t>BRÄCKE</t>
        </is>
      </c>
      <c r="F3667" t="inlineStr">
        <is>
          <t>SCA</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55926-2020</t>
        </is>
      </c>
      <c r="B3668" s="1" t="n">
        <v>44132</v>
      </c>
      <c r="C3668" s="1" t="n">
        <v>45363</v>
      </c>
      <c r="D3668" t="inlineStr">
        <is>
          <t>JÄMTLANDS LÄN</t>
        </is>
      </c>
      <c r="E3668" t="inlineStr">
        <is>
          <t>RAGUNDA</t>
        </is>
      </c>
      <c r="F3668" t="inlineStr">
        <is>
          <t>SCA</t>
        </is>
      </c>
      <c r="G3668" t="n">
        <v>11.5</v>
      </c>
      <c r="H3668" t="n">
        <v>0</v>
      </c>
      <c r="I3668" t="n">
        <v>0</v>
      </c>
      <c r="J3668" t="n">
        <v>0</v>
      </c>
      <c r="K3668" t="n">
        <v>0</v>
      </c>
      <c r="L3668" t="n">
        <v>0</v>
      </c>
      <c r="M3668" t="n">
        <v>0</v>
      </c>
      <c r="N3668" t="n">
        <v>0</v>
      </c>
      <c r="O3668" t="n">
        <v>0</v>
      </c>
      <c r="P3668" t="n">
        <v>0</v>
      </c>
      <c r="Q3668" t="n">
        <v>0</v>
      </c>
      <c r="R3668" s="2" t="inlineStr"/>
    </row>
    <row r="3669" ht="15" customHeight="1">
      <c r="A3669" t="inlineStr">
        <is>
          <t>A 55834-2020</t>
        </is>
      </c>
      <c r="B3669" s="1" t="n">
        <v>44132</v>
      </c>
      <c r="C3669" s="1" t="n">
        <v>45363</v>
      </c>
      <c r="D3669" t="inlineStr">
        <is>
          <t>JÄMTLANDS LÄN</t>
        </is>
      </c>
      <c r="E3669" t="inlineStr">
        <is>
          <t>HÄRJEDALEN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56001-2020</t>
        </is>
      </c>
      <c r="B3670" s="1" t="n">
        <v>44133</v>
      </c>
      <c r="C3670" s="1" t="n">
        <v>45363</v>
      </c>
      <c r="D3670" t="inlineStr">
        <is>
          <t>JÄMTLANDS LÄN</t>
        </is>
      </c>
      <c r="E3670" t="inlineStr">
        <is>
          <t>HÄRJEDALEN</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56203-2020</t>
        </is>
      </c>
      <c r="B3671" s="1" t="n">
        <v>44133</v>
      </c>
      <c r="C3671" s="1" t="n">
        <v>45363</v>
      </c>
      <c r="D3671" t="inlineStr">
        <is>
          <t>JÄMTLANDS LÄN</t>
        </is>
      </c>
      <c r="E3671" t="inlineStr">
        <is>
          <t>KROKOM</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56596-2020</t>
        </is>
      </c>
      <c r="B3672" s="1" t="n">
        <v>44133</v>
      </c>
      <c r="C3672" s="1" t="n">
        <v>45363</v>
      </c>
      <c r="D3672" t="inlineStr">
        <is>
          <t>JÄMTLANDS LÄN</t>
        </is>
      </c>
      <c r="E3672" t="inlineStr">
        <is>
          <t>KROKOM</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56220-2020</t>
        </is>
      </c>
      <c r="B3673" s="1" t="n">
        <v>44133</v>
      </c>
      <c r="C3673" s="1" t="n">
        <v>45363</v>
      </c>
      <c r="D3673" t="inlineStr">
        <is>
          <t>JÄMTLANDS LÄN</t>
        </is>
      </c>
      <c r="E3673" t="inlineStr">
        <is>
          <t>ÖSTERSUND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56168-2020</t>
        </is>
      </c>
      <c r="B3674" s="1" t="n">
        <v>44133</v>
      </c>
      <c r="C3674" s="1" t="n">
        <v>45363</v>
      </c>
      <c r="D3674" t="inlineStr">
        <is>
          <t>JÄMTLANDS LÄN</t>
        </is>
      </c>
      <c r="E3674" t="inlineStr">
        <is>
          <t>KROKOM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56251-2020</t>
        </is>
      </c>
      <c r="B3675" s="1" t="n">
        <v>44134</v>
      </c>
      <c r="C3675" s="1" t="n">
        <v>45363</v>
      </c>
      <c r="D3675" t="inlineStr">
        <is>
          <t>JÄMTLANDS LÄN</t>
        </is>
      </c>
      <c r="E3675" t="inlineStr">
        <is>
          <t>STRÖMSUND</t>
        </is>
      </c>
      <c r="F3675" t="inlineStr">
        <is>
          <t>Holmen skog AB</t>
        </is>
      </c>
      <c r="G3675" t="n">
        <v>7.3</v>
      </c>
      <c r="H3675" t="n">
        <v>0</v>
      </c>
      <c r="I3675" t="n">
        <v>0</v>
      </c>
      <c r="J3675" t="n">
        <v>0</v>
      </c>
      <c r="K3675" t="n">
        <v>0</v>
      </c>
      <c r="L3675" t="n">
        <v>0</v>
      </c>
      <c r="M3675" t="n">
        <v>0</v>
      </c>
      <c r="N3675" t="n">
        <v>0</v>
      </c>
      <c r="O3675" t="n">
        <v>0</v>
      </c>
      <c r="P3675" t="n">
        <v>0</v>
      </c>
      <c r="Q3675" t="n">
        <v>0</v>
      </c>
      <c r="R3675" s="2" t="inlineStr"/>
    </row>
    <row r="3676" ht="15" customHeight="1">
      <c r="A3676" t="inlineStr">
        <is>
          <t>A 56290-2020</t>
        </is>
      </c>
      <c r="B3676" s="1" t="n">
        <v>44134</v>
      </c>
      <c r="C3676" s="1" t="n">
        <v>45363</v>
      </c>
      <c r="D3676" t="inlineStr">
        <is>
          <t>JÄMTLANDS LÄN</t>
        </is>
      </c>
      <c r="E3676" t="inlineStr">
        <is>
          <t>STRÖMSUND</t>
        </is>
      </c>
      <c r="F3676" t="inlineStr">
        <is>
          <t>Holmen skog AB</t>
        </is>
      </c>
      <c r="G3676" t="n">
        <v>8.800000000000001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56339-2020</t>
        </is>
      </c>
      <c r="B3677" s="1" t="n">
        <v>44134</v>
      </c>
      <c r="C3677" s="1" t="n">
        <v>45363</v>
      </c>
      <c r="D3677" t="inlineStr">
        <is>
          <t>JÄMTLANDS LÄN</t>
        </is>
      </c>
      <c r="E3677" t="inlineStr">
        <is>
          <t>RAGUNDA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56352-2020</t>
        </is>
      </c>
      <c r="B3678" s="1" t="n">
        <v>44135</v>
      </c>
      <c r="C3678" s="1" t="n">
        <v>45363</v>
      </c>
      <c r="D3678" t="inlineStr">
        <is>
          <t>JÄMTLANDS LÄN</t>
        </is>
      </c>
      <c r="E3678" t="inlineStr">
        <is>
          <t>ÅRE</t>
        </is>
      </c>
      <c r="G3678" t="n">
        <v>95.09999999999999</v>
      </c>
      <c r="H3678" t="n">
        <v>0</v>
      </c>
      <c r="I3678" t="n">
        <v>0</v>
      </c>
      <c r="J3678" t="n">
        <v>0</v>
      </c>
      <c r="K3678" t="n">
        <v>0</v>
      </c>
      <c r="L3678" t="n">
        <v>0</v>
      </c>
      <c r="M3678" t="n">
        <v>0</v>
      </c>
      <c r="N3678" t="n">
        <v>0</v>
      </c>
      <c r="O3678" t="n">
        <v>0</v>
      </c>
      <c r="P3678" t="n">
        <v>0</v>
      </c>
      <c r="Q3678" t="n">
        <v>0</v>
      </c>
      <c r="R3678" s="2" t="inlineStr"/>
    </row>
    <row r="3679" ht="15" customHeight="1">
      <c r="A3679" t="inlineStr">
        <is>
          <t>A 56416-2020</t>
        </is>
      </c>
      <c r="B3679" s="1" t="n">
        <v>44137</v>
      </c>
      <c r="C3679" s="1" t="n">
        <v>45363</v>
      </c>
      <c r="D3679" t="inlineStr">
        <is>
          <t>JÄMTLANDS LÄN</t>
        </is>
      </c>
      <c r="E3679" t="inlineStr">
        <is>
          <t>BRÄCKE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56486-2020</t>
        </is>
      </c>
      <c r="B3680" s="1" t="n">
        <v>44137</v>
      </c>
      <c r="C3680" s="1" t="n">
        <v>45363</v>
      </c>
      <c r="D3680" t="inlineStr">
        <is>
          <t>JÄMTLANDS LÄN</t>
        </is>
      </c>
      <c r="E3680" t="inlineStr">
        <is>
          <t>ÖSTERSUND</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56493-2020</t>
        </is>
      </c>
      <c r="B3681" s="1" t="n">
        <v>44137</v>
      </c>
      <c r="C3681" s="1" t="n">
        <v>45363</v>
      </c>
      <c r="D3681" t="inlineStr">
        <is>
          <t>JÄMTLANDS LÄN</t>
        </is>
      </c>
      <c r="E3681" t="inlineStr">
        <is>
          <t>STRÖMSUND</t>
        </is>
      </c>
      <c r="F3681" t="inlineStr">
        <is>
          <t>Holmen skog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56598-2020</t>
        </is>
      </c>
      <c r="B3682" s="1" t="n">
        <v>44137</v>
      </c>
      <c r="C3682" s="1" t="n">
        <v>45363</v>
      </c>
      <c r="D3682" t="inlineStr">
        <is>
          <t>JÄMTLANDS LÄN</t>
        </is>
      </c>
      <c r="E3682" t="inlineStr">
        <is>
          <t>BRÄCKE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56636-2020</t>
        </is>
      </c>
      <c r="B3683" s="1" t="n">
        <v>44137</v>
      </c>
      <c r="C3683" s="1" t="n">
        <v>45363</v>
      </c>
      <c r="D3683" t="inlineStr">
        <is>
          <t>JÄMTLANDS LÄN</t>
        </is>
      </c>
      <c r="E3683" t="inlineStr">
        <is>
          <t>ÖSTERSUND</t>
        </is>
      </c>
      <c r="F3683" t="inlineStr">
        <is>
          <t>Övriga Aktiebolag</t>
        </is>
      </c>
      <c r="G3683" t="n">
        <v>16.2</v>
      </c>
      <c r="H3683" t="n">
        <v>0</v>
      </c>
      <c r="I3683" t="n">
        <v>0</v>
      </c>
      <c r="J3683" t="n">
        <v>0</v>
      </c>
      <c r="K3683" t="n">
        <v>0</v>
      </c>
      <c r="L3683" t="n">
        <v>0</v>
      </c>
      <c r="M3683" t="n">
        <v>0</v>
      </c>
      <c r="N3683" t="n">
        <v>0</v>
      </c>
      <c r="O3683" t="n">
        <v>0</v>
      </c>
      <c r="P3683" t="n">
        <v>0</v>
      </c>
      <c r="Q3683" t="n">
        <v>0</v>
      </c>
      <c r="R3683" s="2" t="inlineStr"/>
    </row>
    <row r="3684" ht="15" customHeight="1">
      <c r="A3684" t="inlineStr">
        <is>
          <t>A 56758-2020</t>
        </is>
      </c>
      <c r="B3684" s="1" t="n">
        <v>44137</v>
      </c>
      <c r="C3684" s="1" t="n">
        <v>45363</v>
      </c>
      <c r="D3684" t="inlineStr">
        <is>
          <t>JÄMTLANDS LÄN</t>
        </is>
      </c>
      <c r="E3684" t="inlineStr">
        <is>
          <t>BRÄCKE</t>
        </is>
      </c>
      <c r="F3684" t="inlineStr">
        <is>
          <t>SCA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56642-2020</t>
        </is>
      </c>
      <c r="B3685" s="1" t="n">
        <v>44137</v>
      </c>
      <c r="C3685" s="1" t="n">
        <v>45363</v>
      </c>
      <c r="D3685" t="inlineStr">
        <is>
          <t>JÄMTLANDS LÄN</t>
        </is>
      </c>
      <c r="E3685" t="inlineStr">
        <is>
          <t>ÖSTERSUND</t>
        </is>
      </c>
      <c r="F3685" t="inlineStr">
        <is>
          <t>Övriga Aktiebolag</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56777-2020</t>
        </is>
      </c>
      <c r="B3686" s="1" t="n">
        <v>44137</v>
      </c>
      <c r="C3686" s="1" t="n">
        <v>45363</v>
      </c>
      <c r="D3686" t="inlineStr">
        <is>
          <t>JÄMTLANDS LÄN</t>
        </is>
      </c>
      <c r="E3686" t="inlineStr">
        <is>
          <t>BRÄCKE</t>
        </is>
      </c>
      <c r="F3686" t="inlineStr">
        <is>
          <t>SCA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56782-2020</t>
        </is>
      </c>
      <c r="B3687" s="1" t="n">
        <v>44137</v>
      </c>
      <c r="C3687" s="1" t="n">
        <v>45363</v>
      </c>
      <c r="D3687" t="inlineStr">
        <is>
          <t>JÄMTLANDS LÄN</t>
        </is>
      </c>
      <c r="E3687" t="inlineStr">
        <is>
          <t>BRÄCKE</t>
        </is>
      </c>
      <c r="F3687" t="inlineStr">
        <is>
          <t>SCA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56773-2020</t>
        </is>
      </c>
      <c r="B3688" s="1" t="n">
        <v>44137</v>
      </c>
      <c r="C3688" s="1" t="n">
        <v>45363</v>
      </c>
      <c r="D3688" t="inlineStr">
        <is>
          <t>JÄMTLANDS LÄN</t>
        </is>
      </c>
      <c r="E3688" t="inlineStr">
        <is>
          <t>BRÄCKE</t>
        </is>
      </c>
      <c r="F3688" t="inlineStr">
        <is>
          <t>SCA</t>
        </is>
      </c>
      <c r="G3688" t="n">
        <v>10.3</v>
      </c>
      <c r="H3688" t="n">
        <v>0</v>
      </c>
      <c r="I3688" t="n">
        <v>0</v>
      </c>
      <c r="J3688" t="n">
        <v>0</v>
      </c>
      <c r="K3688" t="n">
        <v>0</v>
      </c>
      <c r="L3688" t="n">
        <v>0</v>
      </c>
      <c r="M3688" t="n">
        <v>0</v>
      </c>
      <c r="N3688" t="n">
        <v>0</v>
      </c>
      <c r="O3688" t="n">
        <v>0</v>
      </c>
      <c r="P3688" t="n">
        <v>0</v>
      </c>
      <c r="Q3688" t="n">
        <v>0</v>
      </c>
      <c r="R3688" s="2" t="inlineStr"/>
    </row>
    <row r="3689" ht="15" customHeight="1">
      <c r="A3689" t="inlineStr">
        <is>
          <t>A 56778-2020</t>
        </is>
      </c>
      <c r="B3689" s="1" t="n">
        <v>44137</v>
      </c>
      <c r="C3689" s="1" t="n">
        <v>45363</v>
      </c>
      <c r="D3689" t="inlineStr">
        <is>
          <t>JÄMTLANDS LÄN</t>
        </is>
      </c>
      <c r="E3689" t="inlineStr">
        <is>
          <t>BRÄCKE</t>
        </is>
      </c>
      <c r="F3689" t="inlineStr">
        <is>
          <t>SCA</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56760-2020</t>
        </is>
      </c>
      <c r="B3690" s="1" t="n">
        <v>44137</v>
      </c>
      <c r="C3690" s="1" t="n">
        <v>45363</v>
      </c>
      <c r="D3690" t="inlineStr">
        <is>
          <t>JÄMTLANDS LÄN</t>
        </is>
      </c>
      <c r="E3690" t="inlineStr">
        <is>
          <t>RAGUNDA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56776-2020</t>
        </is>
      </c>
      <c r="B3691" s="1" t="n">
        <v>44137</v>
      </c>
      <c r="C3691" s="1" t="n">
        <v>45363</v>
      </c>
      <c r="D3691" t="inlineStr">
        <is>
          <t>JÄMTLANDS LÄN</t>
        </is>
      </c>
      <c r="E3691" t="inlineStr">
        <is>
          <t>BRÄCKE</t>
        </is>
      </c>
      <c r="F3691" t="inlineStr">
        <is>
          <t>SCA</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56781-2020</t>
        </is>
      </c>
      <c r="B3692" s="1" t="n">
        <v>44137</v>
      </c>
      <c r="C3692" s="1" t="n">
        <v>45363</v>
      </c>
      <c r="D3692" t="inlineStr">
        <is>
          <t>JÄMTLANDS LÄN</t>
        </is>
      </c>
      <c r="E3692" t="inlineStr">
        <is>
          <t>BRÄCKE</t>
        </is>
      </c>
      <c r="F3692" t="inlineStr">
        <is>
          <t>SCA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56774-2020</t>
        </is>
      </c>
      <c r="B3693" s="1" t="n">
        <v>44137</v>
      </c>
      <c r="C3693" s="1" t="n">
        <v>45363</v>
      </c>
      <c r="D3693" t="inlineStr">
        <is>
          <t>JÄMTLANDS LÄN</t>
        </is>
      </c>
      <c r="E3693" t="inlineStr">
        <is>
          <t>BRÄCKE</t>
        </is>
      </c>
      <c r="F3693" t="inlineStr">
        <is>
          <t>SCA</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56780-2020</t>
        </is>
      </c>
      <c r="B3694" s="1" t="n">
        <v>44137</v>
      </c>
      <c r="C3694" s="1" t="n">
        <v>45363</v>
      </c>
      <c r="D3694" t="inlineStr">
        <is>
          <t>JÄMTLANDS LÄN</t>
        </is>
      </c>
      <c r="E3694" t="inlineStr">
        <is>
          <t>BRÄCKE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56966-2020</t>
        </is>
      </c>
      <c r="B3695" s="1" t="n">
        <v>44137</v>
      </c>
      <c r="C3695" s="1" t="n">
        <v>45363</v>
      </c>
      <c r="D3695" t="inlineStr">
        <is>
          <t>JÄMTLANDS LÄN</t>
        </is>
      </c>
      <c r="E3695" t="inlineStr">
        <is>
          <t>STRÖMSUND</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57072-2020</t>
        </is>
      </c>
      <c r="B3696" s="1" t="n">
        <v>44138</v>
      </c>
      <c r="C3696" s="1" t="n">
        <v>45363</v>
      </c>
      <c r="D3696" t="inlineStr">
        <is>
          <t>JÄMTLANDS LÄN</t>
        </is>
      </c>
      <c r="E3696" t="inlineStr">
        <is>
          <t>BRÄCKE</t>
        </is>
      </c>
      <c r="F3696" t="inlineStr">
        <is>
          <t>SCA</t>
        </is>
      </c>
      <c r="G3696" t="n">
        <v>12.8</v>
      </c>
      <c r="H3696" t="n">
        <v>0</v>
      </c>
      <c r="I3696" t="n">
        <v>0</v>
      </c>
      <c r="J3696" t="n">
        <v>0</v>
      </c>
      <c r="K3696" t="n">
        <v>0</v>
      </c>
      <c r="L3696" t="n">
        <v>0</v>
      </c>
      <c r="M3696" t="n">
        <v>0</v>
      </c>
      <c r="N3696" t="n">
        <v>0</v>
      </c>
      <c r="O3696" t="n">
        <v>0</v>
      </c>
      <c r="P3696" t="n">
        <v>0</v>
      </c>
      <c r="Q3696" t="n">
        <v>0</v>
      </c>
      <c r="R3696" s="2" t="inlineStr"/>
    </row>
    <row r="3697" ht="15" customHeight="1">
      <c r="A3697" t="inlineStr">
        <is>
          <t>A 57246-2020</t>
        </is>
      </c>
      <c r="B3697" s="1" t="n">
        <v>44138</v>
      </c>
      <c r="C3697" s="1" t="n">
        <v>45363</v>
      </c>
      <c r="D3697" t="inlineStr">
        <is>
          <t>JÄMTLANDS LÄN</t>
        </is>
      </c>
      <c r="E3697" t="inlineStr">
        <is>
          <t>RAGUNDA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56938-2020</t>
        </is>
      </c>
      <c r="B3698" s="1" t="n">
        <v>44138</v>
      </c>
      <c r="C3698" s="1" t="n">
        <v>45363</v>
      </c>
      <c r="D3698" t="inlineStr">
        <is>
          <t>JÄMTLANDS LÄN</t>
        </is>
      </c>
      <c r="E3698" t="inlineStr">
        <is>
          <t>BRÄCKE</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57073-2020</t>
        </is>
      </c>
      <c r="B3699" s="1" t="n">
        <v>44138</v>
      </c>
      <c r="C3699" s="1" t="n">
        <v>45363</v>
      </c>
      <c r="D3699" t="inlineStr">
        <is>
          <t>JÄMTLANDS LÄN</t>
        </is>
      </c>
      <c r="E3699" t="inlineStr">
        <is>
          <t>BRÄCKE</t>
        </is>
      </c>
      <c r="F3699" t="inlineStr">
        <is>
          <t>SCA</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57196-2020</t>
        </is>
      </c>
      <c r="B3700" s="1" t="n">
        <v>44139</v>
      </c>
      <c r="C3700" s="1" t="n">
        <v>45363</v>
      </c>
      <c r="D3700" t="inlineStr">
        <is>
          <t>JÄMTLANDS LÄN</t>
        </is>
      </c>
      <c r="E3700" t="inlineStr">
        <is>
          <t>HÄRJEDALEN</t>
        </is>
      </c>
      <c r="G3700" t="n">
        <v>15.1</v>
      </c>
      <c r="H3700" t="n">
        <v>0</v>
      </c>
      <c r="I3700" t="n">
        <v>0</v>
      </c>
      <c r="J3700" t="n">
        <v>0</v>
      </c>
      <c r="K3700" t="n">
        <v>0</v>
      </c>
      <c r="L3700" t="n">
        <v>0</v>
      </c>
      <c r="M3700" t="n">
        <v>0</v>
      </c>
      <c r="N3700" t="n">
        <v>0</v>
      </c>
      <c r="O3700" t="n">
        <v>0</v>
      </c>
      <c r="P3700" t="n">
        <v>0</v>
      </c>
      <c r="Q3700" t="n">
        <v>0</v>
      </c>
      <c r="R3700" s="2" t="inlineStr"/>
    </row>
    <row r="3701" ht="15" customHeight="1">
      <c r="A3701" t="inlineStr">
        <is>
          <t>A 57336-2020</t>
        </is>
      </c>
      <c r="B3701" s="1" t="n">
        <v>44139</v>
      </c>
      <c r="C3701" s="1" t="n">
        <v>45363</v>
      </c>
      <c r="D3701" t="inlineStr">
        <is>
          <t>JÄMTLANDS LÄN</t>
        </is>
      </c>
      <c r="E3701" t="inlineStr">
        <is>
          <t>STRÖMSUND</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57375-2020</t>
        </is>
      </c>
      <c r="B3702" s="1" t="n">
        <v>44139</v>
      </c>
      <c r="C3702" s="1" t="n">
        <v>45363</v>
      </c>
      <c r="D3702" t="inlineStr">
        <is>
          <t>JÄMTLANDS LÄN</t>
        </is>
      </c>
      <c r="E3702" t="inlineStr">
        <is>
          <t>KROKOM</t>
        </is>
      </c>
      <c r="F3702" t="inlineStr">
        <is>
          <t>SCA</t>
        </is>
      </c>
      <c r="G3702" t="n">
        <v>9.699999999999999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57511-2020</t>
        </is>
      </c>
      <c r="B3703" s="1" t="n">
        <v>44140</v>
      </c>
      <c r="C3703" s="1" t="n">
        <v>45363</v>
      </c>
      <c r="D3703" t="inlineStr">
        <is>
          <t>JÄMTLANDS LÄN</t>
        </is>
      </c>
      <c r="E3703" t="inlineStr">
        <is>
          <t>STRÖMSUND</t>
        </is>
      </c>
      <c r="F3703" t="inlineStr">
        <is>
          <t>Holmen skog AB</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57550-2020</t>
        </is>
      </c>
      <c r="B3704" s="1" t="n">
        <v>44140</v>
      </c>
      <c r="C3704" s="1" t="n">
        <v>45363</v>
      </c>
      <c r="D3704" t="inlineStr">
        <is>
          <t>JÄMTLANDS LÄN</t>
        </is>
      </c>
      <c r="E3704" t="inlineStr">
        <is>
          <t>STRÖMSUND</t>
        </is>
      </c>
      <c r="F3704" t="inlineStr">
        <is>
          <t>Holmen skog AB</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57616-2020</t>
        </is>
      </c>
      <c r="B3705" s="1" t="n">
        <v>44140</v>
      </c>
      <c r="C3705" s="1" t="n">
        <v>45363</v>
      </c>
      <c r="D3705" t="inlineStr">
        <is>
          <t>JÄMTLANDS LÄN</t>
        </is>
      </c>
      <c r="E3705" t="inlineStr">
        <is>
          <t>ÖSTERSUND</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57423-2020</t>
        </is>
      </c>
      <c r="B3706" s="1" t="n">
        <v>44140</v>
      </c>
      <c r="C3706" s="1" t="n">
        <v>45363</v>
      </c>
      <c r="D3706" t="inlineStr">
        <is>
          <t>JÄMTLANDS LÄN</t>
        </is>
      </c>
      <c r="E3706" t="inlineStr">
        <is>
          <t>STRÖMSUND</t>
        </is>
      </c>
      <c r="F3706" t="inlineStr">
        <is>
          <t>Holmen skog AB</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57578-2020</t>
        </is>
      </c>
      <c r="B3707" s="1" t="n">
        <v>44140</v>
      </c>
      <c r="C3707" s="1" t="n">
        <v>45363</v>
      </c>
      <c r="D3707" t="inlineStr">
        <is>
          <t>JÄMTLANDS LÄN</t>
        </is>
      </c>
      <c r="E3707" t="inlineStr">
        <is>
          <t>ÅRE</t>
        </is>
      </c>
      <c r="G3707" t="n">
        <v>94.40000000000001</v>
      </c>
      <c r="H3707" t="n">
        <v>0</v>
      </c>
      <c r="I3707" t="n">
        <v>0</v>
      </c>
      <c r="J3707" t="n">
        <v>0</v>
      </c>
      <c r="K3707" t="n">
        <v>0</v>
      </c>
      <c r="L3707" t="n">
        <v>0</v>
      </c>
      <c r="M3707" t="n">
        <v>0</v>
      </c>
      <c r="N3707" t="n">
        <v>0</v>
      </c>
      <c r="O3707" t="n">
        <v>0</v>
      </c>
      <c r="P3707" t="n">
        <v>0</v>
      </c>
      <c r="Q3707" t="n">
        <v>0</v>
      </c>
      <c r="R3707" s="2" t="inlineStr"/>
    </row>
    <row r="3708" ht="15" customHeight="1">
      <c r="A3708" t="inlineStr">
        <is>
          <t>A 57594-2020</t>
        </is>
      </c>
      <c r="B3708" s="1" t="n">
        <v>44140</v>
      </c>
      <c r="C3708" s="1" t="n">
        <v>45363</v>
      </c>
      <c r="D3708" t="inlineStr">
        <is>
          <t>JÄMTLANDS LÄN</t>
        </is>
      </c>
      <c r="E3708" t="inlineStr">
        <is>
          <t>ÅRE</t>
        </is>
      </c>
      <c r="G3708" t="n">
        <v>14.9</v>
      </c>
      <c r="H3708" t="n">
        <v>0</v>
      </c>
      <c r="I3708" t="n">
        <v>0</v>
      </c>
      <c r="J3708" t="n">
        <v>0</v>
      </c>
      <c r="K3708" t="n">
        <v>0</v>
      </c>
      <c r="L3708" t="n">
        <v>0</v>
      </c>
      <c r="M3708" t="n">
        <v>0</v>
      </c>
      <c r="N3708" t="n">
        <v>0</v>
      </c>
      <c r="O3708" t="n">
        <v>0</v>
      </c>
      <c r="P3708" t="n">
        <v>0</v>
      </c>
      <c r="Q3708" t="n">
        <v>0</v>
      </c>
      <c r="R3708" s="2" t="inlineStr"/>
    </row>
    <row r="3709" ht="15" customHeight="1">
      <c r="A3709" t="inlineStr">
        <is>
          <t>A 57624-2020</t>
        </is>
      </c>
      <c r="B3709" s="1" t="n">
        <v>44140</v>
      </c>
      <c r="C3709" s="1" t="n">
        <v>45363</v>
      </c>
      <c r="D3709" t="inlineStr">
        <is>
          <t>JÄMTLANDS LÄN</t>
        </is>
      </c>
      <c r="E3709" t="inlineStr">
        <is>
          <t>ÖSTERSUND</t>
        </is>
      </c>
      <c r="F3709" t="inlineStr">
        <is>
          <t>Övriga Aktiebolag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57586-2020</t>
        </is>
      </c>
      <c r="B3710" s="1" t="n">
        <v>44140</v>
      </c>
      <c r="C3710" s="1" t="n">
        <v>45363</v>
      </c>
      <c r="D3710" t="inlineStr">
        <is>
          <t>JÄMTLANDS LÄN</t>
        </is>
      </c>
      <c r="E3710" t="inlineStr">
        <is>
          <t>ÅRE</t>
        </is>
      </c>
      <c r="G3710" t="n">
        <v>9.5</v>
      </c>
      <c r="H3710" t="n">
        <v>0</v>
      </c>
      <c r="I3710" t="n">
        <v>0</v>
      </c>
      <c r="J3710" t="n">
        <v>0</v>
      </c>
      <c r="K3710" t="n">
        <v>0</v>
      </c>
      <c r="L3710" t="n">
        <v>0</v>
      </c>
      <c r="M3710" t="n">
        <v>0</v>
      </c>
      <c r="N3710" t="n">
        <v>0</v>
      </c>
      <c r="O3710" t="n">
        <v>0</v>
      </c>
      <c r="P3710" t="n">
        <v>0</v>
      </c>
      <c r="Q3710" t="n">
        <v>0</v>
      </c>
      <c r="R3710" s="2" t="inlineStr"/>
    </row>
    <row r="3711" ht="15" customHeight="1">
      <c r="A3711" t="inlineStr">
        <is>
          <t>A 57731-2020</t>
        </is>
      </c>
      <c r="B3711" s="1" t="n">
        <v>44140</v>
      </c>
      <c r="C3711" s="1" t="n">
        <v>45363</v>
      </c>
      <c r="D3711" t="inlineStr">
        <is>
          <t>JÄMTLANDS LÄN</t>
        </is>
      </c>
      <c r="E3711" t="inlineStr">
        <is>
          <t>RAGUNDA</t>
        </is>
      </c>
      <c r="F3711" t="inlineStr">
        <is>
          <t>SCA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57717-2020</t>
        </is>
      </c>
      <c r="B3712" s="1" t="n">
        <v>44140</v>
      </c>
      <c r="C3712" s="1" t="n">
        <v>45363</v>
      </c>
      <c r="D3712" t="inlineStr">
        <is>
          <t>JÄMTLANDS LÄN</t>
        </is>
      </c>
      <c r="E3712" t="inlineStr">
        <is>
          <t>RAGUNDA</t>
        </is>
      </c>
      <c r="F3712" t="inlineStr">
        <is>
          <t>SCA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57730-2020</t>
        </is>
      </c>
      <c r="B3713" s="1" t="n">
        <v>44140</v>
      </c>
      <c r="C3713" s="1" t="n">
        <v>45363</v>
      </c>
      <c r="D3713" t="inlineStr">
        <is>
          <t>JÄMTLANDS LÄN</t>
        </is>
      </c>
      <c r="E3713" t="inlineStr">
        <is>
          <t>RAGUNDA</t>
        </is>
      </c>
      <c r="F3713" t="inlineStr">
        <is>
          <t>SCA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57716-2020</t>
        </is>
      </c>
      <c r="B3714" s="1" t="n">
        <v>44140</v>
      </c>
      <c r="C3714" s="1" t="n">
        <v>45363</v>
      </c>
      <c r="D3714" t="inlineStr">
        <is>
          <t>JÄMTLANDS LÄN</t>
        </is>
      </c>
      <c r="E3714" t="inlineStr">
        <is>
          <t>BRÄCKE</t>
        </is>
      </c>
      <c r="F3714" t="inlineStr">
        <is>
          <t>SCA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57713-2020</t>
        </is>
      </c>
      <c r="B3715" s="1" t="n">
        <v>44140</v>
      </c>
      <c r="C3715" s="1" t="n">
        <v>45363</v>
      </c>
      <c r="D3715" t="inlineStr">
        <is>
          <t>JÄMTLANDS LÄN</t>
        </is>
      </c>
      <c r="E3715" t="inlineStr">
        <is>
          <t>RAGUNDA</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57726-2020</t>
        </is>
      </c>
      <c r="B3716" s="1" t="n">
        <v>44140</v>
      </c>
      <c r="C3716" s="1" t="n">
        <v>45363</v>
      </c>
      <c r="D3716" t="inlineStr">
        <is>
          <t>JÄMTLANDS LÄN</t>
        </is>
      </c>
      <c r="E3716" t="inlineStr">
        <is>
          <t>KROKOM</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57728-2020</t>
        </is>
      </c>
      <c r="B3717" s="1" t="n">
        <v>44140</v>
      </c>
      <c r="C3717" s="1" t="n">
        <v>45363</v>
      </c>
      <c r="D3717" t="inlineStr">
        <is>
          <t>JÄMTLANDS LÄN</t>
        </is>
      </c>
      <c r="E3717" t="inlineStr">
        <is>
          <t>KROKOM</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57791-2020</t>
        </is>
      </c>
      <c r="B3718" s="1" t="n">
        <v>44141</v>
      </c>
      <c r="C3718" s="1" t="n">
        <v>45363</v>
      </c>
      <c r="D3718" t="inlineStr">
        <is>
          <t>JÄMTLANDS LÄN</t>
        </is>
      </c>
      <c r="E3718" t="inlineStr">
        <is>
          <t>ÖSTERSUND</t>
        </is>
      </c>
      <c r="F3718" t="inlineStr">
        <is>
          <t>Övriga Aktiebolag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57808-2020</t>
        </is>
      </c>
      <c r="B3719" s="1" t="n">
        <v>44141</v>
      </c>
      <c r="C3719" s="1" t="n">
        <v>45363</v>
      </c>
      <c r="D3719" t="inlineStr">
        <is>
          <t>JÄMTLANDS LÄN</t>
        </is>
      </c>
      <c r="E3719" t="inlineStr">
        <is>
          <t>STRÖMSUND</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57771-2020</t>
        </is>
      </c>
      <c r="B3720" s="1" t="n">
        <v>44141</v>
      </c>
      <c r="C3720" s="1" t="n">
        <v>45363</v>
      </c>
      <c r="D3720" t="inlineStr">
        <is>
          <t>JÄMTLANDS LÄN</t>
        </is>
      </c>
      <c r="E3720" t="inlineStr">
        <is>
          <t>ÖSTERSUND</t>
        </is>
      </c>
      <c r="F3720" t="inlineStr">
        <is>
          <t>Övriga Aktiebolag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57941-2020</t>
        </is>
      </c>
      <c r="B3721" s="1" t="n">
        <v>44141</v>
      </c>
      <c r="C3721" s="1" t="n">
        <v>45363</v>
      </c>
      <c r="D3721" t="inlineStr">
        <is>
          <t>JÄMTLANDS LÄN</t>
        </is>
      </c>
      <c r="E3721" t="inlineStr">
        <is>
          <t>RAGUNDA</t>
        </is>
      </c>
      <c r="F3721" t="inlineStr">
        <is>
          <t>SCA</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58378-2020</t>
        </is>
      </c>
      <c r="B3722" s="1" t="n">
        <v>44141</v>
      </c>
      <c r="C3722" s="1" t="n">
        <v>45363</v>
      </c>
      <c r="D3722" t="inlineStr">
        <is>
          <t>JÄMTLANDS LÄN</t>
        </is>
      </c>
      <c r="E3722" t="inlineStr">
        <is>
          <t>KROKOM</t>
        </is>
      </c>
      <c r="G3722" t="n">
        <v>14.4</v>
      </c>
      <c r="H3722" t="n">
        <v>0</v>
      </c>
      <c r="I3722" t="n">
        <v>0</v>
      </c>
      <c r="J3722" t="n">
        <v>0</v>
      </c>
      <c r="K3722" t="n">
        <v>0</v>
      </c>
      <c r="L3722" t="n">
        <v>0</v>
      </c>
      <c r="M3722" t="n">
        <v>0</v>
      </c>
      <c r="N3722" t="n">
        <v>0</v>
      </c>
      <c r="O3722" t="n">
        <v>0</v>
      </c>
      <c r="P3722" t="n">
        <v>0</v>
      </c>
      <c r="Q3722" t="n">
        <v>0</v>
      </c>
      <c r="R3722" s="2" t="inlineStr"/>
    </row>
    <row r="3723" ht="15" customHeight="1">
      <c r="A3723" t="inlineStr">
        <is>
          <t>A 58569-2020</t>
        </is>
      </c>
      <c r="B3723" s="1" t="n">
        <v>44141</v>
      </c>
      <c r="C3723" s="1" t="n">
        <v>45363</v>
      </c>
      <c r="D3723" t="inlineStr">
        <is>
          <t>JÄMTLANDS LÄN</t>
        </is>
      </c>
      <c r="E3723" t="inlineStr">
        <is>
          <t>KROKOM</t>
        </is>
      </c>
      <c r="G3723" t="n">
        <v>52.8</v>
      </c>
      <c r="H3723" t="n">
        <v>0</v>
      </c>
      <c r="I3723" t="n">
        <v>0</v>
      </c>
      <c r="J3723" t="n">
        <v>0</v>
      </c>
      <c r="K3723" t="n">
        <v>0</v>
      </c>
      <c r="L3723" t="n">
        <v>0</v>
      </c>
      <c r="M3723" t="n">
        <v>0</v>
      </c>
      <c r="N3723" t="n">
        <v>0</v>
      </c>
      <c r="O3723" t="n">
        <v>0</v>
      </c>
      <c r="P3723" t="n">
        <v>0</v>
      </c>
      <c r="Q3723" t="n">
        <v>0</v>
      </c>
      <c r="R3723" s="2" t="inlineStr"/>
    </row>
    <row r="3724" ht="15" customHeight="1">
      <c r="A3724" t="inlineStr">
        <is>
          <t>A 58219-2020</t>
        </is>
      </c>
      <c r="B3724" s="1" t="n">
        <v>44144</v>
      </c>
      <c r="C3724" s="1" t="n">
        <v>45363</v>
      </c>
      <c r="D3724" t="inlineStr">
        <is>
          <t>JÄMTLANDS LÄN</t>
        </is>
      </c>
      <c r="E3724" t="inlineStr">
        <is>
          <t>STRÖMSUND</t>
        </is>
      </c>
      <c r="F3724" t="inlineStr">
        <is>
          <t>Holmen skog AB</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58868-2020</t>
        </is>
      </c>
      <c r="B3725" s="1" t="n">
        <v>44146</v>
      </c>
      <c r="C3725" s="1" t="n">
        <v>45363</v>
      </c>
      <c r="D3725" t="inlineStr">
        <is>
          <t>JÄMTLANDS LÄN</t>
        </is>
      </c>
      <c r="E3725" t="inlineStr">
        <is>
          <t>KROKOM</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58960-2020</t>
        </is>
      </c>
      <c r="B3726" s="1" t="n">
        <v>44146</v>
      </c>
      <c r="C3726" s="1" t="n">
        <v>45363</v>
      </c>
      <c r="D3726" t="inlineStr">
        <is>
          <t>JÄMTLANDS LÄN</t>
        </is>
      </c>
      <c r="E3726" t="inlineStr">
        <is>
          <t>ÅRE</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59012-2020</t>
        </is>
      </c>
      <c r="B3727" s="1" t="n">
        <v>44146</v>
      </c>
      <c r="C3727" s="1" t="n">
        <v>45363</v>
      </c>
      <c r="D3727" t="inlineStr">
        <is>
          <t>JÄMTLANDS LÄN</t>
        </is>
      </c>
      <c r="E3727" t="inlineStr">
        <is>
          <t>STRÖMSUND</t>
        </is>
      </c>
      <c r="F3727" t="inlineStr">
        <is>
          <t>SCA</t>
        </is>
      </c>
      <c r="G3727" t="n">
        <v>15.5</v>
      </c>
      <c r="H3727" t="n">
        <v>0</v>
      </c>
      <c r="I3727" t="n">
        <v>0</v>
      </c>
      <c r="J3727" t="n">
        <v>0</v>
      </c>
      <c r="K3727" t="n">
        <v>0</v>
      </c>
      <c r="L3727" t="n">
        <v>0</v>
      </c>
      <c r="M3727" t="n">
        <v>0</v>
      </c>
      <c r="N3727" t="n">
        <v>0</v>
      </c>
      <c r="O3727" t="n">
        <v>0</v>
      </c>
      <c r="P3727" t="n">
        <v>0</v>
      </c>
      <c r="Q3727" t="n">
        <v>0</v>
      </c>
      <c r="R3727" s="2" t="inlineStr"/>
    </row>
    <row r="3728" ht="15" customHeight="1">
      <c r="A3728" t="inlineStr">
        <is>
          <t>A 59330-2020</t>
        </is>
      </c>
      <c r="B3728" s="1" t="n">
        <v>44147</v>
      </c>
      <c r="C3728" s="1" t="n">
        <v>45363</v>
      </c>
      <c r="D3728" t="inlineStr">
        <is>
          <t>JÄMTLANDS LÄN</t>
        </is>
      </c>
      <c r="E3728" t="inlineStr">
        <is>
          <t>STRÖMSUND</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59331-2020</t>
        </is>
      </c>
      <c r="B3729" s="1" t="n">
        <v>44147</v>
      </c>
      <c r="C3729" s="1" t="n">
        <v>45363</v>
      </c>
      <c r="D3729" t="inlineStr">
        <is>
          <t>JÄMTLANDS LÄN</t>
        </is>
      </c>
      <c r="E3729" t="inlineStr">
        <is>
          <t>BRÄCKE</t>
        </is>
      </c>
      <c r="F3729" t="inlineStr">
        <is>
          <t>SCA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59397-2020</t>
        </is>
      </c>
      <c r="B3730" s="1" t="n">
        <v>44148</v>
      </c>
      <c r="C3730" s="1" t="n">
        <v>45363</v>
      </c>
      <c r="D3730" t="inlineStr">
        <is>
          <t>JÄMTLANDS LÄN</t>
        </is>
      </c>
      <c r="E3730" t="inlineStr">
        <is>
          <t>BRÄCKE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59533-2020</t>
        </is>
      </c>
      <c r="B3731" s="1" t="n">
        <v>44148</v>
      </c>
      <c r="C3731" s="1" t="n">
        <v>45363</v>
      </c>
      <c r="D3731" t="inlineStr">
        <is>
          <t>JÄMTLANDS LÄN</t>
        </is>
      </c>
      <c r="E3731" t="inlineStr">
        <is>
          <t>HÄRJEDALEN</t>
        </is>
      </c>
      <c r="F3731" t="inlineStr">
        <is>
          <t>Holmen skog AB</t>
        </is>
      </c>
      <c r="G3731" t="n">
        <v>38.3</v>
      </c>
      <c r="H3731" t="n">
        <v>0</v>
      </c>
      <c r="I3731" t="n">
        <v>0</v>
      </c>
      <c r="J3731" t="n">
        <v>0</v>
      </c>
      <c r="K3731" t="n">
        <v>0</v>
      </c>
      <c r="L3731" t="n">
        <v>0</v>
      </c>
      <c r="M3731" t="n">
        <v>0</v>
      </c>
      <c r="N3731" t="n">
        <v>0</v>
      </c>
      <c r="O3731" t="n">
        <v>0</v>
      </c>
      <c r="P3731" t="n">
        <v>0</v>
      </c>
      <c r="Q3731" t="n">
        <v>0</v>
      </c>
      <c r="R3731" s="2" t="inlineStr"/>
    </row>
    <row r="3732" ht="15" customHeight="1">
      <c r="A3732" t="inlineStr">
        <is>
          <t>A 59778-2020</t>
        </is>
      </c>
      <c r="B3732" s="1" t="n">
        <v>44148</v>
      </c>
      <c r="C3732" s="1" t="n">
        <v>45363</v>
      </c>
      <c r="D3732" t="inlineStr">
        <is>
          <t>JÄMTLANDS LÄN</t>
        </is>
      </c>
      <c r="E3732" t="inlineStr">
        <is>
          <t>KROKOM</t>
        </is>
      </c>
      <c r="G3732" t="n">
        <v>39.3</v>
      </c>
      <c r="H3732" t="n">
        <v>0</v>
      </c>
      <c r="I3732" t="n">
        <v>0</v>
      </c>
      <c r="J3732" t="n">
        <v>0</v>
      </c>
      <c r="K3732" t="n">
        <v>0</v>
      </c>
      <c r="L3732" t="n">
        <v>0</v>
      </c>
      <c r="M3732" t="n">
        <v>0</v>
      </c>
      <c r="N3732" t="n">
        <v>0</v>
      </c>
      <c r="O3732" t="n">
        <v>0</v>
      </c>
      <c r="P3732" t="n">
        <v>0</v>
      </c>
      <c r="Q3732" t="n">
        <v>0</v>
      </c>
      <c r="R3732" s="2" t="inlineStr"/>
    </row>
    <row r="3733" ht="15" customHeight="1">
      <c r="A3733" t="inlineStr">
        <is>
          <t>A 59718-2020</t>
        </is>
      </c>
      <c r="B3733" s="1" t="n">
        <v>44151</v>
      </c>
      <c r="C3733" s="1" t="n">
        <v>45363</v>
      </c>
      <c r="D3733" t="inlineStr">
        <is>
          <t>JÄMTLANDS LÄN</t>
        </is>
      </c>
      <c r="E3733" t="inlineStr">
        <is>
          <t>KROKOM</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59706-2020</t>
        </is>
      </c>
      <c r="B3734" s="1" t="n">
        <v>44151</v>
      </c>
      <c r="C3734" s="1" t="n">
        <v>45363</v>
      </c>
      <c r="D3734" t="inlineStr">
        <is>
          <t>JÄMTLANDS LÄN</t>
        </is>
      </c>
      <c r="E3734" t="inlineStr">
        <is>
          <t>KROKOM</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60016-2020</t>
        </is>
      </c>
      <c r="B3735" s="1" t="n">
        <v>44151</v>
      </c>
      <c r="C3735" s="1" t="n">
        <v>45363</v>
      </c>
      <c r="D3735" t="inlineStr">
        <is>
          <t>JÄMTLANDS LÄN</t>
        </is>
      </c>
      <c r="E3735" t="inlineStr">
        <is>
          <t>ÅRE</t>
        </is>
      </c>
      <c r="G3735" t="n">
        <v>14.7</v>
      </c>
      <c r="H3735" t="n">
        <v>0</v>
      </c>
      <c r="I3735" t="n">
        <v>0</v>
      </c>
      <c r="J3735" t="n">
        <v>0</v>
      </c>
      <c r="K3735" t="n">
        <v>0</v>
      </c>
      <c r="L3735" t="n">
        <v>0</v>
      </c>
      <c r="M3735" t="n">
        <v>0</v>
      </c>
      <c r="N3735" t="n">
        <v>0</v>
      </c>
      <c r="O3735" t="n">
        <v>0</v>
      </c>
      <c r="P3735" t="n">
        <v>0</v>
      </c>
      <c r="Q3735" t="n">
        <v>0</v>
      </c>
      <c r="R3735" s="2" t="inlineStr"/>
    </row>
    <row r="3736" ht="15" customHeight="1">
      <c r="A3736" t="inlineStr">
        <is>
          <t>A 60256-2020</t>
        </is>
      </c>
      <c r="B3736" s="1" t="n">
        <v>44151</v>
      </c>
      <c r="C3736" s="1" t="n">
        <v>45363</v>
      </c>
      <c r="D3736" t="inlineStr">
        <is>
          <t>JÄMTLANDS LÄN</t>
        </is>
      </c>
      <c r="E3736" t="inlineStr">
        <is>
          <t>STRÖMSUND</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60087-2020</t>
        </is>
      </c>
      <c r="B3737" s="1" t="n">
        <v>44151</v>
      </c>
      <c r="C3737" s="1" t="n">
        <v>45363</v>
      </c>
      <c r="D3737" t="inlineStr">
        <is>
          <t>JÄMTLANDS LÄN</t>
        </is>
      </c>
      <c r="E3737" t="inlineStr">
        <is>
          <t>HÄRJEDALEN</t>
        </is>
      </c>
      <c r="G3737" t="n">
        <v>9.4</v>
      </c>
      <c r="H3737" t="n">
        <v>0</v>
      </c>
      <c r="I3737" t="n">
        <v>0</v>
      </c>
      <c r="J3737" t="n">
        <v>0</v>
      </c>
      <c r="K3737" t="n">
        <v>0</v>
      </c>
      <c r="L3737" t="n">
        <v>0</v>
      </c>
      <c r="M3737" t="n">
        <v>0</v>
      </c>
      <c r="N3737" t="n">
        <v>0</v>
      </c>
      <c r="O3737" t="n">
        <v>0</v>
      </c>
      <c r="P3737" t="n">
        <v>0</v>
      </c>
      <c r="Q3737" t="n">
        <v>0</v>
      </c>
      <c r="R3737" s="2" t="inlineStr"/>
    </row>
    <row r="3738" ht="15" customHeight="1">
      <c r="A3738" t="inlineStr">
        <is>
          <t>A 60061-2020</t>
        </is>
      </c>
      <c r="B3738" s="1" t="n">
        <v>44151</v>
      </c>
      <c r="C3738" s="1" t="n">
        <v>45363</v>
      </c>
      <c r="D3738" t="inlineStr">
        <is>
          <t>JÄMTLANDS LÄN</t>
        </is>
      </c>
      <c r="E3738" t="inlineStr">
        <is>
          <t>STRÖMSUND</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60050-2020</t>
        </is>
      </c>
      <c r="B3739" s="1" t="n">
        <v>44151</v>
      </c>
      <c r="C3739" s="1" t="n">
        <v>45363</v>
      </c>
      <c r="D3739" t="inlineStr">
        <is>
          <t>JÄMTLANDS LÄN</t>
        </is>
      </c>
      <c r="E3739" t="inlineStr">
        <is>
          <t>ÖSTERSUND</t>
        </is>
      </c>
      <c r="F3739" t="inlineStr">
        <is>
          <t>SCA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60126-2020</t>
        </is>
      </c>
      <c r="B3740" s="1" t="n">
        <v>44152</v>
      </c>
      <c r="C3740" s="1" t="n">
        <v>45363</v>
      </c>
      <c r="D3740" t="inlineStr">
        <is>
          <t>JÄMTLANDS LÄN</t>
        </is>
      </c>
      <c r="E3740" t="inlineStr">
        <is>
          <t>ÖSTERSUND</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60395-2020</t>
        </is>
      </c>
      <c r="B3741" s="1" t="n">
        <v>44152</v>
      </c>
      <c r="C3741" s="1" t="n">
        <v>45363</v>
      </c>
      <c r="D3741" t="inlineStr">
        <is>
          <t>JÄMTLANDS LÄN</t>
        </is>
      </c>
      <c r="E3741" t="inlineStr">
        <is>
          <t>STRÖMSUND</t>
        </is>
      </c>
      <c r="F3741" t="inlineStr">
        <is>
          <t>SCA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60424-2020</t>
        </is>
      </c>
      <c r="B3742" s="1" t="n">
        <v>44153</v>
      </c>
      <c r="C3742" s="1" t="n">
        <v>45363</v>
      </c>
      <c r="D3742" t="inlineStr">
        <is>
          <t>JÄMTLANDS LÄN</t>
        </is>
      </c>
      <c r="E3742" t="inlineStr">
        <is>
          <t>HÄRJEDALEN</t>
        </is>
      </c>
      <c r="F3742" t="inlineStr">
        <is>
          <t>Holmen skog AB</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60429-2020</t>
        </is>
      </c>
      <c r="B3743" s="1" t="n">
        <v>44153</v>
      </c>
      <c r="C3743" s="1" t="n">
        <v>45363</v>
      </c>
      <c r="D3743" t="inlineStr">
        <is>
          <t>JÄMTLANDS LÄN</t>
        </is>
      </c>
      <c r="E3743" t="inlineStr">
        <is>
          <t>HÄRJEDALEN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60606-2020</t>
        </is>
      </c>
      <c r="B3744" s="1" t="n">
        <v>44153</v>
      </c>
      <c r="C3744" s="1" t="n">
        <v>45363</v>
      </c>
      <c r="D3744" t="inlineStr">
        <is>
          <t>JÄMTLANDS LÄN</t>
        </is>
      </c>
      <c r="E3744" t="inlineStr">
        <is>
          <t>HÄRJEDALEN</t>
        </is>
      </c>
      <c r="F3744" t="inlineStr">
        <is>
          <t>Holmen skog AB</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60703-2020</t>
        </is>
      </c>
      <c r="B3745" s="1" t="n">
        <v>44153</v>
      </c>
      <c r="C3745" s="1" t="n">
        <v>45363</v>
      </c>
      <c r="D3745" t="inlineStr">
        <is>
          <t>JÄMTLANDS LÄN</t>
        </is>
      </c>
      <c r="E3745" t="inlineStr">
        <is>
          <t>STRÖMSUND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60744-2020</t>
        </is>
      </c>
      <c r="B3746" s="1" t="n">
        <v>44153</v>
      </c>
      <c r="C3746" s="1" t="n">
        <v>45363</v>
      </c>
      <c r="D3746" t="inlineStr">
        <is>
          <t>JÄMTLANDS LÄN</t>
        </is>
      </c>
      <c r="E3746" t="inlineStr">
        <is>
          <t>RAGUNDA</t>
        </is>
      </c>
      <c r="F3746" t="inlineStr">
        <is>
          <t>SCA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61088-2020</t>
        </is>
      </c>
      <c r="B3747" s="1" t="n">
        <v>44153</v>
      </c>
      <c r="C3747" s="1" t="n">
        <v>45363</v>
      </c>
      <c r="D3747" t="inlineStr">
        <is>
          <t>JÄMTLANDS LÄN</t>
        </is>
      </c>
      <c r="E3747" t="inlineStr">
        <is>
          <t>RAGUNDA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61091-2020</t>
        </is>
      </c>
      <c r="B3748" s="1" t="n">
        <v>44153</v>
      </c>
      <c r="C3748" s="1" t="n">
        <v>45363</v>
      </c>
      <c r="D3748" t="inlineStr">
        <is>
          <t>JÄMTLANDS LÄN</t>
        </is>
      </c>
      <c r="E3748" t="inlineStr">
        <is>
          <t>KROKOM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60422-2020</t>
        </is>
      </c>
      <c r="B3749" s="1" t="n">
        <v>44153</v>
      </c>
      <c r="C3749" s="1" t="n">
        <v>45363</v>
      </c>
      <c r="D3749" t="inlineStr">
        <is>
          <t>JÄMTLANDS LÄN</t>
        </is>
      </c>
      <c r="E3749" t="inlineStr">
        <is>
          <t>HÄRJEDALEN</t>
        </is>
      </c>
      <c r="F3749" t="inlineStr">
        <is>
          <t>Bergvik skog väst AB</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60836-2020</t>
        </is>
      </c>
      <c r="B3750" s="1" t="n">
        <v>44154</v>
      </c>
      <c r="C3750" s="1" t="n">
        <v>45363</v>
      </c>
      <c r="D3750" t="inlineStr">
        <is>
          <t>JÄMTLANDS LÄN</t>
        </is>
      </c>
      <c r="E3750" t="inlineStr">
        <is>
          <t>HÄRJEDALEN</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60794-2020</t>
        </is>
      </c>
      <c r="B3751" s="1" t="n">
        <v>44154</v>
      </c>
      <c r="C3751" s="1" t="n">
        <v>45363</v>
      </c>
      <c r="D3751" t="inlineStr">
        <is>
          <t>JÄMTLANDS LÄN</t>
        </is>
      </c>
      <c r="E3751" t="inlineStr">
        <is>
          <t>HÄRJEDALEN</t>
        </is>
      </c>
      <c r="F3751" t="inlineStr">
        <is>
          <t>Holmen skog AB</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61141-2020</t>
        </is>
      </c>
      <c r="B3752" s="1" t="n">
        <v>44154</v>
      </c>
      <c r="C3752" s="1" t="n">
        <v>45363</v>
      </c>
      <c r="D3752" t="inlineStr">
        <is>
          <t>JÄMTLANDS LÄN</t>
        </is>
      </c>
      <c r="E3752" t="inlineStr">
        <is>
          <t>BRÄCKE</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61149-2020</t>
        </is>
      </c>
      <c r="B3753" s="1" t="n">
        <v>44154</v>
      </c>
      <c r="C3753" s="1" t="n">
        <v>45363</v>
      </c>
      <c r="D3753" t="inlineStr">
        <is>
          <t>JÄMTLANDS LÄN</t>
        </is>
      </c>
      <c r="E3753" t="inlineStr">
        <is>
          <t>STRÖMSUND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61140-2020</t>
        </is>
      </c>
      <c r="B3754" s="1" t="n">
        <v>44154</v>
      </c>
      <c r="C3754" s="1" t="n">
        <v>45363</v>
      </c>
      <c r="D3754" t="inlineStr">
        <is>
          <t>JÄMTLANDS LÄN</t>
        </is>
      </c>
      <c r="E3754" t="inlineStr">
        <is>
          <t>BRÄCKE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61144-2020</t>
        </is>
      </c>
      <c r="B3755" s="1" t="n">
        <v>44154</v>
      </c>
      <c r="C3755" s="1" t="n">
        <v>45363</v>
      </c>
      <c r="D3755" t="inlineStr">
        <is>
          <t>JÄMTLANDS LÄN</t>
        </is>
      </c>
      <c r="E3755" t="inlineStr">
        <is>
          <t>BRÄCKE</t>
        </is>
      </c>
      <c r="G3755" t="n">
        <v>12.8</v>
      </c>
      <c r="H3755" t="n">
        <v>0</v>
      </c>
      <c r="I3755" t="n">
        <v>0</v>
      </c>
      <c r="J3755" t="n">
        <v>0</v>
      </c>
      <c r="K3755" t="n">
        <v>0</v>
      </c>
      <c r="L3755" t="n">
        <v>0</v>
      </c>
      <c r="M3755" t="n">
        <v>0</v>
      </c>
      <c r="N3755" t="n">
        <v>0</v>
      </c>
      <c r="O3755" t="n">
        <v>0</v>
      </c>
      <c r="P3755" t="n">
        <v>0</v>
      </c>
      <c r="Q3755" t="n">
        <v>0</v>
      </c>
      <c r="R3755" s="2" t="inlineStr"/>
    </row>
    <row r="3756" ht="15" customHeight="1">
      <c r="A3756" t="inlineStr">
        <is>
          <t>A 61143-2020</t>
        </is>
      </c>
      <c r="B3756" s="1" t="n">
        <v>44154</v>
      </c>
      <c r="C3756" s="1" t="n">
        <v>45363</v>
      </c>
      <c r="D3756" t="inlineStr">
        <is>
          <t>JÄMTLANDS LÄN</t>
        </is>
      </c>
      <c r="E3756" t="inlineStr">
        <is>
          <t>BRÄCKE</t>
        </is>
      </c>
      <c r="G3756" t="n">
        <v>12.6</v>
      </c>
      <c r="H3756" t="n">
        <v>0</v>
      </c>
      <c r="I3756" t="n">
        <v>0</v>
      </c>
      <c r="J3756" t="n">
        <v>0</v>
      </c>
      <c r="K3756" t="n">
        <v>0</v>
      </c>
      <c r="L3756" t="n">
        <v>0</v>
      </c>
      <c r="M3756" t="n">
        <v>0</v>
      </c>
      <c r="N3756" t="n">
        <v>0</v>
      </c>
      <c r="O3756" t="n">
        <v>0</v>
      </c>
      <c r="P3756" t="n">
        <v>0</v>
      </c>
      <c r="Q3756" t="n">
        <v>0</v>
      </c>
      <c r="R3756" s="2" t="inlineStr"/>
    </row>
    <row r="3757" ht="15" customHeight="1">
      <c r="A3757" t="inlineStr">
        <is>
          <t>A 61609-2020</t>
        </is>
      </c>
      <c r="B3757" s="1" t="n">
        <v>44154</v>
      </c>
      <c r="C3757" s="1" t="n">
        <v>45363</v>
      </c>
      <c r="D3757" t="inlineStr">
        <is>
          <t>JÄMTLANDS LÄN</t>
        </is>
      </c>
      <c r="E3757" t="inlineStr">
        <is>
          <t>KROKOM</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60928-2020</t>
        </is>
      </c>
      <c r="B3758" s="1" t="n">
        <v>44154</v>
      </c>
      <c r="C3758" s="1" t="n">
        <v>45363</v>
      </c>
      <c r="D3758" t="inlineStr">
        <is>
          <t>JÄMTLANDS LÄN</t>
        </is>
      </c>
      <c r="E3758" t="inlineStr">
        <is>
          <t>KROKOM</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61232-2020</t>
        </is>
      </c>
      <c r="B3759" s="1" t="n">
        <v>44155</v>
      </c>
      <c r="C3759" s="1" t="n">
        <v>45363</v>
      </c>
      <c r="D3759" t="inlineStr">
        <is>
          <t>JÄMTLANDS LÄN</t>
        </is>
      </c>
      <c r="E3759" t="inlineStr">
        <is>
          <t>HÄRJEDALEN</t>
        </is>
      </c>
      <c r="G3759" t="n">
        <v>8.5</v>
      </c>
      <c r="H3759" t="n">
        <v>0</v>
      </c>
      <c r="I3759" t="n">
        <v>0</v>
      </c>
      <c r="J3759" t="n">
        <v>0</v>
      </c>
      <c r="K3759" t="n">
        <v>0</v>
      </c>
      <c r="L3759" t="n">
        <v>0</v>
      </c>
      <c r="M3759" t="n">
        <v>0</v>
      </c>
      <c r="N3759" t="n">
        <v>0</v>
      </c>
      <c r="O3759" t="n">
        <v>0</v>
      </c>
      <c r="P3759" t="n">
        <v>0</v>
      </c>
      <c r="Q3759" t="n">
        <v>0</v>
      </c>
      <c r="R3759" s="2" t="inlineStr"/>
    </row>
    <row r="3760" ht="15" customHeight="1">
      <c r="A3760" t="inlineStr">
        <is>
          <t>A 61347-2020</t>
        </is>
      </c>
      <c r="B3760" s="1" t="n">
        <v>44155</v>
      </c>
      <c r="C3760" s="1" t="n">
        <v>45363</v>
      </c>
      <c r="D3760" t="inlineStr">
        <is>
          <t>JÄMTLANDS LÄN</t>
        </is>
      </c>
      <c r="E3760" t="inlineStr">
        <is>
          <t>ÅRE</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61395-2020</t>
        </is>
      </c>
      <c r="B3761" s="1" t="n">
        <v>44155</v>
      </c>
      <c r="C3761" s="1" t="n">
        <v>45363</v>
      </c>
      <c r="D3761" t="inlineStr">
        <is>
          <t>JÄMTLANDS LÄN</t>
        </is>
      </c>
      <c r="E3761" t="inlineStr">
        <is>
          <t>RAGUNDA</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61441-2020</t>
        </is>
      </c>
      <c r="B3762" s="1" t="n">
        <v>44157</v>
      </c>
      <c r="C3762" s="1" t="n">
        <v>45363</v>
      </c>
      <c r="D3762" t="inlineStr">
        <is>
          <t>JÄMTLANDS LÄN</t>
        </is>
      </c>
      <c r="E3762" t="inlineStr">
        <is>
          <t>RAGUNDA</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61595-2020</t>
        </is>
      </c>
      <c r="B3763" s="1" t="n">
        <v>44158</v>
      </c>
      <c r="C3763" s="1" t="n">
        <v>45363</v>
      </c>
      <c r="D3763" t="inlineStr">
        <is>
          <t>JÄMTLANDS LÄN</t>
        </is>
      </c>
      <c r="E3763" t="inlineStr">
        <is>
          <t>ÅRE</t>
        </is>
      </c>
      <c r="F3763" t="inlineStr">
        <is>
          <t>Övriga Aktiebolag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61510-2020</t>
        </is>
      </c>
      <c r="B3764" s="1" t="n">
        <v>44158</v>
      </c>
      <c r="C3764" s="1" t="n">
        <v>45363</v>
      </c>
      <c r="D3764" t="inlineStr">
        <is>
          <t>JÄMTLANDS LÄN</t>
        </is>
      </c>
      <c r="E3764" t="inlineStr">
        <is>
          <t>ÅRE</t>
        </is>
      </c>
      <c r="F3764" t="inlineStr">
        <is>
          <t>Övriga Aktiebolag</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61586-2020</t>
        </is>
      </c>
      <c r="B3765" s="1" t="n">
        <v>44158</v>
      </c>
      <c r="C3765" s="1" t="n">
        <v>45363</v>
      </c>
      <c r="D3765" t="inlineStr">
        <is>
          <t>JÄMTLANDS LÄN</t>
        </is>
      </c>
      <c r="E3765" t="inlineStr">
        <is>
          <t>STRÖMSUND</t>
        </is>
      </c>
      <c r="F3765" t="inlineStr">
        <is>
          <t>Holmen skog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61602-2020</t>
        </is>
      </c>
      <c r="B3766" s="1" t="n">
        <v>44158</v>
      </c>
      <c r="C3766" s="1" t="n">
        <v>45363</v>
      </c>
      <c r="D3766" t="inlineStr">
        <is>
          <t>JÄMTLANDS LÄN</t>
        </is>
      </c>
      <c r="E3766" t="inlineStr">
        <is>
          <t>BRÄCKE</t>
        </is>
      </c>
      <c r="F3766" t="inlineStr">
        <is>
          <t>Övriga Aktiebolag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61662-2020</t>
        </is>
      </c>
      <c r="B3767" s="1" t="n">
        <v>44158</v>
      </c>
      <c r="C3767" s="1" t="n">
        <v>45363</v>
      </c>
      <c r="D3767" t="inlineStr">
        <is>
          <t>JÄMTLANDS LÄN</t>
        </is>
      </c>
      <c r="E3767" t="inlineStr">
        <is>
          <t>STRÖMSUND</t>
        </is>
      </c>
      <c r="F3767" t="inlineStr">
        <is>
          <t>Holmen skog AB</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61811-2020</t>
        </is>
      </c>
      <c r="B3768" s="1" t="n">
        <v>44158</v>
      </c>
      <c r="C3768" s="1" t="n">
        <v>45363</v>
      </c>
      <c r="D3768" t="inlineStr">
        <is>
          <t>JÄMTLANDS LÄN</t>
        </is>
      </c>
      <c r="E3768" t="inlineStr">
        <is>
          <t>STRÖMSUND</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61807-2020</t>
        </is>
      </c>
      <c r="B3769" s="1" t="n">
        <v>44158</v>
      </c>
      <c r="C3769" s="1" t="n">
        <v>45363</v>
      </c>
      <c r="D3769" t="inlineStr">
        <is>
          <t>JÄMTLANDS LÄN</t>
        </is>
      </c>
      <c r="E3769" t="inlineStr">
        <is>
          <t>STRÖMSUND</t>
        </is>
      </c>
      <c r="F3769" t="inlineStr">
        <is>
          <t>SCA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62340-2020</t>
        </is>
      </c>
      <c r="B3770" s="1" t="n">
        <v>44158</v>
      </c>
      <c r="C3770" s="1" t="n">
        <v>45363</v>
      </c>
      <c r="D3770" t="inlineStr">
        <is>
          <t>JÄMTLANDS LÄN</t>
        </is>
      </c>
      <c r="E3770" t="inlineStr">
        <is>
          <t>BERG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61817-2020</t>
        </is>
      </c>
      <c r="B3771" s="1" t="n">
        <v>44158</v>
      </c>
      <c r="C3771" s="1" t="n">
        <v>45363</v>
      </c>
      <c r="D3771" t="inlineStr">
        <is>
          <t>JÄMTLANDS LÄN</t>
        </is>
      </c>
      <c r="E3771" t="inlineStr">
        <is>
          <t>BRÄCKE</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62406-2020</t>
        </is>
      </c>
      <c r="B3772" s="1" t="n">
        <v>44159</v>
      </c>
      <c r="C3772" s="1" t="n">
        <v>45363</v>
      </c>
      <c r="D3772" t="inlineStr">
        <is>
          <t>JÄMTLANDS LÄN</t>
        </is>
      </c>
      <c r="E3772" t="inlineStr">
        <is>
          <t>KROKOM</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62228-2020</t>
        </is>
      </c>
      <c r="B3773" s="1" t="n">
        <v>44159</v>
      </c>
      <c r="C3773" s="1" t="n">
        <v>45363</v>
      </c>
      <c r="D3773" t="inlineStr">
        <is>
          <t>JÄMTLANDS LÄN</t>
        </is>
      </c>
      <c r="E3773" t="inlineStr">
        <is>
          <t>RAGUNDA</t>
        </is>
      </c>
      <c r="F3773" t="inlineStr">
        <is>
          <t>SCA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62490-2020</t>
        </is>
      </c>
      <c r="B3774" s="1" t="n">
        <v>44160</v>
      </c>
      <c r="C3774" s="1" t="n">
        <v>45363</v>
      </c>
      <c r="D3774" t="inlineStr">
        <is>
          <t>JÄMTLANDS LÄN</t>
        </is>
      </c>
      <c r="E3774" t="inlineStr">
        <is>
          <t>BERG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62494-2020</t>
        </is>
      </c>
      <c r="B3775" s="1" t="n">
        <v>44160</v>
      </c>
      <c r="C3775" s="1" t="n">
        <v>45363</v>
      </c>
      <c r="D3775" t="inlineStr">
        <is>
          <t>JÄMTLANDS LÄN</t>
        </is>
      </c>
      <c r="E3775" t="inlineStr">
        <is>
          <t>BERG</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62503-2020</t>
        </is>
      </c>
      <c r="B3776" s="1" t="n">
        <v>44160</v>
      </c>
      <c r="C3776" s="1" t="n">
        <v>45363</v>
      </c>
      <c r="D3776" t="inlineStr">
        <is>
          <t>JÄMTLANDS LÄN</t>
        </is>
      </c>
      <c r="E3776" t="inlineStr">
        <is>
          <t>STRÖMSUND</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62871-2020</t>
        </is>
      </c>
      <c r="B3777" s="1" t="n">
        <v>44161</v>
      </c>
      <c r="C3777" s="1" t="n">
        <v>45363</v>
      </c>
      <c r="D3777" t="inlineStr">
        <is>
          <t>JÄMTLANDS LÄN</t>
        </is>
      </c>
      <c r="E3777" t="inlineStr">
        <is>
          <t>BRÄCKE</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63821-2020</t>
        </is>
      </c>
      <c r="B3778" s="1" t="n">
        <v>44161</v>
      </c>
      <c r="C3778" s="1" t="n">
        <v>45363</v>
      </c>
      <c r="D3778" t="inlineStr">
        <is>
          <t>JÄMTLANDS LÄN</t>
        </is>
      </c>
      <c r="E3778" t="inlineStr">
        <is>
          <t>KROKOM</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63692-2020</t>
        </is>
      </c>
      <c r="B3779" s="1" t="n">
        <v>44161</v>
      </c>
      <c r="C3779" s="1" t="n">
        <v>45363</v>
      </c>
      <c r="D3779" t="inlineStr">
        <is>
          <t>JÄMTLANDS LÄN</t>
        </is>
      </c>
      <c r="E3779" t="inlineStr">
        <is>
          <t>STRÖMSUND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63699-2020</t>
        </is>
      </c>
      <c r="B3780" s="1" t="n">
        <v>44161</v>
      </c>
      <c r="C3780" s="1" t="n">
        <v>45363</v>
      </c>
      <c r="D3780" t="inlineStr">
        <is>
          <t>JÄMTLANDS LÄN</t>
        </is>
      </c>
      <c r="E3780" t="inlineStr">
        <is>
          <t>STRÖMSUND</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63009-2020</t>
        </is>
      </c>
      <c r="B3781" s="1" t="n">
        <v>44162</v>
      </c>
      <c r="C3781" s="1" t="n">
        <v>45363</v>
      </c>
      <c r="D3781" t="inlineStr">
        <is>
          <t>JÄMTLANDS LÄN</t>
        </is>
      </c>
      <c r="E3781" t="inlineStr">
        <is>
          <t>BERG</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63171-2020</t>
        </is>
      </c>
      <c r="B3782" s="1" t="n">
        <v>44162</v>
      </c>
      <c r="C3782" s="1" t="n">
        <v>45363</v>
      </c>
      <c r="D3782" t="inlineStr">
        <is>
          <t>JÄMTLANDS LÄN</t>
        </is>
      </c>
      <c r="E3782" t="inlineStr">
        <is>
          <t>ÖSTERSUND</t>
        </is>
      </c>
      <c r="F3782" t="inlineStr">
        <is>
          <t>SCA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63701-2020</t>
        </is>
      </c>
      <c r="B3783" s="1" t="n">
        <v>44162</v>
      </c>
      <c r="C3783" s="1" t="n">
        <v>45363</v>
      </c>
      <c r="D3783" t="inlineStr">
        <is>
          <t>JÄMTLANDS LÄN</t>
        </is>
      </c>
      <c r="E3783" t="inlineStr">
        <is>
          <t>KROKOM</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62970-2020</t>
        </is>
      </c>
      <c r="B3784" s="1" t="n">
        <v>44162</v>
      </c>
      <c r="C3784" s="1" t="n">
        <v>45363</v>
      </c>
      <c r="D3784" t="inlineStr">
        <is>
          <t>JÄMTLANDS LÄN</t>
        </is>
      </c>
      <c r="E3784" t="inlineStr">
        <is>
          <t>BRÄCKE</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63002-2020</t>
        </is>
      </c>
      <c r="B3785" s="1" t="n">
        <v>44162</v>
      </c>
      <c r="C3785" s="1" t="n">
        <v>45363</v>
      </c>
      <c r="D3785" t="inlineStr">
        <is>
          <t>JÄMTLANDS LÄN</t>
        </is>
      </c>
      <c r="E3785" t="inlineStr">
        <is>
          <t>BERG</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63678-2020</t>
        </is>
      </c>
      <c r="B3786" s="1" t="n">
        <v>44162</v>
      </c>
      <c r="C3786" s="1" t="n">
        <v>45363</v>
      </c>
      <c r="D3786" t="inlineStr">
        <is>
          <t>JÄMTLANDS LÄN</t>
        </is>
      </c>
      <c r="E3786" t="inlineStr">
        <is>
          <t>STRÖMSUND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63787-2020</t>
        </is>
      </c>
      <c r="B3787" s="1" t="n">
        <v>44162</v>
      </c>
      <c r="C3787" s="1" t="n">
        <v>45363</v>
      </c>
      <c r="D3787" t="inlineStr">
        <is>
          <t>JÄMTLANDS LÄN</t>
        </is>
      </c>
      <c r="E3787" t="inlineStr">
        <is>
          <t>KROKOM</t>
        </is>
      </c>
      <c r="G3787" t="n">
        <v>60.3</v>
      </c>
      <c r="H3787" t="n">
        <v>0</v>
      </c>
      <c r="I3787" t="n">
        <v>0</v>
      </c>
      <c r="J3787" t="n">
        <v>0</v>
      </c>
      <c r="K3787" t="n">
        <v>0</v>
      </c>
      <c r="L3787" t="n">
        <v>0</v>
      </c>
      <c r="M3787" t="n">
        <v>0</v>
      </c>
      <c r="N3787" t="n">
        <v>0</v>
      </c>
      <c r="O3787" t="n">
        <v>0</v>
      </c>
      <c r="P3787" t="n">
        <v>0</v>
      </c>
      <c r="Q3787" t="n">
        <v>0</v>
      </c>
      <c r="R3787" s="2" t="inlineStr"/>
    </row>
    <row r="3788" ht="15" customHeight="1">
      <c r="A3788" t="inlineStr">
        <is>
          <t>A 63133-2020</t>
        </is>
      </c>
      <c r="B3788" s="1" t="n">
        <v>44162</v>
      </c>
      <c r="C3788" s="1" t="n">
        <v>45363</v>
      </c>
      <c r="D3788" t="inlineStr">
        <is>
          <t>JÄMTLANDS LÄN</t>
        </is>
      </c>
      <c r="E3788" t="inlineStr">
        <is>
          <t>HÄRJEDALEN</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63522-2020</t>
        </is>
      </c>
      <c r="B3789" s="1" t="n">
        <v>44165</v>
      </c>
      <c r="C3789" s="1" t="n">
        <v>45363</v>
      </c>
      <c r="D3789" t="inlineStr">
        <is>
          <t>JÄMTLANDS LÄN</t>
        </is>
      </c>
      <c r="E3789" t="inlineStr">
        <is>
          <t>BERG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63567-2020</t>
        </is>
      </c>
      <c r="B3790" s="1" t="n">
        <v>44165</v>
      </c>
      <c r="C3790" s="1" t="n">
        <v>45363</v>
      </c>
      <c r="D3790" t="inlineStr">
        <is>
          <t>JÄMTLANDS LÄN</t>
        </is>
      </c>
      <c r="E3790" t="inlineStr">
        <is>
          <t>STRÖMSUND</t>
        </is>
      </c>
      <c r="G3790" t="n">
        <v>14.4</v>
      </c>
      <c r="H3790" t="n">
        <v>0</v>
      </c>
      <c r="I3790" t="n">
        <v>0</v>
      </c>
      <c r="J3790" t="n">
        <v>0</v>
      </c>
      <c r="K3790" t="n">
        <v>0</v>
      </c>
      <c r="L3790" t="n">
        <v>0</v>
      </c>
      <c r="M3790" t="n">
        <v>0</v>
      </c>
      <c r="N3790" t="n">
        <v>0</v>
      </c>
      <c r="O3790" t="n">
        <v>0</v>
      </c>
      <c r="P3790" t="n">
        <v>0</v>
      </c>
      <c r="Q3790" t="n">
        <v>0</v>
      </c>
      <c r="R3790" s="2" t="inlineStr"/>
    </row>
    <row r="3791" ht="15" customHeight="1">
      <c r="A3791" t="inlineStr">
        <is>
          <t>A 63606-2020</t>
        </is>
      </c>
      <c r="B3791" s="1" t="n">
        <v>44165</v>
      </c>
      <c r="C3791" s="1" t="n">
        <v>45363</v>
      </c>
      <c r="D3791" t="inlineStr">
        <is>
          <t>JÄMTLANDS LÄN</t>
        </is>
      </c>
      <c r="E3791" t="inlineStr">
        <is>
          <t>RAGUNDA</t>
        </is>
      </c>
      <c r="F3791" t="inlineStr">
        <is>
          <t>SCA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63597-2020</t>
        </is>
      </c>
      <c r="B3792" s="1" t="n">
        <v>44165</v>
      </c>
      <c r="C3792" s="1" t="n">
        <v>45363</v>
      </c>
      <c r="D3792" t="inlineStr">
        <is>
          <t>JÄMTLANDS LÄN</t>
        </is>
      </c>
      <c r="E3792" t="inlineStr">
        <is>
          <t>RAGUNDA</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64124-2020</t>
        </is>
      </c>
      <c r="B3793" s="1" t="n">
        <v>44165</v>
      </c>
      <c r="C3793" s="1" t="n">
        <v>45363</v>
      </c>
      <c r="D3793" t="inlineStr">
        <is>
          <t>JÄMTLANDS LÄN</t>
        </is>
      </c>
      <c r="E3793" t="inlineStr">
        <is>
          <t>STRÖMSUND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65115-2020</t>
        </is>
      </c>
      <c r="B3794" s="1" t="n">
        <v>44165</v>
      </c>
      <c r="C3794" s="1" t="n">
        <v>45363</v>
      </c>
      <c r="D3794" t="inlineStr">
        <is>
          <t>JÄMTLANDS LÄN</t>
        </is>
      </c>
      <c r="E3794" t="inlineStr">
        <is>
          <t>STRÖMSUND</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65078-2020</t>
        </is>
      </c>
      <c r="B3795" s="1" t="n">
        <v>44165</v>
      </c>
      <c r="C3795" s="1" t="n">
        <v>45363</v>
      </c>
      <c r="D3795" t="inlineStr">
        <is>
          <t>JÄMTLANDS LÄN</t>
        </is>
      </c>
      <c r="E3795" t="inlineStr">
        <is>
          <t>STRÖMSUND</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65076-2020</t>
        </is>
      </c>
      <c r="B3796" s="1" t="n">
        <v>44165</v>
      </c>
      <c r="C3796" s="1" t="n">
        <v>45363</v>
      </c>
      <c r="D3796" t="inlineStr">
        <is>
          <t>JÄMTLANDS LÄN</t>
        </is>
      </c>
      <c r="E3796" t="inlineStr">
        <is>
          <t>STRÖMSUND</t>
        </is>
      </c>
      <c r="G3796" t="n">
        <v>20.3</v>
      </c>
      <c r="H3796" t="n">
        <v>0</v>
      </c>
      <c r="I3796" t="n">
        <v>0</v>
      </c>
      <c r="J3796" t="n">
        <v>0</v>
      </c>
      <c r="K3796" t="n">
        <v>0</v>
      </c>
      <c r="L3796" t="n">
        <v>0</v>
      </c>
      <c r="M3796" t="n">
        <v>0</v>
      </c>
      <c r="N3796" t="n">
        <v>0</v>
      </c>
      <c r="O3796" t="n">
        <v>0</v>
      </c>
      <c r="P3796" t="n">
        <v>0</v>
      </c>
      <c r="Q3796" t="n">
        <v>0</v>
      </c>
      <c r="R3796" s="2" t="inlineStr"/>
    </row>
    <row r="3797" ht="15" customHeight="1">
      <c r="A3797" t="inlineStr">
        <is>
          <t>A 65110-2020</t>
        </is>
      </c>
      <c r="B3797" s="1" t="n">
        <v>44165</v>
      </c>
      <c r="C3797" s="1" t="n">
        <v>45363</v>
      </c>
      <c r="D3797" t="inlineStr">
        <is>
          <t>JÄMTLANDS LÄN</t>
        </is>
      </c>
      <c r="E3797" t="inlineStr">
        <is>
          <t>STRÖMSUND</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63755-2020</t>
        </is>
      </c>
      <c r="B3798" s="1" t="n">
        <v>44166</v>
      </c>
      <c r="C3798" s="1" t="n">
        <v>45363</v>
      </c>
      <c r="D3798" t="inlineStr">
        <is>
          <t>JÄMTLANDS LÄN</t>
        </is>
      </c>
      <c r="E3798" t="inlineStr">
        <is>
          <t>STRÖMSUND</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64281-2020</t>
        </is>
      </c>
      <c r="B3799" s="1" t="n">
        <v>44166</v>
      </c>
      <c r="C3799" s="1" t="n">
        <v>45363</v>
      </c>
      <c r="D3799" t="inlineStr">
        <is>
          <t>JÄMTLANDS LÄN</t>
        </is>
      </c>
      <c r="E3799" t="inlineStr">
        <is>
          <t>HÄRJEDALEN</t>
        </is>
      </c>
      <c r="F3799" t="inlineStr">
        <is>
          <t>Övriga statliga verk och myndigheter</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64300-2020</t>
        </is>
      </c>
      <c r="B3800" s="1" t="n">
        <v>44166</v>
      </c>
      <c r="C3800" s="1" t="n">
        <v>45363</v>
      </c>
      <c r="D3800" t="inlineStr">
        <is>
          <t>JÄMTLANDS LÄN</t>
        </is>
      </c>
      <c r="E3800" t="inlineStr">
        <is>
          <t>HÄRJEDALEN</t>
        </is>
      </c>
      <c r="F3800" t="inlineStr">
        <is>
          <t>Övriga statliga verk och myndigheter</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63949-2020</t>
        </is>
      </c>
      <c r="B3801" s="1" t="n">
        <v>44167</v>
      </c>
      <c r="C3801" s="1" t="n">
        <v>45363</v>
      </c>
      <c r="D3801" t="inlineStr">
        <is>
          <t>JÄMTLANDS LÄN</t>
        </is>
      </c>
      <c r="E3801" t="inlineStr">
        <is>
          <t>HÄRJEDALEN</t>
        </is>
      </c>
      <c r="F3801" t="inlineStr">
        <is>
          <t>Bergvik skog väst AB</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63979-2020</t>
        </is>
      </c>
      <c r="B3802" s="1" t="n">
        <v>44167</v>
      </c>
      <c r="C3802" s="1" t="n">
        <v>45363</v>
      </c>
      <c r="D3802" t="inlineStr">
        <is>
          <t>JÄMTLANDS LÄN</t>
        </is>
      </c>
      <c r="E3802" t="inlineStr">
        <is>
          <t>HÄRJEDALEN</t>
        </is>
      </c>
      <c r="G3802" t="n">
        <v>10</v>
      </c>
      <c r="H3802" t="n">
        <v>0</v>
      </c>
      <c r="I3802" t="n">
        <v>0</v>
      </c>
      <c r="J3802" t="n">
        <v>0</v>
      </c>
      <c r="K3802" t="n">
        <v>0</v>
      </c>
      <c r="L3802" t="n">
        <v>0</v>
      </c>
      <c r="M3802" t="n">
        <v>0</v>
      </c>
      <c r="N3802" t="n">
        <v>0</v>
      </c>
      <c r="O3802" t="n">
        <v>0</v>
      </c>
      <c r="P3802" t="n">
        <v>0</v>
      </c>
      <c r="Q3802" t="n">
        <v>0</v>
      </c>
      <c r="R3802" s="2" t="inlineStr"/>
    </row>
    <row r="3803" ht="15" customHeight="1">
      <c r="A3803" t="inlineStr">
        <is>
          <t>A 64187-2020</t>
        </is>
      </c>
      <c r="B3803" s="1" t="n">
        <v>44167</v>
      </c>
      <c r="C3803" s="1" t="n">
        <v>45363</v>
      </c>
      <c r="D3803" t="inlineStr">
        <is>
          <t>JÄMTLANDS LÄN</t>
        </is>
      </c>
      <c r="E3803" t="inlineStr">
        <is>
          <t>RAGUNDA</t>
        </is>
      </c>
      <c r="F3803" t="inlineStr">
        <is>
          <t>SCA</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64186-2020</t>
        </is>
      </c>
      <c r="B3804" s="1" t="n">
        <v>44167</v>
      </c>
      <c r="C3804" s="1" t="n">
        <v>45363</v>
      </c>
      <c r="D3804" t="inlineStr">
        <is>
          <t>JÄMTLANDS LÄN</t>
        </is>
      </c>
      <c r="E3804" t="inlineStr">
        <is>
          <t>STRÖMSUND</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64777-2020</t>
        </is>
      </c>
      <c r="B3805" s="1" t="n">
        <v>44167</v>
      </c>
      <c r="C3805" s="1" t="n">
        <v>45363</v>
      </c>
      <c r="D3805" t="inlineStr">
        <is>
          <t>JÄMTLANDS LÄN</t>
        </is>
      </c>
      <c r="E3805" t="inlineStr">
        <is>
          <t>KROKOM</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64355-2020</t>
        </is>
      </c>
      <c r="B3806" s="1" t="n">
        <v>44168</v>
      </c>
      <c r="C3806" s="1" t="n">
        <v>45363</v>
      </c>
      <c r="D3806" t="inlineStr">
        <is>
          <t>JÄMTLANDS LÄN</t>
        </is>
      </c>
      <c r="E3806" t="inlineStr">
        <is>
          <t>ÅRE</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64386-2020</t>
        </is>
      </c>
      <c r="B3807" s="1" t="n">
        <v>44168</v>
      </c>
      <c r="C3807" s="1" t="n">
        <v>45363</v>
      </c>
      <c r="D3807" t="inlineStr">
        <is>
          <t>JÄMTLANDS LÄN</t>
        </is>
      </c>
      <c r="E3807" t="inlineStr">
        <is>
          <t>RAGUNDA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64494-2020</t>
        </is>
      </c>
      <c r="B3808" s="1" t="n">
        <v>44168</v>
      </c>
      <c r="C3808" s="1" t="n">
        <v>45363</v>
      </c>
      <c r="D3808" t="inlineStr">
        <is>
          <t>JÄMTLANDS LÄN</t>
        </is>
      </c>
      <c r="E3808" t="inlineStr">
        <is>
          <t>BRÄCKE</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64495-2020</t>
        </is>
      </c>
      <c r="B3809" s="1" t="n">
        <v>44168</v>
      </c>
      <c r="C3809" s="1" t="n">
        <v>45363</v>
      </c>
      <c r="D3809" t="inlineStr">
        <is>
          <t>JÄMTLANDS LÄN</t>
        </is>
      </c>
      <c r="E3809" t="inlineStr">
        <is>
          <t>BRÄCKE</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64492-2020</t>
        </is>
      </c>
      <c r="B3810" s="1" t="n">
        <v>44168</v>
      </c>
      <c r="C3810" s="1" t="n">
        <v>45363</v>
      </c>
      <c r="D3810" t="inlineStr">
        <is>
          <t>JÄMTLANDS LÄN</t>
        </is>
      </c>
      <c r="E3810" t="inlineStr">
        <is>
          <t>BERG</t>
        </is>
      </c>
      <c r="F3810" t="inlineStr">
        <is>
          <t>SCA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64490-2020</t>
        </is>
      </c>
      <c r="B3811" s="1" t="n">
        <v>44168</v>
      </c>
      <c r="C3811" s="1" t="n">
        <v>45363</v>
      </c>
      <c r="D3811" t="inlineStr">
        <is>
          <t>JÄMTLANDS LÄN</t>
        </is>
      </c>
      <c r="E3811" t="inlineStr">
        <is>
          <t>BERG</t>
        </is>
      </c>
      <c r="F3811" t="inlineStr">
        <is>
          <t>SCA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64539-2020</t>
        </is>
      </c>
      <c r="B3812" s="1" t="n">
        <v>44169</v>
      </c>
      <c r="C3812" s="1" t="n">
        <v>45363</v>
      </c>
      <c r="D3812" t="inlineStr">
        <is>
          <t>JÄMTLANDS LÄN</t>
        </is>
      </c>
      <c r="E3812" t="inlineStr">
        <is>
          <t>HÄRJEDALEN</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64579-2020</t>
        </is>
      </c>
      <c r="B3813" s="1" t="n">
        <v>44169</v>
      </c>
      <c r="C3813" s="1" t="n">
        <v>45363</v>
      </c>
      <c r="D3813" t="inlineStr">
        <is>
          <t>JÄMTLANDS LÄN</t>
        </is>
      </c>
      <c r="E3813" t="inlineStr">
        <is>
          <t>HÄRJEDALEN</t>
        </is>
      </c>
      <c r="G3813" t="n">
        <v>12.4</v>
      </c>
      <c r="H3813" t="n">
        <v>0</v>
      </c>
      <c r="I3813" t="n">
        <v>0</v>
      </c>
      <c r="J3813" t="n">
        <v>0</v>
      </c>
      <c r="K3813" t="n">
        <v>0</v>
      </c>
      <c r="L3813" t="n">
        <v>0</v>
      </c>
      <c r="M3813" t="n">
        <v>0</v>
      </c>
      <c r="N3813" t="n">
        <v>0</v>
      </c>
      <c r="O3813" t="n">
        <v>0</v>
      </c>
      <c r="P3813" t="n">
        <v>0</v>
      </c>
      <c r="Q3813" t="n">
        <v>0</v>
      </c>
      <c r="R3813" s="2" t="inlineStr"/>
    </row>
    <row r="3814" ht="15" customHeight="1">
      <c r="A3814" t="inlineStr">
        <is>
          <t>A 64608-2020</t>
        </is>
      </c>
      <c r="B3814" s="1" t="n">
        <v>44169</v>
      </c>
      <c r="C3814" s="1" t="n">
        <v>45363</v>
      </c>
      <c r="D3814" t="inlineStr">
        <is>
          <t>JÄMTLANDS LÄN</t>
        </is>
      </c>
      <c r="E3814" t="inlineStr">
        <is>
          <t>STRÖMSUND</t>
        </is>
      </c>
      <c r="F3814" t="inlineStr">
        <is>
          <t>Holmen skog AB</t>
        </is>
      </c>
      <c r="G3814" t="n">
        <v>17.7</v>
      </c>
      <c r="H3814" t="n">
        <v>0</v>
      </c>
      <c r="I3814" t="n">
        <v>0</v>
      </c>
      <c r="J3814" t="n">
        <v>0</v>
      </c>
      <c r="K3814" t="n">
        <v>0</v>
      </c>
      <c r="L3814" t="n">
        <v>0</v>
      </c>
      <c r="M3814" t="n">
        <v>0</v>
      </c>
      <c r="N3814" t="n">
        <v>0</v>
      </c>
      <c r="O3814" t="n">
        <v>0</v>
      </c>
      <c r="P3814" t="n">
        <v>0</v>
      </c>
      <c r="Q3814" t="n">
        <v>0</v>
      </c>
      <c r="R3814" s="2" t="inlineStr"/>
    </row>
    <row r="3815" ht="15" customHeight="1">
      <c r="A3815" t="inlineStr">
        <is>
          <t>A 64805-2020</t>
        </is>
      </c>
      <c r="B3815" s="1" t="n">
        <v>44169</v>
      </c>
      <c r="C3815" s="1" t="n">
        <v>45363</v>
      </c>
      <c r="D3815" t="inlineStr">
        <is>
          <t>JÄMTLANDS LÄN</t>
        </is>
      </c>
      <c r="E3815" t="inlineStr">
        <is>
          <t>BRÄCKE</t>
        </is>
      </c>
      <c r="F3815" t="inlineStr">
        <is>
          <t>SCA</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64825-2020</t>
        </is>
      </c>
      <c r="B3816" s="1" t="n">
        <v>44169</v>
      </c>
      <c r="C3816" s="1" t="n">
        <v>45363</v>
      </c>
      <c r="D3816" t="inlineStr">
        <is>
          <t>JÄMTLANDS LÄN</t>
        </is>
      </c>
      <c r="E3816" t="inlineStr">
        <is>
          <t>STRÖMSUND</t>
        </is>
      </c>
      <c r="F3816" t="inlineStr">
        <is>
          <t>SCA</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64809-2020</t>
        </is>
      </c>
      <c r="B3817" s="1" t="n">
        <v>44169</v>
      </c>
      <c r="C3817" s="1" t="n">
        <v>45363</v>
      </c>
      <c r="D3817" t="inlineStr">
        <is>
          <t>JÄMTLANDS LÄN</t>
        </is>
      </c>
      <c r="E3817" t="inlineStr">
        <is>
          <t>BRÄCKE</t>
        </is>
      </c>
      <c r="F3817" t="inlineStr">
        <is>
          <t>SCA</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64828-2020</t>
        </is>
      </c>
      <c r="B3818" s="1" t="n">
        <v>44169</v>
      </c>
      <c r="C3818" s="1" t="n">
        <v>45363</v>
      </c>
      <c r="D3818" t="inlineStr">
        <is>
          <t>JÄMTLANDS LÄN</t>
        </is>
      </c>
      <c r="E3818" t="inlineStr">
        <is>
          <t>STRÖMSUND</t>
        </is>
      </c>
      <c r="F3818" t="inlineStr">
        <is>
          <t>SCA</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65433-2020</t>
        </is>
      </c>
      <c r="B3819" s="1" t="n">
        <v>44169</v>
      </c>
      <c r="C3819" s="1" t="n">
        <v>45363</v>
      </c>
      <c r="D3819" t="inlineStr">
        <is>
          <t>JÄMTLANDS LÄN</t>
        </is>
      </c>
      <c r="E3819" t="inlineStr">
        <is>
          <t>KROKOM</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65451-2020</t>
        </is>
      </c>
      <c r="B3820" s="1" t="n">
        <v>44169</v>
      </c>
      <c r="C3820" s="1" t="n">
        <v>45363</v>
      </c>
      <c r="D3820" t="inlineStr">
        <is>
          <t>JÄMTLANDS LÄN</t>
        </is>
      </c>
      <c r="E3820" t="inlineStr">
        <is>
          <t>KROKOM</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65260-2020</t>
        </is>
      </c>
      <c r="B3821" s="1" t="n">
        <v>44172</v>
      </c>
      <c r="C3821" s="1" t="n">
        <v>45363</v>
      </c>
      <c r="D3821" t="inlineStr">
        <is>
          <t>JÄMTLANDS LÄN</t>
        </is>
      </c>
      <c r="E3821" t="inlineStr">
        <is>
          <t>RAGUNDA</t>
        </is>
      </c>
      <c r="F3821" t="inlineStr">
        <is>
          <t>SCA</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65787-2020</t>
        </is>
      </c>
      <c r="B3822" s="1" t="n">
        <v>44172</v>
      </c>
      <c r="C3822" s="1" t="n">
        <v>45363</v>
      </c>
      <c r="D3822" t="inlineStr">
        <is>
          <t>JÄMTLANDS LÄN</t>
        </is>
      </c>
      <c r="E3822" t="inlineStr">
        <is>
          <t>KROKOM</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65783-2020</t>
        </is>
      </c>
      <c r="B3823" s="1" t="n">
        <v>44172</v>
      </c>
      <c r="C3823" s="1" t="n">
        <v>45363</v>
      </c>
      <c r="D3823" t="inlineStr">
        <is>
          <t>JÄMTLANDS LÄN</t>
        </is>
      </c>
      <c r="E3823" t="inlineStr">
        <is>
          <t>KROKOM</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66083-2020</t>
        </is>
      </c>
      <c r="B3824" s="1" t="n">
        <v>44172</v>
      </c>
      <c r="C3824" s="1" t="n">
        <v>45363</v>
      </c>
      <c r="D3824" t="inlineStr">
        <is>
          <t>JÄMTLANDS LÄN</t>
        </is>
      </c>
      <c r="E3824" t="inlineStr">
        <is>
          <t>ÅRE</t>
        </is>
      </c>
      <c r="G3824" t="n">
        <v>563.3</v>
      </c>
      <c r="H3824" t="n">
        <v>0</v>
      </c>
      <c r="I3824" t="n">
        <v>0</v>
      </c>
      <c r="J3824" t="n">
        <v>0</v>
      </c>
      <c r="K3824" t="n">
        <v>0</v>
      </c>
      <c r="L3824" t="n">
        <v>0</v>
      </c>
      <c r="M3824" t="n">
        <v>0</v>
      </c>
      <c r="N3824" t="n">
        <v>0</v>
      </c>
      <c r="O3824" t="n">
        <v>0</v>
      </c>
      <c r="P3824" t="n">
        <v>0</v>
      </c>
      <c r="Q3824" t="n">
        <v>0</v>
      </c>
      <c r="R3824" s="2" t="inlineStr"/>
    </row>
    <row r="3825" ht="15" customHeight="1">
      <c r="A3825" t="inlineStr">
        <is>
          <t>A 65439-2020</t>
        </is>
      </c>
      <c r="B3825" s="1" t="n">
        <v>44173</v>
      </c>
      <c r="C3825" s="1" t="n">
        <v>45363</v>
      </c>
      <c r="D3825" t="inlineStr">
        <is>
          <t>JÄMTLANDS LÄN</t>
        </is>
      </c>
      <c r="E3825" t="inlineStr">
        <is>
          <t>ÅRE</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65410-2020</t>
        </is>
      </c>
      <c r="B3826" s="1" t="n">
        <v>44173</v>
      </c>
      <c r="C3826" s="1" t="n">
        <v>45363</v>
      </c>
      <c r="D3826" t="inlineStr">
        <is>
          <t>JÄMTLANDS LÄN</t>
        </is>
      </c>
      <c r="E3826" t="inlineStr">
        <is>
          <t>ÖSTERSUND</t>
        </is>
      </c>
      <c r="F3826" t="inlineStr">
        <is>
          <t>Kommuner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65530-2020</t>
        </is>
      </c>
      <c r="B3827" s="1" t="n">
        <v>44173</v>
      </c>
      <c r="C3827" s="1" t="n">
        <v>45363</v>
      </c>
      <c r="D3827" t="inlineStr">
        <is>
          <t>JÄMTLANDS LÄN</t>
        </is>
      </c>
      <c r="E3827" t="inlineStr">
        <is>
          <t>STRÖMSUND</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65316-2020</t>
        </is>
      </c>
      <c r="B3828" s="1" t="n">
        <v>44173</v>
      </c>
      <c r="C3828" s="1" t="n">
        <v>45363</v>
      </c>
      <c r="D3828" t="inlineStr">
        <is>
          <t>JÄMTLANDS LÄN</t>
        </is>
      </c>
      <c r="E3828" t="inlineStr">
        <is>
          <t>KROKOM</t>
        </is>
      </c>
      <c r="F3828" t="inlineStr">
        <is>
          <t>Övriga Aktiebolag</t>
        </is>
      </c>
      <c r="G3828" t="n">
        <v>12.5</v>
      </c>
      <c r="H3828" t="n">
        <v>0</v>
      </c>
      <c r="I3828" t="n">
        <v>0</v>
      </c>
      <c r="J3828" t="n">
        <v>0</v>
      </c>
      <c r="K3828" t="n">
        <v>0</v>
      </c>
      <c r="L3828" t="n">
        <v>0</v>
      </c>
      <c r="M3828" t="n">
        <v>0</v>
      </c>
      <c r="N3828" t="n">
        <v>0</v>
      </c>
      <c r="O3828" t="n">
        <v>0</v>
      </c>
      <c r="P3828" t="n">
        <v>0</v>
      </c>
      <c r="Q3828" t="n">
        <v>0</v>
      </c>
      <c r="R3828" s="2" t="inlineStr"/>
    </row>
    <row r="3829" ht="15" customHeight="1">
      <c r="A3829" t="inlineStr">
        <is>
          <t>A 65341-2020</t>
        </is>
      </c>
      <c r="B3829" s="1" t="n">
        <v>44173</v>
      </c>
      <c r="C3829" s="1" t="n">
        <v>45363</v>
      </c>
      <c r="D3829" t="inlineStr">
        <is>
          <t>JÄMTLANDS LÄN</t>
        </is>
      </c>
      <c r="E3829" t="inlineStr">
        <is>
          <t>RAGUNDA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65512-2020</t>
        </is>
      </c>
      <c r="B3830" s="1" t="n">
        <v>44173</v>
      </c>
      <c r="C3830" s="1" t="n">
        <v>45363</v>
      </c>
      <c r="D3830" t="inlineStr">
        <is>
          <t>JÄMTLANDS LÄN</t>
        </is>
      </c>
      <c r="E3830" t="inlineStr">
        <is>
          <t>ÅRE</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65618-2020</t>
        </is>
      </c>
      <c r="B3831" s="1" t="n">
        <v>44173</v>
      </c>
      <c r="C3831" s="1" t="n">
        <v>45363</v>
      </c>
      <c r="D3831" t="inlineStr">
        <is>
          <t>JÄMTLANDS LÄN</t>
        </is>
      </c>
      <c r="E3831" t="inlineStr">
        <is>
          <t>STRÖMSUND</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65519-2020</t>
        </is>
      </c>
      <c r="B3832" s="1" t="n">
        <v>44173</v>
      </c>
      <c r="C3832" s="1" t="n">
        <v>45363</v>
      </c>
      <c r="D3832" t="inlineStr">
        <is>
          <t>JÄMTLANDS LÄN</t>
        </is>
      </c>
      <c r="E3832" t="inlineStr">
        <is>
          <t>ÅRE</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65797-2020</t>
        </is>
      </c>
      <c r="B3833" s="1" t="n">
        <v>44174</v>
      </c>
      <c r="C3833" s="1" t="n">
        <v>45363</v>
      </c>
      <c r="D3833" t="inlineStr">
        <is>
          <t>JÄMTLANDS LÄN</t>
        </is>
      </c>
      <c r="E3833" t="inlineStr">
        <is>
          <t>STRÖMSUND</t>
        </is>
      </c>
      <c r="F3833" t="inlineStr">
        <is>
          <t>Holmen skog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65898-2020</t>
        </is>
      </c>
      <c r="B3834" s="1" t="n">
        <v>44174</v>
      </c>
      <c r="C3834" s="1" t="n">
        <v>45363</v>
      </c>
      <c r="D3834" t="inlineStr">
        <is>
          <t>JÄMTLANDS LÄN</t>
        </is>
      </c>
      <c r="E3834" t="inlineStr">
        <is>
          <t>RAGUNDA</t>
        </is>
      </c>
      <c r="F3834" t="inlineStr">
        <is>
          <t>SCA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65762-2020</t>
        </is>
      </c>
      <c r="B3835" s="1" t="n">
        <v>44174</v>
      </c>
      <c r="C3835" s="1" t="n">
        <v>45363</v>
      </c>
      <c r="D3835" t="inlineStr">
        <is>
          <t>JÄMTLANDS LÄN</t>
        </is>
      </c>
      <c r="E3835" t="inlineStr">
        <is>
          <t>STRÖMSUND</t>
        </is>
      </c>
      <c r="F3835" t="inlineStr">
        <is>
          <t>Holmen skog AB</t>
        </is>
      </c>
      <c r="G3835" t="n">
        <v>8.5</v>
      </c>
      <c r="H3835" t="n">
        <v>0</v>
      </c>
      <c r="I3835" t="n">
        <v>0</v>
      </c>
      <c r="J3835" t="n">
        <v>0</v>
      </c>
      <c r="K3835" t="n">
        <v>0</v>
      </c>
      <c r="L3835" t="n">
        <v>0</v>
      </c>
      <c r="M3835" t="n">
        <v>0</v>
      </c>
      <c r="N3835" t="n">
        <v>0</v>
      </c>
      <c r="O3835" t="n">
        <v>0</v>
      </c>
      <c r="P3835" t="n">
        <v>0</v>
      </c>
      <c r="Q3835" t="n">
        <v>0</v>
      </c>
      <c r="R3835" s="2" t="inlineStr"/>
    </row>
    <row r="3836" ht="15" customHeight="1">
      <c r="A3836" t="inlineStr">
        <is>
          <t>A 65768-2020</t>
        </is>
      </c>
      <c r="B3836" s="1" t="n">
        <v>44174</v>
      </c>
      <c r="C3836" s="1" t="n">
        <v>45363</v>
      </c>
      <c r="D3836" t="inlineStr">
        <is>
          <t>JÄMTLANDS LÄN</t>
        </is>
      </c>
      <c r="E3836" t="inlineStr">
        <is>
          <t>STRÖMSUND</t>
        </is>
      </c>
      <c r="F3836" t="inlineStr">
        <is>
          <t>Holmen skog AB</t>
        </is>
      </c>
      <c r="G3836" t="n">
        <v>21.7</v>
      </c>
      <c r="H3836" t="n">
        <v>0</v>
      </c>
      <c r="I3836" t="n">
        <v>0</v>
      </c>
      <c r="J3836" t="n">
        <v>0</v>
      </c>
      <c r="K3836" t="n">
        <v>0</v>
      </c>
      <c r="L3836" t="n">
        <v>0</v>
      </c>
      <c r="M3836" t="n">
        <v>0</v>
      </c>
      <c r="N3836" t="n">
        <v>0</v>
      </c>
      <c r="O3836" t="n">
        <v>0</v>
      </c>
      <c r="P3836" t="n">
        <v>0</v>
      </c>
      <c r="Q3836" t="n">
        <v>0</v>
      </c>
      <c r="R3836" s="2" t="inlineStr"/>
    </row>
    <row r="3837" ht="15" customHeight="1">
      <c r="A3837" t="inlineStr">
        <is>
          <t>A 65817-2020</t>
        </is>
      </c>
      <c r="B3837" s="1" t="n">
        <v>44174</v>
      </c>
      <c r="C3837" s="1" t="n">
        <v>45363</v>
      </c>
      <c r="D3837" t="inlineStr">
        <is>
          <t>JÄMTLANDS LÄN</t>
        </is>
      </c>
      <c r="E3837" t="inlineStr">
        <is>
          <t>HÄRJEDALEN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66276-2020</t>
        </is>
      </c>
      <c r="B3838" s="1" t="n">
        <v>44174</v>
      </c>
      <c r="C3838" s="1" t="n">
        <v>45363</v>
      </c>
      <c r="D3838" t="inlineStr">
        <is>
          <t>JÄMTLANDS LÄN</t>
        </is>
      </c>
      <c r="E3838" t="inlineStr">
        <is>
          <t>HÄRJEDALEN</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66269-2020</t>
        </is>
      </c>
      <c r="B3839" s="1" t="n">
        <v>44174</v>
      </c>
      <c r="C3839" s="1" t="n">
        <v>45363</v>
      </c>
      <c r="D3839" t="inlineStr">
        <is>
          <t>JÄMTLANDS LÄN</t>
        </is>
      </c>
      <c r="E3839" t="inlineStr">
        <is>
          <t>ÖSTERSUND</t>
        </is>
      </c>
      <c r="F3839" t="inlineStr">
        <is>
          <t>Övriga statliga verk och myndigheter</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66288-2020</t>
        </is>
      </c>
      <c r="B3840" s="1" t="n">
        <v>44174</v>
      </c>
      <c r="C3840" s="1" t="n">
        <v>45363</v>
      </c>
      <c r="D3840" t="inlineStr">
        <is>
          <t>JÄMTLANDS LÄN</t>
        </is>
      </c>
      <c r="E3840" t="inlineStr">
        <is>
          <t>ÖSTERSUND</t>
        </is>
      </c>
      <c r="F3840" t="inlineStr">
        <is>
          <t>Övriga statliga verk och myndigheter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66286-2020</t>
        </is>
      </c>
      <c r="B3841" s="1" t="n">
        <v>44174</v>
      </c>
      <c r="C3841" s="1" t="n">
        <v>45363</v>
      </c>
      <c r="D3841" t="inlineStr">
        <is>
          <t>JÄMTLANDS LÄN</t>
        </is>
      </c>
      <c r="E3841" t="inlineStr">
        <is>
          <t>ÖSTERSUND</t>
        </is>
      </c>
      <c r="F3841" t="inlineStr">
        <is>
          <t>Övriga statliga verk och myndigheter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66130-2020</t>
        </is>
      </c>
      <c r="B3842" s="1" t="n">
        <v>44175</v>
      </c>
      <c r="C3842" s="1" t="n">
        <v>45363</v>
      </c>
      <c r="D3842" t="inlineStr">
        <is>
          <t>JÄMTLANDS LÄN</t>
        </is>
      </c>
      <c r="E3842" t="inlineStr">
        <is>
          <t>STRÖMSUND</t>
        </is>
      </c>
      <c r="F3842" t="inlineStr">
        <is>
          <t>Holmen skog AB</t>
        </is>
      </c>
      <c r="G3842" t="n">
        <v>20.1</v>
      </c>
      <c r="H3842" t="n">
        <v>0</v>
      </c>
      <c r="I3842" t="n">
        <v>0</v>
      </c>
      <c r="J3842" t="n">
        <v>0</v>
      </c>
      <c r="K3842" t="n">
        <v>0</v>
      </c>
      <c r="L3842" t="n">
        <v>0</v>
      </c>
      <c r="M3842" t="n">
        <v>0</v>
      </c>
      <c r="N3842" t="n">
        <v>0</v>
      </c>
      <c r="O3842" t="n">
        <v>0</v>
      </c>
      <c r="P3842" t="n">
        <v>0</v>
      </c>
      <c r="Q3842" t="n">
        <v>0</v>
      </c>
      <c r="R3842" s="2" t="inlineStr"/>
    </row>
    <row r="3843" ht="15" customHeight="1">
      <c r="A3843" t="inlineStr">
        <is>
          <t>A 65997-2020</t>
        </is>
      </c>
      <c r="B3843" s="1" t="n">
        <v>44175</v>
      </c>
      <c r="C3843" s="1" t="n">
        <v>45363</v>
      </c>
      <c r="D3843" t="inlineStr">
        <is>
          <t>JÄMTLANDS LÄN</t>
        </is>
      </c>
      <c r="E3843" t="inlineStr">
        <is>
          <t>STRÖMSUND</t>
        </is>
      </c>
      <c r="F3843" t="inlineStr">
        <is>
          <t>Kyrkan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66784-2020</t>
        </is>
      </c>
      <c r="B3844" s="1" t="n">
        <v>44175</v>
      </c>
      <c r="C3844" s="1" t="n">
        <v>45363</v>
      </c>
      <c r="D3844" t="inlineStr">
        <is>
          <t>JÄMTLANDS LÄN</t>
        </is>
      </c>
      <c r="E3844" t="inlineStr">
        <is>
          <t>KROKOM</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66248-2020</t>
        </is>
      </c>
      <c r="B3845" s="1" t="n">
        <v>44175</v>
      </c>
      <c r="C3845" s="1" t="n">
        <v>45363</v>
      </c>
      <c r="D3845" t="inlineStr">
        <is>
          <t>JÄMTLANDS LÄN</t>
        </is>
      </c>
      <c r="E3845" t="inlineStr">
        <is>
          <t>RAGUNDA</t>
        </is>
      </c>
      <c r="F3845" t="inlineStr">
        <is>
          <t>SCA</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66774-2020</t>
        </is>
      </c>
      <c r="B3846" s="1" t="n">
        <v>44175</v>
      </c>
      <c r="C3846" s="1" t="n">
        <v>45363</v>
      </c>
      <c r="D3846" t="inlineStr">
        <is>
          <t>JÄMTLANDS LÄN</t>
        </is>
      </c>
      <c r="E3846" t="inlineStr">
        <is>
          <t>KROKOM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66443-2020</t>
        </is>
      </c>
      <c r="B3847" s="1" t="n">
        <v>44176</v>
      </c>
      <c r="C3847" s="1" t="n">
        <v>45363</v>
      </c>
      <c r="D3847" t="inlineStr">
        <is>
          <t>JÄMTLANDS LÄN</t>
        </is>
      </c>
      <c r="E3847" t="inlineStr">
        <is>
          <t>BRÄCKE</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66982-2020</t>
        </is>
      </c>
      <c r="B3848" s="1" t="n">
        <v>44176</v>
      </c>
      <c r="C3848" s="1" t="n">
        <v>45363</v>
      </c>
      <c r="D3848" t="inlineStr">
        <is>
          <t>JÄMTLANDS LÄN</t>
        </is>
      </c>
      <c r="E3848" t="inlineStr">
        <is>
          <t>STRÖMSUND</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66983-2020</t>
        </is>
      </c>
      <c r="B3849" s="1" t="n">
        <v>44176</v>
      </c>
      <c r="C3849" s="1" t="n">
        <v>45363</v>
      </c>
      <c r="D3849" t="inlineStr">
        <is>
          <t>JÄMTLANDS LÄN</t>
        </is>
      </c>
      <c r="E3849" t="inlineStr">
        <is>
          <t>STRÖMSUND</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66720-2020</t>
        </is>
      </c>
      <c r="B3850" s="1" t="n">
        <v>44179</v>
      </c>
      <c r="C3850" s="1" t="n">
        <v>45363</v>
      </c>
      <c r="D3850" t="inlineStr">
        <is>
          <t>JÄMTLANDS LÄN</t>
        </is>
      </c>
      <c r="E3850" t="inlineStr">
        <is>
          <t>HÄRJEDALEN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66755-2020</t>
        </is>
      </c>
      <c r="B3851" s="1" t="n">
        <v>44179</v>
      </c>
      <c r="C3851" s="1" t="n">
        <v>45363</v>
      </c>
      <c r="D3851" t="inlineStr">
        <is>
          <t>JÄMTLANDS LÄN</t>
        </is>
      </c>
      <c r="E3851" t="inlineStr">
        <is>
          <t>ÅRE</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66770-2020</t>
        </is>
      </c>
      <c r="B3852" s="1" t="n">
        <v>44179</v>
      </c>
      <c r="C3852" s="1" t="n">
        <v>45363</v>
      </c>
      <c r="D3852" t="inlineStr">
        <is>
          <t>JÄMTLANDS LÄN</t>
        </is>
      </c>
      <c r="E3852" t="inlineStr">
        <is>
          <t>STRÖMSUND</t>
        </is>
      </c>
      <c r="F3852" t="inlineStr">
        <is>
          <t>Holmen skog AB</t>
        </is>
      </c>
      <c r="G3852" t="n">
        <v>17.9</v>
      </c>
      <c r="H3852" t="n">
        <v>0</v>
      </c>
      <c r="I3852" t="n">
        <v>0</v>
      </c>
      <c r="J3852" t="n">
        <v>0</v>
      </c>
      <c r="K3852" t="n">
        <v>0</v>
      </c>
      <c r="L3852" t="n">
        <v>0</v>
      </c>
      <c r="M3852" t="n">
        <v>0</v>
      </c>
      <c r="N3852" t="n">
        <v>0</v>
      </c>
      <c r="O3852" t="n">
        <v>0</v>
      </c>
      <c r="P3852" t="n">
        <v>0</v>
      </c>
      <c r="Q3852" t="n">
        <v>0</v>
      </c>
      <c r="R3852" s="2" t="inlineStr"/>
    </row>
    <row r="3853" ht="15" customHeight="1">
      <c r="A3853" t="inlineStr">
        <is>
          <t>A 66653-2020</t>
        </is>
      </c>
      <c r="B3853" s="1" t="n">
        <v>44179</v>
      </c>
      <c r="C3853" s="1" t="n">
        <v>45363</v>
      </c>
      <c r="D3853" t="inlineStr">
        <is>
          <t>JÄMTLANDS LÄN</t>
        </is>
      </c>
      <c r="E3853" t="inlineStr">
        <is>
          <t>STRÖMSUND</t>
        </is>
      </c>
      <c r="F3853" t="inlineStr">
        <is>
          <t>SCA</t>
        </is>
      </c>
      <c r="G3853" t="n">
        <v>27.7</v>
      </c>
      <c r="H3853" t="n">
        <v>0</v>
      </c>
      <c r="I3853" t="n">
        <v>0</v>
      </c>
      <c r="J3853" t="n">
        <v>0</v>
      </c>
      <c r="K3853" t="n">
        <v>0</v>
      </c>
      <c r="L3853" t="n">
        <v>0</v>
      </c>
      <c r="M3853" t="n">
        <v>0</v>
      </c>
      <c r="N3853" t="n">
        <v>0</v>
      </c>
      <c r="O3853" t="n">
        <v>0</v>
      </c>
      <c r="P3853" t="n">
        <v>0</v>
      </c>
      <c r="Q3853" t="n">
        <v>0</v>
      </c>
      <c r="R3853" s="2" t="inlineStr"/>
    </row>
    <row r="3854" ht="15" customHeight="1">
      <c r="A3854" t="inlineStr">
        <is>
          <t>A 66702-2020</t>
        </is>
      </c>
      <c r="B3854" s="1" t="n">
        <v>44179</v>
      </c>
      <c r="C3854" s="1" t="n">
        <v>45363</v>
      </c>
      <c r="D3854" t="inlineStr">
        <is>
          <t>JÄMTLANDS LÄN</t>
        </is>
      </c>
      <c r="E3854" t="inlineStr">
        <is>
          <t>STRÖMSUND</t>
        </is>
      </c>
      <c r="F3854" t="inlineStr">
        <is>
          <t>SCA</t>
        </is>
      </c>
      <c r="G3854" t="n">
        <v>23.5</v>
      </c>
      <c r="H3854" t="n">
        <v>0</v>
      </c>
      <c r="I3854" t="n">
        <v>0</v>
      </c>
      <c r="J3854" t="n">
        <v>0</v>
      </c>
      <c r="K3854" t="n">
        <v>0</v>
      </c>
      <c r="L3854" t="n">
        <v>0</v>
      </c>
      <c r="M3854" t="n">
        <v>0</v>
      </c>
      <c r="N3854" t="n">
        <v>0</v>
      </c>
      <c r="O3854" t="n">
        <v>0</v>
      </c>
      <c r="P3854" t="n">
        <v>0</v>
      </c>
      <c r="Q3854" t="n">
        <v>0</v>
      </c>
      <c r="R3854" s="2" t="inlineStr"/>
    </row>
    <row r="3855" ht="15" customHeight="1">
      <c r="A3855" t="inlineStr">
        <is>
          <t>A 66739-2020</t>
        </is>
      </c>
      <c r="B3855" s="1" t="n">
        <v>44179</v>
      </c>
      <c r="C3855" s="1" t="n">
        <v>45363</v>
      </c>
      <c r="D3855" t="inlineStr">
        <is>
          <t>JÄMTLANDS LÄN</t>
        </is>
      </c>
      <c r="E3855" t="inlineStr">
        <is>
          <t>STRÖMSUND</t>
        </is>
      </c>
      <c r="F3855" t="inlineStr">
        <is>
          <t>SCA</t>
        </is>
      </c>
      <c r="G3855" t="n">
        <v>23.7</v>
      </c>
      <c r="H3855" t="n">
        <v>0</v>
      </c>
      <c r="I3855" t="n">
        <v>0</v>
      </c>
      <c r="J3855" t="n">
        <v>0</v>
      </c>
      <c r="K3855" t="n">
        <v>0</v>
      </c>
      <c r="L3855" t="n">
        <v>0</v>
      </c>
      <c r="M3855" t="n">
        <v>0</v>
      </c>
      <c r="N3855" t="n">
        <v>0</v>
      </c>
      <c r="O3855" t="n">
        <v>0</v>
      </c>
      <c r="P3855" t="n">
        <v>0</v>
      </c>
      <c r="Q3855" t="n">
        <v>0</v>
      </c>
      <c r="R3855" s="2" t="inlineStr"/>
    </row>
    <row r="3856" ht="15" customHeight="1">
      <c r="A3856" t="inlineStr">
        <is>
          <t>A 67730-2020</t>
        </is>
      </c>
      <c r="B3856" s="1" t="n">
        <v>44179</v>
      </c>
      <c r="C3856" s="1" t="n">
        <v>45363</v>
      </c>
      <c r="D3856" t="inlineStr">
        <is>
          <t>JÄMTLANDS LÄN</t>
        </is>
      </c>
      <c r="E3856" t="inlineStr">
        <is>
          <t>KROKOM</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66790-2020</t>
        </is>
      </c>
      <c r="B3857" s="1" t="n">
        <v>44179</v>
      </c>
      <c r="C3857" s="1" t="n">
        <v>45363</v>
      </c>
      <c r="D3857" t="inlineStr">
        <is>
          <t>JÄMTLANDS LÄN</t>
        </is>
      </c>
      <c r="E3857" t="inlineStr">
        <is>
          <t>ÅRE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66859-2020</t>
        </is>
      </c>
      <c r="B3858" s="1" t="n">
        <v>44179</v>
      </c>
      <c r="C3858" s="1" t="n">
        <v>45363</v>
      </c>
      <c r="D3858" t="inlineStr">
        <is>
          <t>JÄMTLANDS LÄN</t>
        </is>
      </c>
      <c r="E3858" t="inlineStr">
        <is>
          <t>BRÄCKE</t>
        </is>
      </c>
      <c r="F3858" t="inlineStr">
        <is>
          <t>SCA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67080-2020</t>
        </is>
      </c>
      <c r="B3859" s="1" t="n">
        <v>44179</v>
      </c>
      <c r="C3859" s="1" t="n">
        <v>45363</v>
      </c>
      <c r="D3859" t="inlineStr">
        <is>
          <t>JÄMTLANDS LÄN</t>
        </is>
      </c>
      <c r="E3859" t="inlineStr">
        <is>
          <t>BRÄCKE</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67270-2020</t>
        </is>
      </c>
      <c r="B3860" s="1" t="n">
        <v>44179</v>
      </c>
      <c r="C3860" s="1" t="n">
        <v>45363</v>
      </c>
      <c r="D3860" t="inlineStr">
        <is>
          <t>JÄMTLANDS LÄN</t>
        </is>
      </c>
      <c r="E3860" t="inlineStr">
        <is>
          <t>ÅRE</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67099-2020</t>
        </is>
      </c>
      <c r="B3861" s="1" t="n">
        <v>44180</v>
      </c>
      <c r="C3861" s="1" t="n">
        <v>45363</v>
      </c>
      <c r="D3861" t="inlineStr">
        <is>
          <t>JÄMTLANDS LÄN</t>
        </is>
      </c>
      <c r="E3861" t="inlineStr">
        <is>
          <t>HÄRJEDALEN</t>
        </is>
      </c>
      <c r="F3861" t="inlineStr">
        <is>
          <t>Holmen skog AB</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67156-2020</t>
        </is>
      </c>
      <c r="B3862" s="1" t="n">
        <v>44180</v>
      </c>
      <c r="C3862" s="1" t="n">
        <v>45363</v>
      </c>
      <c r="D3862" t="inlineStr">
        <is>
          <t>JÄMTLANDS LÄN</t>
        </is>
      </c>
      <c r="E3862" t="inlineStr">
        <is>
          <t>HÄRJEDALEN</t>
        </is>
      </c>
      <c r="F3862" t="inlineStr">
        <is>
          <t>Holmen skog AB</t>
        </is>
      </c>
      <c r="G3862" t="n">
        <v>7.3</v>
      </c>
      <c r="H3862" t="n">
        <v>0</v>
      </c>
      <c r="I3862" t="n">
        <v>0</v>
      </c>
      <c r="J3862" t="n">
        <v>0</v>
      </c>
      <c r="K3862" t="n">
        <v>0</v>
      </c>
      <c r="L3862" t="n">
        <v>0</v>
      </c>
      <c r="M3862" t="n">
        <v>0</v>
      </c>
      <c r="N3862" t="n">
        <v>0</v>
      </c>
      <c r="O3862" t="n">
        <v>0</v>
      </c>
      <c r="P3862" t="n">
        <v>0</v>
      </c>
      <c r="Q3862" t="n">
        <v>0</v>
      </c>
      <c r="R3862" s="2" t="inlineStr"/>
    </row>
    <row r="3863" ht="15" customHeight="1">
      <c r="A3863" t="inlineStr">
        <is>
          <t>A 67110-2020</t>
        </is>
      </c>
      <c r="B3863" s="1" t="n">
        <v>44180</v>
      </c>
      <c r="C3863" s="1" t="n">
        <v>45363</v>
      </c>
      <c r="D3863" t="inlineStr">
        <is>
          <t>JÄMTLANDS LÄN</t>
        </is>
      </c>
      <c r="E3863" t="inlineStr">
        <is>
          <t>HÄRJEDALEN</t>
        </is>
      </c>
      <c r="F3863" t="inlineStr">
        <is>
          <t>Holmen skog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67182-2020</t>
        </is>
      </c>
      <c r="B3864" s="1" t="n">
        <v>44180</v>
      </c>
      <c r="C3864" s="1" t="n">
        <v>45363</v>
      </c>
      <c r="D3864" t="inlineStr">
        <is>
          <t>JÄMTLANDS LÄN</t>
        </is>
      </c>
      <c r="E3864" t="inlineStr">
        <is>
          <t>HÄRJEDALEN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67194-2020</t>
        </is>
      </c>
      <c r="B3865" s="1" t="n">
        <v>44180</v>
      </c>
      <c r="C3865" s="1" t="n">
        <v>45363</v>
      </c>
      <c r="D3865" t="inlineStr">
        <is>
          <t>JÄMTLANDS LÄN</t>
        </is>
      </c>
      <c r="E3865" t="inlineStr">
        <is>
          <t>HÄRJEDALEN</t>
        </is>
      </c>
      <c r="F3865" t="inlineStr">
        <is>
          <t>Holmen skog AB</t>
        </is>
      </c>
      <c r="G3865" t="n">
        <v>8.5</v>
      </c>
      <c r="H3865" t="n">
        <v>0</v>
      </c>
      <c r="I3865" t="n">
        <v>0</v>
      </c>
      <c r="J3865" t="n">
        <v>0</v>
      </c>
      <c r="K3865" t="n">
        <v>0</v>
      </c>
      <c r="L3865" t="n">
        <v>0</v>
      </c>
      <c r="M3865" t="n">
        <v>0</v>
      </c>
      <c r="N3865" t="n">
        <v>0</v>
      </c>
      <c r="O3865" t="n">
        <v>0</v>
      </c>
      <c r="P3865" t="n">
        <v>0</v>
      </c>
      <c r="Q3865" t="n">
        <v>0</v>
      </c>
      <c r="R3865" s="2" t="inlineStr"/>
    </row>
    <row r="3866" ht="15" customHeight="1">
      <c r="A3866" t="inlineStr">
        <is>
          <t>A 67646-2020</t>
        </is>
      </c>
      <c r="B3866" s="1" t="n">
        <v>44180</v>
      </c>
      <c r="C3866" s="1" t="n">
        <v>45363</v>
      </c>
      <c r="D3866" t="inlineStr">
        <is>
          <t>JÄMTLANDS LÄN</t>
        </is>
      </c>
      <c r="E3866" t="inlineStr">
        <is>
          <t>ÖSTERSUND</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67180-2020</t>
        </is>
      </c>
      <c r="B3867" s="1" t="n">
        <v>44180</v>
      </c>
      <c r="C3867" s="1" t="n">
        <v>45363</v>
      </c>
      <c r="D3867" t="inlineStr">
        <is>
          <t>JÄMTLANDS LÄN</t>
        </is>
      </c>
      <c r="E3867" t="inlineStr">
        <is>
          <t>HÄRJEDALEN</t>
        </is>
      </c>
      <c r="G3867" t="n">
        <v>0</v>
      </c>
      <c r="H3867" t="n">
        <v>0</v>
      </c>
      <c r="I3867" t="n">
        <v>0</v>
      </c>
      <c r="J3867" t="n">
        <v>0</v>
      </c>
      <c r="K3867" t="n">
        <v>0</v>
      </c>
      <c r="L3867" t="n">
        <v>0</v>
      </c>
      <c r="M3867" t="n">
        <v>0</v>
      </c>
      <c r="N3867" t="n">
        <v>0</v>
      </c>
      <c r="O3867" t="n">
        <v>0</v>
      </c>
      <c r="P3867" t="n">
        <v>0</v>
      </c>
      <c r="Q3867" t="n">
        <v>0</v>
      </c>
      <c r="R3867" s="2" t="inlineStr"/>
    </row>
    <row r="3868" ht="15" customHeight="1">
      <c r="A3868" t="inlineStr">
        <is>
          <t>A 67643-2020</t>
        </is>
      </c>
      <c r="B3868" s="1" t="n">
        <v>44180</v>
      </c>
      <c r="C3868" s="1" t="n">
        <v>45363</v>
      </c>
      <c r="D3868" t="inlineStr">
        <is>
          <t>JÄMTLANDS LÄN</t>
        </is>
      </c>
      <c r="E3868" t="inlineStr">
        <is>
          <t>ÖSTERSUND</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67106-2020</t>
        </is>
      </c>
      <c r="B3869" s="1" t="n">
        <v>44180</v>
      </c>
      <c r="C3869" s="1" t="n">
        <v>45363</v>
      </c>
      <c r="D3869" t="inlineStr">
        <is>
          <t>JÄMTLANDS LÄN</t>
        </is>
      </c>
      <c r="E3869" t="inlineStr">
        <is>
          <t>HÄRJEDALEN</t>
        </is>
      </c>
      <c r="F3869" t="inlineStr">
        <is>
          <t>Holmen skog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67457-2020</t>
        </is>
      </c>
      <c r="B3870" s="1" t="n">
        <v>44181</v>
      </c>
      <c r="C3870" s="1" t="n">
        <v>45363</v>
      </c>
      <c r="D3870" t="inlineStr">
        <is>
          <t>JÄMTLANDS LÄN</t>
        </is>
      </c>
      <c r="E3870" t="inlineStr">
        <is>
          <t>HÄRJEDALEN</t>
        </is>
      </c>
      <c r="F3870" t="inlineStr">
        <is>
          <t>Holmen skog AB</t>
        </is>
      </c>
      <c r="G3870" t="n">
        <v>30</v>
      </c>
      <c r="H3870" t="n">
        <v>0</v>
      </c>
      <c r="I3870" t="n">
        <v>0</v>
      </c>
      <c r="J3870" t="n">
        <v>0</v>
      </c>
      <c r="K3870" t="n">
        <v>0</v>
      </c>
      <c r="L3870" t="n">
        <v>0</v>
      </c>
      <c r="M3870" t="n">
        <v>0</v>
      </c>
      <c r="N3870" t="n">
        <v>0</v>
      </c>
      <c r="O3870" t="n">
        <v>0</v>
      </c>
      <c r="P3870" t="n">
        <v>0</v>
      </c>
      <c r="Q3870" t="n">
        <v>0</v>
      </c>
      <c r="R3870" s="2" t="inlineStr"/>
    </row>
    <row r="3871" ht="15" customHeight="1">
      <c r="A3871" t="inlineStr">
        <is>
          <t>A 67522-2020</t>
        </is>
      </c>
      <c r="B3871" s="1" t="n">
        <v>44181</v>
      </c>
      <c r="C3871" s="1" t="n">
        <v>45363</v>
      </c>
      <c r="D3871" t="inlineStr">
        <is>
          <t>JÄMTLANDS LÄN</t>
        </is>
      </c>
      <c r="E3871" t="inlineStr">
        <is>
          <t>HÄRJEDALEN</t>
        </is>
      </c>
      <c r="F3871" t="inlineStr">
        <is>
          <t>Holmen skog AB</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67416-2020</t>
        </is>
      </c>
      <c r="B3872" s="1" t="n">
        <v>44181</v>
      </c>
      <c r="C3872" s="1" t="n">
        <v>45363</v>
      </c>
      <c r="D3872" t="inlineStr">
        <is>
          <t>JÄMTLANDS LÄN</t>
        </is>
      </c>
      <c r="E3872" t="inlineStr">
        <is>
          <t>HÄRJEDALEN</t>
        </is>
      </c>
      <c r="F3872" t="inlineStr">
        <is>
          <t>Holmen skog AB</t>
        </is>
      </c>
      <c r="G3872" t="n">
        <v>9.199999999999999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67445-2020</t>
        </is>
      </c>
      <c r="B3873" s="1" t="n">
        <v>44181</v>
      </c>
      <c r="C3873" s="1" t="n">
        <v>45363</v>
      </c>
      <c r="D3873" t="inlineStr">
        <is>
          <t>JÄMTLANDS LÄN</t>
        </is>
      </c>
      <c r="E3873" t="inlineStr">
        <is>
          <t>HÄRJEDALEN</t>
        </is>
      </c>
      <c r="F3873" t="inlineStr">
        <is>
          <t>Holmen skog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67459-2020</t>
        </is>
      </c>
      <c r="B3874" s="1" t="n">
        <v>44181</v>
      </c>
      <c r="C3874" s="1" t="n">
        <v>45363</v>
      </c>
      <c r="D3874" t="inlineStr">
        <is>
          <t>JÄMTLANDS LÄN</t>
        </is>
      </c>
      <c r="E3874" t="inlineStr">
        <is>
          <t>HÄRJEDALEN</t>
        </is>
      </c>
      <c r="F3874" t="inlineStr">
        <is>
          <t>Holmen skog AB</t>
        </is>
      </c>
      <c r="G3874" t="n">
        <v>17.7</v>
      </c>
      <c r="H3874" t="n">
        <v>0</v>
      </c>
      <c r="I3874" t="n">
        <v>0</v>
      </c>
      <c r="J3874" t="n">
        <v>0</v>
      </c>
      <c r="K3874" t="n">
        <v>0</v>
      </c>
      <c r="L3874" t="n">
        <v>0</v>
      </c>
      <c r="M3874" t="n">
        <v>0</v>
      </c>
      <c r="N3874" t="n">
        <v>0</v>
      </c>
      <c r="O3874" t="n">
        <v>0</v>
      </c>
      <c r="P3874" t="n">
        <v>0</v>
      </c>
      <c r="Q3874" t="n">
        <v>0</v>
      </c>
      <c r="R3874" s="2" t="inlineStr"/>
    </row>
    <row r="3875" ht="15" customHeight="1">
      <c r="A3875" t="inlineStr">
        <is>
          <t>A 67529-2020</t>
        </is>
      </c>
      <c r="B3875" s="1" t="n">
        <v>44181</v>
      </c>
      <c r="C3875" s="1" t="n">
        <v>45363</v>
      </c>
      <c r="D3875" t="inlineStr">
        <is>
          <t>JÄMTLANDS LÄN</t>
        </is>
      </c>
      <c r="E3875" t="inlineStr">
        <is>
          <t>HÄRJEDALEN</t>
        </is>
      </c>
      <c r="F3875" t="inlineStr">
        <is>
          <t>Holmen skog AB</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67411-2020</t>
        </is>
      </c>
      <c r="B3876" s="1" t="n">
        <v>44181</v>
      </c>
      <c r="C3876" s="1" t="n">
        <v>45363</v>
      </c>
      <c r="D3876" t="inlineStr">
        <is>
          <t>JÄMTLANDS LÄN</t>
        </is>
      </c>
      <c r="E3876" t="inlineStr">
        <is>
          <t>HÄRJEDALEN</t>
        </is>
      </c>
      <c r="F3876" t="inlineStr">
        <is>
          <t>Holmen skog AB</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67438-2020</t>
        </is>
      </c>
      <c r="B3877" s="1" t="n">
        <v>44181</v>
      </c>
      <c r="C3877" s="1" t="n">
        <v>45363</v>
      </c>
      <c r="D3877" t="inlineStr">
        <is>
          <t>JÄMTLANDS LÄN</t>
        </is>
      </c>
      <c r="E3877" t="inlineStr">
        <is>
          <t>HÄRJEDALEN</t>
        </is>
      </c>
      <c r="F3877" t="inlineStr">
        <is>
          <t>Holmen skog AB</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67447-2020</t>
        </is>
      </c>
      <c r="B3878" s="1" t="n">
        <v>44181</v>
      </c>
      <c r="C3878" s="1" t="n">
        <v>45363</v>
      </c>
      <c r="D3878" t="inlineStr">
        <is>
          <t>JÄMTLANDS LÄN</t>
        </is>
      </c>
      <c r="E3878" t="inlineStr">
        <is>
          <t>HÄRJEDALEN</t>
        </is>
      </c>
      <c r="F3878" t="inlineStr">
        <is>
          <t>Holmen skog AB</t>
        </is>
      </c>
      <c r="G3878" t="n">
        <v>8.6</v>
      </c>
      <c r="H3878" t="n">
        <v>0</v>
      </c>
      <c r="I3878" t="n">
        <v>0</v>
      </c>
      <c r="J3878" t="n">
        <v>0</v>
      </c>
      <c r="K3878" t="n">
        <v>0</v>
      </c>
      <c r="L3878" t="n">
        <v>0</v>
      </c>
      <c r="M3878" t="n">
        <v>0</v>
      </c>
      <c r="N3878" t="n">
        <v>0</v>
      </c>
      <c r="O3878" t="n">
        <v>0</v>
      </c>
      <c r="P3878" t="n">
        <v>0</v>
      </c>
      <c r="Q3878" t="n">
        <v>0</v>
      </c>
      <c r="R3878" s="2" t="inlineStr"/>
    </row>
    <row r="3879" ht="15" customHeight="1">
      <c r="A3879" t="inlineStr">
        <is>
          <t>A 67454-2020</t>
        </is>
      </c>
      <c r="B3879" s="1" t="n">
        <v>44181</v>
      </c>
      <c r="C3879" s="1" t="n">
        <v>45363</v>
      </c>
      <c r="D3879" t="inlineStr">
        <is>
          <t>JÄMTLANDS LÄN</t>
        </is>
      </c>
      <c r="E3879" t="inlineStr">
        <is>
          <t>HÄRJEDALEN</t>
        </is>
      </c>
      <c r="F3879" t="inlineStr">
        <is>
          <t>Holmen skog AB</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67498-2020</t>
        </is>
      </c>
      <c r="B3880" s="1" t="n">
        <v>44181</v>
      </c>
      <c r="C3880" s="1" t="n">
        <v>45363</v>
      </c>
      <c r="D3880" t="inlineStr">
        <is>
          <t>JÄMTLANDS LÄN</t>
        </is>
      </c>
      <c r="E3880" t="inlineStr">
        <is>
          <t>HÄRJEDALEN</t>
        </is>
      </c>
      <c r="F3880" t="inlineStr">
        <is>
          <t>Holmen skog AB</t>
        </is>
      </c>
      <c r="G3880" t="n">
        <v>15.9</v>
      </c>
      <c r="H3880" t="n">
        <v>0</v>
      </c>
      <c r="I3880" t="n">
        <v>0</v>
      </c>
      <c r="J3880" t="n">
        <v>0</v>
      </c>
      <c r="K3880" t="n">
        <v>0</v>
      </c>
      <c r="L3880" t="n">
        <v>0</v>
      </c>
      <c r="M3880" t="n">
        <v>0</v>
      </c>
      <c r="N3880" t="n">
        <v>0</v>
      </c>
      <c r="O3880" t="n">
        <v>0</v>
      </c>
      <c r="P3880" t="n">
        <v>0</v>
      </c>
      <c r="Q3880" t="n">
        <v>0</v>
      </c>
      <c r="R3880" s="2" t="inlineStr"/>
    </row>
    <row r="3881" ht="15" customHeight="1">
      <c r="A3881" t="inlineStr">
        <is>
          <t>A 67507-2020</t>
        </is>
      </c>
      <c r="B3881" s="1" t="n">
        <v>44181</v>
      </c>
      <c r="C3881" s="1" t="n">
        <v>45363</v>
      </c>
      <c r="D3881" t="inlineStr">
        <is>
          <t>JÄMTLANDS LÄN</t>
        </is>
      </c>
      <c r="E3881" t="inlineStr">
        <is>
          <t>HÄRJEDALEN</t>
        </is>
      </c>
      <c r="F3881" t="inlineStr">
        <is>
          <t>Holmen skog AB</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67526-2020</t>
        </is>
      </c>
      <c r="B3882" s="1" t="n">
        <v>44181</v>
      </c>
      <c r="C3882" s="1" t="n">
        <v>45363</v>
      </c>
      <c r="D3882" t="inlineStr">
        <is>
          <t>JÄMTLANDS LÄN</t>
        </is>
      </c>
      <c r="E3882" t="inlineStr">
        <is>
          <t>HÄRJEDALEN</t>
        </is>
      </c>
      <c r="F3882" t="inlineStr">
        <is>
          <t>Holmen skog AB</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67620-2020</t>
        </is>
      </c>
      <c r="B3883" s="1" t="n">
        <v>44181</v>
      </c>
      <c r="C3883" s="1" t="n">
        <v>45363</v>
      </c>
      <c r="D3883" t="inlineStr">
        <is>
          <t>JÄMTLANDS LÄN</t>
        </is>
      </c>
      <c r="E3883" t="inlineStr">
        <is>
          <t>STRÖMSUND</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67581-2020</t>
        </is>
      </c>
      <c r="B3884" s="1" t="n">
        <v>44181</v>
      </c>
      <c r="C3884" s="1" t="n">
        <v>45363</v>
      </c>
      <c r="D3884" t="inlineStr">
        <is>
          <t>JÄMTLANDS LÄN</t>
        </is>
      </c>
      <c r="E3884" t="inlineStr">
        <is>
          <t>BRÄCKE</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67612-2020</t>
        </is>
      </c>
      <c r="B3885" s="1" t="n">
        <v>44181</v>
      </c>
      <c r="C3885" s="1" t="n">
        <v>45363</v>
      </c>
      <c r="D3885" t="inlineStr">
        <is>
          <t>JÄMTLANDS LÄN</t>
        </is>
      </c>
      <c r="E3885" t="inlineStr">
        <is>
          <t>BRÄCKE</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67621-2020</t>
        </is>
      </c>
      <c r="B3886" s="1" t="n">
        <v>44181</v>
      </c>
      <c r="C3886" s="1" t="n">
        <v>45363</v>
      </c>
      <c r="D3886" t="inlineStr">
        <is>
          <t>JÄMTLANDS LÄN</t>
        </is>
      </c>
      <c r="E3886" t="inlineStr">
        <is>
          <t>STRÖMSUND</t>
        </is>
      </c>
      <c r="F3886" t="inlineStr">
        <is>
          <t>SCA</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67613-2020</t>
        </is>
      </c>
      <c r="B3887" s="1" t="n">
        <v>44181</v>
      </c>
      <c r="C3887" s="1" t="n">
        <v>45363</v>
      </c>
      <c r="D3887" t="inlineStr">
        <is>
          <t>JÄMTLANDS LÄN</t>
        </is>
      </c>
      <c r="E3887" t="inlineStr">
        <is>
          <t>BRÄCKE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67622-2020</t>
        </is>
      </c>
      <c r="B3888" s="1" t="n">
        <v>44181</v>
      </c>
      <c r="C3888" s="1" t="n">
        <v>45363</v>
      </c>
      <c r="D3888" t="inlineStr">
        <is>
          <t>JÄMTLANDS LÄN</t>
        </is>
      </c>
      <c r="E3888" t="inlineStr">
        <is>
          <t>BRÄCKE</t>
        </is>
      </c>
      <c r="F3888" t="inlineStr">
        <is>
          <t>SCA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67409-2020</t>
        </is>
      </c>
      <c r="B3889" s="1" t="n">
        <v>44181</v>
      </c>
      <c r="C3889" s="1" t="n">
        <v>45363</v>
      </c>
      <c r="D3889" t="inlineStr">
        <is>
          <t>JÄMTLANDS LÄN</t>
        </is>
      </c>
      <c r="E3889" t="inlineStr">
        <is>
          <t>HÄRJEDALEN</t>
        </is>
      </c>
      <c r="F3889" t="inlineStr">
        <is>
          <t>Holmen skog AB</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67618-2020</t>
        </is>
      </c>
      <c r="B3890" s="1" t="n">
        <v>44181</v>
      </c>
      <c r="C3890" s="1" t="n">
        <v>45363</v>
      </c>
      <c r="D3890" t="inlineStr">
        <is>
          <t>JÄMTLANDS LÄN</t>
        </is>
      </c>
      <c r="E3890" t="inlineStr">
        <is>
          <t>STRÖMSUND</t>
        </is>
      </c>
      <c r="F3890" t="inlineStr">
        <is>
          <t>SCA</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67720-2020</t>
        </is>
      </c>
      <c r="B3891" s="1" t="n">
        <v>44182</v>
      </c>
      <c r="C3891" s="1" t="n">
        <v>45363</v>
      </c>
      <c r="D3891" t="inlineStr">
        <is>
          <t>JÄMTLANDS LÄN</t>
        </is>
      </c>
      <c r="E3891" t="inlineStr">
        <is>
          <t>HÄRJEDALEN</t>
        </is>
      </c>
      <c r="F3891" t="inlineStr">
        <is>
          <t>Holmen skog AB</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67697-2020</t>
        </is>
      </c>
      <c r="B3892" s="1" t="n">
        <v>44182</v>
      </c>
      <c r="C3892" s="1" t="n">
        <v>45363</v>
      </c>
      <c r="D3892" t="inlineStr">
        <is>
          <t>JÄMTLANDS LÄN</t>
        </is>
      </c>
      <c r="E3892" t="inlineStr">
        <is>
          <t>HÄRJEDALEN</t>
        </is>
      </c>
      <c r="F3892" t="inlineStr">
        <is>
          <t>Holmen skog AB</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67714-2020</t>
        </is>
      </c>
      <c r="B3893" s="1" t="n">
        <v>44182</v>
      </c>
      <c r="C3893" s="1" t="n">
        <v>45363</v>
      </c>
      <c r="D3893" t="inlineStr">
        <is>
          <t>JÄMTLANDS LÄN</t>
        </is>
      </c>
      <c r="E3893" t="inlineStr">
        <is>
          <t>HÄRJEDALEN</t>
        </is>
      </c>
      <c r="F3893" t="inlineStr">
        <is>
          <t>Holmen skog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67821-2020</t>
        </is>
      </c>
      <c r="B3894" s="1" t="n">
        <v>44182</v>
      </c>
      <c r="C3894" s="1" t="n">
        <v>45363</v>
      </c>
      <c r="D3894" t="inlineStr">
        <is>
          <t>JÄMTLANDS LÄN</t>
        </is>
      </c>
      <c r="E3894" t="inlineStr">
        <is>
          <t>HÄRJEDALEN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67972-2020</t>
        </is>
      </c>
      <c r="B3895" s="1" t="n">
        <v>44182</v>
      </c>
      <c r="C3895" s="1" t="n">
        <v>45363</v>
      </c>
      <c r="D3895" t="inlineStr">
        <is>
          <t>JÄMTLANDS LÄN</t>
        </is>
      </c>
      <c r="E3895" t="inlineStr">
        <is>
          <t>ÅRE</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68006-2020</t>
        </is>
      </c>
      <c r="B3896" s="1" t="n">
        <v>44182</v>
      </c>
      <c r="C3896" s="1" t="n">
        <v>45363</v>
      </c>
      <c r="D3896" t="inlineStr">
        <is>
          <t>JÄMTLANDS LÄN</t>
        </is>
      </c>
      <c r="E3896" t="inlineStr">
        <is>
          <t>STRÖMSUND</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68060-2020</t>
        </is>
      </c>
      <c r="B3897" s="1" t="n">
        <v>44183</v>
      </c>
      <c r="C3897" s="1" t="n">
        <v>45363</v>
      </c>
      <c r="D3897" t="inlineStr">
        <is>
          <t>JÄMTLANDS LÄN</t>
        </is>
      </c>
      <c r="E3897" t="inlineStr">
        <is>
          <t>KROKOM</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68387-2020</t>
        </is>
      </c>
      <c r="B3898" s="1" t="n">
        <v>44183</v>
      </c>
      <c r="C3898" s="1" t="n">
        <v>45363</v>
      </c>
      <c r="D3898" t="inlineStr">
        <is>
          <t>JÄMTLANDS LÄN</t>
        </is>
      </c>
      <c r="E3898" t="inlineStr">
        <is>
          <t>KROKOM</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68141-2020</t>
        </is>
      </c>
      <c r="B3899" s="1" t="n">
        <v>44183</v>
      </c>
      <c r="C3899" s="1" t="n">
        <v>45363</v>
      </c>
      <c r="D3899" t="inlineStr">
        <is>
          <t>JÄMTLANDS LÄN</t>
        </is>
      </c>
      <c r="E3899" t="inlineStr">
        <is>
          <t>HÄRJEDALEN</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68393-2020</t>
        </is>
      </c>
      <c r="B3900" s="1" t="n">
        <v>44183</v>
      </c>
      <c r="C3900" s="1" t="n">
        <v>45363</v>
      </c>
      <c r="D3900" t="inlineStr">
        <is>
          <t>JÄMTLANDS LÄN</t>
        </is>
      </c>
      <c r="E3900" t="inlineStr">
        <is>
          <t>KROKOM</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68433-2020</t>
        </is>
      </c>
      <c r="B3901" s="1" t="n">
        <v>44183</v>
      </c>
      <c r="C3901" s="1" t="n">
        <v>45363</v>
      </c>
      <c r="D3901" t="inlineStr">
        <is>
          <t>JÄMTLANDS LÄN</t>
        </is>
      </c>
      <c r="E3901" t="inlineStr">
        <is>
          <t>KROKOM</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68395-2020</t>
        </is>
      </c>
      <c r="B3902" s="1" t="n">
        <v>44183</v>
      </c>
      <c r="C3902" s="1" t="n">
        <v>45363</v>
      </c>
      <c r="D3902" t="inlineStr">
        <is>
          <t>JÄMTLANDS LÄN</t>
        </is>
      </c>
      <c r="E3902" t="inlineStr">
        <is>
          <t>KROKOM</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68408-2020</t>
        </is>
      </c>
      <c r="B3903" s="1" t="n">
        <v>44186</v>
      </c>
      <c r="C3903" s="1" t="n">
        <v>45363</v>
      </c>
      <c r="D3903" t="inlineStr">
        <is>
          <t>JÄMTLANDS LÄN</t>
        </is>
      </c>
      <c r="E3903" t="inlineStr">
        <is>
          <t>ÖSTERSUND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68362-2020</t>
        </is>
      </c>
      <c r="B3904" s="1" t="n">
        <v>44186</v>
      </c>
      <c r="C3904" s="1" t="n">
        <v>45363</v>
      </c>
      <c r="D3904" t="inlineStr">
        <is>
          <t>JÄMTLANDS LÄN</t>
        </is>
      </c>
      <c r="E3904" t="inlineStr">
        <is>
          <t>BRÄCKE</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68522-2020</t>
        </is>
      </c>
      <c r="B3905" s="1" t="n">
        <v>44186</v>
      </c>
      <c r="C3905" s="1" t="n">
        <v>45363</v>
      </c>
      <c r="D3905" t="inlineStr">
        <is>
          <t>JÄMTLANDS LÄN</t>
        </is>
      </c>
      <c r="E3905" t="inlineStr">
        <is>
          <t>STRÖMSUND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68545-2020</t>
        </is>
      </c>
      <c r="B3906" s="1" t="n">
        <v>44186</v>
      </c>
      <c r="C3906" s="1" t="n">
        <v>45363</v>
      </c>
      <c r="D3906" t="inlineStr">
        <is>
          <t>JÄMTLANDS LÄN</t>
        </is>
      </c>
      <c r="E3906" t="inlineStr">
        <is>
          <t>ÅRE</t>
        </is>
      </c>
      <c r="G3906" t="n">
        <v>8.699999999999999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68537-2020</t>
        </is>
      </c>
      <c r="B3907" s="1" t="n">
        <v>44186</v>
      </c>
      <c r="C3907" s="1" t="n">
        <v>45363</v>
      </c>
      <c r="D3907" t="inlineStr">
        <is>
          <t>JÄMTLANDS LÄN</t>
        </is>
      </c>
      <c r="E3907" t="inlineStr">
        <is>
          <t>ÅRE</t>
        </is>
      </c>
      <c r="G3907" t="n">
        <v>9.800000000000001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68518-2020</t>
        </is>
      </c>
      <c r="B3908" s="1" t="n">
        <v>44186</v>
      </c>
      <c r="C3908" s="1" t="n">
        <v>45363</v>
      </c>
      <c r="D3908" t="inlineStr">
        <is>
          <t>JÄMTLANDS LÄN</t>
        </is>
      </c>
      <c r="E3908" t="inlineStr">
        <is>
          <t>ÅRE</t>
        </is>
      </c>
      <c r="G3908" t="n">
        <v>9.300000000000001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68568-2020</t>
        </is>
      </c>
      <c r="B3909" s="1" t="n">
        <v>44186</v>
      </c>
      <c r="C3909" s="1" t="n">
        <v>45363</v>
      </c>
      <c r="D3909" t="inlineStr">
        <is>
          <t>JÄMTLANDS LÄN</t>
        </is>
      </c>
      <c r="E3909" t="inlineStr">
        <is>
          <t>STRÖMSUND</t>
        </is>
      </c>
      <c r="F3909" t="inlineStr">
        <is>
          <t>Holmen skog AB</t>
        </is>
      </c>
      <c r="G3909" t="n">
        <v>39.3</v>
      </c>
      <c r="H3909" t="n">
        <v>0</v>
      </c>
      <c r="I3909" t="n">
        <v>0</v>
      </c>
      <c r="J3909" t="n">
        <v>0</v>
      </c>
      <c r="K3909" t="n">
        <v>0</v>
      </c>
      <c r="L3909" t="n">
        <v>0</v>
      </c>
      <c r="M3909" t="n">
        <v>0</v>
      </c>
      <c r="N3909" t="n">
        <v>0</v>
      </c>
      <c r="O3909" t="n">
        <v>0</v>
      </c>
      <c r="P3909" t="n">
        <v>0</v>
      </c>
      <c r="Q3909" t="n">
        <v>0</v>
      </c>
      <c r="R3909" s="2" t="inlineStr"/>
    </row>
    <row r="3910" ht="15" customHeight="1">
      <c r="A3910" t="inlineStr">
        <is>
          <t>A 68594-2020</t>
        </is>
      </c>
      <c r="B3910" s="1" t="n">
        <v>44186</v>
      </c>
      <c r="C3910" s="1" t="n">
        <v>45363</v>
      </c>
      <c r="D3910" t="inlineStr">
        <is>
          <t>JÄMTLANDS LÄN</t>
        </is>
      </c>
      <c r="E3910" t="inlineStr">
        <is>
          <t>ÅRE</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68783-2020</t>
        </is>
      </c>
      <c r="B3911" s="1" t="n">
        <v>44186</v>
      </c>
      <c r="C3911" s="1" t="n">
        <v>45363</v>
      </c>
      <c r="D3911" t="inlineStr">
        <is>
          <t>JÄMTLANDS LÄN</t>
        </is>
      </c>
      <c r="E3911" t="inlineStr">
        <is>
          <t>STRÖMSUND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68658-2020</t>
        </is>
      </c>
      <c r="B3912" s="1" t="n">
        <v>44186</v>
      </c>
      <c r="C3912" s="1" t="n">
        <v>45363</v>
      </c>
      <c r="D3912" t="inlineStr">
        <is>
          <t>JÄMTLANDS LÄN</t>
        </is>
      </c>
      <c r="E3912" t="inlineStr">
        <is>
          <t>KROKOM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68653-2020</t>
        </is>
      </c>
      <c r="B3913" s="1" t="n">
        <v>44186</v>
      </c>
      <c r="C3913" s="1" t="n">
        <v>45363</v>
      </c>
      <c r="D3913" t="inlineStr">
        <is>
          <t>JÄMTLANDS LÄN</t>
        </is>
      </c>
      <c r="E3913" t="inlineStr">
        <is>
          <t>STRÖMSUND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68764-2020</t>
        </is>
      </c>
      <c r="B3914" s="1" t="n">
        <v>44186</v>
      </c>
      <c r="C3914" s="1" t="n">
        <v>45363</v>
      </c>
      <c r="D3914" t="inlineStr">
        <is>
          <t>JÄMTLANDS LÄN</t>
        </is>
      </c>
      <c r="E3914" t="inlineStr">
        <is>
          <t>KROKOM</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68770-2020</t>
        </is>
      </c>
      <c r="B3915" s="1" t="n">
        <v>44187</v>
      </c>
      <c r="C3915" s="1" t="n">
        <v>45363</v>
      </c>
      <c r="D3915" t="inlineStr">
        <is>
          <t>JÄMTLANDS LÄN</t>
        </is>
      </c>
      <c r="E3915" t="inlineStr">
        <is>
          <t>BERG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68896-2020</t>
        </is>
      </c>
      <c r="B3916" s="1" t="n">
        <v>44187</v>
      </c>
      <c r="C3916" s="1" t="n">
        <v>45363</v>
      </c>
      <c r="D3916" t="inlineStr">
        <is>
          <t>JÄMTLANDS LÄN</t>
        </is>
      </c>
      <c r="E3916" t="inlineStr">
        <is>
          <t>BERG</t>
        </is>
      </c>
      <c r="G3916" t="n">
        <v>9.6</v>
      </c>
      <c r="H3916" t="n">
        <v>0</v>
      </c>
      <c r="I3916" t="n">
        <v>0</v>
      </c>
      <c r="J3916" t="n">
        <v>0</v>
      </c>
      <c r="K3916" t="n">
        <v>0</v>
      </c>
      <c r="L3916" t="n">
        <v>0</v>
      </c>
      <c r="M3916" t="n">
        <v>0</v>
      </c>
      <c r="N3916" t="n">
        <v>0</v>
      </c>
      <c r="O3916" t="n">
        <v>0</v>
      </c>
      <c r="P3916" t="n">
        <v>0</v>
      </c>
      <c r="Q3916" t="n">
        <v>0</v>
      </c>
      <c r="R3916" s="2" t="inlineStr"/>
    </row>
    <row r="3917" ht="15" customHeight="1">
      <c r="A3917" t="inlineStr">
        <is>
          <t>A 68937-2020</t>
        </is>
      </c>
      <c r="B3917" s="1" t="n">
        <v>44187</v>
      </c>
      <c r="C3917" s="1" t="n">
        <v>45363</v>
      </c>
      <c r="D3917" t="inlineStr">
        <is>
          <t>JÄMTLANDS LÄN</t>
        </is>
      </c>
      <c r="E3917" t="inlineStr">
        <is>
          <t>ÖSTERSUND</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68968-2020</t>
        </is>
      </c>
      <c r="B3918" s="1" t="n">
        <v>44187</v>
      </c>
      <c r="C3918" s="1" t="n">
        <v>45363</v>
      </c>
      <c r="D3918" t="inlineStr">
        <is>
          <t>JÄMTLANDS LÄN</t>
        </is>
      </c>
      <c r="E3918" t="inlineStr">
        <is>
          <t>BRÄCKE</t>
        </is>
      </c>
      <c r="G3918" t="n">
        <v>14.2</v>
      </c>
      <c r="H3918" t="n">
        <v>0</v>
      </c>
      <c r="I3918" t="n">
        <v>0</v>
      </c>
      <c r="J3918" t="n">
        <v>0</v>
      </c>
      <c r="K3918" t="n">
        <v>0</v>
      </c>
      <c r="L3918" t="n">
        <v>0</v>
      </c>
      <c r="M3918" t="n">
        <v>0</v>
      </c>
      <c r="N3918" t="n">
        <v>0</v>
      </c>
      <c r="O3918" t="n">
        <v>0</v>
      </c>
      <c r="P3918" t="n">
        <v>0</v>
      </c>
      <c r="Q3918" t="n">
        <v>0</v>
      </c>
      <c r="R3918" s="2" t="inlineStr"/>
    </row>
    <row r="3919" ht="15" customHeight="1">
      <c r="A3919" t="inlineStr">
        <is>
          <t>A 69108-2020</t>
        </is>
      </c>
      <c r="B3919" s="1" t="n">
        <v>44188</v>
      </c>
      <c r="C3919" s="1" t="n">
        <v>45363</v>
      </c>
      <c r="D3919" t="inlineStr">
        <is>
          <t>JÄMTLANDS LÄN</t>
        </is>
      </c>
      <c r="E3919" t="inlineStr">
        <is>
          <t>HÄRJEDALEN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69168-2020</t>
        </is>
      </c>
      <c r="B3920" s="1" t="n">
        <v>44188</v>
      </c>
      <c r="C3920" s="1" t="n">
        <v>45363</v>
      </c>
      <c r="D3920" t="inlineStr">
        <is>
          <t>JÄMTLANDS LÄN</t>
        </is>
      </c>
      <c r="E3920" t="inlineStr">
        <is>
          <t>HÄRJEDALEN</t>
        </is>
      </c>
      <c r="F3920" t="inlineStr">
        <is>
          <t>Sveaskog</t>
        </is>
      </c>
      <c r="G3920" t="n">
        <v>20</v>
      </c>
      <c r="H3920" t="n">
        <v>0</v>
      </c>
      <c r="I3920" t="n">
        <v>0</v>
      </c>
      <c r="J3920" t="n">
        <v>0</v>
      </c>
      <c r="K3920" t="n">
        <v>0</v>
      </c>
      <c r="L3920" t="n">
        <v>0</v>
      </c>
      <c r="M3920" t="n">
        <v>0</v>
      </c>
      <c r="N3920" t="n">
        <v>0</v>
      </c>
      <c r="O3920" t="n">
        <v>0</v>
      </c>
      <c r="P3920" t="n">
        <v>0</v>
      </c>
      <c r="Q3920" t="n">
        <v>0</v>
      </c>
      <c r="R3920" s="2" t="inlineStr"/>
    </row>
    <row r="3921" ht="15" customHeight="1">
      <c r="A3921" t="inlineStr">
        <is>
          <t>A 69120-2020</t>
        </is>
      </c>
      <c r="B3921" s="1" t="n">
        <v>44188</v>
      </c>
      <c r="C3921" s="1" t="n">
        <v>45363</v>
      </c>
      <c r="D3921" t="inlineStr">
        <is>
          <t>JÄMTLANDS LÄN</t>
        </is>
      </c>
      <c r="E3921" t="inlineStr">
        <is>
          <t>KROKOM</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69101-2020</t>
        </is>
      </c>
      <c r="B3922" s="1" t="n">
        <v>44188</v>
      </c>
      <c r="C3922" s="1" t="n">
        <v>45363</v>
      </c>
      <c r="D3922" t="inlineStr">
        <is>
          <t>JÄMTLANDS LÄN</t>
        </is>
      </c>
      <c r="E3922" t="inlineStr">
        <is>
          <t>HÄRJEDALEN</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69174-2020</t>
        </is>
      </c>
      <c r="B3923" s="1" t="n">
        <v>44188</v>
      </c>
      <c r="C3923" s="1" t="n">
        <v>45363</v>
      </c>
      <c r="D3923" t="inlineStr">
        <is>
          <t>JÄMTLANDS LÄN</t>
        </is>
      </c>
      <c r="E3923" t="inlineStr">
        <is>
          <t>RAGUNDA</t>
        </is>
      </c>
      <c r="F3923" t="inlineStr">
        <is>
          <t>SCA</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69282-2020</t>
        </is>
      </c>
      <c r="B3924" s="1" t="n">
        <v>44188</v>
      </c>
      <c r="C3924" s="1" t="n">
        <v>45363</v>
      </c>
      <c r="D3924" t="inlineStr">
        <is>
          <t>JÄMTLANDS LÄN</t>
        </is>
      </c>
      <c r="E3924" t="inlineStr">
        <is>
          <t>STRÖMSUND</t>
        </is>
      </c>
      <c r="G3924" t="n">
        <v>13.8</v>
      </c>
      <c r="H3924" t="n">
        <v>0</v>
      </c>
      <c r="I3924" t="n">
        <v>0</v>
      </c>
      <c r="J3924" t="n">
        <v>0</v>
      </c>
      <c r="K3924" t="n">
        <v>0</v>
      </c>
      <c r="L3924" t="n">
        <v>0</v>
      </c>
      <c r="M3924" t="n">
        <v>0</v>
      </c>
      <c r="N3924" t="n">
        <v>0</v>
      </c>
      <c r="O3924" t="n">
        <v>0</v>
      </c>
      <c r="P3924" t="n">
        <v>0</v>
      </c>
      <c r="Q3924" t="n">
        <v>0</v>
      </c>
      <c r="R3924" s="2" t="inlineStr"/>
    </row>
    <row r="3925" ht="15" customHeight="1">
      <c r="A3925" t="inlineStr">
        <is>
          <t>A 69346-2020</t>
        </is>
      </c>
      <c r="B3925" s="1" t="n">
        <v>44193</v>
      </c>
      <c r="C3925" s="1" t="n">
        <v>45363</v>
      </c>
      <c r="D3925" t="inlineStr">
        <is>
          <t>JÄMTLANDS LÄN</t>
        </is>
      </c>
      <c r="E3925" t="inlineStr">
        <is>
          <t>STRÖMSUND</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69508-2020</t>
        </is>
      </c>
      <c r="B3926" s="1" t="n">
        <v>44193</v>
      </c>
      <c r="C3926" s="1" t="n">
        <v>45363</v>
      </c>
      <c r="D3926" t="inlineStr">
        <is>
          <t>JÄMTLANDS LÄN</t>
        </is>
      </c>
      <c r="E3926" t="inlineStr">
        <is>
          <t>STRÖMSUND</t>
        </is>
      </c>
      <c r="F3926" t="inlineStr">
        <is>
          <t>Övriga statliga verk och myndigheter</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69506-2020</t>
        </is>
      </c>
      <c r="B3927" s="1" t="n">
        <v>44193</v>
      </c>
      <c r="C3927" s="1" t="n">
        <v>45363</v>
      </c>
      <c r="D3927" t="inlineStr">
        <is>
          <t>JÄMTLANDS LÄN</t>
        </is>
      </c>
      <c r="E3927" t="inlineStr">
        <is>
          <t>STRÖMSUND</t>
        </is>
      </c>
      <c r="F3927" t="inlineStr">
        <is>
          <t>Övriga statliga verk och myndigheter</t>
        </is>
      </c>
      <c r="G3927" t="n">
        <v>14.1</v>
      </c>
      <c r="H3927" t="n">
        <v>0</v>
      </c>
      <c r="I3927" t="n">
        <v>0</v>
      </c>
      <c r="J3927" t="n">
        <v>0</v>
      </c>
      <c r="K3927" t="n">
        <v>0</v>
      </c>
      <c r="L3927" t="n">
        <v>0</v>
      </c>
      <c r="M3927" t="n">
        <v>0</v>
      </c>
      <c r="N3927" t="n">
        <v>0</v>
      </c>
      <c r="O3927" t="n">
        <v>0</v>
      </c>
      <c r="P3927" t="n">
        <v>0</v>
      </c>
      <c r="Q3927" t="n">
        <v>0</v>
      </c>
      <c r="R3927" s="2" t="inlineStr"/>
    </row>
    <row r="3928" ht="15" customHeight="1">
      <c r="A3928" t="inlineStr">
        <is>
          <t>A 69481-2020</t>
        </is>
      </c>
      <c r="B3928" s="1" t="n">
        <v>44194</v>
      </c>
      <c r="C3928" s="1" t="n">
        <v>45363</v>
      </c>
      <c r="D3928" t="inlineStr">
        <is>
          <t>JÄMTLANDS LÄN</t>
        </is>
      </c>
      <c r="E3928" t="inlineStr">
        <is>
          <t>RAGUNDA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69618-2020</t>
        </is>
      </c>
      <c r="B3929" s="1" t="n">
        <v>44195</v>
      </c>
      <c r="C3929" s="1" t="n">
        <v>45363</v>
      </c>
      <c r="D3929" t="inlineStr">
        <is>
          <t>JÄMTLANDS LÄN</t>
        </is>
      </c>
      <c r="E3929" t="inlineStr">
        <is>
          <t>RAGUNDA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108-2021</t>
        </is>
      </c>
      <c r="B3930" s="1" t="n">
        <v>44195</v>
      </c>
      <c r="C3930" s="1" t="n">
        <v>45363</v>
      </c>
      <c r="D3930" t="inlineStr">
        <is>
          <t>JÄMTLANDS LÄN</t>
        </is>
      </c>
      <c r="E3930" t="inlineStr">
        <is>
          <t>STRÖMSUND</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135-2021</t>
        </is>
      </c>
      <c r="B3931" s="1" t="n">
        <v>44196</v>
      </c>
      <c r="C3931" s="1" t="n">
        <v>45363</v>
      </c>
      <c r="D3931" t="inlineStr">
        <is>
          <t>JÄMTLANDS LÄN</t>
        </is>
      </c>
      <c r="E3931" t="inlineStr">
        <is>
          <t>STRÖMSUND</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142-2021</t>
        </is>
      </c>
      <c r="B3932" s="1" t="n">
        <v>44196</v>
      </c>
      <c r="C3932" s="1" t="n">
        <v>45363</v>
      </c>
      <c r="D3932" t="inlineStr">
        <is>
          <t>JÄMTLANDS LÄN</t>
        </is>
      </c>
      <c r="E3932" t="inlineStr">
        <is>
          <t>STRÖMSUND</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138-2021</t>
        </is>
      </c>
      <c r="B3933" s="1" t="n">
        <v>44196</v>
      </c>
      <c r="C3933" s="1" t="n">
        <v>45363</v>
      </c>
      <c r="D3933" t="inlineStr">
        <is>
          <t>JÄMTLANDS LÄN</t>
        </is>
      </c>
      <c r="E3933" t="inlineStr">
        <is>
          <t>STRÖMSUND</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126-2021</t>
        </is>
      </c>
      <c r="B3934" s="1" t="n">
        <v>44200</v>
      </c>
      <c r="C3934" s="1" t="n">
        <v>45363</v>
      </c>
      <c r="D3934" t="inlineStr">
        <is>
          <t>JÄMTLANDS LÄN</t>
        </is>
      </c>
      <c r="E3934" t="inlineStr">
        <is>
          <t>ÖSTERSUND</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327-2021</t>
        </is>
      </c>
      <c r="B3935" s="1" t="n">
        <v>44200</v>
      </c>
      <c r="C3935" s="1" t="n">
        <v>45363</v>
      </c>
      <c r="D3935" t="inlineStr">
        <is>
          <t>JÄMTLANDS LÄN</t>
        </is>
      </c>
      <c r="E3935" t="inlineStr">
        <is>
          <t>KROKOM</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501-2021</t>
        </is>
      </c>
      <c r="B3936" s="1" t="n">
        <v>44200</v>
      </c>
      <c r="C3936" s="1" t="n">
        <v>45363</v>
      </c>
      <c r="D3936" t="inlineStr">
        <is>
          <t>JÄMTLANDS LÄN</t>
        </is>
      </c>
      <c r="E3936" t="inlineStr">
        <is>
          <t>ÖSTERSUND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326-2021</t>
        </is>
      </c>
      <c r="B3937" s="1" t="n">
        <v>44201</v>
      </c>
      <c r="C3937" s="1" t="n">
        <v>45363</v>
      </c>
      <c r="D3937" t="inlineStr">
        <is>
          <t>JÄMTLANDS LÄN</t>
        </is>
      </c>
      <c r="E3937" t="inlineStr">
        <is>
          <t>STRÖMSUND</t>
        </is>
      </c>
      <c r="F3937" t="inlineStr">
        <is>
          <t>SCA</t>
        </is>
      </c>
      <c r="G3937" t="n">
        <v>88.09999999999999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575-2021</t>
        </is>
      </c>
      <c r="B3938" s="1" t="n">
        <v>44201</v>
      </c>
      <c r="C3938" s="1" t="n">
        <v>45363</v>
      </c>
      <c r="D3938" t="inlineStr">
        <is>
          <t>JÄMTLANDS LÄN</t>
        </is>
      </c>
      <c r="E3938" t="inlineStr">
        <is>
          <t>STRÖMSUND</t>
        </is>
      </c>
      <c r="G3938" t="n">
        <v>32.5</v>
      </c>
      <c r="H3938" t="n">
        <v>0</v>
      </c>
      <c r="I3938" t="n">
        <v>0</v>
      </c>
      <c r="J3938" t="n">
        <v>0</v>
      </c>
      <c r="K3938" t="n">
        <v>0</v>
      </c>
      <c r="L3938" t="n">
        <v>0</v>
      </c>
      <c r="M3938" t="n">
        <v>0</v>
      </c>
      <c r="N3938" t="n">
        <v>0</v>
      </c>
      <c r="O3938" t="n">
        <v>0</v>
      </c>
      <c r="P3938" t="n">
        <v>0</v>
      </c>
      <c r="Q3938" t="n">
        <v>0</v>
      </c>
      <c r="R3938" s="2" t="inlineStr"/>
    </row>
    <row r="3939" ht="15" customHeight="1">
      <c r="A3939" t="inlineStr">
        <is>
          <t>A 363-2021</t>
        </is>
      </c>
      <c r="B3939" s="1" t="n">
        <v>44201</v>
      </c>
      <c r="C3939" s="1" t="n">
        <v>45363</v>
      </c>
      <c r="D3939" t="inlineStr">
        <is>
          <t>JÄMTLANDS LÄN</t>
        </is>
      </c>
      <c r="E3939" t="inlineStr">
        <is>
          <t>STRÖMSUND</t>
        </is>
      </c>
      <c r="F3939" t="inlineStr">
        <is>
          <t>SCA</t>
        </is>
      </c>
      <c r="G3939" t="n">
        <v>52.4</v>
      </c>
      <c r="H3939" t="n">
        <v>0</v>
      </c>
      <c r="I3939" t="n">
        <v>0</v>
      </c>
      <c r="J3939" t="n">
        <v>0</v>
      </c>
      <c r="K3939" t="n">
        <v>0</v>
      </c>
      <c r="L3939" t="n">
        <v>0</v>
      </c>
      <c r="M3939" t="n">
        <v>0</v>
      </c>
      <c r="N3939" t="n">
        <v>0</v>
      </c>
      <c r="O3939" t="n">
        <v>0</v>
      </c>
      <c r="P3939" t="n">
        <v>0</v>
      </c>
      <c r="Q3939" t="n">
        <v>0</v>
      </c>
      <c r="R3939" s="2" t="inlineStr"/>
    </row>
    <row r="3940" ht="15" customHeight="1">
      <c r="A3940" t="inlineStr">
        <is>
          <t>A 592-2021</t>
        </is>
      </c>
      <c r="B3940" s="1" t="n">
        <v>44201</v>
      </c>
      <c r="C3940" s="1" t="n">
        <v>45363</v>
      </c>
      <c r="D3940" t="inlineStr">
        <is>
          <t>JÄMTLANDS LÄN</t>
        </is>
      </c>
      <c r="E3940" t="inlineStr">
        <is>
          <t>BERG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457-2021</t>
        </is>
      </c>
      <c r="B3941" s="1" t="n">
        <v>44202</v>
      </c>
      <c r="C3941" s="1" t="n">
        <v>45363</v>
      </c>
      <c r="D3941" t="inlineStr">
        <is>
          <t>JÄMTLANDS LÄN</t>
        </is>
      </c>
      <c r="E3941" t="inlineStr">
        <is>
          <t>STRÖMSUND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688-2021</t>
        </is>
      </c>
      <c r="B3942" s="1" t="n">
        <v>44203</v>
      </c>
      <c r="C3942" s="1" t="n">
        <v>45363</v>
      </c>
      <c r="D3942" t="inlineStr">
        <is>
          <t>JÄMTLANDS LÄN</t>
        </is>
      </c>
      <c r="E3942" t="inlineStr">
        <is>
          <t>KROKOM</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702-2021</t>
        </is>
      </c>
      <c r="B3943" s="1" t="n">
        <v>44203</v>
      </c>
      <c r="C3943" s="1" t="n">
        <v>45363</v>
      </c>
      <c r="D3943" t="inlineStr">
        <is>
          <t>JÄMTLANDS LÄN</t>
        </is>
      </c>
      <c r="E3943" t="inlineStr">
        <is>
          <t>BERG</t>
        </is>
      </c>
      <c r="F3943" t="inlineStr">
        <is>
          <t>SCA</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582-2021</t>
        </is>
      </c>
      <c r="B3944" s="1" t="n">
        <v>44203</v>
      </c>
      <c r="C3944" s="1" t="n">
        <v>45363</v>
      </c>
      <c r="D3944" t="inlineStr">
        <is>
          <t>JÄMTLANDS LÄN</t>
        </is>
      </c>
      <c r="E3944" t="inlineStr">
        <is>
          <t>STRÖMSUND</t>
        </is>
      </c>
      <c r="F3944" t="inlineStr">
        <is>
          <t>SCA</t>
        </is>
      </c>
      <c r="G3944" t="n">
        <v>54.9</v>
      </c>
      <c r="H3944" t="n">
        <v>0</v>
      </c>
      <c r="I3944" t="n">
        <v>0</v>
      </c>
      <c r="J3944" t="n">
        <v>0</v>
      </c>
      <c r="K3944" t="n">
        <v>0</v>
      </c>
      <c r="L3944" t="n">
        <v>0</v>
      </c>
      <c r="M3944" t="n">
        <v>0</v>
      </c>
      <c r="N3944" t="n">
        <v>0</v>
      </c>
      <c r="O3944" t="n">
        <v>0</v>
      </c>
      <c r="P3944" t="n">
        <v>0</v>
      </c>
      <c r="Q3944" t="n">
        <v>0</v>
      </c>
      <c r="R3944" s="2" t="inlineStr"/>
    </row>
    <row r="3945" ht="15" customHeight="1">
      <c r="A3945" t="inlineStr">
        <is>
          <t>A 692-2021</t>
        </is>
      </c>
      <c r="B3945" s="1" t="n">
        <v>44203</v>
      </c>
      <c r="C3945" s="1" t="n">
        <v>45363</v>
      </c>
      <c r="D3945" t="inlineStr">
        <is>
          <t>JÄMTLANDS LÄN</t>
        </is>
      </c>
      <c r="E3945" t="inlineStr">
        <is>
          <t>BERG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647-2021</t>
        </is>
      </c>
      <c r="B3946" s="1" t="n">
        <v>44203</v>
      </c>
      <c r="C3946" s="1" t="n">
        <v>45363</v>
      </c>
      <c r="D3946" t="inlineStr">
        <is>
          <t>JÄMTLANDS LÄN</t>
        </is>
      </c>
      <c r="E3946" t="inlineStr">
        <is>
          <t>STRÖMSUND</t>
        </is>
      </c>
      <c r="F3946" t="inlineStr">
        <is>
          <t>SCA</t>
        </is>
      </c>
      <c r="G3946" t="n">
        <v>151.3</v>
      </c>
      <c r="H3946" t="n">
        <v>0</v>
      </c>
      <c r="I3946" t="n">
        <v>0</v>
      </c>
      <c r="J3946" t="n">
        <v>0</v>
      </c>
      <c r="K3946" t="n">
        <v>0</v>
      </c>
      <c r="L3946" t="n">
        <v>0</v>
      </c>
      <c r="M3946" t="n">
        <v>0</v>
      </c>
      <c r="N3946" t="n">
        <v>0</v>
      </c>
      <c r="O3946" t="n">
        <v>0</v>
      </c>
      <c r="P3946" t="n">
        <v>0</v>
      </c>
      <c r="Q3946" t="n">
        <v>0</v>
      </c>
      <c r="R3946" s="2" t="inlineStr"/>
    </row>
    <row r="3947" ht="15" customHeight="1">
      <c r="A3947" t="inlineStr">
        <is>
          <t>A 742-2021</t>
        </is>
      </c>
      <c r="B3947" s="1" t="n">
        <v>44204</v>
      </c>
      <c r="C3947" s="1" t="n">
        <v>45363</v>
      </c>
      <c r="D3947" t="inlineStr">
        <is>
          <t>JÄMTLANDS LÄN</t>
        </is>
      </c>
      <c r="E3947" t="inlineStr">
        <is>
          <t>STRÖMSUND</t>
        </is>
      </c>
      <c r="F3947" t="inlineStr">
        <is>
          <t>SCA</t>
        </is>
      </c>
      <c r="G3947" t="n">
        <v>22.8</v>
      </c>
      <c r="H3947" t="n">
        <v>0</v>
      </c>
      <c r="I3947" t="n">
        <v>0</v>
      </c>
      <c r="J3947" t="n">
        <v>0</v>
      </c>
      <c r="K3947" t="n">
        <v>0</v>
      </c>
      <c r="L3947" t="n">
        <v>0</v>
      </c>
      <c r="M3947" t="n">
        <v>0</v>
      </c>
      <c r="N3947" t="n">
        <v>0</v>
      </c>
      <c r="O3947" t="n">
        <v>0</v>
      </c>
      <c r="P3947" t="n">
        <v>0</v>
      </c>
      <c r="Q3947" t="n">
        <v>0</v>
      </c>
      <c r="R3947" s="2" t="inlineStr"/>
    </row>
    <row r="3948" ht="15" customHeight="1">
      <c r="A3948" t="inlineStr">
        <is>
          <t>A 884-2021</t>
        </is>
      </c>
      <c r="B3948" s="1" t="n">
        <v>44206</v>
      </c>
      <c r="C3948" s="1" t="n">
        <v>45363</v>
      </c>
      <c r="D3948" t="inlineStr">
        <is>
          <t>JÄMTLANDS LÄN</t>
        </is>
      </c>
      <c r="E3948" t="inlineStr">
        <is>
          <t>KROKOM</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913-2021</t>
        </is>
      </c>
      <c r="B3949" s="1" t="n">
        <v>44207</v>
      </c>
      <c r="C3949" s="1" t="n">
        <v>45363</v>
      </c>
      <c r="D3949" t="inlineStr">
        <is>
          <t>JÄMTLANDS LÄN</t>
        </is>
      </c>
      <c r="E3949" t="inlineStr">
        <is>
          <t>KROKOM</t>
        </is>
      </c>
      <c r="F3949" t="inlineStr">
        <is>
          <t>Övriga Aktiebolag</t>
        </is>
      </c>
      <c r="G3949" t="n">
        <v>50.8</v>
      </c>
      <c r="H3949" t="n">
        <v>0</v>
      </c>
      <c r="I3949" t="n">
        <v>0</v>
      </c>
      <c r="J3949" t="n">
        <v>0</v>
      </c>
      <c r="K3949" t="n">
        <v>0</v>
      </c>
      <c r="L3949" t="n">
        <v>0</v>
      </c>
      <c r="M3949" t="n">
        <v>0</v>
      </c>
      <c r="N3949" t="n">
        <v>0</v>
      </c>
      <c r="O3949" t="n">
        <v>0</v>
      </c>
      <c r="P3949" t="n">
        <v>0</v>
      </c>
      <c r="Q3949" t="n">
        <v>0</v>
      </c>
      <c r="R3949" s="2" t="inlineStr"/>
    </row>
    <row r="3950" ht="15" customHeight="1">
      <c r="A3950" t="inlineStr">
        <is>
          <t>A 981-2021</t>
        </is>
      </c>
      <c r="B3950" s="1" t="n">
        <v>44207</v>
      </c>
      <c r="C3950" s="1" t="n">
        <v>45363</v>
      </c>
      <c r="D3950" t="inlineStr">
        <is>
          <t>JÄMTLANDS LÄN</t>
        </is>
      </c>
      <c r="E3950" t="inlineStr">
        <is>
          <t>KROKOM</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1032-2021</t>
        </is>
      </c>
      <c r="B3951" s="1" t="n">
        <v>44207</v>
      </c>
      <c r="C3951" s="1" t="n">
        <v>45363</v>
      </c>
      <c r="D3951" t="inlineStr">
        <is>
          <t>JÄMTLANDS LÄN</t>
        </is>
      </c>
      <c r="E3951" t="inlineStr">
        <is>
          <t>BERG</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1088-2021</t>
        </is>
      </c>
      <c r="B3952" s="1" t="n">
        <v>44207</v>
      </c>
      <c r="C3952" s="1" t="n">
        <v>45363</v>
      </c>
      <c r="D3952" t="inlineStr">
        <is>
          <t>JÄMTLANDS LÄN</t>
        </is>
      </c>
      <c r="E3952" t="inlineStr">
        <is>
          <t>HÄRJEDALEN</t>
        </is>
      </c>
      <c r="F3952" t="inlineStr">
        <is>
          <t>Sveaskog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915-2021</t>
        </is>
      </c>
      <c r="B3953" s="1" t="n">
        <v>44207</v>
      </c>
      <c r="C3953" s="1" t="n">
        <v>45363</v>
      </c>
      <c r="D3953" t="inlineStr">
        <is>
          <t>JÄMTLANDS LÄN</t>
        </is>
      </c>
      <c r="E3953" t="inlineStr">
        <is>
          <t>KROKOM</t>
        </is>
      </c>
      <c r="F3953" t="inlineStr">
        <is>
          <t>Övriga Aktiebolag</t>
        </is>
      </c>
      <c r="G3953" t="n">
        <v>107.9</v>
      </c>
      <c r="H3953" t="n">
        <v>0</v>
      </c>
      <c r="I3953" t="n">
        <v>0</v>
      </c>
      <c r="J3953" t="n">
        <v>0</v>
      </c>
      <c r="K3953" t="n">
        <v>0</v>
      </c>
      <c r="L3953" t="n">
        <v>0</v>
      </c>
      <c r="M3953" t="n">
        <v>0</v>
      </c>
      <c r="N3953" t="n">
        <v>0</v>
      </c>
      <c r="O3953" t="n">
        <v>0</v>
      </c>
      <c r="P3953" t="n">
        <v>0</v>
      </c>
      <c r="Q3953" t="n">
        <v>0</v>
      </c>
      <c r="R3953" s="2" t="inlineStr"/>
    </row>
    <row r="3954" ht="15" customHeight="1">
      <c r="A3954" t="inlineStr">
        <is>
          <t>A 1027-2021</t>
        </is>
      </c>
      <c r="B3954" s="1" t="n">
        <v>44207</v>
      </c>
      <c r="C3954" s="1" t="n">
        <v>45363</v>
      </c>
      <c r="D3954" t="inlineStr">
        <is>
          <t>JÄMTLANDS LÄN</t>
        </is>
      </c>
      <c r="E3954" t="inlineStr">
        <is>
          <t>BRÄCKE</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1287-2021</t>
        </is>
      </c>
      <c r="B3955" s="1" t="n">
        <v>44207</v>
      </c>
      <c r="C3955" s="1" t="n">
        <v>45363</v>
      </c>
      <c r="D3955" t="inlineStr">
        <is>
          <t>JÄMTLANDS LÄN</t>
        </is>
      </c>
      <c r="E3955" t="inlineStr">
        <is>
          <t>KROKOM</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1305-2021</t>
        </is>
      </c>
      <c r="B3956" s="1" t="n">
        <v>44207</v>
      </c>
      <c r="C3956" s="1" t="n">
        <v>45363</v>
      </c>
      <c r="D3956" t="inlineStr">
        <is>
          <t>JÄMTLANDS LÄN</t>
        </is>
      </c>
      <c r="E3956" t="inlineStr">
        <is>
          <t>STRÖMSUND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1339-2021</t>
        </is>
      </c>
      <c r="B3957" s="1" t="n">
        <v>44208</v>
      </c>
      <c r="C3957" s="1" t="n">
        <v>45363</v>
      </c>
      <c r="D3957" t="inlineStr">
        <is>
          <t>JÄMTLANDS LÄN</t>
        </is>
      </c>
      <c r="E3957" t="inlineStr">
        <is>
          <t>ÅRE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1478-2021</t>
        </is>
      </c>
      <c r="B3958" s="1" t="n">
        <v>44208</v>
      </c>
      <c r="C3958" s="1" t="n">
        <v>45363</v>
      </c>
      <c r="D3958" t="inlineStr">
        <is>
          <t>JÄMTLANDS LÄN</t>
        </is>
      </c>
      <c r="E3958" t="inlineStr">
        <is>
          <t>HÄRJEDALEN</t>
        </is>
      </c>
      <c r="F3958" t="inlineStr">
        <is>
          <t>SCA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1322-2021</t>
        </is>
      </c>
      <c r="B3959" s="1" t="n">
        <v>44208</v>
      </c>
      <c r="C3959" s="1" t="n">
        <v>45363</v>
      </c>
      <c r="D3959" t="inlineStr">
        <is>
          <t>JÄMTLANDS LÄN</t>
        </is>
      </c>
      <c r="E3959" t="inlineStr">
        <is>
          <t>ÖSTERSUND</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1640-2021</t>
        </is>
      </c>
      <c r="B3960" s="1" t="n">
        <v>44209</v>
      </c>
      <c r="C3960" s="1" t="n">
        <v>45363</v>
      </c>
      <c r="D3960" t="inlineStr">
        <is>
          <t>JÄMTLANDS LÄN</t>
        </is>
      </c>
      <c r="E3960" t="inlineStr">
        <is>
          <t>BERG</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1545-2021</t>
        </is>
      </c>
      <c r="B3961" s="1" t="n">
        <v>44209</v>
      </c>
      <c r="C3961" s="1" t="n">
        <v>45363</v>
      </c>
      <c r="D3961" t="inlineStr">
        <is>
          <t>JÄMTLANDS LÄN</t>
        </is>
      </c>
      <c r="E3961" t="inlineStr">
        <is>
          <t>HÄRJEDALEN</t>
        </is>
      </c>
      <c r="F3961" t="inlineStr">
        <is>
          <t>Holmen skog AB</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1651-2021</t>
        </is>
      </c>
      <c r="B3962" s="1" t="n">
        <v>44209</v>
      </c>
      <c r="C3962" s="1" t="n">
        <v>45363</v>
      </c>
      <c r="D3962" t="inlineStr">
        <is>
          <t>JÄMTLANDS LÄN</t>
        </is>
      </c>
      <c r="E3962" t="inlineStr">
        <is>
          <t>BERG</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1558-2021</t>
        </is>
      </c>
      <c r="B3963" s="1" t="n">
        <v>44209</v>
      </c>
      <c r="C3963" s="1" t="n">
        <v>45363</v>
      </c>
      <c r="D3963" t="inlineStr">
        <is>
          <t>JÄMTLANDS LÄN</t>
        </is>
      </c>
      <c r="E3963" t="inlineStr">
        <is>
          <t>HÄRJEDALEN</t>
        </is>
      </c>
      <c r="F3963" t="inlineStr">
        <is>
          <t>Bergvik skog väst AB</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1602-2021</t>
        </is>
      </c>
      <c r="B3964" s="1" t="n">
        <v>44209</v>
      </c>
      <c r="C3964" s="1" t="n">
        <v>45363</v>
      </c>
      <c r="D3964" t="inlineStr">
        <is>
          <t>JÄMTLANDS LÄN</t>
        </is>
      </c>
      <c r="E3964" t="inlineStr">
        <is>
          <t>HÄRJEDALEN</t>
        </is>
      </c>
      <c r="F3964" t="inlineStr">
        <is>
          <t>Holmen skog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1646-2021</t>
        </is>
      </c>
      <c r="B3965" s="1" t="n">
        <v>44209</v>
      </c>
      <c r="C3965" s="1" t="n">
        <v>45363</v>
      </c>
      <c r="D3965" t="inlineStr">
        <is>
          <t>JÄMTLANDS LÄN</t>
        </is>
      </c>
      <c r="E3965" t="inlineStr">
        <is>
          <t>BERG</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1696-2021</t>
        </is>
      </c>
      <c r="B3966" s="1" t="n">
        <v>44209</v>
      </c>
      <c r="C3966" s="1" t="n">
        <v>45363</v>
      </c>
      <c r="D3966" t="inlineStr">
        <is>
          <t>JÄMTLANDS LÄN</t>
        </is>
      </c>
      <c r="E3966" t="inlineStr">
        <is>
          <t>KROKOM</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1657-2021</t>
        </is>
      </c>
      <c r="B3967" s="1" t="n">
        <v>44209</v>
      </c>
      <c r="C3967" s="1" t="n">
        <v>45363</v>
      </c>
      <c r="D3967" t="inlineStr">
        <is>
          <t>JÄMTLANDS LÄN</t>
        </is>
      </c>
      <c r="E3967" t="inlineStr">
        <is>
          <t>BERG</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1772-2021</t>
        </is>
      </c>
      <c r="B3968" s="1" t="n">
        <v>44209</v>
      </c>
      <c r="C3968" s="1" t="n">
        <v>45363</v>
      </c>
      <c r="D3968" t="inlineStr">
        <is>
          <t>JÄMTLANDS LÄN</t>
        </is>
      </c>
      <c r="E3968" t="inlineStr">
        <is>
          <t>BRÄCKE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1718-2021</t>
        </is>
      </c>
      <c r="B3969" s="1" t="n">
        <v>44209</v>
      </c>
      <c r="C3969" s="1" t="n">
        <v>45363</v>
      </c>
      <c r="D3969" t="inlineStr">
        <is>
          <t>JÄMTLANDS LÄN</t>
        </is>
      </c>
      <c r="E3969" t="inlineStr">
        <is>
          <t>KROKOM</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1753-2021</t>
        </is>
      </c>
      <c r="B3970" s="1" t="n">
        <v>44209</v>
      </c>
      <c r="C3970" s="1" t="n">
        <v>45363</v>
      </c>
      <c r="D3970" t="inlineStr">
        <is>
          <t>JÄMTLANDS LÄN</t>
        </is>
      </c>
      <c r="E3970" t="inlineStr">
        <is>
          <t>KROKOM</t>
        </is>
      </c>
      <c r="G3970" t="n">
        <v>17.2</v>
      </c>
      <c r="H3970" t="n">
        <v>0</v>
      </c>
      <c r="I3970" t="n">
        <v>0</v>
      </c>
      <c r="J3970" t="n">
        <v>0</v>
      </c>
      <c r="K3970" t="n">
        <v>0</v>
      </c>
      <c r="L3970" t="n">
        <v>0</v>
      </c>
      <c r="M3970" t="n">
        <v>0</v>
      </c>
      <c r="N3970" t="n">
        <v>0</v>
      </c>
      <c r="O3970" t="n">
        <v>0</v>
      </c>
      <c r="P3970" t="n">
        <v>0</v>
      </c>
      <c r="Q3970" t="n">
        <v>0</v>
      </c>
      <c r="R3970" s="2" t="inlineStr"/>
    </row>
    <row r="3971" ht="15" customHeight="1">
      <c r="A3971" t="inlineStr">
        <is>
          <t>A 1756-2021</t>
        </is>
      </c>
      <c r="B3971" s="1" t="n">
        <v>44209</v>
      </c>
      <c r="C3971" s="1" t="n">
        <v>45363</v>
      </c>
      <c r="D3971" t="inlineStr">
        <is>
          <t>JÄMTLANDS LÄN</t>
        </is>
      </c>
      <c r="E3971" t="inlineStr">
        <is>
          <t>KROKOM</t>
        </is>
      </c>
      <c r="G3971" t="n">
        <v>7.4</v>
      </c>
      <c r="H3971" t="n">
        <v>0</v>
      </c>
      <c r="I3971" t="n">
        <v>0</v>
      </c>
      <c r="J3971" t="n">
        <v>0</v>
      </c>
      <c r="K3971" t="n">
        <v>0</v>
      </c>
      <c r="L3971" t="n">
        <v>0</v>
      </c>
      <c r="M3971" t="n">
        <v>0</v>
      </c>
      <c r="N3971" t="n">
        <v>0</v>
      </c>
      <c r="O3971" t="n">
        <v>0</v>
      </c>
      <c r="P3971" t="n">
        <v>0</v>
      </c>
      <c r="Q3971" t="n">
        <v>0</v>
      </c>
      <c r="R3971" s="2" t="inlineStr"/>
    </row>
    <row r="3972" ht="15" customHeight="1">
      <c r="A3972" t="inlineStr">
        <is>
          <t>A 1990-2021</t>
        </is>
      </c>
      <c r="B3972" s="1" t="n">
        <v>44210</v>
      </c>
      <c r="C3972" s="1" t="n">
        <v>45363</v>
      </c>
      <c r="D3972" t="inlineStr">
        <is>
          <t>JÄMTLANDS LÄN</t>
        </is>
      </c>
      <c r="E3972" t="inlineStr">
        <is>
          <t>RAGUNDA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2062-2021</t>
        </is>
      </c>
      <c r="B3973" s="1" t="n">
        <v>44211</v>
      </c>
      <c r="C3973" s="1" t="n">
        <v>45363</v>
      </c>
      <c r="D3973" t="inlineStr">
        <is>
          <t>JÄMTLANDS LÄN</t>
        </is>
      </c>
      <c r="E3973" t="inlineStr">
        <is>
          <t>KROKOM</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2159-2021</t>
        </is>
      </c>
      <c r="B3974" s="1" t="n">
        <v>44211</v>
      </c>
      <c r="C3974" s="1" t="n">
        <v>45363</v>
      </c>
      <c r="D3974" t="inlineStr">
        <is>
          <t>JÄMTLANDS LÄN</t>
        </is>
      </c>
      <c r="E3974" t="inlineStr">
        <is>
          <t>STRÖMSUND</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2432-2021</t>
        </is>
      </c>
      <c r="B3975" s="1" t="n">
        <v>44211</v>
      </c>
      <c r="C3975" s="1" t="n">
        <v>45363</v>
      </c>
      <c r="D3975" t="inlineStr">
        <is>
          <t>JÄMTLANDS LÄN</t>
        </is>
      </c>
      <c r="E3975" t="inlineStr">
        <is>
          <t>STRÖMSUND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2356-2021</t>
        </is>
      </c>
      <c r="B3976" s="1" t="n">
        <v>44214</v>
      </c>
      <c r="C3976" s="1" t="n">
        <v>45363</v>
      </c>
      <c r="D3976" t="inlineStr">
        <is>
          <t>JÄMTLANDS LÄN</t>
        </is>
      </c>
      <c r="E3976" t="inlineStr">
        <is>
          <t>KROKOM</t>
        </is>
      </c>
      <c r="G3976" t="n">
        <v>22.6</v>
      </c>
      <c r="H3976" t="n">
        <v>0</v>
      </c>
      <c r="I3976" t="n">
        <v>0</v>
      </c>
      <c r="J3976" t="n">
        <v>0</v>
      </c>
      <c r="K3976" t="n">
        <v>0</v>
      </c>
      <c r="L3976" t="n">
        <v>0</v>
      </c>
      <c r="M3976" t="n">
        <v>0</v>
      </c>
      <c r="N3976" t="n">
        <v>0</v>
      </c>
      <c r="O3976" t="n">
        <v>0</v>
      </c>
      <c r="P3976" t="n">
        <v>0</v>
      </c>
      <c r="Q3976" t="n">
        <v>0</v>
      </c>
      <c r="R3976" s="2" t="inlineStr"/>
    </row>
    <row r="3977" ht="15" customHeight="1">
      <c r="A3977" t="inlineStr">
        <is>
          <t>A 2410-2021</t>
        </is>
      </c>
      <c r="B3977" s="1" t="n">
        <v>44214</v>
      </c>
      <c r="C3977" s="1" t="n">
        <v>45363</v>
      </c>
      <c r="D3977" t="inlineStr">
        <is>
          <t>JÄMTLANDS LÄN</t>
        </is>
      </c>
      <c r="E3977" t="inlineStr">
        <is>
          <t>KROKOM</t>
        </is>
      </c>
      <c r="G3977" t="n">
        <v>32.7</v>
      </c>
      <c r="H3977" t="n">
        <v>0</v>
      </c>
      <c r="I3977" t="n">
        <v>0</v>
      </c>
      <c r="J3977" t="n">
        <v>0</v>
      </c>
      <c r="K3977" t="n">
        <v>0</v>
      </c>
      <c r="L3977" t="n">
        <v>0</v>
      </c>
      <c r="M3977" t="n">
        <v>0</v>
      </c>
      <c r="N3977" t="n">
        <v>0</v>
      </c>
      <c r="O3977" t="n">
        <v>0</v>
      </c>
      <c r="P3977" t="n">
        <v>0</v>
      </c>
      <c r="Q3977" t="n">
        <v>0</v>
      </c>
      <c r="R3977" s="2" t="inlineStr"/>
    </row>
    <row r="3978" ht="15" customHeight="1">
      <c r="A3978" t="inlineStr">
        <is>
          <t>A 2531-2021</t>
        </is>
      </c>
      <c r="B3978" s="1" t="n">
        <v>44214</v>
      </c>
      <c r="C3978" s="1" t="n">
        <v>45363</v>
      </c>
      <c r="D3978" t="inlineStr">
        <is>
          <t>JÄMTLANDS LÄN</t>
        </is>
      </c>
      <c r="E3978" t="inlineStr">
        <is>
          <t>HÄRJEDALEN</t>
        </is>
      </c>
      <c r="F3978" t="inlineStr">
        <is>
          <t>Holmen skog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2427-2021</t>
        </is>
      </c>
      <c r="B3979" s="1" t="n">
        <v>44214</v>
      </c>
      <c r="C3979" s="1" t="n">
        <v>45363</v>
      </c>
      <c r="D3979" t="inlineStr">
        <is>
          <t>JÄMTLANDS LÄN</t>
        </is>
      </c>
      <c r="E3979" t="inlineStr">
        <is>
          <t>KROKOM</t>
        </is>
      </c>
      <c r="G3979" t="n">
        <v>20.5</v>
      </c>
      <c r="H3979" t="n">
        <v>0</v>
      </c>
      <c r="I3979" t="n">
        <v>0</v>
      </c>
      <c r="J3979" t="n">
        <v>0</v>
      </c>
      <c r="K3979" t="n">
        <v>0</v>
      </c>
      <c r="L3979" t="n">
        <v>0</v>
      </c>
      <c r="M3979" t="n">
        <v>0</v>
      </c>
      <c r="N3979" t="n">
        <v>0</v>
      </c>
      <c r="O3979" t="n">
        <v>0</v>
      </c>
      <c r="P3979" t="n">
        <v>0</v>
      </c>
      <c r="Q3979" t="n">
        <v>0</v>
      </c>
      <c r="R3979" s="2" t="inlineStr"/>
    </row>
    <row r="3980" ht="15" customHeight="1">
      <c r="A3980" t="inlineStr">
        <is>
          <t>A 2469-2021</t>
        </is>
      </c>
      <c r="B3980" s="1" t="n">
        <v>44214</v>
      </c>
      <c r="C3980" s="1" t="n">
        <v>45363</v>
      </c>
      <c r="D3980" t="inlineStr">
        <is>
          <t>JÄMTLANDS LÄN</t>
        </is>
      </c>
      <c r="E3980" t="inlineStr">
        <is>
          <t>RAGUNDA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2442-2021</t>
        </is>
      </c>
      <c r="B3981" s="1" t="n">
        <v>44214</v>
      </c>
      <c r="C3981" s="1" t="n">
        <v>45363</v>
      </c>
      <c r="D3981" t="inlineStr">
        <is>
          <t>JÄMTLANDS LÄN</t>
        </is>
      </c>
      <c r="E3981" t="inlineStr">
        <is>
          <t>KROKOM</t>
        </is>
      </c>
      <c r="G3981" t="n">
        <v>25.4</v>
      </c>
      <c r="H3981" t="n">
        <v>0</v>
      </c>
      <c r="I3981" t="n">
        <v>0</v>
      </c>
      <c r="J3981" t="n">
        <v>0</v>
      </c>
      <c r="K3981" t="n">
        <v>0</v>
      </c>
      <c r="L3981" t="n">
        <v>0</v>
      </c>
      <c r="M3981" t="n">
        <v>0</v>
      </c>
      <c r="N3981" t="n">
        <v>0</v>
      </c>
      <c r="O3981" t="n">
        <v>0</v>
      </c>
      <c r="P3981" t="n">
        <v>0</v>
      </c>
      <c r="Q3981" t="n">
        <v>0</v>
      </c>
      <c r="R3981" s="2" t="inlineStr"/>
    </row>
    <row r="3982" ht="15" customHeight="1">
      <c r="A3982" t="inlineStr">
        <is>
          <t>A 2451-2021</t>
        </is>
      </c>
      <c r="B3982" s="1" t="n">
        <v>44214</v>
      </c>
      <c r="C3982" s="1" t="n">
        <v>45363</v>
      </c>
      <c r="D3982" t="inlineStr">
        <is>
          <t>JÄMTLANDS LÄN</t>
        </is>
      </c>
      <c r="E3982" t="inlineStr">
        <is>
          <t>KROKOM</t>
        </is>
      </c>
      <c r="G3982" t="n">
        <v>29.5</v>
      </c>
      <c r="H3982" t="n">
        <v>0</v>
      </c>
      <c r="I3982" t="n">
        <v>0</v>
      </c>
      <c r="J3982" t="n">
        <v>0</v>
      </c>
      <c r="K3982" t="n">
        <v>0</v>
      </c>
      <c r="L3982" t="n">
        <v>0</v>
      </c>
      <c r="M3982" t="n">
        <v>0</v>
      </c>
      <c r="N3982" t="n">
        <v>0</v>
      </c>
      <c r="O3982" t="n">
        <v>0</v>
      </c>
      <c r="P3982" t="n">
        <v>0</v>
      </c>
      <c r="Q3982" t="n">
        <v>0</v>
      </c>
      <c r="R3982" s="2" t="inlineStr"/>
    </row>
    <row r="3983" ht="15" customHeight="1">
      <c r="A3983" t="inlineStr">
        <is>
          <t>A 2549-2021</t>
        </is>
      </c>
      <c r="B3983" s="1" t="n">
        <v>44214</v>
      </c>
      <c r="C3983" s="1" t="n">
        <v>45363</v>
      </c>
      <c r="D3983" t="inlineStr">
        <is>
          <t>JÄMTLANDS LÄN</t>
        </is>
      </c>
      <c r="E3983" t="inlineStr">
        <is>
          <t>STRÖMSUND</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2568-2021</t>
        </is>
      </c>
      <c r="B3984" s="1" t="n">
        <v>44214</v>
      </c>
      <c r="C3984" s="1" t="n">
        <v>45363</v>
      </c>
      <c r="D3984" t="inlineStr">
        <is>
          <t>JÄMTLANDS LÄN</t>
        </is>
      </c>
      <c r="E3984" t="inlineStr">
        <is>
          <t>KROKOM</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2686-2021</t>
        </is>
      </c>
      <c r="B3985" s="1" t="n">
        <v>44214</v>
      </c>
      <c r="C3985" s="1" t="n">
        <v>45363</v>
      </c>
      <c r="D3985" t="inlineStr">
        <is>
          <t>JÄMTLANDS LÄN</t>
        </is>
      </c>
      <c r="E3985" t="inlineStr">
        <is>
          <t>ÖSTERSUND</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2829-2021</t>
        </is>
      </c>
      <c r="B3986" s="1" t="n">
        <v>44215</v>
      </c>
      <c r="C3986" s="1" t="n">
        <v>45363</v>
      </c>
      <c r="D3986" t="inlineStr">
        <is>
          <t>JÄMTLANDS LÄN</t>
        </is>
      </c>
      <c r="E3986" t="inlineStr">
        <is>
          <t>BRÄCKE</t>
        </is>
      </c>
      <c r="F3986" t="inlineStr">
        <is>
          <t>SCA</t>
        </is>
      </c>
      <c r="G3986" t="n">
        <v>10.3</v>
      </c>
      <c r="H3986" t="n">
        <v>0</v>
      </c>
      <c r="I3986" t="n">
        <v>0</v>
      </c>
      <c r="J3986" t="n">
        <v>0</v>
      </c>
      <c r="K3986" t="n">
        <v>0</v>
      </c>
      <c r="L3986" t="n">
        <v>0</v>
      </c>
      <c r="M3986" t="n">
        <v>0</v>
      </c>
      <c r="N3986" t="n">
        <v>0</v>
      </c>
      <c r="O3986" t="n">
        <v>0</v>
      </c>
      <c r="P3986" t="n">
        <v>0</v>
      </c>
      <c r="Q3986" t="n">
        <v>0</v>
      </c>
      <c r="R3986" s="2" t="inlineStr"/>
    </row>
    <row r="3987" ht="15" customHeight="1">
      <c r="A3987" t="inlineStr">
        <is>
          <t>A 2660-2021</t>
        </is>
      </c>
      <c r="B3987" s="1" t="n">
        <v>44215</v>
      </c>
      <c r="C3987" s="1" t="n">
        <v>45363</v>
      </c>
      <c r="D3987" t="inlineStr">
        <is>
          <t>JÄMTLANDS LÄN</t>
        </is>
      </c>
      <c r="E3987" t="inlineStr">
        <is>
          <t>STRÖMSUND</t>
        </is>
      </c>
      <c r="G3987" t="n">
        <v>11.2</v>
      </c>
      <c r="H3987" t="n">
        <v>0</v>
      </c>
      <c r="I3987" t="n">
        <v>0</v>
      </c>
      <c r="J3987" t="n">
        <v>0</v>
      </c>
      <c r="K3987" t="n">
        <v>0</v>
      </c>
      <c r="L3987" t="n">
        <v>0</v>
      </c>
      <c r="M3987" t="n">
        <v>0</v>
      </c>
      <c r="N3987" t="n">
        <v>0</v>
      </c>
      <c r="O3987" t="n">
        <v>0</v>
      </c>
      <c r="P3987" t="n">
        <v>0</v>
      </c>
      <c r="Q3987" t="n">
        <v>0</v>
      </c>
      <c r="R3987" s="2" t="inlineStr"/>
    </row>
    <row r="3988" ht="15" customHeight="1">
      <c r="A3988" t="inlineStr">
        <is>
          <t>A 2831-2021</t>
        </is>
      </c>
      <c r="B3988" s="1" t="n">
        <v>44215</v>
      </c>
      <c r="C3988" s="1" t="n">
        <v>45363</v>
      </c>
      <c r="D3988" t="inlineStr">
        <is>
          <t>JÄMTLANDS LÄN</t>
        </is>
      </c>
      <c r="E3988" t="inlineStr">
        <is>
          <t>BRÄCKE</t>
        </is>
      </c>
      <c r="F3988" t="inlineStr">
        <is>
          <t>SCA</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2830-2021</t>
        </is>
      </c>
      <c r="B3989" s="1" t="n">
        <v>44215</v>
      </c>
      <c r="C3989" s="1" t="n">
        <v>45363</v>
      </c>
      <c r="D3989" t="inlineStr">
        <is>
          <t>JÄMTLANDS LÄN</t>
        </is>
      </c>
      <c r="E3989" t="inlineStr">
        <is>
          <t>BRÄCKE</t>
        </is>
      </c>
      <c r="F3989" t="inlineStr">
        <is>
          <t>SCA</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2855-2021</t>
        </is>
      </c>
      <c r="B3990" s="1" t="n">
        <v>44216</v>
      </c>
      <c r="C3990" s="1" t="n">
        <v>45363</v>
      </c>
      <c r="D3990" t="inlineStr">
        <is>
          <t>JÄMTLANDS LÄN</t>
        </is>
      </c>
      <c r="E3990" t="inlineStr">
        <is>
          <t>HÄRJEDALEN</t>
        </is>
      </c>
      <c r="F3990" t="inlineStr">
        <is>
          <t>Holmen skog AB</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2862-2021</t>
        </is>
      </c>
      <c r="B3991" s="1" t="n">
        <v>44216</v>
      </c>
      <c r="C3991" s="1" t="n">
        <v>45363</v>
      </c>
      <c r="D3991" t="inlineStr">
        <is>
          <t>JÄMTLANDS LÄN</t>
        </is>
      </c>
      <c r="E3991" t="inlineStr">
        <is>
          <t>HÄRJEDALEN</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3025-2021</t>
        </is>
      </c>
      <c r="B3992" s="1" t="n">
        <v>44216</v>
      </c>
      <c r="C3992" s="1" t="n">
        <v>45363</v>
      </c>
      <c r="D3992" t="inlineStr">
        <is>
          <t>JÄMTLANDS LÄN</t>
        </is>
      </c>
      <c r="E3992" t="inlineStr">
        <is>
          <t>BRÄCKE</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3186-2021</t>
        </is>
      </c>
      <c r="B3993" s="1" t="n">
        <v>44217</v>
      </c>
      <c r="C3993" s="1" t="n">
        <v>45363</v>
      </c>
      <c r="D3993" t="inlineStr">
        <is>
          <t>JÄMTLANDS LÄN</t>
        </is>
      </c>
      <c r="E3993" t="inlineStr">
        <is>
          <t>STRÖMSUND</t>
        </is>
      </c>
      <c r="G3993" t="n">
        <v>13.7</v>
      </c>
      <c r="H3993" t="n">
        <v>0</v>
      </c>
      <c r="I3993" t="n">
        <v>0</v>
      </c>
      <c r="J3993" t="n">
        <v>0</v>
      </c>
      <c r="K3993" t="n">
        <v>0</v>
      </c>
      <c r="L3993" t="n">
        <v>0</v>
      </c>
      <c r="M3993" t="n">
        <v>0</v>
      </c>
      <c r="N3993" t="n">
        <v>0</v>
      </c>
      <c r="O3993" t="n">
        <v>0</v>
      </c>
      <c r="P3993" t="n">
        <v>0</v>
      </c>
      <c r="Q3993" t="n">
        <v>0</v>
      </c>
      <c r="R3993" s="2" t="inlineStr"/>
    </row>
    <row r="3994" ht="15" customHeight="1">
      <c r="A3994" t="inlineStr">
        <is>
          <t>A 3511-2021</t>
        </is>
      </c>
      <c r="B3994" s="1" t="n">
        <v>44218</v>
      </c>
      <c r="C3994" s="1" t="n">
        <v>45363</v>
      </c>
      <c r="D3994" t="inlineStr">
        <is>
          <t>JÄMTLANDS LÄN</t>
        </is>
      </c>
      <c r="E3994" t="inlineStr">
        <is>
          <t>BERG</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3536-2021</t>
        </is>
      </c>
      <c r="B3995" s="1" t="n">
        <v>44218</v>
      </c>
      <c r="C3995" s="1" t="n">
        <v>45363</v>
      </c>
      <c r="D3995" t="inlineStr">
        <is>
          <t>JÄMTLANDS LÄN</t>
        </is>
      </c>
      <c r="E3995" t="inlineStr">
        <is>
          <t>HÄRJEDALEN</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3571-2021</t>
        </is>
      </c>
      <c r="B3996" s="1" t="n">
        <v>44218</v>
      </c>
      <c r="C3996" s="1" t="n">
        <v>45363</v>
      </c>
      <c r="D3996" t="inlineStr">
        <is>
          <t>JÄMTLANDS LÄN</t>
        </is>
      </c>
      <c r="E3996" t="inlineStr">
        <is>
          <t>RAGUNDA</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4004-2021</t>
        </is>
      </c>
      <c r="B3997" s="1" t="n">
        <v>44222</v>
      </c>
      <c r="C3997" s="1" t="n">
        <v>45363</v>
      </c>
      <c r="D3997" t="inlineStr">
        <is>
          <t>JÄMTLANDS LÄN</t>
        </is>
      </c>
      <c r="E3997" t="inlineStr">
        <is>
          <t>STRÖMSUND</t>
        </is>
      </c>
      <c r="F3997" t="inlineStr">
        <is>
          <t>Kyrkan</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4135-2021</t>
        </is>
      </c>
      <c r="B3998" s="1" t="n">
        <v>44223</v>
      </c>
      <c r="C3998" s="1" t="n">
        <v>45363</v>
      </c>
      <c r="D3998" t="inlineStr">
        <is>
          <t>JÄMTLANDS LÄN</t>
        </is>
      </c>
      <c r="E3998" t="inlineStr">
        <is>
          <t>STRÖMSUND</t>
        </is>
      </c>
      <c r="F3998" t="inlineStr">
        <is>
          <t>Holmen skog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4651-2021</t>
        </is>
      </c>
      <c r="B3999" s="1" t="n">
        <v>44224</v>
      </c>
      <c r="C3999" s="1" t="n">
        <v>45363</v>
      </c>
      <c r="D3999" t="inlineStr">
        <is>
          <t>JÄMTLANDS LÄN</t>
        </is>
      </c>
      <c r="E3999" t="inlineStr">
        <is>
          <t>BERG</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4662-2021</t>
        </is>
      </c>
      <c r="B4000" s="1" t="n">
        <v>44224</v>
      </c>
      <c r="C4000" s="1" t="n">
        <v>45363</v>
      </c>
      <c r="D4000" t="inlineStr">
        <is>
          <t>JÄMTLANDS LÄN</t>
        </is>
      </c>
      <c r="E4000" t="inlineStr">
        <is>
          <t>STRÖMSUND</t>
        </is>
      </c>
      <c r="F4000" t="inlineStr">
        <is>
          <t>SCA</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4661-2021</t>
        </is>
      </c>
      <c r="B4001" s="1" t="n">
        <v>44224</v>
      </c>
      <c r="C4001" s="1" t="n">
        <v>45363</v>
      </c>
      <c r="D4001" t="inlineStr">
        <is>
          <t>JÄMTLANDS LÄN</t>
        </is>
      </c>
      <c r="E4001" t="inlineStr">
        <is>
          <t>STRÖMSUND</t>
        </is>
      </c>
      <c r="F4001" t="inlineStr">
        <is>
          <t>SCA</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4838-2021</t>
        </is>
      </c>
      <c r="B4002" s="1" t="n">
        <v>44225</v>
      </c>
      <c r="C4002" s="1" t="n">
        <v>45363</v>
      </c>
      <c r="D4002" t="inlineStr">
        <is>
          <t>JÄMTLANDS LÄN</t>
        </is>
      </c>
      <c r="E4002" t="inlineStr">
        <is>
          <t>ÅRE</t>
        </is>
      </c>
      <c r="G4002" t="n">
        <v>12.4</v>
      </c>
      <c r="H4002" t="n">
        <v>0</v>
      </c>
      <c r="I4002" t="n">
        <v>0</v>
      </c>
      <c r="J4002" t="n">
        <v>0</v>
      </c>
      <c r="K4002" t="n">
        <v>0</v>
      </c>
      <c r="L4002" t="n">
        <v>0</v>
      </c>
      <c r="M4002" t="n">
        <v>0</v>
      </c>
      <c r="N4002" t="n">
        <v>0</v>
      </c>
      <c r="O4002" t="n">
        <v>0</v>
      </c>
      <c r="P4002" t="n">
        <v>0</v>
      </c>
      <c r="Q4002" t="n">
        <v>0</v>
      </c>
      <c r="R4002" s="2" t="inlineStr"/>
    </row>
    <row r="4003" ht="15" customHeight="1">
      <c r="A4003" t="inlineStr">
        <is>
          <t>A 4826-2021</t>
        </is>
      </c>
      <c r="B4003" s="1" t="n">
        <v>44225</v>
      </c>
      <c r="C4003" s="1" t="n">
        <v>45363</v>
      </c>
      <c r="D4003" t="inlineStr">
        <is>
          <t>JÄMTLANDS LÄN</t>
        </is>
      </c>
      <c r="E4003" t="inlineStr">
        <is>
          <t>RAGUNDA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5277-2021</t>
        </is>
      </c>
      <c r="B4004" s="1" t="n">
        <v>44225</v>
      </c>
      <c r="C4004" s="1" t="n">
        <v>45363</v>
      </c>
      <c r="D4004" t="inlineStr">
        <is>
          <t>JÄMTLANDS LÄN</t>
        </is>
      </c>
      <c r="E4004" t="inlineStr">
        <is>
          <t>HÄRJEDALEN</t>
        </is>
      </c>
      <c r="G4004" t="n">
        <v>20</v>
      </c>
      <c r="H4004" t="n">
        <v>0</v>
      </c>
      <c r="I4004" t="n">
        <v>0</v>
      </c>
      <c r="J4004" t="n">
        <v>0</v>
      </c>
      <c r="K4004" t="n">
        <v>0</v>
      </c>
      <c r="L4004" t="n">
        <v>0</v>
      </c>
      <c r="M4004" t="n">
        <v>0</v>
      </c>
      <c r="N4004" t="n">
        <v>0</v>
      </c>
      <c r="O4004" t="n">
        <v>0</v>
      </c>
      <c r="P4004" t="n">
        <v>0</v>
      </c>
      <c r="Q4004" t="n">
        <v>0</v>
      </c>
      <c r="R4004" s="2" t="inlineStr"/>
    </row>
    <row r="4005" ht="15" customHeight="1">
      <c r="A4005" t="inlineStr">
        <is>
          <t>A 5283-2021</t>
        </is>
      </c>
      <c r="B4005" s="1" t="n">
        <v>44225</v>
      </c>
      <c r="C4005" s="1" t="n">
        <v>45363</v>
      </c>
      <c r="D4005" t="inlineStr">
        <is>
          <t>JÄMTLANDS LÄN</t>
        </is>
      </c>
      <c r="E4005" t="inlineStr">
        <is>
          <t>HÄRJEDALEN</t>
        </is>
      </c>
      <c r="G4005" t="n">
        <v>20</v>
      </c>
      <c r="H4005" t="n">
        <v>0</v>
      </c>
      <c r="I4005" t="n">
        <v>0</v>
      </c>
      <c r="J4005" t="n">
        <v>0</v>
      </c>
      <c r="K4005" t="n">
        <v>0</v>
      </c>
      <c r="L4005" t="n">
        <v>0</v>
      </c>
      <c r="M4005" t="n">
        <v>0</v>
      </c>
      <c r="N4005" t="n">
        <v>0</v>
      </c>
      <c r="O4005" t="n">
        <v>0</v>
      </c>
      <c r="P4005" t="n">
        <v>0</v>
      </c>
      <c r="Q4005" t="n">
        <v>0</v>
      </c>
      <c r="R4005" s="2" t="inlineStr"/>
    </row>
    <row r="4006" ht="15" customHeight="1">
      <c r="A4006" t="inlineStr">
        <is>
          <t>A 4870-2021</t>
        </is>
      </c>
      <c r="B4006" s="1" t="n">
        <v>44225</v>
      </c>
      <c r="C4006" s="1" t="n">
        <v>45363</v>
      </c>
      <c r="D4006" t="inlineStr">
        <is>
          <t>JÄMTLANDS LÄN</t>
        </is>
      </c>
      <c r="E4006" t="inlineStr">
        <is>
          <t>ÅRE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5034-2021</t>
        </is>
      </c>
      <c r="B4007" s="1" t="n">
        <v>44228</v>
      </c>
      <c r="C4007" s="1" t="n">
        <v>45363</v>
      </c>
      <c r="D4007" t="inlineStr">
        <is>
          <t>JÄMTLANDS LÄN</t>
        </is>
      </c>
      <c r="E4007" t="inlineStr">
        <is>
          <t>STRÖMSUND</t>
        </is>
      </c>
      <c r="F4007" t="inlineStr">
        <is>
          <t>Kommuner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5130-2021</t>
        </is>
      </c>
      <c r="B4008" s="1" t="n">
        <v>44228</v>
      </c>
      <c r="C4008" s="1" t="n">
        <v>45363</v>
      </c>
      <c r="D4008" t="inlineStr">
        <is>
          <t>JÄMTLANDS LÄN</t>
        </is>
      </c>
      <c r="E4008" t="inlineStr">
        <is>
          <t>RAGUNDA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5384-2021</t>
        </is>
      </c>
      <c r="B4009" s="1" t="n">
        <v>44228</v>
      </c>
      <c r="C4009" s="1" t="n">
        <v>45363</v>
      </c>
      <c r="D4009" t="inlineStr">
        <is>
          <t>JÄMTLANDS LÄN</t>
        </is>
      </c>
      <c r="E4009" t="inlineStr">
        <is>
          <t>STRÖMSUND</t>
        </is>
      </c>
      <c r="G4009" t="n">
        <v>18.3</v>
      </c>
      <c r="H4009" t="n">
        <v>0</v>
      </c>
      <c r="I4009" t="n">
        <v>0</v>
      </c>
      <c r="J4009" t="n">
        <v>0</v>
      </c>
      <c r="K4009" t="n">
        <v>0</v>
      </c>
      <c r="L4009" t="n">
        <v>0</v>
      </c>
      <c r="M4009" t="n">
        <v>0</v>
      </c>
      <c r="N4009" t="n">
        <v>0</v>
      </c>
      <c r="O4009" t="n">
        <v>0</v>
      </c>
      <c r="P4009" t="n">
        <v>0</v>
      </c>
      <c r="Q4009" t="n">
        <v>0</v>
      </c>
      <c r="R4009" s="2" t="inlineStr"/>
    </row>
    <row r="4010" ht="15" customHeight="1">
      <c r="A4010" t="inlineStr">
        <is>
          <t>A 5422-2021</t>
        </is>
      </c>
      <c r="B4010" s="1" t="n">
        <v>44228</v>
      </c>
      <c r="C4010" s="1" t="n">
        <v>45363</v>
      </c>
      <c r="D4010" t="inlineStr">
        <is>
          <t>JÄMTLANDS LÄN</t>
        </is>
      </c>
      <c r="E4010" t="inlineStr">
        <is>
          <t>KROKOM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5343-2021</t>
        </is>
      </c>
      <c r="B4011" s="1" t="n">
        <v>44228</v>
      </c>
      <c r="C4011" s="1" t="n">
        <v>45363</v>
      </c>
      <c r="D4011" t="inlineStr">
        <is>
          <t>JÄMTLANDS LÄN</t>
        </is>
      </c>
      <c r="E4011" t="inlineStr">
        <is>
          <t>HÄRJEDALEN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5353-2021</t>
        </is>
      </c>
      <c r="B4012" s="1" t="n">
        <v>44228</v>
      </c>
      <c r="C4012" s="1" t="n">
        <v>45363</v>
      </c>
      <c r="D4012" t="inlineStr">
        <is>
          <t>JÄMTLANDS LÄN</t>
        </is>
      </c>
      <c r="E4012" t="inlineStr">
        <is>
          <t>HÄRJEDALEN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5273-2021</t>
        </is>
      </c>
      <c r="B4013" s="1" t="n">
        <v>44229</v>
      </c>
      <c r="C4013" s="1" t="n">
        <v>45363</v>
      </c>
      <c r="D4013" t="inlineStr">
        <is>
          <t>JÄMTLANDS LÄN</t>
        </is>
      </c>
      <c r="E4013" t="inlineStr">
        <is>
          <t>HÄRJEDALEN</t>
        </is>
      </c>
      <c r="F4013" t="inlineStr">
        <is>
          <t>Holmen skog AB</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5237-2021</t>
        </is>
      </c>
      <c r="B4014" s="1" t="n">
        <v>44229</v>
      </c>
      <c r="C4014" s="1" t="n">
        <v>45363</v>
      </c>
      <c r="D4014" t="inlineStr">
        <is>
          <t>JÄMTLANDS LÄN</t>
        </is>
      </c>
      <c r="E4014" t="inlineStr">
        <is>
          <t>HÄRJEDALEN</t>
        </is>
      </c>
      <c r="F4014" t="inlineStr">
        <is>
          <t>Holmen skog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5464-2021</t>
        </is>
      </c>
      <c r="B4015" s="1" t="n">
        <v>44229</v>
      </c>
      <c r="C4015" s="1" t="n">
        <v>45363</v>
      </c>
      <c r="D4015" t="inlineStr">
        <is>
          <t>JÄMTLANDS LÄN</t>
        </is>
      </c>
      <c r="E4015" t="inlineStr">
        <is>
          <t>STRÖMSUND</t>
        </is>
      </c>
      <c r="F4015" t="inlineStr">
        <is>
          <t>SCA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5460-2021</t>
        </is>
      </c>
      <c r="B4016" s="1" t="n">
        <v>44229</v>
      </c>
      <c r="C4016" s="1" t="n">
        <v>45363</v>
      </c>
      <c r="D4016" t="inlineStr">
        <is>
          <t>JÄMTLANDS LÄN</t>
        </is>
      </c>
      <c r="E4016" t="inlineStr">
        <is>
          <t>ÖSTERSUND</t>
        </is>
      </c>
      <c r="G4016" t="n">
        <v>14.2</v>
      </c>
      <c r="H4016" t="n">
        <v>0</v>
      </c>
      <c r="I4016" t="n">
        <v>0</v>
      </c>
      <c r="J4016" t="n">
        <v>0</v>
      </c>
      <c r="K4016" t="n">
        <v>0</v>
      </c>
      <c r="L4016" t="n">
        <v>0</v>
      </c>
      <c r="M4016" t="n">
        <v>0</v>
      </c>
      <c r="N4016" t="n">
        <v>0</v>
      </c>
      <c r="O4016" t="n">
        <v>0</v>
      </c>
      <c r="P4016" t="n">
        <v>0</v>
      </c>
      <c r="Q4016" t="n">
        <v>0</v>
      </c>
      <c r="R4016" s="2" t="inlineStr"/>
    </row>
    <row r="4017" ht="15" customHeight="1">
      <c r="A4017" t="inlineStr">
        <is>
          <t>A 5472-2021</t>
        </is>
      </c>
      <c r="B4017" s="1" t="n">
        <v>44229</v>
      </c>
      <c r="C4017" s="1" t="n">
        <v>45363</v>
      </c>
      <c r="D4017" t="inlineStr">
        <is>
          <t>JÄMTLANDS LÄN</t>
        </is>
      </c>
      <c r="E4017" t="inlineStr">
        <is>
          <t>BRÄCKE</t>
        </is>
      </c>
      <c r="F4017" t="inlineStr">
        <is>
          <t>SCA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5401-2021</t>
        </is>
      </c>
      <c r="B4018" s="1" t="n">
        <v>44229</v>
      </c>
      <c r="C4018" s="1" t="n">
        <v>45363</v>
      </c>
      <c r="D4018" t="inlineStr">
        <is>
          <t>JÄMTLANDS LÄN</t>
        </is>
      </c>
      <c r="E4018" t="inlineStr">
        <is>
          <t>ÅRE</t>
        </is>
      </c>
      <c r="G4018" t="n">
        <v>10</v>
      </c>
      <c r="H4018" t="n">
        <v>0</v>
      </c>
      <c r="I4018" t="n">
        <v>0</v>
      </c>
      <c r="J4018" t="n">
        <v>0</v>
      </c>
      <c r="K4018" t="n">
        <v>0</v>
      </c>
      <c r="L4018" t="n">
        <v>0</v>
      </c>
      <c r="M4018" t="n">
        <v>0</v>
      </c>
      <c r="N4018" t="n">
        <v>0</v>
      </c>
      <c r="O4018" t="n">
        <v>0</v>
      </c>
      <c r="P4018" t="n">
        <v>0</v>
      </c>
      <c r="Q4018" t="n">
        <v>0</v>
      </c>
      <c r="R4018" s="2" t="inlineStr"/>
    </row>
    <row r="4019" ht="15" customHeight="1">
      <c r="A4019" t="inlineStr">
        <is>
          <t>A 5462-2021</t>
        </is>
      </c>
      <c r="B4019" s="1" t="n">
        <v>44229</v>
      </c>
      <c r="C4019" s="1" t="n">
        <v>45363</v>
      </c>
      <c r="D4019" t="inlineStr">
        <is>
          <t>JÄMTLANDS LÄN</t>
        </is>
      </c>
      <c r="E4019" t="inlineStr">
        <is>
          <t>RAGUNDA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5470-2021</t>
        </is>
      </c>
      <c r="B4020" s="1" t="n">
        <v>44229</v>
      </c>
      <c r="C4020" s="1" t="n">
        <v>45363</v>
      </c>
      <c r="D4020" t="inlineStr">
        <is>
          <t>JÄMTLANDS LÄN</t>
        </is>
      </c>
      <c r="E4020" t="inlineStr">
        <is>
          <t>STRÖMSUND</t>
        </is>
      </c>
      <c r="F4020" t="inlineStr">
        <is>
          <t>SCA</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5519-2021</t>
        </is>
      </c>
      <c r="B4021" s="1" t="n">
        <v>44230</v>
      </c>
      <c r="C4021" s="1" t="n">
        <v>45363</v>
      </c>
      <c r="D4021" t="inlineStr">
        <is>
          <t>JÄMTLANDS LÄN</t>
        </is>
      </c>
      <c r="E4021" t="inlineStr">
        <is>
          <t>HÄRJEDALEN</t>
        </is>
      </c>
      <c r="G4021" t="n">
        <v>10.8</v>
      </c>
      <c r="H4021" t="n">
        <v>0</v>
      </c>
      <c r="I4021" t="n">
        <v>0</v>
      </c>
      <c r="J4021" t="n">
        <v>0</v>
      </c>
      <c r="K4021" t="n">
        <v>0</v>
      </c>
      <c r="L4021" t="n">
        <v>0</v>
      </c>
      <c r="M4021" t="n">
        <v>0</v>
      </c>
      <c r="N4021" t="n">
        <v>0</v>
      </c>
      <c r="O4021" t="n">
        <v>0</v>
      </c>
      <c r="P4021" t="n">
        <v>0</v>
      </c>
      <c r="Q4021" t="n">
        <v>0</v>
      </c>
      <c r="R4021" s="2" t="inlineStr"/>
    </row>
    <row r="4022" ht="15" customHeight="1">
      <c r="A4022" t="inlineStr">
        <is>
          <t>A 5753-2021</t>
        </is>
      </c>
      <c r="B4022" s="1" t="n">
        <v>44230</v>
      </c>
      <c r="C4022" s="1" t="n">
        <v>45363</v>
      </c>
      <c r="D4022" t="inlineStr">
        <is>
          <t>JÄMTLANDS LÄN</t>
        </is>
      </c>
      <c r="E4022" t="inlineStr">
        <is>
          <t>ÅRE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5795-2021</t>
        </is>
      </c>
      <c r="B4023" s="1" t="n">
        <v>44230</v>
      </c>
      <c r="C4023" s="1" t="n">
        <v>45363</v>
      </c>
      <c r="D4023" t="inlineStr">
        <is>
          <t>JÄMTLANDS LÄN</t>
        </is>
      </c>
      <c r="E4023" t="inlineStr">
        <is>
          <t>STRÖMSUND</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5794-2021</t>
        </is>
      </c>
      <c r="B4024" s="1" t="n">
        <v>44230</v>
      </c>
      <c r="C4024" s="1" t="n">
        <v>45363</v>
      </c>
      <c r="D4024" t="inlineStr">
        <is>
          <t>JÄMTLANDS LÄN</t>
        </is>
      </c>
      <c r="E4024" t="inlineStr">
        <is>
          <t>STRÖMSUND</t>
        </is>
      </c>
      <c r="F4024" t="inlineStr">
        <is>
          <t>SCA</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5796-2021</t>
        </is>
      </c>
      <c r="B4025" s="1" t="n">
        <v>44230</v>
      </c>
      <c r="C4025" s="1" t="n">
        <v>45363</v>
      </c>
      <c r="D4025" t="inlineStr">
        <is>
          <t>JÄMTLANDS LÄN</t>
        </is>
      </c>
      <c r="E4025" t="inlineStr">
        <is>
          <t>BRÄCKE</t>
        </is>
      </c>
      <c r="F4025" t="inlineStr">
        <is>
          <t>SCA</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5803-2021</t>
        </is>
      </c>
      <c r="B4026" s="1" t="n">
        <v>44230</v>
      </c>
      <c r="C4026" s="1" t="n">
        <v>45363</v>
      </c>
      <c r="D4026" t="inlineStr">
        <is>
          <t>JÄMTLANDS LÄN</t>
        </is>
      </c>
      <c r="E4026" t="inlineStr">
        <is>
          <t>RAGUNDA</t>
        </is>
      </c>
      <c r="F4026" t="inlineStr">
        <is>
          <t>SCA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5967-2021</t>
        </is>
      </c>
      <c r="B4027" s="1" t="n">
        <v>44231</v>
      </c>
      <c r="C4027" s="1" t="n">
        <v>45363</v>
      </c>
      <c r="D4027" t="inlineStr">
        <is>
          <t>JÄMTLANDS LÄN</t>
        </is>
      </c>
      <c r="E4027" t="inlineStr">
        <is>
          <t>RAGUNDA</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8983-2021</t>
        </is>
      </c>
      <c r="B4028" s="1" t="n">
        <v>44231</v>
      </c>
      <c r="C4028" s="1" t="n">
        <v>45363</v>
      </c>
      <c r="D4028" t="inlineStr">
        <is>
          <t>JÄMTLANDS LÄN</t>
        </is>
      </c>
      <c r="E4028" t="inlineStr">
        <is>
          <t>ÅRE</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5958-2021</t>
        </is>
      </c>
      <c r="B4029" s="1" t="n">
        <v>44231</v>
      </c>
      <c r="C4029" s="1" t="n">
        <v>45363</v>
      </c>
      <c r="D4029" t="inlineStr">
        <is>
          <t>JÄMTLANDS LÄN</t>
        </is>
      </c>
      <c r="E4029" t="inlineStr">
        <is>
          <t>RAGUNDA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6016-2021</t>
        </is>
      </c>
      <c r="B4030" s="1" t="n">
        <v>44231</v>
      </c>
      <c r="C4030" s="1" t="n">
        <v>45363</v>
      </c>
      <c r="D4030" t="inlineStr">
        <is>
          <t>JÄMTLANDS LÄN</t>
        </is>
      </c>
      <c r="E4030" t="inlineStr">
        <is>
          <t>BRÄCKE</t>
        </is>
      </c>
      <c r="F4030" t="inlineStr">
        <is>
          <t>SCA</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6232-2021</t>
        </is>
      </c>
      <c r="B4031" s="1" t="n">
        <v>44231</v>
      </c>
      <c r="C4031" s="1" t="n">
        <v>45363</v>
      </c>
      <c r="D4031" t="inlineStr">
        <is>
          <t>JÄMTLANDS LÄN</t>
        </is>
      </c>
      <c r="E4031" t="inlineStr">
        <is>
          <t>ÅRE</t>
        </is>
      </c>
      <c r="G4031" t="n">
        <v>11.9</v>
      </c>
      <c r="H4031" t="n">
        <v>0</v>
      </c>
      <c r="I4031" t="n">
        <v>0</v>
      </c>
      <c r="J4031" t="n">
        <v>0</v>
      </c>
      <c r="K4031" t="n">
        <v>0</v>
      </c>
      <c r="L4031" t="n">
        <v>0</v>
      </c>
      <c r="M4031" t="n">
        <v>0</v>
      </c>
      <c r="N4031" t="n">
        <v>0</v>
      </c>
      <c r="O4031" t="n">
        <v>0</v>
      </c>
      <c r="P4031" t="n">
        <v>0</v>
      </c>
      <c r="Q4031" t="n">
        <v>0</v>
      </c>
      <c r="R4031" s="2" t="inlineStr"/>
    </row>
    <row r="4032" ht="15" customHeight="1">
      <c r="A4032" t="inlineStr">
        <is>
          <t>A 5993-2021</t>
        </is>
      </c>
      <c r="B4032" s="1" t="n">
        <v>44231</v>
      </c>
      <c r="C4032" s="1" t="n">
        <v>45363</v>
      </c>
      <c r="D4032" t="inlineStr">
        <is>
          <t>JÄMTLANDS LÄN</t>
        </is>
      </c>
      <c r="E4032" t="inlineStr">
        <is>
          <t>HÄRJEDALEN</t>
        </is>
      </c>
      <c r="F4032" t="inlineStr">
        <is>
          <t>Kyrkan</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6386-2021</t>
        </is>
      </c>
      <c r="B4033" s="1" t="n">
        <v>44232</v>
      </c>
      <c r="C4033" s="1" t="n">
        <v>45363</v>
      </c>
      <c r="D4033" t="inlineStr">
        <is>
          <t>JÄMTLANDS LÄN</t>
        </is>
      </c>
      <c r="E4033" t="inlineStr">
        <is>
          <t>STRÖMSUND</t>
        </is>
      </c>
      <c r="F4033" t="inlineStr">
        <is>
          <t>Kommuner</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6399-2021</t>
        </is>
      </c>
      <c r="B4034" s="1" t="n">
        <v>44232</v>
      </c>
      <c r="C4034" s="1" t="n">
        <v>45363</v>
      </c>
      <c r="D4034" t="inlineStr">
        <is>
          <t>JÄMTLANDS LÄN</t>
        </is>
      </c>
      <c r="E4034" t="inlineStr">
        <is>
          <t>BRÄCKE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6394-2021</t>
        </is>
      </c>
      <c r="B4035" s="1" t="n">
        <v>44232</v>
      </c>
      <c r="C4035" s="1" t="n">
        <v>45363</v>
      </c>
      <c r="D4035" t="inlineStr">
        <is>
          <t>JÄMTLANDS LÄN</t>
        </is>
      </c>
      <c r="E4035" t="inlineStr">
        <is>
          <t>STRÖMSUND</t>
        </is>
      </c>
      <c r="F4035" t="inlineStr">
        <is>
          <t>Kommuner</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6371-2021</t>
        </is>
      </c>
      <c r="B4036" s="1" t="n">
        <v>44232</v>
      </c>
      <c r="C4036" s="1" t="n">
        <v>45363</v>
      </c>
      <c r="D4036" t="inlineStr">
        <is>
          <t>JÄMTLANDS LÄN</t>
        </is>
      </c>
      <c r="E4036" t="inlineStr">
        <is>
          <t>STRÖMSUND</t>
        </is>
      </c>
      <c r="F4036" t="inlineStr">
        <is>
          <t>Kommuner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6578-2021</t>
        </is>
      </c>
      <c r="B4037" s="1" t="n">
        <v>44236</v>
      </c>
      <c r="C4037" s="1" t="n">
        <v>45363</v>
      </c>
      <c r="D4037" t="inlineStr">
        <is>
          <t>JÄMTLANDS LÄN</t>
        </is>
      </c>
      <c r="E4037" t="inlineStr">
        <is>
          <t>ÖSTERSUND</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6802-2021</t>
        </is>
      </c>
      <c r="B4038" s="1" t="n">
        <v>44236</v>
      </c>
      <c r="C4038" s="1" t="n">
        <v>45363</v>
      </c>
      <c r="D4038" t="inlineStr">
        <is>
          <t>JÄMTLANDS LÄN</t>
        </is>
      </c>
      <c r="E4038" t="inlineStr">
        <is>
          <t>RAGUNDA</t>
        </is>
      </c>
      <c r="G4038" t="n">
        <v>11.2</v>
      </c>
      <c r="H4038" t="n">
        <v>0</v>
      </c>
      <c r="I4038" t="n">
        <v>0</v>
      </c>
      <c r="J4038" t="n">
        <v>0</v>
      </c>
      <c r="K4038" t="n">
        <v>0</v>
      </c>
      <c r="L4038" t="n">
        <v>0</v>
      </c>
      <c r="M4038" t="n">
        <v>0</v>
      </c>
      <c r="N4038" t="n">
        <v>0</v>
      </c>
      <c r="O4038" t="n">
        <v>0</v>
      </c>
      <c r="P4038" t="n">
        <v>0</v>
      </c>
      <c r="Q4038" t="n">
        <v>0</v>
      </c>
      <c r="R4038" s="2" t="inlineStr"/>
    </row>
    <row r="4039" ht="15" customHeight="1">
      <c r="A4039" t="inlineStr">
        <is>
          <t>A 7087-2021</t>
        </is>
      </c>
      <c r="B4039" s="1" t="n">
        <v>44238</v>
      </c>
      <c r="C4039" s="1" t="n">
        <v>45363</v>
      </c>
      <c r="D4039" t="inlineStr">
        <is>
          <t>JÄMTLANDS LÄN</t>
        </is>
      </c>
      <c r="E4039" t="inlineStr">
        <is>
          <t>HÄRJEDALEN</t>
        </is>
      </c>
      <c r="F4039" t="inlineStr">
        <is>
          <t>Holmen skog AB</t>
        </is>
      </c>
      <c r="G4039" t="n">
        <v>14.9</v>
      </c>
      <c r="H4039" t="n">
        <v>0</v>
      </c>
      <c r="I4039" t="n">
        <v>0</v>
      </c>
      <c r="J4039" t="n">
        <v>0</v>
      </c>
      <c r="K4039" t="n">
        <v>0</v>
      </c>
      <c r="L4039" t="n">
        <v>0</v>
      </c>
      <c r="M4039" t="n">
        <v>0</v>
      </c>
      <c r="N4039" t="n">
        <v>0</v>
      </c>
      <c r="O4039" t="n">
        <v>0</v>
      </c>
      <c r="P4039" t="n">
        <v>0</v>
      </c>
      <c r="Q4039" t="n">
        <v>0</v>
      </c>
      <c r="R4039" s="2" t="inlineStr"/>
    </row>
    <row r="4040" ht="15" customHeight="1">
      <c r="A4040" t="inlineStr">
        <is>
          <t>A 7112-2021</t>
        </is>
      </c>
      <c r="B4040" s="1" t="n">
        <v>44238</v>
      </c>
      <c r="C4040" s="1" t="n">
        <v>45363</v>
      </c>
      <c r="D4040" t="inlineStr">
        <is>
          <t>JÄMTLANDS LÄN</t>
        </is>
      </c>
      <c r="E4040" t="inlineStr">
        <is>
          <t>HÄRJEDALEN</t>
        </is>
      </c>
      <c r="F4040" t="inlineStr">
        <is>
          <t>Holmen skog AB</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7097-2021</t>
        </is>
      </c>
      <c r="B4041" s="1" t="n">
        <v>44238</v>
      </c>
      <c r="C4041" s="1" t="n">
        <v>45363</v>
      </c>
      <c r="D4041" t="inlineStr">
        <is>
          <t>JÄMTLANDS LÄN</t>
        </is>
      </c>
      <c r="E4041" t="inlineStr">
        <is>
          <t>HÄRJEDALEN</t>
        </is>
      </c>
      <c r="F4041" t="inlineStr">
        <is>
          <t>Holmen skog AB</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7086-2021</t>
        </is>
      </c>
      <c r="B4042" s="1" t="n">
        <v>44238</v>
      </c>
      <c r="C4042" s="1" t="n">
        <v>45363</v>
      </c>
      <c r="D4042" t="inlineStr">
        <is>
          <t>JÄMTLANDS LÄN</t>
        </is>
      </c>
      <c r="E4042" t="inlineStr">
        <is>
          <t>HÄRJEDALEN</t>
        </is>
      </c>
      <c r="F4042" t="inlineStr">
        <is>
          <t>Holmen skog AB</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7110-2021</t>
        </is>
      </c>
      <c r="B4043" s="1" t="n">
        <v>44238</v>
      </c>
      <c r="C4043" s="1" t="n">
        <v>45363</v>
      </c>
      <c r="D4043" t="inlineStr">
        <is>
          <t>JÄMTLANDS LÄN</t>
        </is>
      </c>
      <c r="E4043" t="inlineStr">
        <is>
          <t>HÄRJEDALEN</t>
        </is>
      </c>
      <c r="F4043" t="inlineStr">
        <is>
          <t>Holmen skog AB</t>
        </is>
      </c>
      <c r="G4043" t="n">
        <v>8.199999999999999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7268-2021</t>
        </is>
      </c>
      <c r="B4044" s="1" t="n">
        <v>44238</v>
      </c>
      <c r="C4044" s="1" t="n">
        <v>45363</v>
      </c>
      <c r="D4044" t="inlineStr">
        <is>
          <t>JÄMTLANDS LÄN</t>
        </is>
      </c>
      <c r="E4044" t="inlineStr">
        <is>
          <t>STRÖMSUND</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8396-2021</t>
        </is>
      </c>
      <c r="B4045" s="1" t="n">
        <v>44238</v>
      </c>
      <c r="C4045" s="1" t="n">
        <v>45363</v>
      </c>
      <c r="D4045" t="inlineStr">
        <is>
          <t>JÄMTLANDS LÄN</t>
        </is>
      </c>
      <c r="E4045" t="inlineStr">
        <is>
          <t>ÖSTERSUND</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7427-2021</t>
        </is>
      </c>
      <c r="B4046" s="1" t="n">
        <v>44239</v>
      </c>
      <c r="C4046" s="1" t="n">
        <v>45363</v>
      </c>
      <c r="D4046" t="inlineStr">
        <is>
          <t>JÄMTLANDS LÄN</t>
        </is>
      </c>
      <c r="E4046" t="inlineStr">
        <is>
          <t>HÄRJEDALEN</t>
        </is>
      </c>
      <c r="F4046" t="inlineStr">
        <is>
          <t>Holmen skog AB</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7570-2021</t>
        </is>
      </c>
      <c r="B4047" s="1" t="n">
        <v>44239</v>
      </c>
      <c r="C4047" s="1" t="n">
        <v>45363</v>
      </c>
      <c r="D4047" t="inlineStr">
        <is>
          <t>JÄMTLANDS LÄN</t>
        </is>
      </c>
      <c r="E4047" t="inlineStr">
        <is>
          <t>HÄRJEDALEN</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7697-2021</t>
        </is>
      </c>
      <c r="B4048" s="1" t="n">
        <v>44239</v>
      </c>
      <c r="C4048" s="1" t="n">
        <v>45363</v>
      </c>
      <c r="D4048" t="inlineStr">
        <is>
          <t>JÄMTLANDS LÄN</t>
        </is>
      </c>
      <c r="E4048" t="inlineStr">
        <is>
          <t>STRÖMSUND</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7575-2021</t>
        </is>
      </c>
      <c r="B4049" s="1" t="n">
        <v>44239</v>
      </c>
      <c r="C4049" s="1" t="n">
        <v>45363</v>
      </c>
      <c r="D4049" t="inlineStr">
        <is>
          <t>JÄMTLANDS LÄN</t>
        </is>
      </c>
      <c r="E4049" t="inlineStr">
        <is>
          <t>RAGUNDA</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7731-2021</t>
        </is>
      </c>
      <c r="B4050" s="1" t="n">
        <v>44242</v>
      </c>
      <c r="C4050" s="1" t="n">
        <v>45363</v>
      </c>
      <c r="D4050" t="inlineStr">
        <is>
          <t>JÄMTLANDS LÄN</t>
        </is>
      </c>
      <c r="E4050" t="inlineStr">
        <is>
          <t>HÄRJEDALEN</t>
        </is>
      </c>
      <c r="G4050" t="n">
        <v>13.6</v>
      </c>
      <c r="H4050" t="n">
        <v>0</v>
      </c>
      <c r="I4050" t="n">
        <v>0</v>
      </c>
      <c r="J4050" t="n">
        <v>0</v>
      </c>
      <c r="K4050" t="n">
        <v>0</v>
      </c>
      <c r="L4050" t="n">
        <v>0</v>
      </c>
      <c r="M4050" t="n">
        <v>0</v>
      </c>
      <c r="N4050" t="n">
        <v>0</v>
      </c>
      <c r="O4050" t="n">
        <v>0</v>
      </c>
      <c r="P4050" t="n">
        <v>0</v>
      </c>
      <c r="Q4050" t="n">
        <v>0</v>
      </c>
      <c r="R4050" s="2" t="inlineStr"/>
    </row>
    <row r="4051" ht="15" customHeight="1">
      <c r="A4051" t="inlineStr">
        <is>
          <t>A 7886-2021</t>
        </is>
      </c>
      <c r="B4051" s="1" t="n">
        <v>44242</v>
      </c>
      <c r="C4051" s="1" t="n">
        <v>45363</v>
      </c>
      <c r="D4051" t="inlineStr">
        <is>
          <t>JÄMTLANDS LÄN</t>
        </is>
      </c>
      <c r="E4051" t="inlineStr">
        <is>
          <t>RAGUNDA</t>
        </is>
      </c>
      <c r="F4051" t="inlineStr">
        <is>
          <t>SCA</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8033-2021</t>
        </is>
      </c>
      <c r="B4052" s="1" t="n">
        <v>44243</v>
      </c>
      <c r="C4052" s="1" t="n">
        <v>45363</v>
      </c>
      <c r="D4052" t="inlineStr">
        <is>
          <t>JÄMTLANDS LÄN</t>
        </is>
      </c>
      <c r="E4052" t="inlineStr">
        <is>
          <t>RAGUNDA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8016-2021</t>
        </is>
      </c>
      <c r="B4053" s="1" t="n">
        <v>44243</v>
      </c>
      <c r="C4053" s="1" t="n">
        <v>45363</v>
      </c>
      <c r="D4053" t="inlineStr">
        <is>
          <t>JÄMTLANDS LÄN</t>
        </is>
      </c>
      <c r="E4053" t="inlineStr">
        <is>
          <t>STRÖMSUND</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8055-2021</t>
        </is>
      </c>
      <c r="B4054" s="1" t="n">
        <v>44243</v>
      </c>
      <c r="C4054" s="1" t="n">
        <v>45363</v>
      </c>
      <c r="D4054" t="inlineStr">
        <is>
          <t>JÄMTLANDS LÄN</t>
        </is>
      </c>
      <c r="E4054" t="inlineStr">
        <is>
          <t>HÄRJEDALEN</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8020-2021</t>
        </is>
      </c>
      <c r="B4055" s="1" t="n">
        <v>44243</v>
      </c>
      <c r="C4055" s="1" t="n">
        <v>45363</v>
      </c>
      <c r="D4055" t="inlineStr">
        <is>
          <t>JÄMTLANDS LÄN</t>
        </is>
      </c>
      <c r="E4055" t="inlineStr">
        <is>
          <t>STRÖMSUND</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8154-2021</t>
        </is>
      </c>
      <c r="B4056" s="1" t="n">
        <v>44243</v>
      </c>
      <c r="C4056" s="1" t="n">
        <v>45363</v>
      </c>
      <c r="D4056" t="inlineStr">
        <is>
          <t>JÄMTLANDS LÄN</t>
        </is>
      </c>
      <c r="E4056" t="inlineStr">
        <is>
          <t>KROKOM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8294-2021</t>
        </is>
      </c>
      <c r="B4057" s="1" t="n">
        <v>44243</v>
      </c>
      <c r="C4057" s="1" t="n">
        <v>45363</v>
      </c>
      <c r="D4057" t="inlineStr">
        <is>
          <t>JÄMTLANDS LÄN</t>
        </is>
      </c>
      <c r="E4057" t="inlineStr">
        <is>
          <t>ÅRE</t>
        </is>
      </c>
      <c r="G4057" t="n">
        <v>16.5</v>
      </c>
      <c r="H4057" t="n">
        <v>0</v>
      </c>
      <c r="I4057" t="n">
        <v>0</v>
      </c>
      <c r="J4057" t="n">
        <v>0</v>
      </c>
      <c r="K4057" t="n">
        <v>0</v>
      </c>
      <c r="L4057" t="n">
        <v>0</v>
      </c>
      <c r="M4057" t="n">
        <v>0</v>
      </c>
      <c r="N4057" t="n">
        <v>0</v>
      </c>
      <c r="O4057" t="n">
        <v>0</v>
      </c>
      <c r="P4057" t="n">
        <v>0</v>
      </c>
      <c r="Q4057" t="n">
        <v>0</v>
      </c>
      <c r="R4057" s="2" t="inlineStr"/>
    </row>
    <row r="4058" ht="15" customHeight="1">
      <c r="A4058" t="inlineStr">
        <is>
          <t>A 8217-2021</t>
        </is>
      </c>
      <c r="B4058" s="1" t="n">
        <v>44244</v>
      </c>
      <c r="C4058" s="1" t="n">
        <v>45363</v>
      </c>
      <c r="D4058" t="inlineStr">
        <is>
          <t>JÄMTLANDS LÄN</t>
        </is>
      </c>
      <c r="E4058" t="inlineStr">
        <is>
          <t>ÅRE</t>
        </is>
      </c>
      <c r="G4058" t="n">
        <v>51.8</v>
      </c>
      <c r="H4058" t="n">
        <v>0</v>
      </c>
      <c r="I4058" t="n">
        <v>0</v>
      </c>
      <c r="J4058" t="n">
        <v>0</v>
      </c>
      <c r="K4058" t="n">
        <v>0</v>
      </c>
      <c r="L4058" t="n">
        <v>0</v>
      </c>
      <c r="M4058" t="n">
        <v>0</v>
      </c>
      <c r="N4058" t="n">
        <v>0</v>
      </c>
      <c r="O4058" t="n">
        <v>0</v>
      </c>
      <c r="P4058" t="n">
        <v>0</v>
      </c>
      <c r="Q4058" t="n">
        <v>0</v>
      </c>
      <c r="R4058" s="2" t="inlineStr"/>
    </row>
    <row r="4059" ht="15" customHeight="1">
      <c r="A4059" t="inlineStr">
        <is>
          <t>A 8302-2021</t>
        </is>
      </c>
      <c r="B4059" s="1" t="n">
        <v>44244</v>
      </c>
      <c r="C4059" s="1" t="n">
        <v>45363</v>
      </c>
      <c r="D4059" t="inlineStr">
        <is>
          <t>JÄMTLANDS LÄN</t>
        </is>
      </c>
      <c r="E4059" t="inlineStr">
        <is>
          <t>KROKOM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8364-2021</t>
        </is>
      </c>
      <c r="B4060" s="1" t="n">
        <v>44244</v>
      </c>
      <c r="C4060" s="1" t="n">
        <v>45363</v>
      </c>
      <c r="D4060" t="inlineStr">
        <is>
          <t>JÄMTLANDS LÄN</t>
        </is>
      </c>
      <c r="E4060" t="inlineStr">
        <is>
          <t>STRÖMSUND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8639-2021</t>
        </is>
      </c>
      <c r="B4061" s="1" t="n">
        <v>44245</v>
      </c>
      <c r="C4061" s="1" t="n">
        <v>45363</v>
      </c>
      <c r="D4061" t="inlineStr">
        <is>
          <t>JÄMTLANDS LÄN</t>
        </is>
      </c>
      <c r="E4061" t="inlineStr">
        <is>
          <t>BERG</t>
        </is>
      </c>
      <c r="F4061" t="inlineStr">
        <is>
          <t>Naturvårdsverket</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8626-2021</t>
        </is>
      </c>
      <c r="B4062" s="1" t="n">
        <v>44245</v>
      </c>
      <c r="C4062" s="1" t="n">
        <v>45363</v>
      </c>
      <c r="D4062" t="inlineStr">
        <is>
          <t>JÄMTLANDS LÄN</t>
        </is>
      </c>
      <c r="E4062" t="inlineStr">
        <is>
          <t>RAGUNDA</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8668-2021</t>
        </is>
      </c>
      <c r="B4063" s="1" t="n">
        <v>44246</v>
      </c>
      <c r="C4063" s="1" t="n">
        <v>45363</v>
      </c>
      <c r="D4063" t="inlineStr">
        <is>
          <t>JÄMTLANDS LÄN</t>
        </is>
      </c>
      <c r="E4063" t="inlineStr">
        <is>
          <t>ÅRE</t>
        </is>
      </c>
      <c r="G4063" t="n">
        <v>19.5</v>
      </c>
      <c r="H4063" t="n">
        <v>0</v>
      </c>
      <c r="I4063" t="n">
        <v>0</v>
      </c>
      <c r="J4063" t="n">
        <v>0</v>
      </c>
      <c r="K4063" t="n">
        <v>0</v>
      </c>
      <c r="L4063" t="n">
        <v>0</v>
      </c>
      <c r="M4063" t="n">
        <v>0</v>
      </c>
      <c r="N4063" t="n">
        <v>0</v>
      </c>
      <c r="O4063" t="n">
        <v>0</v>
      </c>
      <c r="P4063" t="n">
        <v>0</v>
      </c>
      <c r="Q4063" t="n">
        <v>0</v>
      </c>
      <c r="R4063" s="2" t="inlineStr"/>
    </row>
    <row r="4064" ht="15" customHeight="1">
      <c r="A4064" t="inlineStr">
        <is>
          <t>A 8979-2021</t>
        </is>
      </c>
      <c r="B4064" s="1" t="n">
        <v>44246</v>
      </c>
      <c r="C4064" s="1" t="n">
        <v>45363</v>
      </c>
      <c r="D4064" t="inlineStr">
        <is>
          <t>JÄMTLANDS LÄN</t>
        </is>
      </c>
      <c r="E4064" t="inlineStr">
        <is>
          <t>STRÖMSUND</t>
        </is>
      </c>
      <c r="G4064" t="n">
        <v>40.4</v>
      </c>
      <c r="H4064" t="n">
        <v>0</v>
      </c>
      <c r="I4064" t="n">
        <v>0</v>
      </c>
      <c r="J4064" t="n">
        <v>0</v>
      </c>
      <c r="K4064" t="n">
        <v>0</v>
      </c>
      <c r="L4064" t="n">
        <v>0</v>
      </c>
      <c r="M4064" t="n">
        <v>0</v>
      </c>
      <c r="N4064" t="n">
        <v>0</v>
      </c>
      <c r="O4064" t="n">
        <v>0</v>
      </c>
      <c r="P4064" t="n">
        <v>0</v>
      </c>
      <c r="Q4064" t="n">
        <v>0</v>
      </c>
      <c r="R4064" s="2" t="inlineStr"/>
    </row>
    <row r="4065" ht="15" customHeight="1">
      <c r="A4065" t="inlineStr">
        <is>
          <t>A 9470-2021</t>
        </is>
      </c>
      <c r="B4065" s="1" t="n">
        <v>44251</v>
      </c>
      <c r="C4065" s="1" t="n">
        <v>45363</v>
      </c>
      <c r="D4065" t="inlineStr">
        <is>
          <t>JÄMTLANDS LÄN</t>
        </is>
      </c>
      <c r="E4065" t="inlineStr">
        <is>
          <t>HÄRJEDALEN</t>
        </is>
      </c>
      <c r="G4065" t="n">
        <v>12.4</v>
      </c>
      <c r="H4065" t="n">
        <v>0</v>
      </c>
      <c r="I4065" t="n">
        <v>0</v>
      </c>
      <c r="J4065" t="n">
        <v>0</v>
      </c>
      <c r="K4065" t="n">
        <v>0</v>
      </c>
      <c r="L4065" t="n">
        <v>0</v>
      </c>
      <c r="M4065" t="n">
        <v>0</v>
      </c>
      <c r="N4065" t="n">
        <v>0</v>
      </c>
      <c r="O4065" t="n">
        <v>0</v>
      </c>
      <c r="P4065" t="n">
        <v>0</v>
      </c>
      <c r="Q4065" t="n">
        <v>0</v>
      </c>
      <c r="R4065" s="2" t="inlineStr"/>
    </row>
    <row r="4066" ht="15" customHeight="1">
      <c r="A4066" t="inlineStr">
        <is>
          <t>A 9613-2021</t>
        </is>
      </c>
      <c r="B4066" s="1" t="n">
        <v>44251</v>
      </c>
      <c r="C4066" s="1" t="n">
        <v>45363</v>
      </c>
      <c r="D4066" t="inlineStr">
        <is>
          <t>JÄMTLANDS LÄN</t>
        </is>
      </c>
      <c r="E4066" t="inlineStr">
        <is>
          <t>ÅRE</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9629-2021</t>
        </is>
      </c>
      <c r="B4067" s="1" t="n">
        <v>44251</v>
      </c>
      <c r="C4067" s="1" t="n">
        <v>45363</v>
      </c>
      <c r="D4067" t="inlineStr">
        <is>
          <t>JÄMTLANDS LÄN</t>
        </is>
      </c>
      <c r="E4067" t="inlineStr">
        <is>
          <t>BERG</t>
        </is>
      </c>
      <c r="F4067" t="inlineStr">
        <is>
          <t>SCA</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9777-2021</t>
        </is>
      </c>
      <c r="B4068" s="1" t="n">
        <v>44252</v>
      </c>
      <c r="C4068" s="1" t="n">
        <v>45363</v>
      </c>
      <c r="D4068" t="inlineStr">
        <is>
          <t>JÄMTLANDS LÄN</t>
        </is>
      </c>
      <c r="E4068" t="inlineStr">
        <is>
          <t>ÅRE</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9710-2021</t>
        </is>
      </c>
      <c r="B4069" s="1" t="n">
        <v>44252</v>
      </c>
      <c r="C4069" s="1" t="n">
        <v>45363</v>
      </c>
      <c r="D4069" t="inlineStr">
        <is>
          <t>JÄMTLANDS LÄN</t>
        </is>
      </c>
      <c r="E4069" t="inlineStr">
        <is>
          <t>STRÖMSUND</t>
        </is>
      </c>
      <c r="G4069" t="n">
        <v>18.5</v>
      </c>
      <c r="H4069" t="n">
        <v>0</v>
      </c>
      <c r="I4069" t="n">
        <v>0</v>
      </c>
      <c r="J4069" t="n">
        <v>0</v>
      </c>
      <c r="K4069" t="n">
        <v>0</v>
      </c>
      <c r="L4069" t="n">
        <v>0</v>
      </c>
      <c r="M4069" t="n">
        <v>0</v>
      </c>
      <c r="N4069" t="n">
        <v>0</v>
      </c>
      <c r="O4069" t="n">
        <v>0</v>
      </c>
      <c r="P4069" t="n">
        <v>0</v>
      </c>
      <c r="Q4069" t="n">
        <v>0</v>
      </c>
      <c r="R4069" s="2" t="inlineStr"/>
    </row>
    <row r="4070" ht="15" customHeight="1">
      <c r="A4070" t="inlineStr">
        <is>
          <t>A 9920-2021</t>
        </is>
      </c>
      <c r="B4070" s="1" t="n">
        <v>44253</v>
      </c>
      <c r="C4070" s="1" t="n">
        <v>45363</v>
      </c>
      <c r="D4070" t="inlineStr">
        <is>
          <t>JÄMTLANDS LÄN</t>
        </is>
      </c>
      <c r="E4070" t="inlineStr">
        <is>
          <t>BERG</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9994-2021</t>
        </is>
      </c>
      <c r="B4071" s="1" t="n">
        <v>44254</v>
      </c>
      <c r="C4071" s="1" t="n">
        <v>45363</v>
      </c>
      <c r="D4071" t="inlineStr">
        <is>
          <t>JÄMTLANDS LÄN</t>
        </is>
      </c>
      <c r="E4071" t="inlineStr">
        <is>
          <t>BRÄCKE</t>
        </is>
      </c>
      <c r="F4071" t="inlineStr">
        <is>
          <t>SCA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10008-2021</t>
        </is>
      </c>
      <c r="B4072" s="1" t="n">
        <v>44255</v>
      </c>
      <c r="C4072" s="1" t="n">
        <v>45363</v>
      </c>
      <c r="D4072" t="inlineStr">
        <is>
          <t>JÄMTLANDS LÄN</t>
        </is>
      </c>
      <c r="E4072" t="inlineStr">
        <is>
          <t>KROKOM</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10191-2021</t>
        </is>
      </c>
      <c r="B4073" s="1" t="n">
        <v>44256</v>
      </c>
      <c r="C4073" s="1" t="n">
        <v>45363</v>
      </c>
      <c r="D4073" t="inlineStr">
        <is>
          <t>JÄMTLANDS LÄN</t>
        </is>
      </c>
      <c r="E4073" t="inlineStr">
        <is>
          <t>ÅRE</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10303-2021</t>
        </is>
      </c>
      <c r="B4074" s="1" t="n">
        <v>44256</v>
      </c>
      <c r="C4074" s="1" t="n">
        <v>45363</v>
      </c>
      <c r="D4074" t="inlineStr">
        <is>
          <t>JÄMTLANDS LÄN</t>
        </is>
      </c>
      <c r="E4074" t="inlineStr">
        <is>
          <t>KROKOM</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10285-2021</t>
        </is>
      </c>
      <c r="B4075" s="1" t="n">
        <v>44257</v>
      </c>
      <c r="C4075" s="1" t="n">
        <v>45363</v>
      </c>
      <c r="D4075" t="inlineStr">
        <is>
          <t>JÄMTLANDS LÄN</t>
        </is>
      </c>
      <c r="E4075" t="inlineStr">
        <is>
          <t>ÅRE</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10283-2021</t>
        </is>
      </c>
      <c r="B4076" s="1" t="n">
        <v>44257</v>
      </c>
      <c r="C4076" s="1" t="n">
        <v>45363</v>
      </c>
      <c r="D4076" t="inlineStr">
        <is>
          <t>JÄMTLANDS LÄN</t>
        </is>
      </c>
      <c r="E4076" t="inlineStr">
        <is>
          <t>ÅRE</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10528-2021</t>
        </is>
      </c>
      <c r="B4077" s="1" t="n">
        <v>44257</v>
      </c>
      <c r="C4077" s="1" t="n">
        <v>45363</v>
      </c>
      <c r="D4077" t="inlineStr">
        <is>
          <t>JÄMTLANDS LÄN</t>
        </is>
      </c>
      <c r="E4077" t="inlineStr">
        <is>
          <t>STRÖMSUND</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10530-2021</t>
        </is>
      </c>
      <c r="B4078" s="1" t="n">
        <v>44258</v>
      </c>
      <c r="C4078" s="1" t="n">
        <v>45363</v>
      </c>
      <c r="D4078" t="inlineStr">
        <is>
          <t>JÄMTLANDS LÄN</t>
        </is>
      </c>
      <c r="E4078" t="inlineStr">
        <is>
          <t>HÄRJEDALEN</t>
        </is>
      </c>
      <c r="G4078" t="n">
        <v>19.5</v>
      </c>
      <c r="H4078" t="n">
        <v>0</v>
      </c>
      <c r="I4078" t="n">
        <v>0</v>
      </c>
      <c r="J4078" t="n">
        <v>0</v>
      </c>
      <c r="K4078" t="n">
        <v>0</v>
      </c>
      <c r="L4078" t="n">
        <v>0</v>
      </c>
      <c r="M4078" t="n">
        <v>0</v>
      </c>
      <c r="N4078" t="n">
        <v>0</v>
      </c>
      <c r="O4078" t="n">
        <v>0</v>
      </c>
      <c r="P4078" t="n">
        <v>0</v>
      </c>
      <c r="Q4078" t="n">
        <v>0</v>
      </c>
      <c r="R4078" s="2" t="inlineStr"/>
    </row>
    <row r="4079" ht="15" customHeight="1">
      <c r="A4079" t="inlineStr">
        <is>
          <t>A 10590-2021</t>
        </is>
      </c>
      <c r="B4079" s="1" t="n">
        <v>44258</v>
      </c>
      <c r="C4079" s="1" t="n">
        <v>45363</v>
      </c>
      <c r="D4079" t="inlineStr">
        <is>
          <t>JÄMTLANDS LÄN</t>
        </is>
      </c>
      <c r="E4079" t="inlineStr">
        <is>
          <t>ÖSTERSUND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10536-2021</t>
        </is>
      </c>
      <c r="B4080" s="1" t="n">
        <v>44258</v>
      </c>
      <c r="C4080" s="1" t="n">
        <v>45363</v>
      </c>
      <c r="D4080" t="inlineStr">
        <is>
          <t>JÄMTLANDS LÄN</t>
        </is>
      </c>
      <c r="E4080" t="inlineStr">
        <is>
          <t>HÄRJEDALEN</t>
        </is>
      </c>
      <c r="G4080" t="n">
        <v>18.7</v>
      </c>
      <c r="H4080" t="n">
        <v>0</v>
      </c>
      <c r="I4080" t="n">
        <v>0</v>
      </c>
      <c r="J4080" t="n">
        <v>0</v>
      </c>
      <c r="K4080" t="n">
        <v>0</v>
      </c>
      <c r="L4080" t="n">
        <v>0</v>
      </c>
      <c r="M4080" t="n">
        <v>0</v>
      </c>
      <c r="N4080" t="n">
        <v>0</v>
      </c>
      <c r="O4080" t="n">
        <v>0</v>
      </c>
      <c r="P4080" t="n">
        <v>0</v>
      </c>
      <c r="Q4080" t="n">
        <v>0</v>
      </c>
      <c r="R4080" s="2" t="inlineStr"/>
    </row>
    <row r="4081" ht="15" customHeight="1">
      <c r="A4081" t="inlineStr">
        <is>
          <t>A 10938-2021</t>
        </is>
      </c>
      <c r="B4081" s="1" t="n">
        <v>44259</v>
      </c>
      <c r="C4081" s="1" t="n">
        <v>45363</v>
      </c>
      <c r="D4081" t="inlineStr">
        <is>
          <t>JÄMTLANDS LÄN</t>
        </is>
      </c>
      <c r="E4081" t="inlineStr">
        <is>
          <t>RAGUNDA</t>
        </is>
      </c>
      <c r="G4081" t="n">
        <v>10.4</v>
      </c>
      <c r="H4081" t="n">
        <v>0</v>
      </c>
      <c r="I4081" t="n">
        <v>0</v>
      </c>
      <c r="J4081" t="n">
        <v>0</v>
      </c>
      <c r="K4081" t="n">
        <v>0</v>
      </c>
      <c r="L4081" t="n">
        <v>0</v>
      </c>
      <c r="M4081" t="n">
        <v>0</v>
      </c>
      <c r="N4081" t="n">
        <v>0</v>
      </c>
      <c r="O4081" t="n">
        <v>0</v>
      </c>
      <c r="P4081" t="n">
        <v>0</v>
      </c>
      <c r="Q4081" t="n">
        <v>0</v>
      </c>
      <c r="R4081" s="2" t="inlineStr"/>
    </row>
    <row r="4082" ht="15" customHeight="1">
      <c r="A4082" t="inlineStr">
        <is>
          <t>A 10911-2021</t>
        </is>
      </c>
      <c r="B4082" s="1" t="n">
        <v>44259</v>
      </c>
      <c r="C4082" s="1" t="n">
        <v>45363</v>
      </c>
      <c r="D4082" t="inlineStr">
        <is>
          <t>JÄMTLANDS LÄN</t>
        </is>
      </c>
      <c r="E4082" t="inlineStr">
        <is>
          <t>ÖSTERSUND</t>
        </is>
      </c>
      <c r="F4082" t="inlineStr">
        <is>
          <t>Kyrkan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10937-2021</t>
        </is>
      </c>
      <c r="B4083" s="1" t="n">
        <v>44259</v>
      </c>
      <c r="C4083" s="1" t="n">
        <v>45363</v>
      </c>
      <c r="D4083" t="inlineStr">
        <is>
          <t>JÄMTLANDS LÄN</t>
        </is>
      </c>
      <c r="E4083" t="inlineStr">
        <is>
          <t>RAGUNDA</t>
        </is>
      </c>
      <c r="G4083" t="n">
        <v>10.8</v>
      </c>
      <c r="H4083" t="n">
        <v>0</v>
      </c>
      <c r="I4083" t="n">
        <v>0</v>
      </c>
      <c r="J4083" t="n">
        <v>0</v>
      </c>
      <c r="K4083" t="n">
        <v>0</v>
      </c>
      <c r="L4083" t="n">
        <v>0</v>
      </c>
      <c r="M4083" t="n">
        <v>0</v>
      </c>
      <c r="N4083" t="n">
        <v>0</v>
      </c>
      <c r="O4083" t="n">
        <v>0</v>
      </c>
      <c r="P4083" t="n">
        <v>0</v>
      </c>
      <c r="Q4083" t="n">
        <v>0</v>
      </c>
      <c r="R4083" s="2" t="inlineStr"/>
    </row>
    <row r="4084" ht="15" customHeight="1">
      <c r="A4084" t="inlineStr">
        <is>
          <t>A 10834-2021</t>
        </is>
      </c>
      <c r="B4084" s="1" t="n">
        <v>44259</v>
      </c>
      <c r="C4084" s="1" t="n">
        <v>45363</v>
      </c>
      <c r="D4084" t="inlineStr">
        <is>
          <t>JÄMTLANDS LÄN</t>
        </is>
      </c>
      <c r="E4084" t="inlineStr">
        <is>
          <t>ÖSTERSUND</t>
        </is>
      </c>
      <c r="G4084" t="n">
        <v>12.2</v>
      </c>
      <c r="H4084" t="n">
        <v>0</v>
      </c>
      <c r="I4084" t="n">
        <v>0</v>
      </c>
      <c r="J4084" t="n">
        <v>0</v>
      </c>
      <c r="K4084" t="n">
        <v>0</v>
      </c>
      <c r="L4084" t="n">
        <v>0</v>
      </c>
      <c r="M4084" t="n">
        <v>0</v>
      </c>
      <c r="N4084" t="n">
        <v>0</v>
      </c>
      <c r="O4084" t="n">
        <v>0</v>
      </c>
      <c r="P4084" t="n">
        <v>0</v>
      </c>
      <c r="Q4084" t="n">
        <v>0</v>
      </c>
      <c r="R4084" s="2" t="inlineStr"/>
    </row>
    <row r="4085" ht="15" customHeight="1">
      <c r="A4085" t="inlineStr">
        <is>
          <t>A 11117-2021</t>
        </is>
      </c>
      <c r="B4085" s="1" t="n">
        <v>44260</v>
      </c>
      <c r="C4085" s="1" t="n">
        <v>45363</v>
      </c>
      <c r="D4085" t="inlineStr">
        <is>
          <t>JÄMTLANDS LÄN</t>
        </is>
      </c>
      <c r="E4085" t="inlineStr">
        <is>
          <t>KROKOM</t>
        </is>
      </c>
      <c r="G4085" t="n">
        <v>8</v>
      </c>
      <c r="H4085" t="n">
        <v>0</v>
      </c>
      <c r="I4085" t="n">
        <v>0</v>
      </c>
      <c r="J4085" t="n">
        <v>0</v>
      </c>
      <c r="K4085" t="n">
        <v>0</v>
      </c>
      <c r="L4085" t="n">
        <v>0</v>
      </c>
      <c r="M4085" t="n">
        <v>0</v>
      </c>
      <c r="N4085" t="n">
        <v>0</v>
      </c>
      <c r="O4085" t="n">
        <v>0</v>
      </c>
      <c r="P4085" t="n">
        <v>0</v>
      </c>
      <c r="Q4085" t="n">
        <v>0</v>
      </c>
      <c r="R4085" s="2" t="inlineStr"/>
    </row>
    <row r="4086" ht="15" customHeight="1">
      <c r="A4086" t="inlineStr">
        <is>
          <t>A 11140-2021</t>
        </is>
      </c>
      <c r="B4086" s="1" t="n">
        <v>44260</v>
      </c>
      <c r="C4086" s="1" t="n">
        <v>45363</v>
      </c>
      <c r="D4086" t="inlineStr">
        <is>
          <t>JÄMTLANDS LÄN</t>
        </is>
      </c>
      <c r="E4086" t="inlineStr">
        <is>
          <t>BRÄCKE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11034-2021</t>
        </is>
      </c>
      <c r="B4087" s="1" t="n">
        <v>44260</v>
      </c>
      <c r="C4087" s="1" t="n">
        <v>45363</v>
      </c>
      <c r="D4087" t="inlineStr">
        <is>
          <t>JÄMTLANDS LÄN</t>
        </is>
      </c>
      <c r="E4087" t="inlineStr">
        <is>
          <t>STRÖMSUND</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11530-2021</t>
        </is>
      </c>
      <c r="B4088" s="1" t="n">
        <v>44263</v>
      </c>
      <c r="C4088" s="1" t="n">
        <v>45363</v>
      </c>
      <c r="D4088" t="inlineStr">
        <is>
          <t>JÄMTLANDS LÄN</t>
        </is>
      </c>
      <c r="E4088" t="inlineStr">
        <is>
          <t>KROKOM</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11508-2021</t>
        </is>
      </c>
      <c r="B4089" s="1" t="n">
        <v>44264</v>
      </c>
      <c r="C4089" s="1" t="n">
        <v>45363</v>
      </c>
      <c r="D4089" t="inlineStr">
        <is>
          <t>JÄMTLANDS LÄN</t>
        </is>
      </c>
      <c r="E4089" t="inlineStr">
        <is>
          <t>STRÖMSUND</t>
        </is>
      </c>
      <c r="F4089" t="inlineStr">
        <is>
          <t>Kyrkan</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12250-2021</t>
        </is>
      </c>
      <c r="B4090" s="1" t="n">
        <v>44266</v>
      </c>
      <c r="C4090" s="1" t="n">
        <v>45363</v>
      </c>
      <c r="D4090" t="inlineStr">
        <is>
          <t>JÄMTLANDS LÄN</t>
        </is>
      </c>
      <c r="E4090" t="inlineStr">
        <is>
          <t>STRÖMSUND</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12186-2021</t>
        </is>
      </c>
      <c r="B4091" s="1" t="n">
        <v>44266</v>
      </c>
      <c r="C4091" s="1" t="n">
        <v>45363</v>
      </c>
      <c r="D4091" t="inlineStr">
        <is>
          <t>JÄMTLANDS LÄN</t>
        </is>
      </c>
      <c r="E4091" t="inlineStr">
        <is>
          <t>STRÖMSUND</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12428-2021</t>
        </is>
      </c>
      <c r="B4092" s="1" t="n">
        <v>44267</v>
      </c>
      <c r="C4092" s="1" t="n">
        <v>45363</v>
      </c>
      <c r="D4092" t="inlineStr">
        <is>
          <t>JÄMTLANDS LÄN</t>
        </is>
      </c>
      <c r="E4092" t="inlineStr">
        <is>
          <t>STRÖMSUND</t>
        </is>
      </c>
      <c r="G4092" t="n">
        <v>19.6</v>
      </c>
      <c r="H4092" t="n">
        <v>0</v>
      </c>
      <c r="I4092" t="n">
        <v>0</v>
      </c>
      <c r="J4092" t="n">
        <v>0</v>
      </c>
      <c r="K4092" t="n">
        <v>0</v>
      </c>
      <c r="L4092" t="n">
        <v>0</v>
      </c>
      <c r="M4092" t="n">
        <v>0</v>
      </c>
      <c r="N4092" t="n">
        <v>0</v>
      </c>
      <c r="O4092" t="n">
        <v>0</v>
      </c>
      <c r="P4092" t="n">
        <v>0</v>
      </c>
      <c r="Q4092" t="n">
        <v>0</v>
      </c>
      <c r="R4092" s="2" t="inlineStr"/>
    </row>
    <row r="4093" ht="15" customHeight="1">
      <c r="A4093" t="inlineStr">
        <is>
          <t>A 12387-2021</t>
        </is>
      </c>
      <c r="B4093" s="1" t="n">
        <v>44267</v>
      </c>
      <c r="C4093" s="1" t="n">
        <v>45363</v>
      </c>
      <c r="D4093" t="inlineStr">
        <is>
          <t>JÄMTLANDS LÄN</t>
        </is>
      </c>
      <c r="E4093" t="inlineStr">
        <is>
          <t>ÅRE</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12499-2021</t>
        </is>
      </c>
      <c r="B4094" s="1" t="n">
        <v>44267</v>
      </c>
      <c r="C4094" s="1" t="n">
        <v>45363</v>
      </c>
      <c r="D4094" t="inlineStr">
        <is>
          <t>JÄMTLANDS LÄN</t>
        </is>
      </c>
      <c r="E4094" t="inlineStr">
        <is>
          <t>BERG</t>
        </is>
      </c>
      <c r="F4094" t="inlineStr">
        <is>
          <t>SCA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12629-2021</t>
        </is>
      </c>
      <c r="B4095" s="1" t="n">
        <v>44270</v>
      </c>
      <c r="C4095" s="1" t="n">
        <v>45363</v>
      </c>
      <c r="D4095" t="inlineStr">
        <is>
          <t>JÄMTLANDS LÄN</t>
        </is>
      </c>
      <c r="E4095" t="inlineStr">
        <is>
          <t>HÄRJEDALEN</t>
        </is>
      </c>
      <c r="G4095" t="n">
        <v>20.7</v>
      </c>
      <c r="H4095" t="n">
        <v>0</v>
      </c>
      <c r="I4095" t="n">
        <v>0</v>
      </c>
      <c r="J4095" t="n">
        <v>0</v>
      </c>
      <c r="K4095" t="n">
        <v>0</v>
      </c>
      <c r="L4095" t="n">
        <v>0</v>
      </c>
      <c r="M4095" t="n">
        <v>0</v>
      </c>
      <c r="N4095" t="n">
        <v>0</v>
      </c>
      <c r="O4095" t="n">
        <v>0</v>
      </c>
      <c r="P4095" t="n">
        <v>0</v>
      </c>
      <c r="Q4095" t="n">
        <v>0</v>
      </c>
      <c r="R4095" s="2" t="inlineStr"/>
    </row>
    <row r="4096" ht="15" customHeight="1">
      <c r="A4096" t="inlineStr">
        <is>
          <t>A 12710-2021</t>
        </is>
      </c>
      <c r="B4096" s="1" t="n">
        <v>44270</v>
      </c>
      <c r="C4096" s="1" t="n">
        <v>45363</v>
      </c>
      <c r="D4096" t="inlineStr">
        <is>
          <t>JÄMTLANDS LÄN</t>
        </is>
      </c>
      <c r="E4096" t="inlineStr">
        <is>
          <t>ÖSTERSUND</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12721-2021</t>
        </is>
      </c>
      <c r="B4097" s="1" t="n">
        <v>44270</v>
      </c>
      <c r="C4097" s="1" t="n">
        <v>45363</v>
      </c>
      <c r="D4097" t="inlineStr">
        <is>
          <t>JÄMTLANDS LÄN</t>
        </is>
      </c>
      <c r="E4097" t="inlineStr">
        <is>
          <t>KROKOM</t>
        </is>
      </c>
      <c r="F4097" t="inlineStr">
        <is>
          <t>Kommuner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12705-2021</t>
        </is>
      </c>
      <c r="B4098" s="1" t="n">
        <v>44270</v>
      </c>
      <c r="C4098" s="1" t="n">
        <v>45363</v>
      </c>
      <c r="D4098" t="inlineStr">
        <is>
          <t>JÄMTLANDS LÄN</t>
        </is>
      </c>
      <c r="E4098" t="inlineStr">
        <is>
          <t>ÖSTERSUND</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12840-2021</t>
        </is>
      </c>
      <c r="B4099" s="1" t="n">
        <v>44270</v>
      </c>
      <c r="C4099" s="1" t="n">
        <v>45363</v>
      </c>
      <c r="D4099" t="inlineStr">
        <is>
          <t>JÄMTLANDS LÄN</t>
        </is>
      </c>
      <c r="E4099" t="inlineStr">
        <is>
          <t>STRÖMSUND</t>
        </is>
      </c>
      <c r="G4099" t="n">
        <v>15.5</v>
      </c>
      <c r="H4099" t="n">
        <v>0</v>
      </c>
      <c r="I4099" t="n">
        <v>0</v>
      </c>
      <c r="J4099" t="n">
        <v>0</v>
      </c>
      <c r="K4099" t="n">
        <v>0</v>
      </c>
      <c r="L4099" t="n">
        <v>0</v>
      </c>
      <c r="M4099" t="n">
        <v>0</v>
      </c>
      <c r="N4099" t="n">
        <v>0</v>
      </c>
      <c r="O4099" t="n">
        <v>0</v>
      </c>
      <c r="P4099" t="n">
        <v>0</v>
      </c>
      <c r="Q4099" t="n">
        <v>0</v>
      </c>
      <c r="R4099" s="2" t="inlineStr"/>
    </row>
    <row r="4100" ht="15" customHeight="1">
      <c r="A4100" t="inlineStr">
        <is>
          <t>A 12857-2021</t>
        </is>
      </c>
      <c r="B4100" s="1" t="n">
        <v>44270</v>
      </c>
      <c r="C4100" s="1" t="n">
        <v>45363</v>
      </c>
      <c r="D4100" t="inlineStr">
        <is>
          <t>JÄMTLANDS LÄN</t>
        </is>
      </c>
      <c r="E4100" t="inlineStr">
        <is>
          <t>ÅRE</t>
        </is>
      </c>
      <c r="F4100" t="inlineStr">
        <is>
          <t>Kommuner</t>
        </is>
      </c>
      <c r="G4100" t="n">
        <v>17.2</v>
      </c>
      <c r="H4100" t="n">
        <v>0</v>
      </c>
      <c r="I4100" t="n">
        <v>0</v>
      </c>
      <c r="J4100" t="n">
        <v>0</v>
      </c>
      <c r="K4100" t="n">
        <v>0</v>
      </c>
      <c r="L4100" t="n">
        <v>0</v>
      </c>
      <c r="M4100" t="n">
        <v>0</v>
      </c>
      <c r="N4100" t="n">
        <v>0</v>
      </c>
      <c r="O4100" t="n">
        <v>0</v>
      </c>
      <c r="P4100" t="n">
        <v>0</v>
      </c>
      <c r="Q4100" t="n">
        <v>0</v>
      </c>
      <c r="R4100" s="2" t="inlineStr"/>
    </row>
    <row r="4101" ht="15" customHeight="1">
      <c r="A4101" t="inlineStr">
        <is>
          <t>A 12884-2021</t>
        </is>
      </c>
      <c r="B4101" s="1" t="n">
        <v>44271</v>
      </c>
      <c r="C4101" s="1" t="n">
        <v>45363</v>
      </c>
      <c r="D4101" t="inlineStr">
        <is>
          <t>JÄMTLANDS LÄN</t>
        </is>
      </c>
      <c r="E4101" t="inlineStr">
        <is>
          <t>KROKOM</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12889-2021</t>
        </is>
      </c>
      <c r="B4102" s="1" t="n">
        <v>44271</v>
      </c>
      <c r="C4102" s="1" t="n">
        <v>45363</v>
      </c>
      <c r="D4102" t="inlineStr">
        <is>
          <t>JÄMTLANDS LÄN</t>
        </is>
      </c>
      <c r="E4102" t="inlineStr">
        <is>
          <t>KROKOM</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12827-2021</t>
        </is>
      </c>
      <c r="B4103" s="1" t="n">
        <v>44271</v>
      </c>
      <c r="C4103" s="1" t="n">
        <v>45363</v>
      </c>
      <c r="D4103" t="inlineStr">
        <is>
          <t>JÄMTLANDS LÄN</t>
        </is>
      </c>
      <c r="E4103" t="inlineStr">
        <is>
          <t>ÅRE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13041-2021</t>
        </is>
      </c>
      <c r="B4104" s="1" t="n">
        <v>44271</v>
      </c>
      <c r="C4104" s="1" t="n">
        <v>45363</v>
      </c>
      <c r="D4104" t="inlineStr">
        <is>
          <t>JÄMTLANDS LÄN</t>
        </is>
      </c>
      <c r="E4104" t="inlineStr">
        <is>
          <t>STRÖMSUND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13316-2021</t>
        </is>
      </c>
      <c r="B4105" s="1" t="n">
        <v>44272</v>
      </c>
      <c r="C4105" s="1" t="n">
        <v>45363</v>
      </c>
      <c r="D4105" t="inlineStr">
        <is>
          <t>JÄMTLANDS LÄN</t>
        </is>
      </c>
      <c r="E4105" t="inlineStr">
        <is>
          <t>BRÄCKE</t>
        </is>
      </c>
      <c r="F4105" t="inlineStr">
        <is>
          <t>SCA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13395-2021</t>
        </is>
      </c>
      <c r="B4106" s="1" t="n">
        <v>44273</v>
      </c>
      <c r="C4106" s="1" t="n">
        <v>45363</v>
      </c>
      <c r="D4106" t="inlineStr">
        <is>
          <t>JÄMTLANDS LÄN</t>
        </is>
      </c>
      <c r="E4106" t="inlineStr">
        <is>
          <t>KROKOM</t>
        </is>
      </c>
      <c r="G4106" t="n">
        <v>13.7</v>
      </c>
      <c r="H4106" t="n">
        <v>0</v>
      </c>
      <c r="I4106" t="n">
        <v>0</v>
      </c>
      <c r="J4106" t="n">
        <v>0</v>
      </c>
      <c r="K4106" t="n">
        <v>0</v>
      </c>
      <c r="L4106" t="n">
        <v>0</v>
      </c>
      <c r="M4106" t="n">
        <v>0</v>
      </c>
      <c r="N4106" t="n">
        <v>0</v>
      </c>
      <c r="O4106" t="n">
        <v>0</v>
      </c>
      <c r="P4106" t="n">
        <v>0</v>
      </c>
      <c r="Q4106" t="n">
        <v>0</v>
      </c>
      <c r="R4106" s="2" t="inlineStr"/>
    </row>
    <row r="4107" ht="15" customHeight="1">
      <c r="A4107" t="inlineStr">
        <is>
          <t>A 13506-2021</t>
        </is>
      </c>
      <c r="B4107" s="1" t="n">
        <v>44273</v>
      </c>
      <c r="C4107" s="1" t="n">
        <v>45363</v>
      </c>
      <c r="D4107" t="inlineStr">
        <is>
          <t>JÄMTLANDS LÄN</t>
        </is>
      </c>
      <c r="E4107" t="inlineStr">
        <is>
          <t>BRÄCKE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13571-2021</t>
        </is>
      </c>
      <c r="B4108" s="1" t="n">
        <v>44273</v>
      </c>
      <c r="C4108" s="1" t="n">
        <v>45363</v>
      </c>
      <c r="D4108" t="inlineStr">
        <is>
          <t>JÄMTLANDS LÄN</t>
        </is>
      </c>
      <c r="E4108" t="inlineStr">
        <is>
          <t>RAGUNDA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13570-2021</t>
        </is>
      </c>
      <c r="B4109" s="1" t="n">
        <v>44273</v>
      </c>
      <c r="C4109" s="1" t="n">
        <v>45363</v>
      </c>
      <c r="D4109" t="inlineStr">
        <is>
          <t>JÄMTLANDS LÄN</t>
        </is>
      </c>
      <c r="E4109" t="inlineStr">
        <is>
          <t>RAGUNDA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13563-2021</t>
        </is>
      </c>
      <c r="B4110" s="1" t="n">
        <v>44273</v>
      </c>
      <c r="C4110" s="1" t="n">
        <v>45363</v>
      </c>
      <c r="D4110" t="inlineStr">
        <is>
          <t>JÄMTLANDS LÄN</t>
        </is>
      </c>
      <c r="E4110" t="inlineStr">
        <is>
          <t>STRÖMSUND</t>
        </is>
      </c>
      <c r="G4110" t="n">
        <v>27.1</v>
      </c>
      <c r="H4110" t="n">
        <v>0</v>
      </c>
      <c r="I4110" t="n">
        <v>0</v>
      </c>
      <c r="J4110" t="n">
        <v>0</v>
      </c>
      <c r="K4110" t="n">
        <v>0</v>
      </c>
      <c r="L4110" t="n">
        <v>0</v>
      </c>
      <c r="M4110" t="n">
        <v>0</v>
      </c>
      <c r="N4110" t="n">
        <v>0</v>
      </c>
      <c r="O4110" t="n">
        <v>0</v>
      </c>
      <c r="P4110" t="n">
        <v>0</v>
      </c>
      <c r="Q4110" t="n">
        <v>0</v>
      </c>
      <c r="R4110" s="2" t="inlineStr"/>
    </row>
    <row r="4111" ht="15" customHeight="1">
      <c r="A4111" t="inlineStr">
        <is>
          <t>A 13569-2021</t>
        </is>
      </c>
      <c r="B4111" s="1" t="n">
        <v>44273</v>
      </c>
      <c r="C4111" s="1" t="n">
        <v>45363</v>
      </c>
      <c r="D4111" t="inlineStr">
        <is>
          <t>JÄMTLANDS LÄN</t>
        </is>
      </c>
      <c r="E4111" t="inlineStr">
        <is>
          <t>RAGUNDA</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13989-2021</t>
        </is>
      </c>
      <c r="B4112" s="1" t="n">
        <v>44277</v>
      </c>
      <c r="C4112" s="1" t="n">
        <v>45363</v>
      </c>
      <c r="D4112" t="inlineStr">
        <is>
          <t>JÄMTLANDS LÄN</t>
        </is>
      </c>
      <c r="E4112" t="inlineStr">
        <is>
          <t>KROKOM</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14067-2021</t>
        </is>
      </c>
      <c r="B4113" s="1" t="n">
        <v>44277</v>
      </c>
      <c r="C4113" s="1" t="n">
        <v>45363</v>
      </c>
      <c r="D4113" t="inlineStr">
        <is>
          <t>JÄMTLANDS LÄN</t>
        </is>
      </c>
      <c r="E4113" t="inlineStr">
        <is>
          <t>STRÖMSUND</t>
        </is>
      </c>
      <c r="G4113" t="n">
        <v>27.7</v>
      </c>
      <c r="H4113" t="n">
        <v>0</v>
      </c>
      <c r="I4113" t="n">
        <v>0</v>
      </c>
      <c r="J4113" t="n">
        <v>0</v>
      </c>
      <c r="K4113" t="n">
        <v>0</v>
      </c>
      <c r="L4113" t="n">
        <v>0</v>
      </c>
      <c r="M4113" t="n">
        <v>0</v>
      </c>
      <c r="N4113" t="n">
        <v>0</v>
      </c>
      <c r="O4113" t="n">
        <v>0</v>
      </c>
      <c r="P4113" t="n">
        <v>0</v>
      </c>
      <c r="Q4113" t="n">
        <v>0</v>
      </c>
      <c r="R4113" s="2" t="inlineStr"/>
    </row>
    <row r="4114" ht="15" customHeight="1">
      <c r="A4114" t="inlineStr">
        <is>
          <t>A 14226-2021</t>
        </is>
      </c>
      <c r="B4114" s="1" t="n">
        <v>44277</v>
      </c>
      <c r="C4114" s="1" t="n">
        <v>45363</v>
      </c>
      <c r="D4114" t="inlineStr">
        <is>
          <t>JÄMTLANDS LÄN</t>
        </is>
      </c>
      <c r="E4114" t="inlineStr">
        <is>
          <t>BERG</t>
        </is>
      </c>
      <c r="G4114" t="n">
        <v>23.7</v>
      </c>
      <c r="H4114" t="n">
        <v>0</v>
      </c>
      <c r="I4114" t="n">
        <v>0</v>
      </c>
      <c r="J4114" t="n">
        <v>0</v>
      </c>
      <c r="K4114" t="n">
        <v>0</v>
      </c>
      <c r="L4114" t="n">
        <v>0</v>
      </c>
      <c r="M4114" t="n">
        <v>0</v>
      </c>
      <c r="N4114" t="n">
        <v>0</v>
      </c>
      <c r="O4114" t="n">
        <v>0</v>
      </c>
      <c r="P4114" t="n">
        <v>0</v>
      </c>
      <c r="Q4114" t="n">
        <v>0</v>
      </c>
      <c r="R4114" s="2" t="inlineStr"/>
    </row>
    <row r="4115" ht="15" customHeight="1">
      <c r="A4115" t="inlineStr">
        <is>
          <t>A 14218-2021</t>
        </is>
      </c>
      <c r="B4115" s="1" t="n">
        <v>44277</v>
      </c>
      <c r="C4115" s="1" t="n">
        <v>45363</v>
      </c>
      <c r="D4115" t="inlineStr">
        <is>
          <t>JÄMTLANDS LÄN</t>
        </is>
      </c>
      <c r="E4115" t="inlineStr">
        <is>
          <t>BERG</t>
        </is>
      </c>
      <c r="G4115" t="n">
        <v>19.9</v>
      </c>
      <c r="H4115" t="n">
        <v>0</v>
      </c>
      <c r="I4115" t="n">
        <v>0</v>
      </c>
      <c r="J4115" t="n">
        <v>0</v>
      </c>
      <c r="K4115" t="n">
        <v>0</v>
      </c>
      <c r="L4115" t="n">
        <v>0</v>
      </c>
      <c r="M4115" t="n">
        <v>0</v>
      </c>
      <c r="N4115" t="n">
        <v>0</v>
      </c>
      <c r="O4115" t="n">
        <v>0</v>
      </c>
      <c r="P4115" t="n">
        <v>0</v>
      </c>
      <c r="Q4115" t="n">
        <v>0</v>
      </c>
      <c r="R4115" s="2" t="inlineStr"/>
    </row>
    <row r="4116" ht="15" customHeight="1">
      <c r="A4116" t="inlineStr">
        <is>
          <t>A 14079-2021</t>
        </is>
      </c>
      <c r="B4116" s="1" t="n">
        <v>44277</v>
      </c>
      <c r="C4116" s="1" t="n">
        <v>45363</v>
      </c>
      <c r="D4116" t="inlineStr">
        <is>
          <t>JÄMTLANDS LÄN</t>
        </is>
      </c>
      <c r="E4116" t="inlineStr">
        <is>
          <t>BRÄCKE</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14163-2021</t>
        </is>
      </c>
      <c r="B4117" s="1" t="n">
        <v>44277</v>
      </c>
      <c r="C4117" s="1" t="n">
        <v>45363</v>
      </c>
      <c r="D4117" t="inlineStr">
        <is>
          <t>JÄMTLANDS LÄN</t>
        </is>
      </c>
      <c r="E4117" t="inlineStr">
        <is>
          <t>BERG</t>
        </is>
      </c>
      <c r="G4117" t="n">
        <v>8.1</v>
      </c>
      <c r="H4117" t="n">
        <v>0</v>
      </c>
      <c r="I4117" t="n">
        <v>0</v>
      </c>
      <c r="J4117" t="n">
        <v>0</v>
      </c>
      <c r="K4117" t="n">
        <v>0</v>
      </c>
      <c r="L4117" t="n">
        <v>0</v>
      </c>
      <c r="M4117" t="n">
        <v>0</v>
      </c>
      <c r="N4117" t="n">
        <v>0</v>
      </c>
      <c r="O4117" t="n">
        <v>0</v>
      </c>
      <c r="P4117" t="n">
        <v>0</v>
      </c>
      <c r="Q4117" t="n">
        <v>0</v>
      </c>
      <c r="R4117" s="2" t="inlineStr"/>
    </row>
    <row r="4118" ht="15" customHeight="1">
      <c r="A4118" t="inlineStr">
        <is>
          <t>A 14224-2021</t>
        </is>
      </c>
      <c r="B4118" s="1" t="n">
        <v>44277</v>
      </c>
      <c r="C4118" s="1" t="n">
        <v>45363</v>
      </c>
      <c r="D4118" t="inlineStr">
        <is>
          <t>JÄMTLANDS LÄN</t>
        </is>
      </c>
      <c r="E4118" t="inlineStr">
        <is>
          <t>BERG</t>
        </is>
      </c>
      <c r="G4118" t="n">
        <v>24.9</v>
      </c>
      <c r="H4118" t="n">
        <v>0</v>
      </c>
      <c r="I4118" t="n">
        <v>0</v>
      </c>
      <c r="J4118" t="n">
        <v>0</v>
      </c>
      <c r="K4118" t="n">
        <v>0</v>
      </c>
      <c r="L4118" t="n">
        <v>0</v>
      </c>
      <c r="M4118" t="n">
        <v>0</v>
      </c>
      <c r="N4118" t="n">
        <v>0</v>
      </c>
      <c r="O4118" t="n">
        <v>0</v>
      </c>
      <c r="P4118" t="n">
        <v>0</v>
      </c>
      <c r="Q4118" t="n">
        <v>0</v>
      </c>
      <c r="R4118" s="2" t="inlineStr"/>
    </row>
    <row r="4119" ht="15" customHeight="1">
      <c r="A4119" t="inlineStr">
        <is>
          <t>A 14167-2021</t>
        </is>
      </c>
      <c r="B4119" s="1" t="n">
        <v>44278</v>
      </c>
      <c r="C4119" s="1" t="n">
        <v>45363</v>
      </c>
      <c r="D4119" t="inlineStr">
        <is>
          <t>JÄMTLANDS LÄN</t>
        </is>
      </c>
      <c r="E4119" t="inlineStr">
        <is>
          <t>KROKOM</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14202-2021</t>
        </is>
      </c>
      <c r="B4120" s="1" t="n">
        <v>44278</v>
      </c>
      <c r="C4120" s="1" t="n">
        <v>45363</v>
      </c>
      <c r="D4120" t="inlineStr">
        <is>
          <t>JÄMTLANDS LÄN</t>
        </is>
      </c>
      <c r="E4120" t="inlineStr">
        <is>
          <t>ÅRE</t>
        </is>
      </c>
      <c r="G4120" t="n">
        <v>17.8</v>
      </c>
      <c r="H4120" t="n">
        <v>0</v>
      </c>
      <c r="I4120" t="n">
        <v>0</v>
      </c>
      <c r="J4120" t="n">
        <v>0</v>
      </c>
      <c r="K4120" t="n">
        <v>0</v>
      </c>
      <c r="L4120" t="n">
        <v>0</v>
      </c>
      <c r="M4120" t="n">
        <v>0</v>
      </c>
      <c r="N4120" t="n">
        <v>0</v>
      </c>
      <c r="O4120" t="n">
        <v>0</v>
      </c>
      <c r="P4120" t="n">
        <v>0</v>
      </c>
      <c r="Q4120" t="n">
        <v>0</v>
      </c>
      <c r="R4120" s="2" t="inlineStr"/>
    </row>
    <row r="4121" ht="15" customHeight="1">
      <c r="A4121" t="inlineStr">
        <is>
          <t>A 14210-2021</t>
        </is>
      </c>
      <c r="B4121" s="1" t="n">
        <v>44278</v>
      </c>
      <c r="C4121" s="1" t="n">
        <v>45363</v>
      </c>
      <c r="D4121" t="inlineStr">
        <is>
          <t>JÄMTLANDS LÄN</t>
        </is>
      </c>
      <c r="E4121" t="inlineStr">
        <is>
          <t>ÅRE</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14147-2021</t>
        </is>
      </c>
      <c r="B4122" s="1" t="n">
        <v>44278</v>
      </c>
      <c r="C4122" s="1" t="n">
        <v>45363</v>
      </c>
      <c r="D4122" t="inlineStr">
        <is>
          <t>JÄMTLANDS LÄN</t>
        </is>
      </c>
      <c r="E4122" t="inlineStr">
        <is>
          <t>STRÖMSUND</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14155-2021</t>
        </is>
      </c>
      <c r="B4123" s="1" t="n">
        <v>44278</v>
      </c>
      <c r="C4123" s="1" t="n">
        <v>45363</v>
      </c>
      <c r="D4123" t="inlineStr">
        <is>
          <t>JÄMTLANDS LÄN</t>
        </is>
      </c>
      <c r="E4123" t="inlineStr">
        <is>
          <t>ÖSTERSUND</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14204-2021</t>
        </is>
      </c>
      <c r="B4124" s="1" t="n">
        <v>44278</v>
      </c>
      <c r="C4124" s="1" t="n">
        <v>45363</v>
      </c>
      <c r="D4124" t="inlineStr">
        <is>
          <t>JÄMTLANDS LÄN</t>
        </is>
      </c>
      <c r="E4124" t="inlineStr">
        <is>
          <t>ÅRE</t>
        </is>
      </c>
      <c r="G4124" t="n">
        <v>24.6</v>
      </c>
      <c r="H4124" t="n">
        <v>0</v>
      </c>
      <c r="I4124" t="n">
        <v>0</v>
      </c>
      <c r="J4124" t="n">
        <v>0</v>
      </c>
      <c r="K4124" t="n">
        <v>0</v>
      </c>
      <c r="L4124" t="n">
        <v>0</v>
      </c>
      <c r="M4124" t="n">
        <v>0</v>
      </c>
      <c r="N4124" t="n">
        <v>0</v>
      </c>
      <c r="O4124" t="n">
        <v>0</v>
      </c>
      <c r="P4124" t="n">
        <v>0</v>
      </c>
      <c r="Q4124" t="n">
        <v>0</v>
      </c>
      <c r="R4124" s="2" t="inlineStr"/>
    </row>
    <row r="4125" ht="15" customHeight="1">
      <c r="A4125" t="inlineStr">
        <is>
          <t>A 14325-2021</t>
        </is>
      </c>
      <c r="B4125" s="1" t="n">
        <v>44278</v>
      </c>
      <c r="C4125" s="1" t="n">
        <v>45363</v>
      </c>
      <c r="D4125" t="inlineStr">
        <is>
          <t>JÄMTLANDS LÄN</t>
        </is>
      </c>
      <c r="E4125" t="inlineStr">
        <is>
          <t>BERG</t>
        </is>
      </c>
      <c r="G4125" t="n">
        <v>27.3</v>
      </c>
      <c r="H4125" t="n">
        <v>0</v>
      </c>
      <c r="I4125" t="n">
        <v>0</v>
      </c>
      <c r="J4125" t="n">
        <v>0</v>
      </c>
      <c r="K4125" t="n">
        <v>0</v>
      </c>
      <c r="L4125" t="n">
        <v>0</v>
      </c>
      <c r="M4125" t="n">
        <v>0</v>
      </c>
      <c r="N4125" t="n">
        <v>0</v>
      </c>
      <c r="O4125" t="n">
        <v>0</v>
      </c>
      <c r="P4125" t="n">
        <v>0</v>
      </c>
      <c r="Q4125" t="n">
        <v>0</v>
      </c>
      <c r="R4125" s="2" t="inlineStr"/>
    </row>
    <row r="4126" ht="15" customHeight="1">
      <c r="A4126" t="inlineStr">
        <is>
          <t>A 14556-2021</t>
        </is>
      </c>
      <c r="B4126" s="1" t="n">
        <v>44279</v>
      </c>
      <c r="C4126" s="1" t="n">
        <v>45363</v>
      </c>
      <c r="D4126" t="inlineStr">
        <is>
          <t>JÄMTLANDS LÄN</t>
        </is>
      </c>
      <c r="E4126" t="inlineStr">
        <is>
          <t>STRÖMSUND</t>
        </is>
      </c>
      <c r="F4126" t="inlineStr">
        <is>
          <t>SCA</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14593-2021</t>
        </is>
      </c>
      <c r="B4127" s="1" t="n">
        <v>44279</v>
      </c>
      <c r="C4127" s="1" t="n">
        <v>45363</v>
      </c>
      <c r="D4127" t="inlineStr">
        <is>
          <t>JÄMTLANDS LÄN</t>
        </is>
      </c>
      <c r="E4127" t="inlineStr">
        <is>
          <t>KROKOM</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14598-2021</t>
        </is>
      </c>
      <c r="B4128" s="1" t="n">
        <v>44279</v>
      </c>
      <c r="C4128" s="1" t="n">
        <v>45363</v>
      </c>
      <c r="D4128" t="inlineStr">
        <is>
          <t>JÄMTLANDS LÄN</t>
        </is>
      </c>
      <c r="E4128" t="inlineStr">
        <is>
          <t>KROKOM</t>
        </is>
      </c>
      <c r="G4128" t="n">
        <v>25.4</v>
      </c>
      <c r="H4128" t="n">
        <v>0</v>
      </c>
      <c r="I4128" t="n">
        <v>0</v>
      </c>
      <c r="J4128" t="n">
        <v>0</v>
      </c>
      <c r="K4128" t="n">
        <v>0</v>
      </c>
      <c r="L4128" t="n">
        <v>0</v>
      </c>
      <c r="M4128" t="n">
        <v>0</v>
      </c>
      <c r="N4128" t="n">
        <v>0</v>
      </c>
      <c r="O4128" t="n">
        <v>0</v>
      </c>
      <c r="P4128" t="n">
        <v>0</v>
      </c>
      <c r="Q4128" t="n">
        <v>0</v>
      </c>
      <c r="R4128" s="2" t="inlineStr"/>
    </row>
    <row r="4129" ht="15" customHeight="1">
      <c r="A4129" t="inlineStr">
        <is>
          <t>A 14591-2021</t>
        </is>
      </c>
      <c r="B4129" s="1" t="n">
        <v>44279</v>
      </c>
      <c r="C4129" s="1" t="n">
        <v>45363</v>
      </c>
      <c r="D4129" t="inlineStr">
        <is>
          <t>JÄMTLANDS LÄN</t>
        </is>
      </c>
      <c r="E4129" t="inlineStr">
        <is>
          <t>KROKOM</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14595-2021</t>
        </is>
      </c>
      <c r="B4130" s="1" t="n">
        <v>44279</v>
      </c>
      <c r="C4130" s="1" t="n">
        <v>45363</v>
      </c>
      <c r="D4130" t="inlineStr">
        <is>
          <t>JÄMTLANDS LÄN</t>
        </is>
      </c>
      <c r="E4130" t="inlineStr">
        <is>
          <t>KROKOM</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14592-2021</t>
        </is>
      </c>
      <c r="B4131" s="1" t="n">
        <v>44279</v>
      </c>
      <c r="C4131" s="1" t="n">
        <v>45363</v>
      </c>
      <c r="D4131" t="inlineStr">
        <is>
          <t>JÄMTLANDS LÄN</t>
        </is>
      </c>
      <c r="E4131" t="inlineStr">
        <is>
          <t>KROKOM</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14596-2021</t>
        </is>
      </c>
      <c r="B4132" s="1" t="n">
        <v>44279</v>
      </c>
      <c r="C4132" s="1" t="n">
        <v>45363</v>
      </c>
      <c r="D4132" t="inlineStr">
        <is>
          <t>JÄMTLANDS LÄN</t>
        </is>
      </c>
      <c r="E4132" t="inlineStr">
        <is>
          <t>KROKOM</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14790-2021</t>
        </is>
      </c>
      <c r="B4133" s="1" t="n">
        <v>44280</v>
      </c>
      <c r="C4133" s="1" t="n">
        <v>45363</v>
      </c>
      <c r="D4133" t="inlineStr">
        <is>
          <t>JÄMTLANDS LÄN</t>
        </is>
      </c>
      <c r="E4133" t="inlineStr">
        <is>
          <t>RAGUNDA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14826-2021</t>
        </is>
      </c>
      <c r="B4134" s="1" t="n">
        <v>44280</v>
      </c>
      <c r="C4134" s="1" t="n">
        <v>45363</v>
      </c>
      <c r="D4134" t="inlineStr">
        <is>
          <t>JÄMTLANDS LÄN</t>
        </is>
      </c>
      <c r="E4134" t="inlineStr">
        <is>
          <t>ÅRE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14776-2021</t>
        </is>
      </c>
      <c r="B4135" s="1" t="n">
        <v>44280</v>
      </c>
      <c r="C4135" s="1" t="n">
        <v>45363</v>
      </c>
      <c r="D4135" t="inlineStr">
        <is>
          <t>JÄMTLANDS LÄN</t>
        </is>
      </c>
      <c r="E4135" t="inlineStr">
        <is>
          <t>RAGUNDA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14798-2021</t>
        </is>
      </c>
      <c r="B4136" s="1" t="n">
        <v>44280</v>
      </c>
      <c r="C4136" s="1" t="n">
        <v>45363</v>
      </c>
      <c r="D4136" t="inlineStr">
        <is>
          <t>JÄMTLANDS LÄN</t>
        </is>
      </c>
      <c r="E4136" t="inlineStr">
        <is>
          <t>HÄRJEDALEN</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14772-2021</t>
        </is>
      </c>
      <c r="B4137" s="1" t="n">
        <v>44280</v>
      </c>
      <c r="C4137" s="1" t="n">
        <v>45363</v>
      </c>
      <c r="D4137" t="inlineStr">
        <is>
          <t>JÄMTLANDS LÄN</t>
        </is>
      </c>
      <c r="E4137" t="inlineStr">
        <is>
          <t>BERG</t>
        </is>
      </c>
      <c r="G4137" t="n">
        <v>8.800000000000001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14868-2021</t>
        </is>
      </c>
      <c r="B4138" s="1" t="n">
        <v>44280</v>
      </c>
      <c r="C4138" s="1" t="n">
        <v>45363</v>
      </c>
      <c r="D4138" t="inlineStr">
        <is>
          <t>JÄMTLANDS LÄN</t>
        </is>
      </c>
      <c r="E4138" t="inlineStr">
        <is>
          <t>BRÄCKE</t>
        </is>
      </c>
      <c r="F4138" t="inlineStr">
        <is>
          <t>SCA</t>
        </is>
      </c>
      <c r="G4138" t="n">
        <v>10.8</v>
      </c>
      <c r="H4138" t="n">
        <v>0</v>
      </c>
      <c r="I4138" t="n">
        <v>0</v>
      </c>
      <c r="J4138" t="n">
        <v>0</v>
      </c>
      <c r="K4138" t="n">
        <v>0</v>
      </c>
      <c r="L4138" t="n">
        <v>0</v>
      </c>
      <c r="M4138" t="n">
        <v>0</v>
      </c>
      <c r="N4138" t="n">
        <v>0</v>
      </c>
      <c r="O4138" t="n">
        <v>0</v>
      </c>
      <c r="P4138" t="n">
        <v>0</v>
      </c>
      <c r="Q4138" t="n">
        <v>0</v>
      </c>
      <c r="R4138" s="2" t="inlineStr"/>
    </row>
    <row r="4139" ht="15" customHeight="1">
      <c r="A4139" t="inlineStr">
        <is>
          <t>A 15102-2021</t>
        </is>
      </c>
      <c r="B4139" s="1" t="n">
        <v>44281</v>
      </c>
      <c r="C4139" s="1" t="n">
        <v>45363</v>
      </c>
      <c r="D4139" t="inlineStr">
        <is>
          <t>JÄMTLANDS LÄN</t>
        </is>
      </c>
      <c r="E4139" t="inlineStr">
        <is>
          <t>RAGUNDA</t>
        </is>
      </c>
      <c r="F4139" t="inlineStr">
        <is>
          <t>SCA</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15118-2021</t>
        </is>
      </c>
      <c r="B4140" s="1" t="n">
        <v>44282</v>
      </c>
      <c r="C4140" s="1" t="n">
        <v>45363</v>
      </c>
      <c r="D4140" t="inlineStr">
        <is>
          <t>JÄMTLANDS LÄN</t>
        </is>
      </c>
      <c r="E4140" t="inlineStr">
        <is>
          <t>STRÖMSUND</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15305-2021</t>
        </is>
      </c>
      <c r="B4141" s="1" t="n">
        <v>44284</v>
      </c>
      <c r="C4141" s="1" t="n">
        <v>45363</v>
      </c>
      <c r="D4141" t="inlineStr">
        <is>
          <t>JÄMTLANDS LÄN</t>
        </is>
      </c>
      <c r="E4141" t="inlineStr">
        <is>
          <t>ÅRE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15277-2021</t>
        </is>
      </c>
      <c r="B4142" s="1" t="n">
        <v>44284</v>
      </c>
      <c r="C4142" s="1" t="n">
        <v>45363</v>
      </c>
      <c r="D4142" t="inlineStr">
        <is>
          <t>JÄMTLANDS LÄN</t>
        </is>
      </c>
      <c r="E4142" t="inlineStr">
        <is>
          <t>BERG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15355-2021</t>
        </is>
      </c>
      <c r="B4143" s="1" t="n">
        <v>44284</v>
      </c>
      <c r="C4143" s="1" t="n">
        <v>45363</v>
      </c>
      <c r="D4143" t="inlineStr">
        <is>
          <t>JÄMTLANDS LÄN</t>
        </is>
      </c>
      <c r="E4143" t="inlineStr">
        <is>
          <t>STRÖMSUND</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15360-2021</t>
        </is>
      </c>
      <c r="B4144" s="1" t="n">
        <v>44284</v>
      </c>
      <c r="C4144" s="1" t="n">
        <v>45363</v>
      </c>
      <c r="D4144" t="inlineStr">
        <is>
          <t>JÄMTLANDS LÄN</t>
        </is>
      </c>
      <c r="E4144" t="inlineStr">
        <is>
          <t>STRÖMSUND</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15371-2021</t>
        </is>
      </c>
      <c r="B4145" s="1" t="n">
        <v>44284</v>
      </c>
      <c r="C4145" s="1" t="n">
        <v>45363</v>
      </c>
      <c r="D4145" t="inlineStr">
        <is>
          <t>JÄMTLANDS LÄN</t>
        </is>
      </c>
      <c r="E4145" t="inlineStr">
        <is>
          <t>STRÖMSUND</t>
        </is>
      </c>
      <c r="G4145" t="n">
        <v>10.7</v>
      </c>
      <c r="H4145" t="n">
        <v>0</v>
      </c>
      <c r="I4145" t="n">
        <v>0</v>
      </c>
      <c r="J4145" t="n">
        <v>0</v>
      </c>
      <c r="K4145" t="n">
        <v>0</v>
      </c>
      <c r="L4145" t="n">
        <v>0</v>
      </c>
      <c r="M4145" t="n">
        <v>0</v>
      </c>
      <c r="N4145" t="n">
        <v>0</v>
      </c>
      <c r="O4145" t="n">
        <v>0</v>
      </c>
      <c r="P4145" t="n">
        <v>0</v>
      </c>
      <c r="Q4145" t="n">
        <v>0</v>
      </c>
      <c r="R4145" s="2" t="inlineStr"/>
    </row>
    <row r="4146" ht="15" customHeight="1">
      <c r="A4146" t="inlineStr">
        <is>
          <t>A 15425-2021</t>
        </is>
      </c>
      <c r="B4146" s="1" t="n">
        <v>44284</v>
      </c>
      <c r="C4146" s="1" t="n">
        <v>45363</v>
      </c>
      <c r="D4146" t="inlineStr">
        <is>
          <t>JÄMTLANDS LÄN</t>
        </is>
      </c>
      <c r="E4146" t="inlineStr">
        <is>
          <t>KROKOM</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15452-2021</t>
        </is>
      </c>
      <c r="B4147" s="1" t="n">
        <v>44285</v>
      </c>
      <c r="C4147" s="1" t="n">
        <v>45363</v>
      </c>
      <c r="D4147" t="inlineStr">
        <is>
          <t>JÄMTLANDS LÄN</t>
        </is>
      </c>
      <c r="E4147" t="inlineStr">
        <is>
          <t>KROKOM</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15455-2021</t>
        </is>
      </c>
      <c r="B4148" s="1" t="n">
        <v>44285</v>
      </c>
      <c r="C4148" s="1" t="n">
        <v>45363</v>
      </c>
      <c r="D4148" t="inlineStr">
        <is>
          <t>JÄMTLANDS LÄN</t>
        </is>
      </c>
      <c r="E4148" t="inlineStr">
        <is>
          <t>KROKOM</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15580-2021</t>
        </is>
      </c>
      <c r="B4149" s="1" t="n">
        <v>44285</v>
      </c>
      <c r="C4149" s="1" t="n">
        <v>45363</v>
      </c>
      <c r="D4149" t="inlineStr">
        <is>
          <t>JÄMTLANDS LÄN</t>
        </is>
      </c>
      <c r="E4149" t="inlineStr">
        <is>
          <t>HÄRJEDALEN</t>
        </is>
      </c>
      <c r="G4149" t="n">
        <v>22.1</v>
      </c>
      <c r="H4149" t="n">
        <v>0</v>
      </c>
      <c r="I4149" t="n">
        <v>0</v>
      </c>
      <c r="J4149" t="n">
        <v>0</v>
      </c>
      <c r="K4149" t="n">
        <v>0</v>
      </c>
      <c r="L4149" t="n">
        <v>0</v>
      </c>
      <c r="M4149" t="n">
        <v>0</v>
      </c>
      <c r="N4149" t="n">
        <v>0</v>
      </c>
      <c r="O4149" t="n">
        <v>0</v>
      </c>
      <c r="P4149" t="n">
        <v>0</v>
      </c>
      <c r="Q4149" t="n">
        <v>0</v>
      </c>
      <c r="R4149" s="2" t="inlineStr"/>
    </row>
    <row r="4150" ht="15" customHeight="1">
      <c r="A4150" t="inlineStr">
        <is>
          <t>A 15585-2021</t>
        </is>
      </c>
      <c r="B4150" s="1" t="n">
        <v>44285</v>
      </c>
      <c r="C4150" s="1" t="n">
        <v>45363</v>
      </c>
      <c r="D4150" t="inlineStr">
        <is>
          <t>JÄMTLANDS LÄN</t>
        </is>
      </c>
      <c r="E4150" t="inlineStr">
        <is>
          <t>HÄRJEDALEN</t>
        </is>
      </c>
      <c r="G4150" t="n">
        <v>21.2</v>
      </c>
      <c r="H4150" t="n">
        <v>0</v>
      </c>
      <c r="I4150" t="n">
        <v>0</v>
      </c>
      <c r="J4150" t="n">
        <v>0</v>
      </c>
      <c r="K4150" t="n">
        <v>0</v>
      </c>
      <c r="L4150" t="n">
        <v>0</v>
      </c>
      <c r="M4150" t="n">
        <v>0</v>
      </c>
      <c r="N4150" t="n">
        <v>0</v>
      </c>
      <c r="O4150" t="n">
        <v>0</v>
      </c>
      <c r="P4150" t="n">
        <v>0</v>
      </c>
      <c r="Q4150" t="n">
        <v>0</v>
      </c>
      <c r="R4150" s="2" t="inlineStr"/>
    </row>
    <row r="4151" ht="15" customHeight="1">
      <c r="A4151" t="inlineStr">
        <is>
          <t>A 15594-2021</t>
        </is>
      </c>
      <c r="B4151" s="1" t="n">
        <v>44285</v>
      </c>
      <c r="C4151" s="1" t="n">
        <v>45363</v>
      </c>
      <c r="D4151" t="inlineStr">
        <is>
          <t>JÄMTLANDS LÄN</t>
        </is>
      </c>
      <c r="E4151" t="inlineStr">
        <is>
          <t>HÄRJEDALEN</t>
        </is>
      </c>
      <c r="G4151" t="n">
        <v>28.5</v>
      </c>
      <c r="H4151" t="n">
        <v>0</v>
      </c>
      <c r="I4151" t="n">
        <v>0</v>
      </c>
      <c r="J4151" t="n">
        <v>0</v>
      </c>
      <c r="K4151" t="n">
        <v>0</v>
      </c>
      <c r="L4151" t="n">
        <v>0</v>
      </c>
      <c r="M4151" t="n">
        <v>0</v>
      </c>
      <c r="N4151" t="n">
        <v>0</v>
      </c>
      <c r="O4151" t="n">
        <v>0</v>
      </c>
      <c r="P4151" t="n">
        <v>0</v>
      </c>
      <c r="Q4151" t="n">
        <v>0</v>
      </c>
      <c r="R4151" s="2" t="inlineStr"/>
    </row>
    <row r="4152" ht="15" customHeight="1">
      <c r="A4152" t="inlineStr">
        <is>
          <t>A 15451-2021</t>
        </is>
      </c>
      <c r="B4152" s="1" t="n">
        <v>44285</v>
      </c>
      <c r="C4152" s="1" t="n">
        <v>45363</v>
      </c>
      <c r="D4152" t="inlineStr">
        <is>
          <t>JÄMTLANDS LÄN</t>
        </is>
      </c>
      <c r="E4152" t="inlineStr">
        <is>
          <t>KROKOM</t>
        </is>
      </c>
      <c r="G4152" t="n">
        <v>9.699999999999999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15650-2021</t>
        </is>
      </c>
      <c r="B4153" s="1" t="n">
        <v>44285</v>
      </c>
      <c r="C4153" s="1" t="n">
        <v>45363</v>
      </c>
      <c r="D4153" t="inlineStr">
        <is>
          <t>JÄMTLANDS LÄN</t>
        </is>
      </c>
      <c r="E4153" t="inlineStr">
        <is>
          <t>STRÖMSUND</t>
        </is>
      </c>
      <c r="F4153" t="inlineStr">
        <is>
          <t>SCA</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15681-2021</t>
        </is>
      </c>
      <c r="B4154" s="1" t="n">
        <v>44286</v>
      </c>
      <c r="C4154" s="1" t="n">
        <v>45363</v>
      </c>
      <c r="D4154" t="inlineStr">
        <is>
          <t>JÄMTLANDS LÄN</t>
        </is>
      </c>
      <c r="E4154" t="inlineStr">
        <is>
          <t>HÄRJEDALEN</t>
        </is>
      </c>
      <c r="G4154" t="n">
        <v>9.6</v>
      </c>
      <c r="H4154" t="n">
        <v>0</v>
      </c>
      <c r="I4154" t="n">
        <v>0</v>
      </c>
      <c r="J4154" t="n">
        <v>0</v>
      </c>
      <c r="K4154" t="n">
        <v>0</v>
      </c>
      <c r="L4154" t="n">
        <v>0</v>
      </c>
      <c r="M4154" t="n">
        <v>0</v>
      </c>
      <c r="N4154" t="n">
        <v>0</v>
      </c>
      <c r="O4154" t="n">
        <v>0</v>
      </c>
      <c r="P4154" t="n">
        <v>0</v>
      </c>
      <c r="Q4154" t="n">
        <v>0</v>
      </c>
      <c r="R4154" s="2" t="inlineStr"/>
    </row>
    <row r="4155" ht="15" customHeight="1">
      <c r="A4155" t="inlineStr">
        <is>
          <t>A 15748-2021</t>
        </is>
      </c>
      <c r="B4155" s="1" t="n">
        <v>44286</v>
      </c>
      <c r="C4155" s="1" t="n">
        <v>45363</v>
      </c>
      <c r="D4155" t="inlineStr">
        <is>
          <t>JÄMTLANDS LÄN</t>
        </is>
      </c>
      <c r="E4155" t="inlineStr">
        <is>
          <t>KROKOM</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15785-2021</t>
        </is>
      </c>
      <c r="B4156" s="1" t="n">
        <v>44286</v>
      </c>
      <c r="C4156" s="1" t="n">
        <v>45363</v>
      </c>
      <c r="D4156" t="inlineStr">
        <is>
          <t>JÄMTLANDS LÄN</t>
        </is>
      </c>
      <c r="E4156" t="inlineStr">
        <is>
          <t>BERG</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15720-2021</t>
        </is>
      </c>
      <c r="B4157" s="1" t="n">
        <v>44286</v>
      </c>
      <c r="C4157" s="1" t="n">
        <v>45363</v>
      </c>
      <c r="D4157" t="inlineStr">
        <is>
          <t>JÄMTLANDS LÄN</t>
        </is>
      </c>
      <c r="E4157" t="inlineStr">
        <is>
          <t>RAGUNDA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15685-2021</t>
        </is>
      </c>
      <c r="B4158" s="1" t="n">
        <v>44286</v>
      </c>
      <c r="C4158" s="1" t="n">
        <v>45363</v>
      </c>
      <c r="D4158" t="inlineStr">
        <is>
          <t>JÄMTLANDS LÄN</t>
        </is>
      </c>
      <c r="E4158" t="inlineStr">
        <is>
          <t>HÄRJEDALEN</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15672-2021</t>
        </is>
      </c>
      <c r="B4159" s="1" t="n">
        <v>44286</v>
      </c>
      <c r="C4159" s="1" t="n">
        <v>45363</v>
      </c>
      <c r="D4159" t="inlineStr">
        <is>
          <t>JÄMTLANDS LÄN</t>
        </is>
      </c>
      <c r="E4159" t="inlineStr">
        <is>
          <t>RAGUNDA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16073-2021</t>
        </is>
      </c>
      <c r="B4160" s="1" t="n">
        <v>44287</v>
      </c>
      <c r="C4160" s="1" t="n">
        <v>45363</v>
      </c>
      <c r="D4160" t="inlineStr">
        <is>
          <t>JÄMTLANDS LÄN</t>
        </is>
      </c>
      <c r="E4160" t="inlineStr">
        <is>
          <t>BRÄCKE</t>
        </is>
      </c>
      <c r="F4160" t="inlineStr">
        <is>
          <t>SCA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16188-2021</t>
        </is>
      </c>
      <c r="B4161" s="1" t="n">
        <v>44287</v>
      </c>
      <c r="C4161" s="1" t="n">
        <v>45363</v>
      </c>
      <c r="D4161" t="inlineStr">
        <is>
          <t>JÄMTLANDS LÄN</t>
        </is>
      </c>
      <c r="E4161" t="inlineStr">
        <is>
          <t>KROKOM</t>
        </is>
      </c>
      <c r="G4161" t="n">
        <v>30.5</v>
      </c>
      <c r="H4161" t="n">
        <v>0</v>
      </c>
      <c r="I4161" t="n">
        <v>0</v>
      </c>
      <c r="J4161" t="n">
        <v>0</v>
      </c>
      <c r="K4161" t="n">
        <v>0</v>
      </c>
      <c r="L4161" t="n">
        <v>0</v>
      </c>
      <c r="M4161" t="n">
        <v>0</v>
      </c>
      <c r="N4161" t="n">
        <v>0</v>
      </c>
      <c r="O4161" t="n">
        <v>0</v>
      </c>
      <c r="P4161" t="n">
        <v>0</v>
      </c>
      <c r="Q4161" t="n">
        <v>0</v>
      </c>
      <c r="R4161" s="2" t="inlineStr"/>
    </row>
    <row r="4162" ht="15" customHeight="1">
      <c r="A4162" t="inlineStr">
        <is>
          <t>A 16002-2021</t>
        </is>
      </c>
      <c r="B4162" s="1" t="n">
        <v>44287</v>
      </c>
      <c r="C4162" s="1" t="n">
        <v>45363</v>
      </c>
      <c r="D4162" t="inlineStr">
        <is>
          <t>JÄMTLANDS LÄN</t>
        </is>
      </c>
      <c r="E4162" t="inlineStr">
        <is>
          <t>RAGUNDA</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16117-2021</t>
        </is>
      </c>
      <c r="B4163" s="1" t="n">
        <v>44291</v>
      </c>
      <c r="C4163" s="1" t="n">
        <v>45363</v>
      </c>
      <c r="D4163" t="inlineStr">
        <is>
          <t>JÄMTLANDS LÄN</t>
        </is>
      </c>
      <c r="E4163" t="inlineStr">
        <is>
          <t>BRÄCKE</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16128-2021</t>
        </is>
      </c>
      <c r="B4164" s="1" t="n">
        <v>44291</v>
      </c>
      <c r="C4164" s="1" t="n">
        <v>45363</v>
      </c>
      <c r="D4164" t="inlineStr">
        <is>
          <t>JÄMTLANDS LÄN</t>
        </is>
      </c>
      <c r="E4164" t="inlineStr">
        <is>
          <t>STRÖMSUND</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16242-2021</t>
        </is>
      </c>
      <c r="B4165" s="1" t="n">
        <v>44292</v>
      </c>
      <c r="C4165" s="1" t="n">
        <v>45363</v>
      </c>
      <c r="D4165" t="inlineStr">
        <is>
          <t>JÄMTLANDS LÄN</t>
        </is>
      </c>
      <c r="E4165" t="inlineStr">
        <is>
          <t>KROKOM</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16336-2021</t>
        </is>
      </c>
      <c r="B4166" s="1" t="n">
        <v>44293</v>
      </c>
      <c r="C4166" s="1" t="n">
        <v>45363</v>
      </c>
      <c r="D4166" t="inlineStr">
        <is>
          <t>JÄMTLANDS LÄN</t>
        </is>
      </c>
      <c r="E4166" t="inlineStr">
        <is>
          <t>BRÄCKE</t>
        </is>
      </c>
      <c r="F4166" t="inlineStr">
        <is>
          <t>SCA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16379-2021</t>
        </is>
      </c>
      <c r="B4167" s="1" t="n">
        <v>44292</v>
      </c>
      <c r="C4167" s="1" t="n">
        <v>45363</v>
      </c>
      <c r="D4167" t="inlineStr">
        <is>
          <t>JÄMTLANDS LÄN</t>
        </is>
      </c>
      <c r="E4167" t="inlineStr">
        <is>
          <t>RAGUNDA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16733-2021</t>
        </is>
      </c>
      <c r="B4168" s="1" t="n">
        <v>44293</v>
      </c>
      <c r="C4168" s="1" t="n">
        <v>45363</v>
      </c>
      <c r="D4168" t="inlineStr">
        <is>
          <t>JÄMTLANDS LÄN</t>
        </is>
      </c>
      <c r="E4168" t="inlineStr">
        <is>
          <t>BRÄCKE</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16723-2021</t>
        </is>
      </c>
      <c r="B4169" s="1" t="n">
        <v>44293</v>
      </c>
      <c r="C4169" s="1" t="n">
        <v>45363</v>
      </c>
      <c r="D4169" t="inlineStr">
        <is>
          <t>JÄMTLANDS LÄN</t>
        </is>
      </c>
      <c r="E4169" t="inlineStr">
        <is>
          <t>BRÄCKE</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16819-2021</t>
        </is>
      </c>
      <c r="B4170" s="1" t="n">
        <v>44293</v>
      </c>
      <c r="C4170" s="1" t="n">
        <v>45363</v>
      </c>
      <c r="D4170" t="inlineStr">
        <is>
          <t>JÄMTLANDS LÄN</t>
        </is>
      </c>
      <c r="E4170" t="inlineStr">
        <is>
          <t>BERG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16822-2021</t>
        </is>
      </c>
      <c r="B4171" s="1" t="n">
        <v>44293</v>
      </c>
      <c r="C4171" s="1" t="n">
        <v>45363</v>
      </c>
      <c r="D4171" t="inlineStr">
        <is>
          <t>JÄMTLANDS LÄN</t>
        </is>
      </c>
      <c r="E4171" t="inlineStr">
        <is>
          <t>BERG</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16831-2021</t>
        </is>
      </c>
      <c r="B4172" s="1" t="n">
        <v>44293</v>
      </c>
      <c r="C4172" s="1" t="n">
        <v>45363</v>
      </c>
      <c r="D4172" t="inlineStr">
        <is>
          <t>JÄMTLANDS LÄN</t>
        </is>
      </c>
      <c r="E4172" t="inlineStr">
        <is>
          <t>BERG</t>
        </is>
      </c>
      <c r="G4172" t="n">
        <v>13.7</v>
      </c>
      <c r="H4172" t="n">
        <v>0</v>
      </c>
      <c r="I4172" t="n">
        <v>0</v>
      </c>
      <c r="J4172" t="n">
        <v>0</v>
      </c>
      <c r="K4172" t="n">
        <v>0</v>
      </c>
      <c r="L4172" t="n">
        <v>0</v>
      </c>
      <c r="M4172" t="n">
        <v>0</v>
      </c>
      <c r="N4172" t="n">
        <v>0</v>
      </c>
      <c r="O4172" t="n">
        <v>0</v>
      </c>
      <c r="P4172" t="n">
        <v>0</v>
      </c>
      <c r="Q4172" t="n">
        <v>0</v>
      </c>
      <c r="R4172" s="2" t="inlineStr"/>
    </row>
    <row r="4173" ht="15" customHeight="1">
      <c r="A4173" t="inlineStr">
        <is>
          <t>A 16828-2021</t>
        </is>
      </c>
      <c r="B4173" s="1" t="n">
        <v>44293</v>
      </c>
      <c r="C4173" s="1" t="n">
        <v>45363</v>
      </c>
      <c r="D4173" t="inlineStr">
        <is>
          <t>JÄMTLANDS LÄN</t>
        </is>
      </c>
      <c r="E4173" t="inlineStr">
        <is>
          <t>BERG</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16825-2021</t>
        </is>
      </c>
      <c r="B4174" s="1" t="n">
        <v>44293</v>
      </c>
      <c r="C4174" s="1" t="n">
        <v>45363</v>
      </c>
      <c r="D4174" t="inlineStr">
        <is>
          <t>JÄMTLANDS LÄN</t>
        </is>
      </c>
      <c r="E4174" t="inlineStr">
        <is>
          <t>BERG</t>
        </is>
      </c>
      <c r="G4174" t="n">
        <v>20</v>
      </c>
      <c r="H4174" t="n">
        <v>0</v>
      </c>
      <c r="I4174" t="n">
        <v>0</v>
      </c>
      <c r="J4174" t="n">
        <v>0</v>
      </c>
      <c r="K4174" t="n">
        <v>0</v>
      </c>
      <c r="L4174" t="n">
        <v>0</v>
      </c>
      <c r="M4174" t="n">
        <v>0</v>
      </c>
      <c r="N4174" t="n">
        <v>0</v>
      </c>
      <c r="O4174" t="n">
        <v>0</v>
      </c>
      <c r="P4174" t="n">
        <v>0</v>
      </c>
      <c r="Q4174" t="n">
        <v>0</v>
      </c>
      <c r="R4174" s="2" t="inlineStr"/>
    </row>
    <row r="4175" ht="15" customHeight="1">
      <c r="A4175" t="inlineStr">
        <is>
          <t>A 16625-2021</t>
        </is>
      </c>
      <c r="B4175" s="1" t="n">
        <v>44294</v>
      </c>
      <c r="C4175" s="1" t="n">
        <v>45363</v>
      </c>
      <c r="D4175" t="inlineStr">
        <is>
          <t>JÄMTLANDS LÄN</t>
        </is>
      </c>
      <c r="E4175" t="inlineStr">
        <is>
          <t>ÅRE</t>
        </is>
      </c>
      <c r="F4175" t="inlineStr">
        <is>
          <t>Övriga Aktiebolag</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16619-2021</t>
        </is>
      </c>
      <c r="B4176" s="1" t="n">
        <v>44294</v>
      </c>
      <c r="C4176" s="1" t="n">
        <v>45363</v>
      </c>
      <c r="D4176" t="inlineStr">
        <is>
          <t>JÄMTLANDS LÄN</t>
        </is>
      </c>
      <c r="E4176" t="inlineStr">
        <is>
          <t>BRÄCKE</t>
        </is>
      </c>
      <c r="G4176" t="n">
        <v>10.3</v>
      </c>
      <c r="H4176" t="n">
        <v>0</v>
      </c>
      <c r="I4176" t="n">
        <v>0</v>
      </c>
      <c r="J4176" t="n">
        <v>0</v>
      </c>
      <c r="K4176" t="n">
        <v>0</v>
      </c>
      <c r="L4176" t="n">
        <v>0</v>
      </c>
      <c r="M4176" t="n">
        <v>0</v>
      </c>
      <c r="N4176" t="n">
        <v>0</v>
      </c>
      <c r="O4176" t="n">
        <v>0</v>
      </c>
      <c r="P4176" t="n">
        <v>0</v>
      </c>
      <c r="Q4176" t="n">
        <v>0</v>
      </c>
      <c r="R4176" s="2" t="inlineStr"/>
    </row>
    <row r="4177" ht="15" customHeight="1">
      <c r="A4177" t="inlineStr">
        <is>
          <t>A 16774-2021</t>
        </is>
      </c>
      <c r="B4177" s="1" t="n">
        <v>44294</v>
      </c>
      <c r="C4177" s="1" t="n">
        <v>45363</v>
      </c>
      <c r="D4177" t="inlineStr">
        <is>
          <t>JÄMTLANDS LÄN</t>
        </is>
      </c>
      <c r="E4177" t="inlineStr">
        <is>
          <t>STRÖMSUND</t>
        </is>
      </c>
      <c r="G4177" t="n">
        <v>10.5</v>
      </c>
      <c r="H4177" t="n">
        <v>0</v>
      </c>
      <c r="I4177" t="n">
        <v>0</v>
      </c>
      <c r="J4177" t="n">
        <v>0</v>
      </c>
      <c r="K4177" t="n">
        <v>0</v>
      </c>
      <c r="L4177" t="n">
        <v>0</v>
      </c>
      <c r="M4177" t="n">
        <v>0</v>
      </c>
      <c r="N4177" t="n">
        <v>0</v>
      </c>
      <c r="O4177" t="n">
        <v>0</v>
      </c>
      <c r="P4177" t="n">
        <v>0</v>
      </c>
      <c r="Q4177" t="n">
        <v>0</v>
      </c>
      <c r="R4177" s="2" t="inlineStr"/>
    </row>
    <row r="4178" ht="15" customHeight="1">
      <c r="A4178" t="inlineStr">
        <is>
          <t>A 16781-2021</t>
        </is>
      </c>
      <c r="B4178" s="1" t="n">
        <v>44295</v>
      </c>
      <c r="C4178" s="1" t="n">
        <v>45363</v>
      </c>
      <c r="D4178" t="inlineStr">
        <is>
          <t>JÄMTLANDS LÄN</t>
        </is>
      </c>
      <c r="E4178" t="inlineStr">
        <is>
          <t>BRÄCKE</t>
        </is>
      </c>
      <c r="F4178" t="inlineStr">
        <is>
          <t>SCA</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17173-2021</t>
        </is>
      </c>
      <c r="B4179" s="1" t="n">
        <v>44295</v>
      </c>
      <c r="C4179" s="1" t="n">
        <v>45363</v>
      </c>
      <c r="D4179" t="inlineStr">
        <is>
          <t>JÄMTLANDS LÄN</t>
        </is>
      </c>
      <c r="E4179" t="inlineStr">
        <is>
          <t>BRÄCKE</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15659-2021</t>
        </is>
      </c>
      <c r="B4180" s="1" t="n">
        <v>44298</v>
      </c>
      <c r="C4180" s="1" t="n">
        <v>45363</v>
      </c>
      <c r="D4180" t="inlineStr">
        <is>
          <t>JÄMTLANDS LÄN</t>
        </is>
      </c>
      <c r="E4180" t="inlineStr">
        <is>
          <t>ÖSTERSUND</t>
        </is>
      </c>
      <c r="G4180" t="n">
        <v>13.3</v>
      </c>
      <c r="H4180" t="n">
        <v>0</v>
      </c>
      <c r="I4180" t="n">
        <v>0</v>
      </c>
      <c r="J4180" t="n">
        <v>0</v>
      </c>
      <c r="K4180" t="n">
        <v>0</v>
      </c>
      <c r="L4180" t="n">
        <v>0</v>
      </c>
      <c r="M4180" t="n">
        <v>0</v>
      </c>
      <c r="N4180" t="n">
        <v>0</v>
      </c>
      <c r="O4180" t="n">
        <v>0</v>
      </c>
      <c r="P4180" t="n">
        <v>0</v>
      </c>
      <c r="Q4180" t="n">
        <v>0</v>
      </c>
      <c r="R4180" s="2" t="inlineStr"/>
    </row>
    <row r="4181" ht="15" customHeight="1">
      <c r="A4181" t="inlineStr">
        <is>
          <t>A 17187-2021</t>
        </is>
      </c>
      <c r="B4181" s="1" t="n">
        <v>44298</v>
      </c>
      <c r="C4181" s="1" t="n">
        <v>45363</v>
      </c>
      <c r="D4181" t="inlineStr">
        <is>
          <t>JÄMTLANDS LÄN</t>
        </is>
      </c>
      <c r="E4181" t="inlineStr">
        <is>
          <t>HÄRJEDALEN</t>
        </is>
      </c>
      <c r="G4181" t="n">
        <v>20.1</v>
      </c>
      <c r="H4181" t="n">
        <v>0</v>
      </c>
      <c r="I4181" t="n">
        <v>0</v>
      </c>
      <c r="J4181" t="n">
        <v>0</v>
      </c>
      <c r="K4181" t="n">
        <v>0</v>
      </c>
      <c r="L4181" t="n">
        <v>0</v>
      </c>
      <c r="M4181" t="n">
        <v>0</v>
      </c>
      <c r="N4181" t="n">
        <v>0</v>
      </c>
      <c r="O4181" t="n">
        <v>0</v>
      </c>
      <c r="P4181" t="n">
        <v>0</v>
      </c>
      <c r="Q4181" t="n">
        <v>0</v>
      </c>
      <c r="R4181" s="2" t="inlineStr"/>
    </row>
    <row r="4182" ht="15" customHeight="1">
      <c r="A4182" t="inlineStr">
        <is>
          <t>A 17315-2021</t>
        </is>
      </c>
      <c r="B4182" s="1" t="n">
        <v>44298</v>
      </c>
      <c r="C4182" s="1" t="n">
        <v>45363</v>
      </c>
      <c r="D4182" t="inlineStr">
        <is>
          <t>JÄMTLANDS LÄN</t>
        </is>
      </c>
      <c r="E4182" t="inlineStr">
        <is>
          <t>RAGUNDA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17368-2021</t>
        </is>
      </c>
      <c r="B4183" s="1" t="n">
        <v>44299</v>
      </c>
      <c r="C4183" s="1" t="n">
        <v>45363</v>
      </c>
      <c r="D4183" t="inlineStr">
        <is>
          <t>JÄMTLANDS LÄN</t>
        </is>
      </c>
      <c r="E4183" t="inlineStr">
        <is>
          <t>STRÖMSUND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17373-2021</t>
        </is>
      </c>
      <c r="B4184" s="1" t="n">
        <v>44299</v>
      </c>
      <c r="C4184" s="1" t="n">
        <v>45363</v>
      </c>
      <c r="D4184" t="inlineStr">
        <is>
          <t>JÄMTLANDS LÄN</t>
        </is>
      </c>
      <c r="E4184" t="inlineStr">
        <is>
          <t>STRÖMSUND</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17362-2021</t>
        </is>
      </c>
      <c r="B4185" s="1" t="n">
        <v>44298</v>
      </c>
      <c r="C4185" s="1" t="n">
        <v>45363</v>
      </c>
      <c r="D4185" t="inlineStr">
        <is>
          <t>JÄMTLANDS LÄN</t>
        </is>
      </c>
      <c r="E4185" t="inlineStr">
        <is>
          <t>ÖSTERSUND</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17596-2021</t>
        </is>
      </c>
      <c r="B4186" s="1" t="n">
        <v>44299</v>
      </c>
      <c r="C4186" s="1" t="n">
        <v>45363</v>
      </c>
      <c r="D4186" t="inlineStr">
        <is>
          <t>JÄMTLANDS LÄN</t>
        </is>
      </c>
      <c r="E4186" t="inlineStr">
        <is>
          <t>ÖSTERSUND</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17598-2021</t>
        </is>
      </c>
      <c r="B4187" s="1" t="n">
        <v>44299</v>
      </c>
      <c r="C4187" s="1" t="n">
        <v>45363</v>
      </c>
      <c r="D4187" t="inlineStr">
        <is>
          <t>JÄMTLANDS LÄN</t>
        </is>
      </c>
      <c r="E4187" t="inlineStr">
        <is>
          <t>RAGUNDA</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17599-2021</t>
        </is>
      </c>
      <c r="B4188" s="1" t="n">
        <v>44299</v>
      </c>
      <c r="C4188" s="1" t="n">
        <v>45363</v>
      </c>
      <c r="D4188" t="inlineStr">
        <is>
          <t>JÄMTLANDS LÄN</t>
        </is>
      </c>
      <c r="E4188" t="inlineStr">
        <is>
          <t>KROKOM</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17726-2021</t>
        </is>
      </c>
      <c r="B4189" s="1" t="n">
        <v>44300</v>
      </c>
      <c r="C4189" s="1" t="n">
        <v>45363</v>
      </c>
      <c r="D4189" t="inlineStr">
        <is>
          <t>JÄMTLANDS LÄN</t>
        </is>
      </c>
      <c r="E4189" t="inlineStr">
        <is>
          <t>KROKOM</t>
        </is>
      </c>
      <c r="G4189" t="n">
        <v>30.7</v>
      </c>
      <c r="H4189" t="n">
        <v>0</v>
      </c>
      <c r="I4189" t="n">
        <v>0</v>
      </c>
      <c r="J4189" t="n">
        <v>0</v>
      </c>
      <c r="K4189" t="n">
        <v>0</v>
      </c>
      <c r="L4189" t="n">
        <v>0</v>
      </c>
      <c r="M4189" t="n">
        <v>0</v>
      </c>
      <c r="N4189" t="n">
        <v>0</v>
      </c>
      <c r="O4189" t="n">
        <v>0</v>
      </c>
      <c r="P4189" t="n">
        <v>0</v>
      </c>
      <c r="Q4189" t="n">
        <v>0</v>
      </c>
      <c r="R4189" s="2" t="inlineStr"/>
    </row>
    <row r="4190" ht="15" customHeight="1">
      <c r="A4190" t="inlineStr">
        <is>
          <t>A 17705-2021</t>
        </is>
      </c>
      <c r="B4190" s="1" t="n">
        <v>44300</v>
      </c>
      <c r="C4190" s="1" t="n">
        <v>45363</v>
      </c>
      <c r="D4190" t="inlineStr">
        <is>
          <t>JÄMTLANDS LÄN</t>
        </is>
      </c>
      <c r="E4190" t="inlineStr">
        <is>
          <t>HÄRJEDALEN</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17808-2021</t>
        </is>
      </c>
      <c r="B4191" s="1" t="n">
        <v>44300</v>
      </c>
      <c r="C4191" s="1" t="n">
        <v>45363</v>
      </c>
      <c r="D4191" t="inlineStr">
        <is>
          <t>JÄMTLANDS LÄN</t>
        </is>
      </c>
      <c r="E4191" t="inlineStr">
        <is>
          <t>STRÖMSUND</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17857-2021</t>
        </is>
      </c>
      <c r="B4192" s="1" t="n">
        <v>44300</v>
      </c>
      <c r="C4192" s="1" t="n">
        <v>45363</v>
      </c>
      <c r="D4192" t="inlineStr">
        <is>
          <t>JÄMTLANDS LÄN</t>
        </is>
      </c>
      <c r="E4192" t="inlineStr">
        <is>
          <t>STRÖMSUND</t>
        </is>
      </c>
      <c r="F4192" t="inlineStr">
        <is>
          <t>SCA</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17933-2021</t>
        </is>
      </c>
      <c r="B4193" s="1" t="n">
        <v>44301</v>
      </c>
      <c r="C4193" s="1" t="n">
        <v>45363</v>
      </c>
      <c r="D4193" t="inlineStr">
        <is>
          <t>JÄMTLANDS LÄN</t>
        </is>
      </c>
      <c r="E4193" t="inlineStr">
        <is>
          <t>STRÖMSUND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17883-2021</t>
        </is>
      </c>
      <c r="B4194" s="1" t="n">
        <v>44301</v>
      </c>
      <c r="C4194" s="1" t="n">
        <v>45363</v>
      </c>
      <c r="D4194" t="inlineStr">
        <is>
          <t>JÄMTLANDS LÄN</t>
        </is>
      </c>
      <c r="E4194" t="inlineStr">
        <is>
          <t>ÅRE</t>
        </is>
      </c>
      <c r="F4194" t="inlineStr">
        <is>
          <t>Övriga Aktiebolag</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18006-2021</t>
        </is>
      </c>
      <c r="B4195" s="1" t="n">
        <v>44301</v>
      </c>
      <c r="C4195" s="1" t="n">
        <v>45363</v>
      </c>
      <c r="D4195" t="inlineStr">
        <is>
          <t>JÄMTLANDS LÄN</t>
        </is>
      </c>
      <c r="E4195" t="inlineStr">
        <is>
          <t>BRÄCKE</t>
        </is>
      </c>
      <c r="F4195" t="inlineStr">
        <is>
          <t>SCA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18220-2021</t>
        </is>
      </c>
      <c r="B4196" s="1" t="n">
        <v>44302</v>
      </c>
      <c r="C4196" s="1" t="n">
        <v>45363</v>
      </c>
      <c r="D4196" t="inlineStr">
        <is>
          <t>JÄMTLANDS LÄN</t>
        </is>
      </c>
      <c r="E4196" t="inlineStr">
        <is>
          <t>STRÖMSUND</t>
        </is>
      </c>
      <c r="F4196" t="inlineStr">
        <is>
          <t>SCA</t>
        </is>
      </c>
      <c r="G4196" t="n">
        <v>11.3</v>
      </c>
      <c r="H4196" t="n">
        <v>0</v>
      </c>
      <c r="I4196" t="n">
        <v>0</v>
      </c>
      <c r="J4196" t="n">
        <v>0</v>
      </c>
      <c r="K4196" t="n">
        <v>0</v>
      </c>
      <c r="L4196" t="n">
        <v>0</v>
      </c>
      <c r="M4196" t="n">
        <v>0</v>
      </c>
      <c r="N4196" t="n">
        <v>0</v>
      </c>
      <c r="O4196" t="n">
        <v>0</v>
      </c>
      <c r="P4196" t="n">
        <v>0</v>
      </c>
      <c r="Q4196" t="n">
        <v>0</v>
      </c>
      <c r="R4196" s="2" t="inlineStr"/>
    </row>
    <row r="4197" ht="15" customHeight="1">
      <c r="A4197" t="inlineStr">
        <is>
          <t>A 18374-2021</t>
        </is>
      </c>
      <c r="B4197" s="1" t="n">
        <v>44305</v>
      </c>
      <c r="C4197" s="1" t="n">
        <v>45363</v>
      </c>
      <c r="D4197" t="inlineStr">
        <is>
          <t>JÄMTLANDS LÄN</t>
        </is>
      </c>
      <c r="E4197" t="inlineStr">
        <is>
          <t>ÅRE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18389-2021</t>
        </is>
      </c>
      <c r="B4198" s="1" t="n">
        <v>44305</v>
      </c>
      <c r="C4198" s="1" t="n">
        <v>45363</v>
      </c>
      <c r="D4198" t="inlineStr">
        <is>
          <t>JÄMTLANDS LÄN</t>
        </is>
      </c>
      <c r="E4198" t="inlineStr">
        <is>
          <t>HÄRJEDALEN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18454-2021</t>
        </is>
      </c>
      <c r="B4199" s="1" t="n">
        <v>44306</v>
      </c>
      <c r="C4199" s="1" t="n">
        <v>45363</v>
      </c>
      <c r="D4199" t="inlineStr">
        <is>
          <t>JÄMTLANDS LÄN</t>
        </is>
      </c>
      <c r="E4199" t="inlineStr">
        <is>
          <t>RAGUNDA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18531-2021</t>
        </is>
      </c>
      <c r="B4200" s="1" t="n">
        <v>44306</v>
      </c>
      <c r="C4200" s="1" t="n">
        <v>45363</v>
      </c>
      <c r="D4200" t="inlineStr">
        <is>
          <t>JÄMTLANDS LÄN</t>
        </is>
      </c>
      <c r="E4200" t="inlineStr">
        <is>
          <t>ÅRE</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18569-2021</t>
        </is>
      </c>
      <c r="B4201" s="1" t="n">
        <v>44306</v>
      </c>
      <c r="C4201" s="1" t="n">
        <v>45363</v>
      </c>
      <c r="D4201" t="inlineStr">
        <is>
          <t>JÄMTLANDS LÄN</t>
        </is>
      </c>
      <c r="E4201" t="inlineStr">
        <is>
          <t>BERG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18567-2021</t>
        </is>
      </c>
      <c r="B4202" s="1" t="n">
        <v>44306</v>
      </c>
      <c r="C4202" s="1" t="n">
        <v>45363</v>
      </c>
      <c r="D4202" t="inlineStr">
        <is>
          <t>JÄMTLANDS LÄN</t>
        </is>
      </c>
      <c r="E4202" t="inlineStr">
        <is>
          <t>BERG</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18544-2021</t>
        </is>
      </c>
      <c r="B4203" s="1" t="n">
        <v>44306</v>
      </c>
      <c r="C4203" s="1" t="n">
        <v>45363</v>
      </c>
      <c r="D4203" t="inlineStr">
        <is>
          <t>JÄMTLANDS LÄN</t>
        </is>
      </c>
      <c r="E4203" t="inlineStr">
        <is>
          <t>KROKOM</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18775-2021</t>
        </is>
      </c>
      <c r="B4204" s="1" t="n">
        <v>44307</v>
      </c>
      <c r="C4204" s="1" t="n">
        <v>45363</v>
      </c>
      <c r="D4204" t="inlineStr">
        <is>
          <t>JÄMTLANDS LÄN</t>
        </is>
      </c>
      <c r="E4204" t="inlineStr">
        <is>
          <t>STRÖMSUND</t>
        </is>
      </c>
      <c r="G4204" t="n">
        <v>39.7</v>
      </c>
      <c r="H4204" t="n">
        <v>0</v>
      </c>
      <c r="I4204" t="n">
        <v>0</v>
      </c>
      <c r="J4204" t="n">
        <v>0</v>
      </c>
      <c r="K4204" t="n">
        <v>0</v>
      </c>
      <c r="L4204" t="n">
        <v>0</v>
      </c>
      <c r="M4204" t="n">
        <v>0</v>
      </c>
      <c r="N4204" t="n">
        <v>0</v>
      </c>
      <c r="O4204" t="n">
        <v>0</v>
      </c>
      <c r="P4204" t="n">
        <v>0</v>
      </c>
      <c r="Q4204" t="n">
        <v>0</v>
      </c>
      <c r="R4204" s="2" t="inlineStr"/>
    </row>
    <row r="4205" ht="15" customHeight="1">
      <c r="A4205" t="inlineStr">
        <is>
          <t>A 18792-2021</t>
        </is>
      </c>
      <c r="B4205" s="1" t="n">
        <v>44307</v>
      </c>
      <c r="C4205" s="1" t="n">
        <v>45363</v>
      </c>
      <c r="D4205" t="inlineStr">
        <is>
          <t>JÄMTLANDS LÄN</t>
        </is>
      </c>
      <c r="E4205" t="inlineStr">
        <is>
          <t>ÅRE</t>
        </is>
      </c>
      <c r="G4205" t="n">
        <v>16.6</v>
      </c>
      <c r="H4205" t="n">
        <v>0</v>
      </c>
      <c r="I4205" t="n">
        <v>0</v>
      </c>
      <c r="J4205" t="n">
        <v>0</v>
      </c>
      <c r="K4205" t="n">
        <v>0</v>
      </c>
      <c r="L4205" t="n">
        <v>0</v>
      </c>
      <c r="M4205" t="n">
        <v>0</v>
      </c>
      <c r="N4205" t="n">
        <v>0</v>
      </c>
      <c r="O4205" t="n">
        <v>0</v>
      </c>
      <c r="P4205" t="n">
        <v>0</v>
      </c>
      <c r="Q4205" t="n">
        <v>0</v>
      </c>
      <c r="R4205" s="2" t="inlineStr"/>
    </row>
    <row r="4206" ht="15" customHeight="1">
      <c r="A4206" t="inlineStr">
        <is>
          <t>A 18731-2021</t>
        </is>
      </c>
      <c r="B4206" s="1" t="n">
        <v>44307</v>
      </c>
      <c r="C4206" s="1" t="n">
        <v>45363</v>
      </c>
      <c r="D4206" t="inlineStr">
        <is>
          <t>JÄMTLANDS LÄN</t>
        </is>
      </c>
      <c r="E4206" t="inlineStr">
        <is>
          <t>KROKOM</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19088-2021</t>
        </is>
      </c>
      <c r="B4207" s="1" t="n">
        <v>44308</v>
      </c>
      <c r="C4207" s="1" t="n">
        <v>45363</v>
      </c>
      <c r="D4207" t="inlineStr">
        <is>
          <t>JÄMTLANDS LÄN</t>
        </is>
      </c>
      <c r="E4207" t="inlineStr">
        <is>
          <t>BRÄCKE</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19615-2021</t>
        </is>
      </c>
      <c r="B4208" s="1" t="n">
        <v>44308</v>
      </c>
      <c r="C4208" s="1" t="n">
        <v>45363</v>
      </c>
      <c r="D4208" t="inlineStr">
        <is>
          <t>JÄMTLANDS LÄN</t>
        </is>
      </c>
      <c r="E4208" t="inlineStr">
        <is>
          <t>RAGUNDA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19612-2021</t>
        </is>
      </c>
      <c r="B4209" s="1" t="n">
        <v>44308</v>
      </c>
      <c r="C4209" s="1" t="n">
        <v>45363</v>
      </c>
      <c r="D4209" t="inlineStr">
        <is>
          <t>JÄMTLANDS LÄN</t>
        </is>
      </c>
      <c r="E4209" t="inlineStr">
        <is>
          <t>RAGUNDA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19600-2021</t>
        </is>
      </c>
      <c r="B4210" s="1" t="n">
        <v>44308</v>
      </c>
      <c r="C4210" s="1" t="n">
        <v>45363</v>
      </c>
      <c r="D4210" t="inlineStr">
        <is>
          <t>JÄMTLANDS LÄN</t>
        </is>
      </c>
      <c r="E4210" t="inlineStr">
        <is>
          <t>RAGUNDA</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19595-2021</t>
        </is>
      </c>
      <c r="B4211" s="1" t="n">
        <v>44308</v>
      </c>
      <c r="C4211" s="1" t="n">
        <v>45363</v>
      </c>
      <c r="D4211" t="inlineStr">
        <is>
          <t>JÄMTLANDS LÄN</t>
        </is>
      </c>
      <c r="E4211" t="inlineStr">
        <is>
          <t>RAGUNDA</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19275-2021</t>
        </is>
      </c>
      <c r="B4212" s="1" t="n">
        <v>44309</v>
      </c>
      <c r="C4212" s="1" t="n">
        <v>45363</v>
      </c>
      <c r="D4212" t="inlineStr">
        <is>
          <t>JÄMTLANDS LÄN</t>
        </is>
      </c>
      <c r="E4212" t="inlineStr">
        <is>
          <t>ÅRE</t>
        </is>
      </c>
      <c r="G4212" t="n">
        <v>16.4</v>
      </c>
      <c r="H4212" t="n">
        <v>0</v>
      </c>
      <c r="I4212" t="n">
        <v>0</v>
      </c>
      <c r="J4212" t="n">
        <v>0</v>
      </c>
      <c r="K4212" t="n">
        <v>0</v>
      </c>
      <c r="L4212" t="n">
        <v>0</v>
      </c>
      <c r="M4212" t="n">
        <v>0</v>
      </c>
      <c r="N4212" t="n">
        <v>0</v>
      </c>
      <c r="O4212" t="n">
        <v>0</v>
      </c>
      <c r="P4212" t="n">
        <v>0</v>
      </c>
      <c r="Q4212" t="n">
        <v>0</v>
      </c>
      <c r="R4212" s="2" t="inlineStr"/>
    </row>
    <row r="4213" ht="15" customHeight="1">
      <c r="A4213" t="inlineStr">
        <is>
          <t>A 19958-2021</t>
        </is>
      </c>
      <c r="B4213" s="1" t="n">
        <v>44312</v>
      </c>
      <c r="C4213" s="1" t="n">
        <v>45363</v>
      </c>
      <c r="D4213" t="inlineStr">
        <is>
          <t>JÄMTLANDS LÄN</t>
        </is>
      </c>
      <c r="E4213" t="inlineStr">
        <is>
          <t>HÄRJEDALEN</t>
        </is>
      </c>
      <c r="G4213" t="n">
        <v>10.7</v>
      </c>
      <c r="H4213" t="n">
        <v>0</v>
      </c>
      <c r="I4213" t="n">
        <v>0</v>
      </c>
      <c r="J4213" t="n">
        <v>0</v>
      </c>
      <c r="K4213" t="n">
        <v>0</v>
      </c>
      <c r="L4213" t="n">
        <v>0</v>
      </c>
      <c r="M4213" t="n">
        <v>0</v>
      </c>
      <c r="N4213" t="n">
        <v>0</v>
      </c>
      <c r="O4213" t="n">
        <v>0</v>
      </c>
      <c r="P4213" t="n">
        <v>0</v>
      </c>
      <c r="Q4213" t="n">
        <v>0</v>
      </c>
      <c r="R4213" s="2" t="inlineStr"/>
    </row>
    <row r="4214" ht="15" customHeight="1">
      <c r="A4214" t="inlineStr">
        <is>
          <t>A 20413-2021</t>
        </is>
      </c>
      <c r="B4214" s="1" t="n">
        <v>44312</v>
      </c>
      <c r="C4214" s="1" t="n">
        <v>45363</v>
      </c>
      <c r="D4214" t="inlineStr">
        <is>
          <t>JÄMTLANDS LÄN</t>
        </is>
      </c>
      <c r="E4214" t="inlineStr">
        <is>
          <t>STRÖMSUND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19955-2021</t>
        </is>
      </c>
      <c r="B4215" s="1" t="n">
        <v>44312</v>
      </c>
      <c r="C4215" s="1" t="n">
        <v>45363</v>
      </c>
      <c r="D4215" t="inlineStr">
        <is>
          <t>JÄMTLANDS LÄN</t>
        </is>
      </c>
      <c r="E4215" t="inlineStr">
        <is>
          <t>HÄRJEDALEN</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20405-2021</t>
        </is>
      </c>
      <c r="B4216" s="1" t="n">
        <v>44312</v>
      </c>
      <c r="C4216" s="1" t="n">
        <v>45363</v>
      </c>
      <c r="D4216" t="inlineStr">
        <is>
          <t>JÄMTLANDS LÄN</t>
        </is>
      </c>
      <c r="E4216" t="inlineStr">
        <is>
          <t>KROKOM</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19726-2021</t>
        </is>
      </c>
      <c r="B4217" s="1" t="n">
        <v>44312</v>
      </c>
      <c r="C4217" s="1" t="n">
        <v>45363</v>
      </c>
      <c r="D4217" t="inlineStr">
        <is>
          <t>JÄMTLANDS LÄN</t>
        </is>
      </c>
      <c r="E4217" t="inlineStr">
        <is>
          <t>STRÖMSUND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19962-2021</t>
        </is>
      </c>
      <c r="B4218" s="1" t="n">
        <v>44312</v>
      </c>
      <c r="C4218" s="1" t="n">
        <v>45363</v>
      </c>
      <c r="D4218" t="inlineStr">
        <is>
          <t>JÄMTLANDS LÄN</t>
        </is>
      </c>
      <c r="E4218" t="inlineStr">
        <is>
          <t>HÄRJEDALEN</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19541-2021</t>
        </is>
      </c>
      <c r="B4219" s="1" t="n">
        <v>44312</v>
      </c>
      <c r="C4219" s="1" t="n">
        <v>45363</v>
      </c>
      <c r="D4219" t="inlineStr">
        <is>
          <t>JÄMTLANDS LÄN</t>
        </is>
      </c>
      <c r="E4219" t="inlineStr">
        <is>
          <t>ÖSTERSUND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19556-2021</t>
        </is>
      </c>
      <c r="B4220" s="1" t="n">
        <v>44312</v>
      </c>
      <c r="C4220" s="1" t="n">
        <v>45363</v>
      </c>
      <c r="D4220" t="inlineStr">
        <is>
          <t>JÄMTLANDS LÄN</t>
        </is>
      </c>
      <c r="E4220" t="inlineStr">
        <is>
          <t>STRÖMSUND</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19572-2021</t>
        </is>
      </c>
      <c r="B4221" s="1" t="n">
        <v>44312</v>
      </c>
      <c r="C4221" s="1" t="n">
        <v>45363</v>
      </c>
      <c r="D4221" t="inlineStr">
        <is>
          <t>JÄMTLANDS LÄN</t>
        </is>
      </c>
      <c r="E4221" t="inlineStr">
        <is>
          <t>STRÖMSUND</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19567-2021</t>
        </is>
      </c>
      <c r="B4222" s="1" t="n">
        <v>44312</v>
      </c>
      <c r="C4222" s="1" t="n">
        <v>45363</v>
      </c>
      <c r="D4222" t="inlineStr">
        <is>
          <t>JÄMTLANDS LÄN</t>
        </is>
      </c>
      <c r="E4222" t="inlineStr">
        <is>
          <t>STRÖMSUND</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19984-2021</t>
        </is>
      </c>
      <c r="B4223" s="1" t="n">
        <v>44313</v>
      </c>
      <c r="C4223" s="1" t="n">
        <v>45363</v>
      </c>
      <c r="D4223" t="inlineStr">
        <is>
          <t>JÄMTLANDS LÄN</t>
        </is>
      </c>
      <c r="E4223" t="inlineStr">
        <is>
          <t>KROKOM</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20179-2021</t>
        </is>
      </c>
      <c r="B4224" s="1" t="n">
        <v>44314</v>
      </c>
      <c r="C4224" s="1" t="n">
        <v>45363</v>
      </c>
      <c r="D4224" t="inlineStr">
        <is>
          <t>JÄMTLANDS LÄN</t>
        </is>
      </c>
      <c r="E4224" t="inlineStr">
        <is>
          <t>BERG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20290-2021</t>
        </is>
      </c>
      <c r="B4225" s="1" t="n">
        <v>44314</v>
      </c>
      <c r="C4225" s="1" t="n">
        <v>45363</v>
      </c>
      <c r="D4225" t="inlineStr">
        <is>
          <t>JÄMTLANDS LÄN</t>
        </is>
      </c>
      <c r="E4225" t="inlineStr">
        <is>
          <t>ÖSTERSUND</t>
        </is>
      </c>
      <c r="F4225" t="inlineStr">
        <is>
          <t>SCA</t>
        </is>
      </c>
      <c r="G4225" t="n">
        <v>8.1</v>
      </c>
      <c r="H4225" t="n">
        <v>0</v>
      </c>
      <c r="I4225" t="n">
        <v>0</v>
      </c>
      <c r="J4225" t="n">
        <v>0</v>
      </c>
      <c r="K4225" t="n">
        <v>0</v>
      </c>
      <c r="L4225" t="n">
        <v>0</v>
      </c>
      <c r="M4225" t="n">
        <v>0</v>
      </c>
      <c r="N4225" t="n">
        <v>0</v>
      </c>
      <c r="O4225" t="n">
        <v>0</v>
      </c>
      <c r="P4225" t="n">
        <v>0</v>
      </c>
      <c r="Q4225" t="n">
        <v>0</v>
      </c>
      <c r="R4225" s="2" t="inlineStr"/>
    </row>
    <row r="4226" ht="15" customHeight="1">
      <c r="A4226" t="inlineStr">
        <is>
          <t>A 20295-2021</t>
        </is>
      </c>
      <c r="B4226" s="1" t="n">
        <v>44314</v>
      </c>
      <c r="C4226" s="1" t="n">
        <v>45363</v>
      </c>
      <c r="D4226" t="inlineStr">
        <is>
          <t>JÄMTLANDS LÄN</t>
        </is>
      </c>
      <c r="E4226" t="inlineStr">
        <is>
          <t>STRÖMSUND</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21593-2021</t>
        </is>
      </c>
      <c r="B4227" s="1" t="n">
        <v>44314</v>
      </c>
      <c r="C4227" s="1" t="n">
        <v>45363</v>
      </c>
      <c r="D4227" t="inlineStr">
        <is>
          <t>JÄMTLANDS LÄN</t>
        </is>
      </c>
      <c r="E4227" t="inlineStr">
        <is>
          <t>HÄRJEDALEN</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21596-2021</t>
        </is>
      </c>
      <c r="B4228" s="1" t="n">
        <v>44314</v>
      </c>
      <c r="C4228" s="1" t="n">
        <v>45363</v>
      </c>
      <c r="D4228" t="inlineStr">
        <is>
          <t>JÄMTLANDS LÄN</t>
        </is>
      </c>
      <c r="E4228" t="inlineStr">
        <is>
          <t>HÄRJEDALEN</t>
        </is>
      </c>
      <c r="G4228" t="n">
        <v>18.2</v>
      </c>
      <c r="H4228" t="n">
        <v>0</v>
      </c>
      <c r="I4228" t="n">
        <v>0</v>
      </c>
      <c r="J4228" t="n">
        <v>0</v>
      </c>
      <c r="K4228" t="n">
        <v>0</v>
      </c>
      <c r="L4228" t="n">
        <v>0</v>
      </c>
      <c r="M4228" t="n">
        <v>0</v>
      </c>
      <c r="N4228" t="n">
        <v>0</v>
      </c>
      <c r="O4228" t="n">
        <v>0</v>
      </c>
      <c r="P4228" t="n">
        <v>0</v>
      </c>
      <c r="Q4228" t="n">
        <v>0</v>
      </c>
      <c r="R4228" s="2" t="inlineStr"/>
    </row>
    <row r="4229" ht="15" customHeight="1">
      <c r="A4229" t="inlineStr">
        <is>
          <t>A 20501-2021</t>
        </is>
      </c>
      <c r="B4229" s="1" t="n">
        <v>44315</v>
      </c>
      <c r="C4229" s="1" t="n">
        <v>45363</v>
      </c>
      <c r="D4229" t="inlineStr">
        <is>
          <t>JÄMTLANDS LÄN</t>
        </is>
      </c>
      <c r="E4229" t="inlineStr">
        <is>
          <t>ÅRE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20548-2021</t>
        </is>
      </c>
      <c r="B4230" s="1" t="n">
        <v>44315</v>
      </c>
      <c r="C4230" s="1" t="n">
        <v>45363</v>
      </c>
      <c r="D4230" t="inlineStr">
        <is>
          <t>JÄMTLANDS LÄN</t>
        </is>
      </c>
      <c r="E4230" t="inlineStr">
        <is>
          <t>RAGUNDA</t>
        </is>
      </c>
      <c r="F4230" t="inlineStr">
        <is>
          <t>SCA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20620-2021</t>
        </is>
      </c>
      <c r="B4231" s="1" t="n">
        <v>44316</v>
      </c>
      <c r="C4231" s="1" t="n">
        <v>45363</v>
      </c>
      <c r="D4231" t="inlineStr">
        <is>
          <t>JÄMTLANDS LÄN</t>
        </is>
      </c>
      <c r="E4231" t="inlineStr">
        <is>
          <t>ÖSTERSUND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21000-2021</t>
        </is>
      </c>
      <c r="B4232" s="1" t="n">
        <v>44316</v>
      </c>
      <c r="C4232" s="1" t="n">
        <v>45363</v>
      </c>
      <c r="D4232" t="inlineStr">
        <is>
          <t>JÄMTLANDS LÄN</t>
        </is>
      </c>
      <c r="E4232" t="inlineStr">
        <is>
          <t>KROKOM</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21837-2021</t>
        </is>
      </c>
      <c r="B4233" s="1" t="n">
        <v>44316</v>
      </c>
      <c r="C4233" s="1" t="n">
        <v>45363</v>
      </c>
      <c r="D4233" t="inlineStr">
        <is>
          <t>JÄMTLANDS LÄN</t>
        </is>
      </c>
      <c r="E4233" t="inlineStr">
        <is>
          <t>HÄRJEDALEN</t>
        </is>
      </c>
      <c r="G4233" t="n">
        <v>20</v>
      </c>
      <c r="H4233" t="n">
        <v>0</v>
      </c>
      <c r="I4233" t="n">
        <v>0</v>
      </c>
      <c r="J4233" t="n">
        <v>0</v>
      </c>
      <c r="K4233" t="n">
        <v>0</v>
      </c>
      <c r="L4233" t="n">
        <v>0</v>
      </c>
      <c r="M4233" t="n">
        <v>0</v>
      </c>
      <c r="N4233" t="n">
        <v>0</v>
      </c>
      <c r="O4233" t="n">
        <v>0</v>
      </c>
      <c r="P4233" t="n">
        <v>0</v>
      </c>
      <c r="Q4233" t="n">
        <v>0</v>
      </c>
      <c r="R4233" s="2" t="inlineStr"/>
    </row>
    <row r="4234" ht="15" customHeight="1">
      <c r="A4234" t="inlineStr">
        <is>
          <t>A 21702-2021</t>
        </is>
      </c>
      <c r="B4234" s="1" t="n">
        <v>44316</v>
      </c>
      <c r="C4234" s="1" t="n">
        <v>45363</v>
      </c>
      <c r="D4234" t="inlineStr">
        <is>
          <t>JÄMTLANDS LÄN</t>
        </is>
      </c>
      <c r="E4234" t="inlineStr">
        <is>
          <t>HÄRJEDALEN</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21833-2021</t>
        </is>
      </c>
      <c r="B4235" s="1" t="n">
        <v>44316</v>
      </c>
      <c r="C4235" s="1" t="n">
        <v>45363</v>
      </c>
      <c r="D4235" t="inlineStr">
        <is>
          <t>JÄMTLANDS LÄN</t>
        </is>
      </c>
      <c r="E4235" t="inlineStr">
        <is>
          <t>HÄRJEDALEN</t>
        </is>
      </c>
      <c r="G4235" t="n">
        <v>20.2</v>
      </c>
      <c r="H4235" t="n">
        <v>0</v>
      </c>
      <c r="I4235" t="n">
        <v>0</v>
      </c>
      <c r="J4235" t="n">
        <v>0</v>
      </c>
      <c r="K4235" t="n">
        <v>0</v>
      </c>
      <c r="L4235" t="n">
        <v>0</v>
      </c>
      <c r="M4235" t="n">
        <v>0</v>
      </c>
      <c r="N4235" t="n">
        <v>0</v>
      </c>
      <c r="O4235" t="n">
        <v>0</v>
      </c>
      <c r="P4235" t="n">
        <v>0</v>
      </c>
      <c r="Q4235" t="n">
        <v>0</v>
      </c>
      <c r="R4235" s="2" t="inlineStr"/>
    </row>
    <row r="4236" ht="15" customHeight="1">
      <c r="A4236" t="inlineStr">
        <is>
          <t>A 21854-2021</t>
        </is>
      </c>
      <c r="B4236" s="1" t="n">
        <v>44316</v>
      </c>
      <c r="C4236" s="1" t="n">
        <v>45363</v>
      </c>
      <c r="D4236" t="inlineStr">
        <is>
          <t>JÄMTLANDS LÄN</t>
        </is>
      </c>
      <c r="E4236" t="inlineStr">
        <is>
          <t>HÄRJEDALEN</t>
        </is>
      </c>
      <c r="G4236" t="n">
        <v>10.7</v>
      </c>
      <c r="H4236" t="n">
        <v>0</v>
      </c>
      <c r="I4236" t="n">
        <v>0</v>
      </c>
      <c r="J4236" t="n">
        <v>0</v>
      </c>
      <c r="K4236" t="n">
        <v>0</v>
      </c>
      <c r="L4236" t="n">
        <v>0</v>
      </c>
      <c r="M4236" t="n">
        <v>0</v>
      </c>
      <c r="N4236" t="n">
        <v>0</v>
      </c>
      <c r="O4236" t="n">
        <v>0</v>
      </c>
      <c r="P4236" t="n">
        <v>0</v>
      </c>
      <c r="Q4236" t="n">
        <v>0</v>
      </c>
      <c r="R4236" s="2" t="inlineStr"/>
    </row>
    <row r="4237" ht="15" customHeight="1">
      <c r="A4237" t="inlineStr">
        <is>
          <t>A 21848-2021</t>
        </is>
      </c>
      <c r="B4237" s="1" t="n">
        <v>44316</v>
      </c>
      <c r="C4237" s="1" t="n">
        <v>45363</v>
      </c>
      <c r="D4237" t="inlineStr">
        <is>
          <t>JÄMTLANDS LÄN</t>
        </is>
      </c>
      <c r="E4237" t="inlineStr">
        <is>
          <t>HÄRJEDALEN</t>
        </is>
      </c>
      <c r="G4237" t="n">
        <v>19.4</v>
      </c>
      <c r="H4237" t="n">
        <v>0</v>
      </c>
      <c r="I4237" t="n">
        <v>0</v>
      </c>
      <c r="J4237" t="n">
        <v>0</v>
      </c>
      <c r="K4237" t="n">
        <v>0</v>
      </c>
      <c r="L4237" t="n">
        <v>0</v>
      </c>
      <c r="M4237" t="n">
        <v>0</v>
      </c>
      <c r="N4237" t="n">
        <v>0</v>
      </c>
      <c r="O4237" t="n">
        <v>0</v>
      </c>
      <c r="P4237" t="n">
        <v>0</v>
      </c>
      <c r="Q4237" t="n">
        <v>0</v>
      </c>
      <c r="R4237" s="2" t="inlineStr"/>
    </row>
    <row r="4238" ht="15" customHeight="1">
      <c r="A4238" t="inlineStr">
        <is>
          <t>A 21699-2021</t>
        </is>
      </c>
      <c r="B4238" s="1" t="n">
        <v>44316</v>
      </c>
      <c r="C4238" s="1" t="n">
        <v>45363</v>
      </c>
      <c r="D4238" t="inlineStr">
        <is>
          <t>JÄMTLANDS LÄN</t>
        </is>
      </c>
      <c r="E4238" t="inlineStr">
        <is>
          <t>HÄRJEDALEN</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21703-2021</t>
        </is>
      </c>
      <c r="B4239" s="1" t="n">
        <v>44316</v>
      </c>
      <c r="C4239" s="1" t="n">
        <v>45363</v>
      </c>
      <c r="D4239" t="inlineStr">
        <is>
          <t>JÄMTLANDS LÄN</t>
        </is>
      </c>
      <c r="E4239" t="inlineStr">
        <is>
          <t>HÄRJEDALEN</t>
        </is>
      </c>
      <c r="G4239" t="n">
        <v>11.9</v>
      </c>
      <c r="H4239" t="n">
        <v>0</v>
      </c>
      <c r="I4239" t="n">
        <v>0</v>
      </c>
      <c r="J4239" t="n">
        <v>0</v>
      </c>
      <c r="K4239" t="n">
        <v>0</v>
      </c>
      <c r="L4239" t="n">
        <v>0</v>
      </c>
      <c r="M4239" t="n">
        <v>0</v>
      </c>
      <c r="N4239" t="n">
        <v>0</v>
      </c>
      <c r="O4239" t="n">
        <v>0</v>
      </c>
      <c r="P4239" t="n">
        <v>0</v>
      </c>
      <c r="Q4239" t="n">
        <v>0</v>
      </c>
      <c r="R4239" s="2" t="inlineStr"/>
    </row>
    <row r="4240" ht="15" customHeight="1">
      <c r="A4240" t="inlineStr">
        <is>
          <t>A 20803-2021</t>
        </is>
      </c>
      <c r="B4240" s="1" t="n">
        <v>44316</v>
      </c>
      <c r="C4240" s="1" t="n">
        <v>45363</v>
      </c>
      <c r="D4240" t="inlineStr">
        <is>
          <t>JÄMTLANDS LÄN</t>
        </is>
      </c>
      <c r="E4240" t="inlineStr">
        <is>
          <t>BRÄCKE</t>
        </is>
      </c>
      <c r="F4240" t="inlineStr">
        <is>
          <t>SCA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21843-2021</t>
        </is>
      </c>
      <c r="B4241" s="1" t="n">
        <v>44316</v>
      </c>
      <c r="C4241" s="1" t="n">
        <v>45363</v>
      </c>
      <c r="D4241" t="inlineStr">
        <is>
          <t>JÄMTLANDS LÄN</t>
        </is>
      </c>
      <c r="E4241" t="inlineStr">
        <is>
          <t>HÄRJEDALEN</t>
        </is>
      </c>
      <c r="G4241" t="n">
        <v>15.1</v>
      </c>
      <c r="H4241" t="n">
        <v>0</v>
      </c>
      <c r="I4241" t="n">
        <v>0</v>
      </c>
      <c r="J4241" t="n">
        <v>0</v>
      </c>
      <c r="K4241" t="n">
        <v>0</v>
      </c>
      <c r="L4241" t="n">
        <v>0</v>
      </c>
      <c r="M4241" t="n">
        <v>0</v>
      </c>
      <c r="N4241" t="n">
        <v>0</v>
      </c>
      <c r="O4241" t="n">
        <v>0</v>
      </c>
      <c r="P4241" t="n">
        <v>0</v>
      </c>
      <c r="Q4241" t="n">
        <v>0</v>
      </c>
      <c r="R4241" s="2" t="inlineStr"/>
    </row>
    <row r="4242" ht="15" customHeight="1">
      <c r="A4242" t="inlineStr">
        <is>
          <t>A 21705-2021</t>
        </is>
      </c>
      <c r="B4242" s="1" t="n">
        <v>44316</v>
      </c>
      <c r="C4242" s="1" t="n">
        <v>45363</v>
      </c>
      <c r="D4242" t="inlineStr">
        <is>
          <t>JÄMTLANDS LÄN</t>
        </is>
      </c>
      <c r="E4242" t="inlineStr">
        <is>
          <t>HÄRJEDALEN</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20804-2021</t>
        </is>
      </c>
      <c r="B4243" s="1" t="n">
        <v>44316</v>
      </c>
      <c r="C4243" s="1" t="n">
        <v>45363</v>
      </c>
      <c r="D4243" t="inlineStr">
        <is>
          <t>JÄMTLANDS LÄN</t>
        </is>
      </c>
      <c r="E4243" t="inlineStr">
        <is>
          <t>HÄRJEDALEN</t>
        </is>
      </c>
      <c r="F4243" t="inlineStr">
        <is>
          <t>SCA</t>
        </is>
      </c>
      <c r="G4243" t="n">
        <v>11.2</v>
      </c>
      <c r="H4243" t="n">
        <v>0</v>
      </c>
      <c r="I4243" t="n">
        <v>0</v>
      </c>
      <c r="J4243" t="n">
        <v>0</v>
      </c>
      <c r="K4243" t="n">
        <v>0</v>
      </c>
      <c r="L4243" t="n">
        <v>0</v>
      </c>
      <c r="M4243" t="n">
        <v>0</v>
      </c>
      <c r="N4243" t="n">
        <v>0</v>
      </c>
      <c r="O4243" t="n">
        <v>0</v>
      </c>
      <c r="P4243" t="n">
        <v>0</v>
      </c>
      <c r="Q4243" t="n">
        <v>0</v>
      </c>
      <c r="R4243" s="2" t="inlineStr"/>
    </row>
    <row r="4244" ht="15" customHeight="1">
      <c r="A4244" t="inlineStr">
        <is>
          <t>A 21034-2021</t>
        </is>
      </c>
      <c r="B4244" s="1" t="n">
        <v>44319</v>
      </c>
      <c r="C4244" s="1" t="n">
        <v>45363</v>
      </c>
      <c r="D4244" t="inlineStr">
        <is>
          <t>JÄMTLANDS LÄN</t>
        </is>
      </c>
      <c r="E4244" t="inlineStr">
        <is>
          <t>BRÄCKE</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21019-2021</t>
        </is>
      </c>
      <c r="B4245" s="1" t="n">
        <v>44319</v>
      </c>
      <c r="C4245" s="1" t="n">
        <v>45363</v>
      </c>
      <c r="D4245" t="inlineStr">
        <is>
          <t>JÄMTLANDS LÄN</t>
        </is>
      </c>
      <c r="E4245" t="inlineStr">
        <is>
          <t>BRÄCKE</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21095-2021</t>
        </is>
      </c>
      <c r="B4246" s="1" t="n">
        <v>44319</v>
      </c>
      <c r="C4246" s="1" t="n">
        <v>45363</v>
      </c>
      <c r="D4246" t="inlineStr">
        <is>
          <t>JÄMTLANDS LÄN</t>
        </is>
      </c>
      <c r="E4246" t="inlineStr">
        <is>
          <t>STRÖMSUND</t>
        </is>
      </c>
      <c r="F4246" t="inlineStr">
        <is>
          <t>SCA</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21103-2021</t>
        </is>
      </c>
      <c r="B4247" s="1" t="n">
        <v>44320</v>
      </c>
      <c r="C4247" s="1" t="n">
        <v>45363</v>
      </c>
      <c r="D4247" t="inlineStr">
        <is>
          <t>JÄMTLANDS LÄN</t>
        </is>
      </c>
      <c r="E4247" t="inlineStr">
        <is>
          <t>STRÖMSUND</t>
        </is>
      </c>
      <c r="F4247" t="inlineStr">
        <is>
          <t>SCA</t>
        </is>
      </c>
      <c r="G4247" t="n">
        <v>14.8</v>
      </c>
      <c r="H4247" t="n">
        <v>0</v>
      </c>
      <c r="I4247" t="n">
        <v>0</v>
      </c>
      <c r="J4247" t="n">
        <v>0</v>
      </c>
      <c r="K4247" t="n">
        <v>0</v>
      </c>
      <c r="L4247" t="n">
        <v>0</v>
      </c>
      <c r="M4247" t="n">
        <v>0</v>
      </c>
      <c r="N4247" t="n">
        <v>0</v>
      </c>
      <c r="O4247" t="n">
        <v>0</v>
      </c>
      <c r="P4247" t="n">
        <v>0</v>
      </c>
      <c r="Q4247" t="n">
        <v>0</v>
      </c>
      <c r="R4247" s="2" t="inlineStr"/>
    </row>
    <row r="4248" ht="15" customHeight="1">
      <c r="A4248" t="inlineStr">
        <is>
          <t>A 21097-2021</t>
        </is>
      </c>
      <c r="B4248" s="1" t="n">
        <v>44319</v>
      </c>
      <c r="C4248" s="1" t="n">
        <v>45363</v>
      </c>
      <c r="D4248" t="inlineStr">
        <is>
          <t>JÄMTLANDS LÄN</t>
        </is>
      </c>
      <c r="E4248" t="inlineStr">
        <is>
          <t>STRÖMSUND</t>
        </is>
      </c>
      <c r="F4248" t="inlineStr">
        <is>
          <t>SCA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21093-2021</t>
        </is>
      </c>
      <c r="B4249" s="1" t="n">
        <v>44319</v>
      </c>
      <c r="C4249" s="1" t="n">
        <v>45363</v>
      </c>
      <c r="D4249" t="inlineStr">
        <is>
          <t>JÄMTLANDS LÄN</t>
        </is>
      </c>
      <c r="E4249" t="inlineStr">
        <is>
          <t>STRÖMSUND</t>
        </is>
      </c>
      <c r="F4249" t="inlineStr">
        <is>
          <t>SCA</t>
        </is>
      </c>
      <c r="G4249" t="n">
        <v>11.7</v>
      </c>
      <c r="H4249" t="n">
        <v>0</v>
      </c>
      <c r="I4249" t="n">
        <v>0</v>
      </c>
      <c r="J4249" t="n">
        <v>0</v>
      </c>
      <c r="K4249" t="n">
        <v>0</v>
      </c>
      <c r="L4249" t="n">
        <v>0</v>
      </c>
      <c r="M4249" t="n">
        <v>0</v>
      </c>
      <c r="N4249" t="n">
        <v>0</v>
      </c>
      <c r="O4249" t="n">
        <v>0</v>
      </c>
      <c r="P4249" t="n">
        <v>0</v>
      </c>
      <c r="Q4249" t="n">
        <v>0</v>
      </c>
      <c r="R4249" s="2" t="inlineStr"/>
    </row>
    <row r="4250" ht="15" customHeight="1">
      <c r="A4250" t="inlineStr">
        <is>
          <t>A 21753-2021</t>
        </is>
      </c>
      <c r="B4250" s="1" t="n">
        <v>44319</v>
      </c>
      <c r="C4250" s="1" t="n">
        <v>45363</v>
      </c>
      <c r="D4250" t="inlineStr">
        <is>
          <t>JÄMTLANDS LÄN</t>
        </is>
      </c>
      <c r="E4250" t="inlineStr">
        <is>
          <t>HÄRJEDALEN</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21298-2021</t>
        </is>
      </c>
      <c r="B4251" s="1" t="n">
        <v>44320</v>
      </c>
      <c r="C4251" s="1" t="n">
        <v>45363</v>
      </c>
      <c r="D4251" t="inlineStr">
        <is>
          <t>JÄMTLANDS LÄN</t>
        </is>
      </c>
      <c r="E4251" t="inlineStr">
        <is>
          <t>HÄRJEDALEN</t>
        </is>
      </c>
      <c r="F4251" t="inlineStr">
        <is>
          <t>Holmen skog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21306-2021</t>
        </is>
      </c>
      <c r="B4252" s="1" t="n">
        <v>44320</v>
      </c>
      <c r="C4252" s="1" t="n">
        <v>45363</v>
      </c>
      <c r="D4252" t="inlineStr">
        <is>
          <t>JÄMTLANDS LÄN</t>
        </is>
      </c>
      <c r="E4252" t="inlineStr">
        <is>
          <t>ÖSTERSUND</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21334-2021</t>
        </is>
      </c>
      <c r="B4253" s="1" t="n">
        <v>44320</v>
      </c>
      <c r="C4253" s="1" t="n">
        <v>45363</v>
      </c>
      <c r="D4253" t="inlineStr">
        <is>
          <t>JÄMTLANDS LÄN</t>
        </is>
      </c>
      <c r="E4253" t="inlineStr">
        <is>
          <t>HÄRJEDALEN</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21366-2021</t>
        </is>
      </c>
      <c r="B4254" s="1" t="n">
        <v>44320</v>
      </c>
      <c r="C4254" s="1" t="n">
        <v>45363</v>
      </c>
      <c r="D4254" t="inlineStr">
        <is>
          <t>JÄMTLANDS LÄN</t>
        </is>
      </c>
      <c r="E4254" t="inlineStr">
        <is>
          <t>BRÄCKE</t>
        </is>
      </c>
      <c r="F4254" t="inlineStr">
        <is>
          <t>SCA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21346-2021</t>
        </is>
      </c>
      <c r="B4255" s="1" t="n">
        <v>44321</v>
      </c>
      <c r="C4255" s="1" t="n">
        <v>45363</v>
      </c>
      <c r="D4255" t="inlineStr">
        <is>
          <t>JÄMTLANDS LÄN</t>
        </is>
      </c>
      <c r="E4255" t="inlineStr">
        <is>
          <t>HÄRJEDALEN</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21637-2021</t>
        </is>
      </c>
      <c r="B4256" s="1" t="n">
        <v>44321</v>
      </c>
      <c r="C4256" s="1" t="n">
        <v>45363</v>
      </c>
      <c r="D4256" t="inlineStr">
        <is>
          <t>JÄMTLANDS LÄN</t>
        </is>
      </c>
      <c r="E4256" t="inlineStr">
        <is>
          <t>BRÄCKE</t>
        </is>
      </c>
      <c r="F4256" t="inlineStr">
        <is>
          <t>SCA</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21629-2021</t>
        </is>
      </c>
      <c r="B4257" s="1" t="n">
        <v>44321</v>
      </c>
      <c r="C4257" s="1" t="n">
        <v>45363</v>
      </c>
      <c r="D4257" t="inlineStr">
        <is>
          <t>JÄMTLANDS LÄN</t>
        </is>
      </c>
      <c r="E4257" t="inlineStr">
        <is>
          <t>BERG</t>
        </is>
      </c>
      <c r="G4257" t="n">
        <v>15.9</v>
      </c>
      <c r="H4257" t="n">
        <v>0</v>
      </c>
      <c r="I4257" t="n">
        <v>0</v>
      </c>
      <c r="J4257" t="n">
        <v>0</v>
      </c>
      <c r="K4257" t="n">
        <v>0</v>
      </c>
      <c r="L4257" t="n">
        <v>0</v>
      </c>
      <c r="M4257" t="n">
        <v>0</v>
      </c>
      <c r="N4257" t="n">
        <v>0</v>
      </c>
      <c r="O4257" t="n">
        <v>0</v>
      </c>
      <c r="P4257" t="n">
        <v>0</v>
      </c>
      <c r="Q4257" t="n">
        <v>0</v>
      </c>
      <c r="R4257" s="2" t="inlineStr"/>
    </row>
    <row r="4258" ht="15" customHeight="1">
      <c r="A4258" t="inlineStr">
        <is>
          <t>A 22318-2021</t>
        </is>
      </c>
      <c r="B4258" s="1" t="n">
        <v>44321</v>
      </c>
      <c r="C4258" s="1" t="n">
        <v>45363</v>
      </c>
      <c r="D4258" t="inlineStr">
        <is>
          <t>JÄMTLANDS LÄN</t>
        </is>
      </c>
      <c r="E4258" t="inlineStr">
        <is>
          <t>STRÖMSUND</t>
        </is>
      </c>
      <c r="F4258" t="inlineStr">
        <is>
          <t>Holmen skog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21661-2021</t>
        </is>
      </c>
      <c r="B4259" s="1" t="n">
        <v>44322</v>
      </c>
      <c r="C4259" s="1" t="n">
        <v>45363</v>
      </c>
      <c r="D4259" t="inlineStr">
        <is>
          <t>JÄMTLANDS LÄN</t>
        </is>
      </c>
      <c r="E4259" t="inlineStr">
        <is>
          <t>HÄRJEDALEN</t>
        </is>
      </c>
      <c r="F4259" t="inlineStr">
        <is>
          <t>Holmen skog AB</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21841-2021</t>
        </is>
      </c>
      <c r="B4260" s="1" t="n">
        <v>44322</v>
      </c>
      <c r="C4260" s="1" t="n">
        <v>45363</v>
      </c>
      <c r="D4260" t="inlineStr">
        <is>
          <t>JÄMTLANDS LÄN</t>
        </is>
      </c>
      <c r="E4260" t="inlineStr">
        <is>
          <t>BERG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21836-2021</t>
        </is>
      </c>
      <c r="B4261" s="1" t="n">
        <v>44322</v>
      </c>
      <c r="C4261" s="1" t="n">
        <v>45363</v>
      </c>
      <c r="D4261" t="inlineStr">
        <is>
          <t>JÄMTLANDS LÄN</t>
        </is>
      </c>
      <c r="E4261" t="inlineStr">
        <is>
          <t>BERG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21897-2021</t>
        </is>
      </c>
      <c r="B4262" s="1" t="n">
        <v>44322</v>
      </c>
      <c r="C4262" s="1" t="n">
        <v>45363</v>
      </c>
      <c r="D4262" t="inlineStr">
        <is>
          <t>JÄMTLANDS LÄN</t>
        </is>
      </c>
      <c r="E4262" t="inlineStr">
        <is>
          <t>ÅRE</t>
        </is>
      </c>
      <c r="G4262" t="n">
        <v>41.4</v>
      </c>
      <c r="H4262" t="n">
        <v>0</v>
      </c>
      <c r="I4262" t="n">
        <v>0</v>
      </c>
      <c r="J4262" t="n">
        <v>0</v>
      </c>
      <c r="K4262" t="n">
        <v>0</v>
      </c>
      <c r="L4262" t="n">
        <v>0</v>
      </c>
      <c r="M4262" t="n">
        <v>0</v>
      </c>
      <c r="N4262" t="n">
        <v>0</v>
      </c>
      <c r="O4262" t="n">
        <v>0</v>
      </c>
      <c r="P4262" t="n">
        <v>0</v>
      </c>
      <c r="Q4262" t="n">
        <v>0</v>
      </c>
      <c r="R4262" s="2" t="inlineStr"/>
    </row>
    <row r="4263" ht="15" customHeight="1">
      <c r="A4263" t="inlineStr">
        <is>
          <t>A 21938-2021</t>
        </is>
      </c>
      <c r="B4263" s="1" t="n">
        <v>44322</v>
      </c>
      <c r="C4263" s="1" t="n">
        <v>45363</v>
      </c>
      <c r="D4263" t="inlineStr">
        <is>
          <t>JÄMTLANDS LÄN</t>
        </is>
      </c>
      <c r="E4263" t="inlineStr">
        <is>
          <t>STRÖMSUND</t>
        </is>
      </c>
      <c r="F4263" t="inlineStr">
        <is>
          <t>SCA</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21849-2021</t>
        </is>
      </c>
      <c r="B4264" s="1" t="n">
        <v>44322</v>
      </c>
      <c r="C4264" s="1" t="n">
        <v>45363</v>
      </c>
      <c r="D4264" t="inlineStr">
        <is>
          <t>JÄMTLANDS LÄN</t>
        </is>
      </c>
      <c r="E4264" t="inlineStr">
        <is>
          <t>ÖSTERSUND</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21905-2021</t>
        </is>
      </c>
      <c r="B4265" s="1" t="n">
        <v>44322</v>
      </c>
      <c r="C4265" s="1" t="n">
        <v>45363</v>
      </c>
      <c r="D4265" t="inlineStr">
        <is>
          <t>JÄMTLANDS LÄN</t>
        </is>
      </c>
      <c r="E4265" t="inlineStr">
        <is>
          <t>ÅRE</t>
        </is>
      </c>
      <c r="G4265" t="n">
        <v>14.3</v>
      </c>
      <c r="H4265" t="n">
        <v>0</v>
      </c>
      <c r="I4265" t="n">
        <v>0</v>
      </c>
      <c r="J4265" t="n">
        <v>0</v>
      </c>
      <c r="K4265" t="n">
        <v>0</v>
      </c>
      <c r="L4265" t="n">
        <v>0</v>
      </c>
      <c r="M4265" t="n">
        <v>0</v>
      </c>
      <c r="N4265" t="n">
        <v>0</v>
      </c>
      <c r="O4265" t="n">
        <v>0</v>
      </c>
      <c r="P4265" t="n">
        <v>0</v>
      </c>
      <c r="Q4265" t="n">
        <v>0</v>
      </c>
      <c r="R4265" s="2" t="inlineStr"/>
    </row>
    <row r="4266" ht="15" customHeight="1">
      <c r="A4266" t="inlineStr">
        <is>
          <t>A 22655-2021</t>
        </is>
      </c>
      <c r="B4266" s="1" t="n">
        <v>44322</v>
      </c>
      <c r="C4266" s="1" t="n">
        <v>45363</v>
      </c>
      <c r="D4266" t="inlineStr">
        <is>
          <t>JÄMTLANDS LÄN</t>
        </is>
      </c>
      <c r="E4266" t="inlineStr">
        <is>
          <t>RAGUNDA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21940-2021</t>
        </is>
      </c>
      <c r="B4267" s="1" t="n">
        <v>44323</v>
      </c>
      <c r="C4267" s="1" t="n">
        <v>45363</v>
      </c>
      <c r="D4267" t="inlineStr">
        <is>
          <t>JÄMTLANDS LÄN</t>
        </is>
      </c>
      <c r="E4267" t="inlineStr">
        <is>
          <t>BRÄCKE</t>
        </is>
      </c>
      <c r="F4267" t="inlineStr">
        <is>
          <t>SCA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22083-2021</t>
        </is>
      </c>
      <c r="B4268" s="1" t="n">
        <v>44323</v>
      </c>
      <c r="C4268" s="1" t="n">
        <v>45363</v>
      </c>
      <c r="D4268" t="inlineStr">
        <is>
          <t>JÄMTLANDS LÄN</t>
        </is>
      </c>
      <c r="E4268" t="inlineStr">
        <is>
          <t>KROKOM</t>
        </is>
      </c>
      <c r="G4268" t="n">
        <v>12.3</v>
      </c>
      <c r="H4268" t="n">
        <v>0</v>
      </c>
      <c r="I4268" t="n">
        <v>0</v>
      </c>
      <c r="J4268" t="n">
        <v>0</v>
      </c>
      <c r="K4268" t="n">
        <v>0</v>
      </c>
      <c r="L4268" t="n">
        <v>0</v>
      </c>
      <c r="M4268" t="n">
        <v>0</v>
      </c>
      <c r="N4268" t="n">
        <v>0</v>
      </c>
      <c r="O4268" t="n">
        <v>0</v>
      </c>
      <c r="P4268" t="n">
        <v>0</v>
      </c>
      <c r="Q4268" t="n">
        <v>0</v>
      </c>
      <c r="R4268" s="2" t="inlineStr"/>
    </row>
    <row r="4269" ht="15" customHeight="1">
      <c r="A4269" t="inlineStr">
        <is>
          <t>A 22124-2021</t>
        </is>
      </c>
      <c r="B4269" s="1" t="n">
        <v>44323</v>
      </c>
      <c r="C4269" s="1" t="n">
        <v>45363</v>
      </c>
      <c r="D4269" t="inlineStr">
        <is>
          <t>JÄMTLANDS LÄN</t>
        </is>
      </c>
      <c r="E4269" t="inlineStr">
        <is>
          <t>BRÄCKE</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22126-2021</t>
        </is>
      </c>
      <c r="B4270" s="1" t="n">
        <v>44323</v>
      </c>
      <c r="C4270" s="1" t="n">
        <v>45363</v>
      </c>
      <c r="D4270" t="inlineStr">
        <is>
          <t>JÄMTLANDS LÄN</t>
        </is>
      </c>
      <c r="E4270" t="inlineStr">
        <is>
          <t>ÖSTERSUND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22707-2021</t>
        </is>
      </c>
      <c r="B4271" s="1" t="n">
        <v>44323</v>
      </c>
      <c r="C4271" s="1" t="n">
        <v>45363</v>
      </c>
      <c r="D4271" t="inlineStr">
        <is>
          <t>JÄMTLANDS LÄN</t>
        </is>
      </c>
      <c r="E4271" t="inlineStr">
        <is>
          <t>ÅRE</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22131-2021</t>
        </is>
      </c>
      <c r="B4272" s="1" t="n">
        <v>44323</v>
      </c>
      <c r="C4272" s="1" t="n">
        <v>45363</v>
      </c>
      <c r="D4272" t="inlineStr">
        <is>
          <t>JÄMTLANDS LÄN</t>
        </is>
      </c>
      <c r="E4272" t="inlineStr">
        <is>
          <t>RAGUNDA</t>
        </is>
      </c>
      <c r="F4272" t="inlineStr">
        <is>
          <t>SCA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22078-2021</t>
        </is>
      </c>
      <c r="B4273" s="1" t="n">
        <v>44323</v>
      </c>
      <c r="C4273" s="1" t="n">
        <v>45363</v>
      </c>
      <c r="D4273" t="inlineStr">
        <is>
          <t>JÄMTLANDS LÄN</t>
        </is>
      </c>
      <c r="E4273" t="inlineStr">
        <is>
          <t>KROKOM</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22160-2021</t>
        </is>
      </c>
      <c r="B4274" s="1" t="n">
        <v>44325</v>
      </c>
      <c r="C4274" s="1" t="n">
        <v>45363</v>
      </c>
      <c r="D4274" t="inlineStr">
        <is>
          <t>JÄMTLANDS LÄN</t>
        </is>
      </c>
      <c r="E4274" t="inlineStr">
        <is>
          <t>HÄRJEDALEN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22505-2021</t>
        </is>
      </c>
      <c r="B4275" s="1" t="n">
        <v>44326</v>
      </c>
      <c r="C4275" s="1" t="n">
        <v>45363</v>
      </c>
      <c r="D4275" t="inlineStr">
        <is>
          <t>JÄMTLANDS LÄN</t>
        </is>
      </c>
      <c r="E4275" t="inlineStr">
        <is>
          <t>ÅRE</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22527-2021</t>
        </is>
      </c>
      <c r="B4276" s="1" t="n">
        <v>44326</v>
      </c>
      <c r="C4276" s="1" t="n">
        <v>45363</v>
      </c>
      <c r="D4276" t="inlineStr">
        <is>
          <t>JÄMTLANDS LÄN</t>
        </is>
      </c>
      <c r="E4276" t="inlineStr">
        <is>
          <t>STRÖMSUND</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22511-2021</t>
        </is>
      </c>
      <c r="B4277" s="1" t="n">
        <v>44326</v>
      </c>
      <c r="C4277" s="1" t="n">
        <v>45363</v>
      </c>
      <c r="D4277" t="inlineStr">
        <is>
          <t>JÄMTLANDS LÄN</t>
        </is>
      </c>
      <c r="E4277" t="inlineStr">
        <is>
          <t>KROKOM</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22632-2021</t>
        </is>
      </c>
      <c r="B4278" s="1" t="n">
        <v>44327</v>
      </c>
      <c r="C4278" s="1" t="n">
        <v>45363</v>
      </c>
      <c r="D4278" t="inlineStr">
        <is>
          <t>JÄMTLANDS LÄN</t>
        </is>
      </c>
      <c r="E4278" t="inlineStr">
        <is>
          <t>STRÖMSUND</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22783-2021</t>
        </is>
      </c>
      <c r="B4279" s="1" t="n">
        <v>44327</v>
      </c>
      <c r="C4279" s="1" t="n">
        <v>45363</v>
      </c>
      <c r="D4279" t="inlineStr">
        <is>
          <t>JÄMTLANDS LÄN</t>
        </is>
      </c>
      <c r="E4279" t="inlineStr">
        <is>
          <t>STRÖMSUND</t>
        </is>
      </c>
      <c r="F4279" t="inlineStr">
        <is>
          <t>SCA</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23187-2021</t>
        </is>
      </c>
      <c r="B4280" s="1" t="n">
        <v>44328</v>
      </c>
      <c r="C4280" s="1" t="n">
        <v>45363</v>
      </c>
      <c r="D4280" t="inlineStr">
        <is>
          <t>JÄMTLANDS LÄN</t>
        </is>
      </c>
      <c r="E4280" t="inlineStr">
        <is>
          <t>ÖSTERSUND</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23013-2021</t>
        </is>
      </c>
      <c r="B4281" s="1" t="n">
        <v>44328</v>
      </c>
      <c r="C4281" s="1" t="n">
        <v>45363</v>
      </c>
      <c r="D4281" t="inlineStr">
        <is>
          <t>JÄMTLANDS LÄN</t>
        </is>
      </c>
      <c r="E4281" t="inlineStr">
        <is>
          <t>BRÄCKE</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23103-2021</t>
        </is>
      </c>
      <c r="B4282" s="1" t="n">
        <v>44330</v>
      </c>
      <c r="C4282" s="1" t="n">
        <v>45363</v>
      </c>
      <c r="D4282" t="inlineStr">
        <is>
          <t>JÄMTLANDS LÄN</t>
        </is>
      </c>
      <c r="E4282" t="inlineStr">
        <is>
          <t>STRÖMSUND</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23139-2021</t>
        </is>
      </c>
      <c r="B4283" s="1" t="n">
        <v>44331</v>
      </c>
      <c r="C4283" s="1" t="n">
        <v>45363</v>
      </c>
      <c r="D4283" t="inlineStr">
        <is>
          <t>JÄMTLANDS LÄN</t>
        </is>
      </c>
      <c r="E4283" t="inlineStr">
        <is>
          <t>KROKOM</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23169-2021</t>
        </is>
      </c>
      <c r="B4284" s="1" t="n">
        <v>44332</v>
      </c>
      <c r="C4284" s="1" t="n">
        <v>45363</v>
      </c>
      <c r="D4284" t="inlineStr">
        <is>
          <t>JÄMTLANDS LÄN</t>
        </is>
      </c>
      <c r="E4284" t="inlineStr">
        <is>
          <t>RAGUNDA</t>
        </is>
      </c>
      <c r="F4284" t="inlineStr">
        <is>
          <t>SCA</t>
        </is>
      </c>
      <c r="G4284" t="n">
        <v>59.9</v>
      </c>
      <c r="H4284" t="n">
        <v>0</v>
      </c>
      <c r="I4284" t="n">
        <v>0</v>
      </c>
      <c r="J4284" t="n">
        <v>0</v>
      </c>
      <c r="K4284" t="n">
        <v>0</v>
      </c>
      <c r="L4284" t="n">
        <v>0</v>
      </c>
      <c r="M4284" t="n">
        <v>0</v>
      </c>
      <c r="N4284" t="n">
        <v>0</v>
      </c>
      <c r="O4284" t="n">
        <v>0</v>
      </c>
      <c r="P4284" t="n">
        <v>0</v>
      </c>
      <c r="Q4284" t="n">
        <v>0</v>
      </c>
      <c r="R4284" s="2" t="inlineStr"/>
    </row>
    <row r="4285" ht="15" customHeight="1">
      <c r="A4285" t="inlineStr">
        <is>
          <t>A 23486-2021</t>
        </is>
      </c>
      <c r="B4285" s="1" t="n">
        <v>44333</v>
      </c>
      <c r="C4285" s="1" t="n">
        <v>45363</v>
      </c>
      <c r="D4285" t="inlineStr">
        <is>
          <t>JÄMTLANDS LÄN</t>
        </is>
      </c>
      <c r="E4285" t="inlineStr">
        <is>
          <t>STRÖMSUND</t>
        </is>
      </c>
      <c r="F4285" t="inlineStr">
        <is>
          <t>SCA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23498-2021</t>
        </is>
      </c>
      <c r="B4286" s="1" t="n">
        <v>44334</v>
      </c>
      <c r="C4286" s="1" t="n">
        <v>45363</v>
      </c>
      <c r="D4286" t="inlineStr">
        <is>
          <t>JÄMTLANDS LÄN</t>
        </is>
      </c>
      <c r="E4286" t="inlineStr">
        <is>
          <t>STRÖMSUND</t>
        </is>
      </c>
      <c r="F4286" t="inlineStr">
        <is>
          <t>SCA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23484-2021</t>
        </is>
      </c>
      <c r="B4287" s="1" t="n">
        <v>44334</v>
      </c>
      <c r="C4287" s="1" t="n">
        <v>45363</v>
      </c>
      <c r="D4287" t="inlineStr">
        <is>
          <t>JÄMTLANDS LÄN</t>
        </is>
      </c>
      <c r="E4287" t="inlineStr">
        <is>
          <t>STRÖMSUND</t>
        </is>
      </c>
      <c r="F4287" t="inlineStr">
        <is>
          <t>SCA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23501-2021</t>
        </is>
      </c>
      <c r="B4288" s="1" t="n">
        <v>44333</v>
      </c>
      <c r="C4288" s="1" t="n">
        <v>45363</v>
      </c>
      <c r="D4288" t="inlineStr">
        <is>
          <t>JÄMTLANDS LÄN</t>
        </is>
      </c>
      <c r="E4288" t="inlineStr">
        <is>
          <t>STRÖMSUND</t>
        </is>
      </c>
      <c r="F4288" t="inlineStr">
        <is>
          <t>SCA</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23601-2021</t>
        </is>
      </c>
      <c r="B4289" s="1" t="n">
        <v>44334</v>
      </c>
      <c r="C4289" s="1" t="n">
        <v>45363</v>
      </c>
      <c r="D4289" t="inlineStr">
        <is>
          <t>JÄMTLANDS LÄN</t>
        </is>
      </c>
      <c r="E4289" t="inlineStr">
        <is>
          <t>KROKOM</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23746-2021</t>
        </is>
      </c>
      <c r="B4290" s="1" t="n">
        <v>44335</v>
      </c>
      <c r="C4290" s="1" t="n">
        <v>45363</v>
      </c>
      <c r="D4290" t="inlineStr">
        <is>
          <t>JÄMTLANDS LÄN</t>
        </is>
      </c>
      <c r="E4290" t="inlineStr">
        <is>
          <t>BRÄCKE</t>
        </is>
      </c>
      <c r="F4290" t="inlineStr">
        <is>
          <t>SCA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23747-2021</t>
        </is>
      </c>
      <c r="B4291" s="1" t="n">
        <v>44334</v>
      </c>
      <c r="C4291" s="1" t="n">
        <v>45363</v>
      </c>
      <c r="D4291" t="inlineStr">
        <is>
          <t>JÄMTLANDS LÄN</t>
        </is>
      </c>
      <c r="E4291" t="inlineStr">
        <is>
          <t>BRÄCKE</t>
        </is>
      </c>
      <c r="F4291" t="inlineStr">
        <is>
          <t>SCA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23561-2021</t>
        </is>
      </c>
      <c r="B4292" s="1" t="n">
        <v>44334</v>
      </c>
      <c r="C4292" s="1" t="n">
        <v>45363</v>
      </c>
      <c r="D4292" t="inlineStr">
        <is>
          <t>JÄMTLANDS LÄN</t>
        </is>
      </c>
      <c r="E4292" t="inlineStr">
        <is>
          <t>ÅRE</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23832-2021</t>
        </is>
      </c>
      <c r="B4293" s="1" t="n">
        <v>44335</v>
      </c>
      <c r="C4293" s="1" t="n">
        <v>45363</v>
      </c>
      <c r="D4293" t="inlineStr">
        <is>
          <t>JÄMTLANDS LÄN</t>
        </is>
      </c>
      <c r="E4293" t="inlineStr">
        <is>
          <t>KROKOM</t>
        </is>
      </c>
      <c r="G4293" t="n">
        <v>20</v>
      </c>
      <c r="H4293" t="n">
        <v>0</v>
      </c>
      <c r="I4293" t="n">
        <v>0</v>
      </c>
      <c r="J4293" t="n">
        <v>0</v>
      </c>
      <c r="K4293" t="n">
        <v>0</v>
      </c>
      <c r="L4293" t="n">
        <v>0</v>
      </c>
      <c r="M4293" t="n">
        <v>0</v>
      </c>
      <c r="N4293" t="n">
        <v>0</v>
      </c>
      <c r="O4293" t="n">
        <v>0</v>
      </c>
      <c r="P4293" t="n">
        <v>0</v>
      </c>
      <c r="Q4293" t="n">
        <v>0</v>
      </c>
      <c r="R4293" s="2" t="inlineStr"/>
    </row>
    <row r="4294" ht="15" customHeight="1">
      <c r="A4294" t="inlineStr">
        <is>
          <t>A 23869-2021</t>
        </is>
      </c>
      <c r="B4294" s="1" t="n">
        <v>44335</v>
      </c>
      <c r="C4294" s="1" t="n">
        <v>45363</v>
      </c>
      <c r="D4294" t="inlineStr">
        <is>
          <t>JÄMTLANDS LÄN</t>
        </is>
      </c>
      <c r="E4294" t="inlineStr">
        <is>
          <t>HÄRJEDALEN</t>
        </is>
      </c>
      <c r="G4294" t="n">
        <v>15.3</v>
      </c>
      <c r="H4294" t="n">
        <v>0</v>
      </c>
      <c r="I4294" t="n">
        <v>0</v>
      </c>
      <c r="J4294" t="n">
        <v>0</v>
      </c>
      <c r="K4294" t="n">
        <v>0</v>
      </c>
      <c r="L4294" t="n">
        <v>0</v>
      </c>
      <c r="M4294" t="n">
        <v>0</v>
      </c>
      <c r="N4294" t="n">
        <v>0</v>
      </c>
      <c r="O4294" t="n">
        <v>0</v>
      </c>
      <c r="P4294" t="n">
        <v>0</v>
      </c>
      <c r="Q4294" t="n">
        <v>0</v>
      </c>
      <c r="R4294" s="2" t="inlineStr"/>
    </row>
    <row r="4295" ht="15" customHeight="1">
      <c r="A4295" t="inlineStr">
        <is>
          <t>A 23895-2021</t>
        </is>
      </c>
      <c r="B4295" s="1" t="n">
        <v>44335</v>
      </c>
      <c r="C4295" s="1" t="n">
        <v>45363</v>
      </c>
      <c r="D4295" t="inlineStr">
        <is>
          <t>JÄMTLANDS LÄN</t>
        </is>
      </c>
      <c r="E4295" t="inlineStr">
        <is>
          <t>ÖSTERSUND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24136-2021</t>
        </is>
      </c>
      <c r="B4296" s="1" t="n">
        <v>44336</v>
      </c>
      <c r="C4296" s="1" t="n">
        <v>45363</v>
      </c>
      <c r="D4296" t="inlineStr">
        <is>
          <t>JÄMTLANDS LÄN</t>
        </is>
      </c>
      <c r="E4296" t="inlineStr">
        <is>
          <t>BERG</t>
        </is>
      </c>
      <c r="G4296" t="n">
        <v>12.6</v>
      </c>
      <c r="H4296" t="n">
        <v>0</v>
      </c>
      <c r="I4296" t="n">
        <v>0</v>
      </c>
      <c r="J4296" t="n">
        <v>0</v>
      </c>
      <c r="K4296" t="n">
        <v>0</v>
      </c>
      <c r="L4296" t="n">
        <v>0</v>
      </c>
      <c r="M4296" t="n">
        <v>0</v>
      </c>
      <c r="N4296" t="n">
        <v>0</v>
      </c>
      <c r="O4296" t="n">
        <v>0</v>
      </c>
      <c r="P4296" t="n">
        <v>0</v>
      </c>
      <c r="Q4296" t="n">
        <v>0</v>
      </c>
      <c r="R4296" s="2" t="inlineStr"/>
    </row>
    <row r="4297" ht="15" customHeight="1">
      <c r="A4297" t="inlineStr">
        <is>
          <t>A 24197-2021</t>
        </is>
      </c>
      <c r="B4297" s="1" t="n">
        <v>44336</v>
      </c>
      <c r="C4297" s="1" t="n">
        <v>45363</v>
      </c>
      <c r="D4297" t="inlineStr">
        <is>
          <t>JÄMTLANDS LÄN</t>
        </is>
      </c>
      <c r="E4297" t="inlineStr">
        <is>
          <t>STRÖMSUND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24171-2021</t>
        </is>
      </c>
      <c r="B4298" s="1" t="n">
        <v>44336</v>
      </c>
      <c r="C4298" s="1" t="n">
        <v>45363</v>
      </c>
      <c r="D4298" t="inlineStr">
        <is>
          <t>JÄMTLANDS LÄN</t>
        </is>
      </c>
      <c r="E4298" t="inlineStr">
        <is>
          <t>RAGUNDA</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24201-2021</t>
        </is>
      </c>
      <c r="B4299" s="1" t="n">
        <v>44336</v>
      </c>
      <c r="C4299" s="1" t="n">
        <v>45363</v>
      </c>
      <c r="D4299" t="inlineStr">
        <is>
          <t>JÄMTLANDS LÄN</t>
        </is>
      </c>
      <c r="E4299" t="inlineStr">
        <is>
          <t>ÅRE</t>
        </is>
      </c>
      <c r="G4299" t="n">
        <v>23.1</v>
      </c>
      <c r="H4299" t="n">
        <v>0</v>
      </c>
      <c r="I4299" t="n">
        <v>0</v>
      </c>
      <c r="J4299" t="n">
        <v>0</v>
      </c>
      <c r="K4299" t="n">
        <v>0</v>
      </c>
      <c r="L4299" t="n">
        <v>0</v>
      </c>
      <c r="M4299" t="n">
        <v>0</v>
      </c>
      <c r="N4299" t="n">
        <v>0</v>
      </c>
      <c r="O4299" t="n">
        <v>0</v>
      </c>
      <c r="P4299" t="n">
        <v>0</v>
      </c>
      <c r="Q4299" t="n">
        <v>0</v>
      </c>
      <c r="R4299" s="2" t="inlineStr"/>
    </row>
    <row r="4300" ht="15" customHeight="1">
      <c r="A4300" t="inlineStr">
        <is>
          <t>A 24254-2021</t>
        </is>
      </c>
      <c r="B4300" s="1" t="n">
        <v>44337</v>
      </c>
      <c r="C4300" s="1" t="n">
        <v>45363</v>
      </c>
      <c r="D4300" t="inlineStr">
        <is>
          <t>JÄMTLANDS LÄN</t>
        </is>
      </c>
      <c r="E4300" t="inlineStr">
        <is>
          <t>BRÄCKE</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24240-2021</t>
        </is>
      </c>
      <c r="B4301" s="1" t="n">
        <v>44336</v>
      </c>
      <c r="C4301" s="1" t="n">
        <v>45363</v>
      </c>
      <c r="D4301" t="inlineStr">
        <is>
          <t>JÄMTLANDS LÄN</t>
        </is>
      </c>
      <c r="E4301" t="inlineStr">
        <is>
          <t>BRÄCKE</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24280-2021</t>
        </is>
      </c>
      <c r="B4302" s="1" t="n">
        <v>44336</v>
      </c>
      <c r="C4302" s="1" t="n">
        <v>45363</v>
      </c>
      <c r="D4302" t="inlineStr">
        <is>
          <t>JÄMTLANDS LÄN</t>
        </is>
      </c>
      <c r="E4302" t="inlineStr">
        <is>
          <t>RAGUNDA</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24312-2021</t>
        </is>
      </c>
      <c r="B4303" s="1" t="n">
        <v>44336</v>
      </c>
      <c r="C4303" s="1" t="n">
        <v>45363</v>
      </c>
      <c r="D4303" t="inlineStr">
        <is>
          <t>JÄMTLANDS LÄN</t>
        </is>
      </c>
      <c r="E4303" t="inlineStr">
        <is>
          <t>ÖSTERSUND</t>
        </is>
      </c>
      <c r="G4303" t="n">
        <v>10.6</v>
      </c>
      <c r="H4303" t="n">
        <v>0</v>
      </c>
      <c r="I4303" t="n">
        <v>0</v>
      </c>
      <c r="J4303" t="n">
        <v>0</v>
      </c>
      <c r="K4303" t="n">
        <v>0</v>
      </c>
      <c r="L4303" t="n">
        <v>0</v>
      </c>
      <c r="M4303" t="n">
        <v>0</v>
      </c>
      <c r="N4303" t="n">
        <v>0</v>
      </c>
      <c r="O4303" t="n">
        <v>0</v>
      </c>
      <c r="P4303" t="n">
        <v>0</v>
      </c>
      <c r="Q4303" t="n">
        <v>0</v>
      </c>
      <c r="R4303" s="2" t="inlineStr"/>
    </row>
    <row r="4304" ht="15" customHeight="1">
      <c r="A4304" t="inlineStr">
        <is>
          <t>A 24585-2021</t>
        </is>
      </c>
      <c r="B4304" s="1" t="n">
        <v>44337</v>
      </c>
      <c r="C4304" s="1" t="n">
        <v>45363</v>
      </c>
      <c r="D4304" t="inlineStr">
        <is>
          <t>JÄMTLANDS LÄN</t>
        </is>
      </c>
      <c r="E4304" t="inlineStr">
        <is>
          <t>ÅRE</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24436-2021</t>
        </is>
      </c>
      <c r="B4305" s="1" t="n">
        <v>44337</v>
      </c>
      <c r="C4305" s="1" t="n">
        <v>45363</v>
      </c>
      <c r="D4305" t="inlineStr">
        <is>
          <t>JÄMTLANDS LÄN</t>
        </is>
      </c>
      <c r="E4305" t="inlineStr">
        <is>
          <t>KROKOM</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24677-2021</t>
        </is>
      </c>
      <c r="B4306" s="1" t="n">
        <v>44337</v>
      </c>
      <c r="C4306" s="1" t="n">
        <v>45363</v>
      </c>
      <c r="D4306" t="inlineStr">
        <is>
          <t>JÄMTLANDS LÄN</t>
        </is>
      </c>
      <c r="E4306" t="inlineStr">
        <is>
          <t>KROKOM</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24706-2021</t>
        </is>
      </c>
      <c r="B4307" s="1" t="n">
        <v>44340</v>
      </c>
      <c r="C4307" s="1" t="n">
        <v>45363</v>
      </c>
      <c r="D4307" t="inlineStr">
        <is>
          <t>JÄMTLANDS LÄN</t>
        </is>
      </c>
      <c r="E4307" t="inlineStr">
        <is>
          <t>ÖSTERSUND</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24721-2021</t>
        </is>
      </c>
      <c r="B4308" s="1" t="n">
        <v>44340</v>
      </c>
      <c r="C4308" s="1" t="n">
        <v>45363</v>
      </c>
      <c r="D4308" t="inlineStr">
        <is>
          <t>JÄMTLANDS LÄN</t>
        </is>
      </c>
      <c r="E4308" t="inlineStr">
        <is>
          <t>ÖSTERSUND</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24744-2021</t>
        </is>
      </c>
      <c r="B4309" s="1" t="n">
        <v>44340</v>
      </c>
      <c r="C4309" s="1" t="n">
        <v>45363</v>
      </c>
      <c r="D4309" t="inlineStr">
        <is>
          <t>JÄMTLANDS LÄN</t>
        </is>
      </c>
      <c r="E4309" t="inlineStr">
        <is>
          <t>STRÖMSUND</t>
        </is>
      </c>
      <c r="G4309" t="n">
        <v>7.9</v>
      </c>
      <c r="H4309" t="n">
        <v>0</v>
      </c>
      <c r="I4309" t="n">
        <v>0</v>
      </c>
      <c r="J4309" t="n">
        <v>0</v>
      </c>
      <c r="K4309" t="n">
        <v>0</v>
      </c>
      <c r="L4309" t="n">
        <v>0</v>
      </c>
      <c r="M4309" t="n">
        <v>0</v>
      </c>
      <c r="N4309" t="n">
        <v>0</v>
      </c>
      <c r="O4309" t="n">
        <v>0</v>
      </c>
      <c r="P4309" t="n">
        <v>0</v>
      </c>
      <c r="Q4309" t="n">
        <v>0</v>
      </c>
      <c r="R4309" s="2" t="inlineStr"/>
    </row>
    <row r="4310" ht="15" customHeight="1">
      <c r="A4310" t="inlineStr">
        <is>
          <t>A 24843-2021</t>
        </is>
      </c>
      <c r="B4310" s="1" t="n">
        <v>44340</v>
      </c>
      <c r="C4310" s="1" t="n">
        <v>45363</v>
      </c>
      <c r="D4310" t="inlineStr">
        <is>
          <t>JÄMTLANDS LÄN</t>
        </is>
      </c>
      <c r="E4310" t="inlineStr">
        <is>
          <t>BERG</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24950-2021</t>
        </is>
      </c>
      <c r="B4311" s="1" t="n">
        <v>44341</v>
      </c>
      <c r="C4311" s="1" t="n">
        <v>45363</v>
      </c>
      <c r="D4311" t="inlineStr">
        <is>
          <t>JÄMTLANDS LÄN</t>
        </is>
      </c>
      <c r="E4311" t="inlineStr">
        <is>
          <t>BRÄCKE</t>
        </is>
      </c>
      <c r="F4311" t="inlineStr">
        <is>
          <t>Kyrkan</t>
        </is>
      </c>
      <c r="G4311" t="n">
        <v>15.3</v>
      </c>
      <c r="H4311" t="n">
        <v>0</v>
      </c>
      <c r="I4311" t="n">
        <v>0</v>
      </c>
      <c r="J4311" t="n">
        <v>0</v>
      </c>
      <c r="K4311" t="n">
        <v>0</v>
      </c>
      <c r="L4311" t="n">
        <v>0</v>
      </c>
      <c r="M4311" t="n">
        <v>0</v>
      </c>
      <c r="N4311" t="n">
        <v>0</v>
      </c>
      <c r="O4311" t="n">
        <v>0</v>
      </c>
      <c r="P4311" t="n">
        <v>0</v>
      </c>
      <c r="Q4311" t="n">
        <v>0</v>
      </c>
      <c r="R4311" s="2" t="inlineStr"/>
    </row>
    <row r="4312" ht="15" customHeight="1">
      <c r="A4312" t="inlineStr">
        <is>
          <t>A 25510-2021</t>
        </is>
      </c>
      <c r="B4312" s="1" t="n">
        <v>44343</v>
      </c>
      <c r="C4312" s="1" t="n">
        <v>45363</v>
      </c>
      <c r="D4312" t="inlineStr">
        <is>
          <t>JÄMTLANDS LÄN</t>
        </is>
      </c>
      <c r="E4312" t="inlineStr">
        <is>
          <t>STRÖMSUND</t>
        </is>
      </c>
      <c r="F4312" t="inlineStr">
        <is>
          <t>SCA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25444-2021</t>
        </is>
      </c>
      <c r="B4313" s="1" t="n">
        <v>44342</v>
      </c>
      <c r="C4313" s="1" t="n">
        <v>45363</v>
      </c>
      <c r="D4313" t="inlineStr">
        <is>
          <t>JÄMTLANDS LÄN</t>
        </is>
      </c>
      <c r="E4313" t="inlineStr">
        <is>
          <t>HÄRJEDALEN</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25811-2021</t>
        </is>
      </c>
      <c r="B4314" s="1" t="n">
        <v>44344</v>
      </c>
      <c r="C4314" s="1" t="n">
        <v>45363</v>
      </c>
      <c r="D4314" t="inlineStr">
        <is>
          <t>JÄMTLANDS LÄN</t>
        </is>
      </c>
      <c r="E4314" t="inlineStr">
        <is>
          <t>RAGUNDA</t>
        </is>
      </c>
      <c r="F4314" t="inlineStr">
        <is>
          <t>SCA</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25888-2021</t>
        </is>
      </c>
      <c r="B4315" s="1" t="n">
        <v>44344</v>
      </c>
      <c r="C4315" s="1" t="n">
        <v>45363</v>
      </c>
      <c r="D4315" t="inlineStr">
        <is>
          <t>JÄMTLANDS LÄN</t>
        </is>
      </c>
      <c r="E4315" t="inlineStr">
        <is>
          <t>STRÖMSUND</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25963-2021</t>
        </is>
      </c>
      <c r="B4316" s="1" t="n">
        <v>44344</v>
      </c>
      <c r="C4316" s="1" t="n">
        <v>45363</v>
      </c>
      <c r="D4316" t="inlineStr">
        <is>
          <t>JÄMTLANDS LÄN</t>
        </is>
      </c>
      <c r="E4316" t="inlineStr">
        <is>
          <t>STRÖMSUND</t>
        </is>
      </c>
      <c r="F4316" t="inlineStr">
        <is>
          <t>Sveaskog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25960-2021</t>
        </is>
      </c>
      <c r="B4317" s="1" t="n">
        <v>44344</v>
      </c>
      <c r="C4317" s="1" t="n">
        <v>45363</v>
      </c>
      <c r="D4317" t="inlineStr">
        <is>
          <t>JÄMTLANDS LÄN</t>
        </is>
      </c>
      <c r="E4317" t="inlineStr">
        <is>
          <t>STRÖMSUND</t>
        </is>
      </c>
      <c r="F4317" t="inlineStr">
        <is>
          <t>Sveaskog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26077-2021</t>
        </is>
      </c>
      <c r="B4318" s="1" t="n">
        <v>44344</v>
      </c>
      <c r="C4318" s="1" t="n">
        <v>45363</v>
      </c>
      <c r="D4318" t="inlineStr">
        <is>
          <t>JÄMTLANDS LÄN</t>
        </is>
      </c>
      <c r="E4318" t="inlineStr">
        <is>
          <t>KROKOM</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26101-2021</t>
        </is>
      </c>
      <c r="B4319" s="1" t="n">
        <v>44344</v>
      </c>
      <c r="C4319" s="1" t="n">
        <v>45363</v>
      </c>
      <c r="D4319" t="inlineStr">
        <is>
          <t>JÄMTLANDS LÄN</t>
        </is>
      </c>
      <c r="E4319" t="inlineStr">
        <is>
          <t>STRÖMSUND</t>
        </is>
      </c>
      <c r="F4319" t="inlineStr">
        <is>
          <t>SCA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26104-2021</t>
        </is>
      </c>
      <c r="B4320" s="1" t="n">
        <v>44344</v>
      </c>
      <c r="C4320" s="1" t="n">
        <v>45363</v>
      </c>
      <c r="D4320" t="inlineStr">
        <is>
          <t>JÄMTLANDS LÄN</t>
        </is>
      </c>
      <c r="E4320" t="inlineStr">
        <is>
          <t>STRÖMSUND</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26167-2021</t>
        </is>
      </c>
      <c r="B4321" s="1" t="n">
        <v>44344</v>
      </c>
      <c r="C4321" s="1" t="n">
        <v>45363</v>
      </c>
      <c r="D4321" t="inlineStr">
        <is>
          <t>JÄMTLANDS LÄN</t>
        </is>
      </c>
      <c r="E4321" t="inlineStr">
        <is>
          <t>HÄRJEDALEN</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26127-2021</t>
        </is>
      </c>
      <c r="B4322" s="1" t="n">
        <v>44346</v>
      </c>
      <c r="C4322" s="1" t="n">
        <v>45363</v>
      </c>
      <c r="D4322" t="inlineStr">
        <is>
          <t>JÄMTLANDS LÄN</t>
        </is>
      </c>
      <c r="E4322" t="inlineStr">
        <is>
          <t>STRÖMSUND</t>
        </is>
      </c>
      <c r="F4322" t="inlineStr">
        <is>
          <t>SCA</t>
        </is>
      </c>
      <c r="G4322" t="n">
        <v>9.4</v>
      </c>
      <c r="H4322" t="n">
        <v>0</v>
      </c>
      <c r="I4322" t="n">
        <v>0</v>
      </c>
      <c r="J4322" t="n">
        <v>0</v>
      </c>
      <c r="K4322" t="n">
        <v>0</v>
      </c>
      <c r="L4322" t="n">
        <v>0</v>
      </c>
      <c r="M4322" t="n">
        <v>0</v>
      </c>
      <c r="N4322" t="n">
        <v>0</v>
      </c>
      <c r="O4322" t="n">
        <v>0</v>
      </c>
      <c r="P4322" t="n">
        <v>0</v>
      </c>
      <c r="Q4322" t="n">
        <v>0</v>
      </c>
      <c r="R4322" s="2" t="inlineStr"/>
    </row>
    <row r="4323" ht="15" customHeight="1">
      <c r="A4323" t="inlineStr">
        <is>
          <t>A 26131-2021</t>
        </is>
      </c>
      <c r="B4323" s="1" t="n">
        <v>44346</v>
      </c>
      <c r="C4323" s="1" t="n">
        <v>45363</v>
      </c>
      <c r="D4323" t="inlineStr">
        <is>
          <t>JÄMTLANDS LÄN</t>
        </is>
      </c>
      <c r="E4323" t="inlineStr">
        <is>
          <t>STRÖMSUND</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26142-2021</t>
        </is>
      </c>
      <c r="B4324" s="1" t="n">
        <v>44346</v>
      </c>
      <c r="C4324" s="1" t="n">
        <v>45363</v>
      </c>
      <c r="D4324" t="inlineStr">
        <is>
          <t>JÄMTLANDS LÄN</t>
        </is>
      </c>
      <c r="E4324" t="inlineStr">
        <is>
          <t>STRÖMSUND</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26254-2021</t>
        </is>
      </c>
      <c r="B4325" s="1" t="n">
        <v>44347</v>
      </c>
      <c r="C4325" s="1" t="n">
        <v>45363</v>
      </c>
      <c r="D4325" t="inlineStr">
        <is>
          <t>JÄMTLANDS LÄN</t>
        </is>
      </c>
      <c r="E4325" t="inlineStr">
        <is>
          <t>ÖSTERSUND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26259-2021</t>
        </is>
      </c>
      <c r="B4326" s="1" t="n">
        <v>44347</v>
      </c>
      <c r="C4326" s="1" t="n">
        <v>45363</v>
      </c>
      <c r="D4326" t="inlineStr">
        <is>
          <t>JÄMTLANDS LÄN</t>
        </is>
      </c>
      <c r="E4326" t="inlineStr">
        <is>
          <t>ÖSTERSUND</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26508-2021</t>
        </is>
      </c>
      <c r="B4327" s="1" t="n">
        <v>44348</v>
      </c>
      <c r="C4327" s="1" t="n">
        <v>45363</v>
      </c>
      <c r="D4327" t="inlineStr">
        <is>
          <t>JÄMTLANDS LÄN</t>
        </is>
      </c>
      <c r="E4327" t="inlineStr">
        <is>
          <t>KROKOM</t>
        </is>
      </c>
      <c r="F4327" t="inlineStr">
        <is>
          <t>SCA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26664-2021</t>
        </is>
      </c>
      <c r="B4328" s="1" t="n">
        <v>44348</v>
      </c>
      <c r="C4328" s="1" t="n">
        <v>45363</v>
      </c>
      <c r="D4328" t="inlineStr">
        <is>
          <t>JÄMTLANDS LÄN</t>
        </is>
      </c>
      <c r="E4328" t="inlineStr">
        <is>
          <t>BRÄCKE</t>
        </is>
      </c>
      <c r="F4328" t="inlineStr">
        <is>
          <t>SCA</t>
        </is>
      </c>
      <c r="G4328" t="n">
        <v>6.8</v>
      </c>
      <c r="H4328" t="n">
        <v>0</v>
      </c>
      <c r="I4328" t="n">
        <v>0</v>
      </c>
      <c r="J4328" t="n">
        <v>0</v>
      </c>
      <c r="K4328" t="n">
        <v>0</v>
      </c>
      <c r="L4328" t="n">
        <v>0</v>
      </c>
      <c r="M4328" t="n">
        <v>0</v>
      </c>
      <c r="N4328" t="n">
        <v>0</v>
      </c>
      <c r="O4328" t="n">
        <v>0</v>
      </c>
      <c r="P4328" t="n">
        <v>0</v>
      </c>
      <c r="Q4328" t="n">
        <v>0</v>
      </c>
      <c r="R4328" s="2" t="inlineStr"/>
    </row>
    <row r="4329" ht="15" customHeight="1">
      <c r="A4329" t="inlineStr">
        <is>
          <t>A 26665-2021</t>
        </is>
      </c>
      <c r="B4329" s="1" t="n">
        <v>44348</v>
      </c>
      <c r="C4329" s="1" t="n">
        <v>45363</v>
      </c>
      <c r="D4329" t="inlineStr">
        <is>
          <t>JÄMTLANDS LÄN</t>
        </is>
      </c>
      <c r="E4329" t="inlineStr">
        <is>
          <t>BRÄCKE</t>
        </is>
      </c>
      <c r="F4329" t="inlineStr">
        <is>
          <t>SCA</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26656-2021</t>
        </is>
      </c>
      <c r="B4330" s="1" t="n">
        <v>44348</v>
      </c>
      <c r="C4330" s="1" t="n">
        <v>45363</v>
      </c>
      <c r="D4330" t="inlineStr">
        <is>
          <t>JÄMTLANDS LÄN</t>
        </is>
      </c>
      <c r="E4330" t="inlineStr">
        <is>
          <t>HÄRJEDALEN</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26666-2021</t>
        </is>
      </c>
      <c r="B4331" s="1" t="n">
        <v>44349</v>
      </c>
      <c r="C4331" s="1" t="n">
        <v>45363</v>
      </c>
      <c r="D4331" t="inlineStr">
        <is>
          <t>JÄMTLANDS LÄN</t>
        </is>
      </c>
      <c r="E4331" t="inlineStr">
        <is>
          <t>BRÄCKE</t>
        </is>
      </c>
      <c r="G4331" t="n">
        <v>26.3</v>
      </c>
      <c r="H4331" t="n">
        <v>0</v>
      </c>
      <c r="I4331" t="n">
        <v>0</v>
      </c>
      <c r="J4331" t="n">
        <v>0</v>
      </c>
      <c r="K4331" t="n">
        <v>0</v>
      </c>
      <c r="L4331" t="n">
        <v>0</v>
      </c>
      <c r="M4331" t="n">
        <v>0</v>
      </c>
      <c r="N4331" t="n">
        <v>0</v>
      </c>
      <c r="O4331" t="n">
        <v>0</v>
      </c>
      <c r="P4331" t="n">
        <v>0</v>
      </c>
      <c r="Q4331" t="n">
        <v>0</v>
      </c>
      <c r="R4331" s="2" t="inlineStr"/>
    </row>
    <row r="4332" ht="15" customHeight="1">
      <c r="A4332" t="inlineStr">
        <is>
          <t>A 26660-2021</t>
        </is>
      </c>
      <c r="B4332" s="1" t="n">
        <v>44349</v>
      </c>
      <c r="C4332" s="1" t="n">
        <v>45363</v>
      </c>
      <c r="D4332" t="inlineStr">
        <is>
          <t>JÄMTLANDS LÄN</t>
        </is>
      </c>
      <c r="E4332" t="inlineStr">
        <is>
          <t>STRÖMSUND</t>
        </is>
      </c>
      <c r="F4332" t="inlineStr">
        <is>
          <t>SCA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26721-2021</t>
        </is>
      </c>
      <c r="B4333" s="1" t="n">
        <v>44349</v>
      </c>
      <c r="C4333" s="1" t="n">
        <v>45363</v>
      </c>
      <c r="D4333" t="inlineStr">
        <is>
          <t>JÄMTLANDS LÄN</t>
        </is>
      </c>
      <c r="E4333" t="inlineStr">
        <is>
          <t>BERG</t>
        </is>
      </c>
      <c r="G4333" t="n">
        <v>10.7</v>
      </c>
      <c r="H4333" t="n">
        <v>0</v>
      </c>
      <c r="I4333" t="n">
        <v>0</v>
      </c>
      <c r="J4333" t="n">
        <v>0</v>
      </c>
      <c r="K4333" t="n">
        <v>0</v>
      </c>
      <c r="L4333" t="n">
        <v>0</v>
      </c>
      <c r="M4333" t="n">
        <v>0</v>
      </c>
      <c r="N4333" t="n">
        <v>0</v>
      </c>
      <c r="O4333" t="n">
        <v>0</v>
      </c>
      <c r="P4333" t="n">
        <v>0</v>
      </c>
      <c r="Q4333" t="n">
        <v>0</v>
      </c>
      <c r="R4333" s="2" t="inlineStr"/>
    </row>
    <row r="4334" ht="15" customHeight="1">
      <c r="A4334" t="inlineStr">
        <is>
          <t>A 26942-2021</t>
        </is>
      </c>
      <c r="B4334" s="1" t="n">
        <v>44350</v>
      </c>
      <c r="C4334" s="1" t="n">
        <v>45363</v>
      </c>
      <c r="D4334" t="inlineStr">
        <is>
          <t>JÄMTLANDS LÄN</t>
        </is>
      </c>
      <c r="E4334" t="inlineStr">
        <is>
          <t>RAGUNDA</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26948-2021</t>
        </is>
      </c>
      <c r="B4335" s="1" t="n">
        <v>44350</v>
      </c>
      <c r="C4335" s="1" t="n">
        <v>45363</v>
      </c>
      <c r="D4335" t="inlineStr">
        <is>
          <t>JÄMTLANDS LÄN</t>
        </is>
      </c>
      <c r="E4335" t="inlineStr">
        <is>
          <t>RAGUNDA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26945-2021</t>
        </is>
      </c>
      <c r="B4336" s="1" t="n">
        <v>44350</v>
      </c>
      <c r="C4336" s="1" t="n">
        <v>45363</v>
      </c>
      <c r="D4336" t="inlineStr">
        <is>
          <t>JÄMTLANDS LÄN</t>
        </is>
      </c>
      <c r="E4336" t="inlineStr">
        <is>
          <t>RAGUNDA</t>
        </is>
      </c>
      <c r="G4336" t="n">
        <v>9.300000000000001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27000-2021</t>
        </is>
      </c>
      <c r="B4337" s="1" t="n">
        <v>44349</v>
      </c>
      <c r="C4337" s="1" t="n">
        <v>45363</v>
      </c>
      <c r="D4337" t="inlineStr">
        <is>
          <t>JÄMTLANDS LÄN</t>
        </is>
      </c>
      <c r="E4337" t="inlineStr">
        <is>
          <t>KROKOM</t>
        </is>
      </c>
      <c r="F4337" t="inlineStr">
        <is>
          <t>Allmännings- och besparingsskogar</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27061-2021</t>
        </is>
      </c>
      <c r="B4338" s="1" t="n">
        <v>44349</v>
      </c>
      <c r="C4338" s="1" t="n">
        <v>45363</v>
      </c>
      <c r="D4338" t="inlineStr">
        <is>
          <t>JÄMTLANDS LÄN</t>
        </is>
      </c>
      <c r="E4338" t="inlineStr">
        <is>
          <t>ÖSTERSUND</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26722-2021</t>
        </is>
      </c>
      <c r="B4339" s="1" t="n">
        <v>44349</v>
      </c>
      <c r="C4339" s="1" t="n">
        <v>45363</v>
      </c>
      <c r="D4339" t="inlineStr">
        <is>
          <t>JÄMTLANDS LÄN</t>
        </is>
      </c>
      <c r="E4339" t="inlineStr">
        <is>
          <t>ÅRE</t>
        </is>
      </c>
      <c r="G4339" t="n">
        <v>11.4</v>
      </c>
      <c r="H4339" t="n">
        <v>0</v>
      </c>
      <c r="I4339" t="n">
        <v>0</v>
      </c>
      <c r="J4339" t="n">
        <v>0</v>
      </c>
      <c r="K4339" t="n">
        <v>0</v>
      </c>
      <c r="L4339" t="n">
        <v>0</v>
      </c>
      <c r="M4339" t="n">
        <v>0</v>
      </c>
      <c r="N4339" t="n">
        <v>0</v>
      </c>
      <c r="O4339" t="n">
        <v>0</v>
      </c>
      <c r="P4339" t="n">
        <v>0</v>
      </c>
      <c r="Q4339" t="n">
        <v>0</v>
      </c>
      <c r="R4339" s="2" t="inlineStr"/>
    </row>
    <row r="4340" ht="15" customHeight="1">
      <c r="A4340" t="inlineStr">
        <is>
          <t>A 26946-2021</t>
        </is>
      </c>
      <c r="B4340" s="1" t="n">
        <v>44349</v>
      </c>
      <c r="C4340" s="1" t="n">
        <v>45363</v>
      </c>
      <c r="D4340" t="inlineStr">
        <is>
          <t>JÄMTLANDS LÄN</t>
        </is>
      </c>
      <c r="E4340" t="inlineStr">
        <is>
          <t>RAGUNDA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26961-2021</t>
        </is>
      </c>
      <c r="B4341" s="1" t="n">
        <v>44350</v>
      </c>
      <c r="C4341" s="1" t="n">
        <v>45363</v>
      </c>
      <c r="D4341" t="inlineStr">
        <is>
          <t>JÄMTLANDS LÄN</t>
        </is>
      </c>
      <c r="E4341" t="inlineStr">
        <is>
          <t>STRÖMSUND</t>
        </is>
      </c>
      <c r="F4341" t="inlineStr">
        <is>
          <t>SCA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26973-2021</t>
        </is>
      </c>
      <c r="B4342" s="1" t="n">
        <v>44349</v>
      </c>
      <c r="C4342" s="1" t="n">
        <v>45363</v>
      </c>
      <c r="D4342" t="inlineStr">
        <is>
          <t>JÄMTLANDS LÄN</t>
        </is>
      </c>
      <c r="E4342" t="inlineStr">
        <is>
          <t>BERG</t>
        </is>
      </c>
      <c r="F4342" t="inlineStr">
        <is>
          <t>SCA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27004-2021</t>
        </is>
      </c>
      <c r="B4343" s="1" t="n">
        <v>44349</v>
      </c>
      <c r="C4343" s="1" t="n">
        <v>45363</v>
      </c>
      <c r="D4343" t="inlineStr">
        <is>
          <t>JÄMTLANDS LÄN</t>
        </is>
      </c>
      <c r="E4343" t="inlineStr">
        <is>
          <t>ÖSTERSUND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27010-2021</t>
        </is>
      </c>
      <c r="B4344" s="1" t="n">
        <v>44350</v>
      </c>
      <c r="C4344" s="1" t="n">
        <v>45363</v>
      </c>
      <c r="D4344" t="inlineStr">
        <is>
          <t>JÄMTLANDS LÄN</t>
        </is>
      </c>
      <c r="E4344" t="inlineStr">
        <is>
          <t>ÅRE</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27144-2021</t>
        </is>
      </c>
      <c r="B4345" s="1" t="n">
        <v>44350</v>
      </c>
      <c r="C4345" s="1" t="n">
        <v>45363</v>
      </c>
      <c r="D4345" t="inlineStr">
        <is>
          <t>JÄMTLANDS LÄN</t>
        </is>
      </c>
      <c r="E4345" t="inlineStr">
        <is>
          <t>BERG</t>
        </is>
      </c>
      <c r="F4345" t="inlineStr">
        <is>
          <t>Sveaskog</t>
        </is>
      </c>
      <c r="G4345" t="n">
        <v>10.2</v>
      </c>
      <c r="H4345" t="n">
        <v>0</v>
      </c>
      <c r="I4345" t="n">
        <v>0</v>
      </c>
      <c r="J4345" t="n">
        <v>0</v>
      </c>
      <c r="K4345" t="n">
        <v>0</v>
      </c>
      <c r="L4345" t="n">
        <v>0</v>
      </c>
      <c r="M4345" t="n">
        <v>0</v>
      </c>
      <c r="N4345" t="n">
        <v>0</v>
      </c>
      <c r="O4345" t="n">
        <v>0</v>
      </c>
      <c r="P4345" t="n">
        <v>0</v>
      </c>
      <c r="Q4345" t="n">
        <v>0</v>
      </c>
      <c r="R4345" s="2" t="inlineStr"/>
    </row>
    <row r="4346" ht="15" customHeight="1">
      <c r="A4346" t="inlineStr">
        <is>
          <t>A 27148-2021</t>
        </is>
      </c>
      <c r="B4346" s="1" t="n">
        <v>44350</v>
      </c>
      <c r="C4346" s="1" t="n">
        <v>45363</v>
      </c>
      <c r="D4346" t="inlineStr">
        <is>
          <t>JÄMTLANDS LÄN</t>
        </is>
      </c>
      <c r="E4346" t="inlineStr">
        <is>
          <t>STRÖMSUND</t>
        </is>
      </c>
      <c r="G4346" t="n">
        <v>10.9</v>
      </c>
      <c r="H4346" t="n">
        <v>0</v>
      </c>
      <c r="I4346" t="n">
        <v>0</v>
      </c>
      <c r="J4346" t="n">
        <v>0</v>
      </c>
      <c r="K4346" t="n">
        <v>0</v>
      </c>
      <c r="L4346" t="n">
        <v>0</v>
      </c>
      <c r="M4346" t="n">
        <v>0</v>
      </c>
      <c r="N4346" t="n">
        <v>0</v>
      </c>
      <c r="O4346" t="n">
        <v>0</v>
      </c>
      <c r="P4346" t="n">
        <v>0</v>
      </c>
      <c r="Q4346" t="n">
        <v>0</v>
      </c>
      <c r="R4346" s="2" t="inlineStr"/>
    </row>
    <row r="4347" ht="15" customHeight="1">
      <c r="A4347" t="inlineStr">
        <is>
          <t>A 27160-2021</t>
        </is>
      </c>
      <c r="B4347" s="1" t="n">
        <v>44350</v>
      </c>
      <c r="C4347" s="1" t="n">
        <v>45363</v>
      </c>
      <c r="D4347" t="inlineStr">
        <is>
          <t>JÄMTLANDS LÄN</t>
        </is>
      </c>
      <c r="E4347" t="inlineStr">
        <is>
          <t>STRÖMSUND</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27231-2021</t>
        </is>
      </c>
      <c r="B4348" s="1" t="n">
        <v>44350</v>
      </c>
      <c r="C4348" s="1" t="n">
        <v>45363</v>
      </c>
      <c r="D4348" t="inlineStr">
        <is>
          <t>JÄMTLANDS LÄN</t>
        </is>
      </c>
      <c r="E4348" t="inlineStr">
        <is>
          <t>STRÖMSUND</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27257-2021</t>
        </is>
      </c>
      <c r="B4349" s="1" t="n">
        <v>44350</v>
      </c>
      <c r="C4349" s="1" t="n">
        <v>45363</v>
      </c>
      <c r="D4349" t="inlineStr">
        <is>
          <t>JÄMTLANDS LÄN</t>
        </is>
      </c>
      <c r="E4349" t="inlineStr">
        <is>
          <t>BRÄCKE</t>
        </is>
      </c>
      <c r="F4349" t="inlineStr">
        <is>
          <t>SCA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27233-2021</t>
        </is>
      </c>
      <c r="B4350" s="1" t="n">
        <v>44350</v>
      </c>
      <c r="C4350" s="1" t="n">
        <v>45363</v>
      </c>
      <c r="D4350" t="inlineStr">
        <is>
          <t>JÄMTLANDS LÄN</t>
        </is>
      </c>
      <c r="E4350" t="inlineStr">
        <is>
          <t>STRÖMSUND</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27261-2021</t>
        </is>
      </c>
      <c r="B4351" s="1" t="n">
        <v>44351</v>
      </c>
      <c r="C4351" s="1" t="n">
        <v>45363</v>
      </c>
      <c r="D4351" t="inlineStr">
        <is>
          <t>JÄMTLANDS LÄN</t>
        </is>
      </c>
      <c r="E4351" t="inlineStr">
        <is>
          <t>BRÄCKE</t>
        </is>
      </c>
      <c r="F4351" t="inlineStr">
        <is>
          <t>SCA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27232-2021</t>
        </is>
      </c>
      <c r="B4352" s="1" t="n">
        <v>44350</v>
      </c>
      <c r="C4352" s="1" t="n">
        <v>45363</v>
      </c>
      <c r="D4352" t="inlineStr">
        <is>
          <t>JÄMTLANDS LÄN</t>
        </is>
      </c>
      <c r="E4352" t="inlineStr">
        <is>
          <t>STRÖMSUND</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27258-2021</t>
        </is>
      </c>
      <c r="B4353" s="1" t="n">
        <v>44351</v>
      </c>
      <c r="C4353" s="1" t="n">
        <v>45363</v>
      </c>
      <c r="D4353" t="inlineStr">
        <is>
          <t>JÄMTLANDS LÄN</t>
        </is>
      </c>
      <c r="E4353" t="inlineStr">
        <is>
          <t>BRÄCKE</t>
        </is>
      </c>
      <c r="F4353" t="inlineStr">
        <is>
          <t>SCA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27395-2021</t>
        </is>
      </c>
      <c r="B4354" s="1" t="n">
        <v>44350</v>
      </c>
      <c r="C4354" s="1" t="n">
        <v>45363</v>
      </c>
      <c r="D4354" t="inlineStr">
        <is>
          <t>JÄMTLANDS LÄN</t>
        </is>
      </c>
      <c r="E4354" t="inlineStr">
        <is>
          <t>BERG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27256-2021</t>
        </is>
      </c>
      <c r="B4355" s="1" t="n">
        <v>44350</v>
      </c>
      <c r="C4355" s="1" t="n">
        <v>45363</v>
      </c>
      <c r="D4355" t="inlineStr">
        <is>
          <t>JÄMTLANDS LÄN</t>
        </is>
      </c>
      <c r="E4355" t="inlineStr">
        <is>
          <t>BRÄCKE</t>
        </is>
      </c>
      <c r="F4355" t="inlineStr">
        <is>
          <t>SCA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27375-2021</t>
        </is>
      </c>
      <c r="B4356" s="1" t="n">
        <v>44351</v>
      </c>
      <c r="C4356" s="1" t="n">
        <v>45363</v>
      </c>
      <c r="D4356" t="inlineStr">
        <is>
          <t>JÄMTLANDS LÄN</t>
        </is>
      </c>
      <c r="E4356" t="inlineStr">
        <is>
          <t>ÅRE</t>
        </is>
      </c>
      <c r="G4356" t="n">
        <v>7.4</v>
      </c>
      <c r="H4356" t="n">
        <v>0</v>
      </c>
      <c r="I4356" t="n">
        <v>0</v>
      </c>
      <c r="J4356" t="n">
        <v>0</v>
      </c>
      <c r="K4356" t="n">
        <v>0</v>
      </c>
      <c r="L4356" t="n">
        <v>0</v>
      </c>
      <c r="M4356" t="n">
        <v>0</v>
      </c>
      <c r="N4356" t="n">
        <v>0</v>
      </c>
      <c r="O4356" t="n">
        <v>0</v>
      </c>
      <c r="P4356" t="n">
        <v>0</v>
      </c>
      <c r="Q4356" t="n">
        <v>0</v>
      </c>
      <c r="R4356" s="2" t="inlineStr"/>
    </row>
    <row r="4357" ht="15" customHeight="1">
      <c r="A4357" t="inlineStr">
        <is>
          <t>A 27390-2021</t>
        </is>
      </c>
      <c r="B4357" s="1" t="n">
        <v>44351</v>
      </c>
      <c r="C4357" s="1" t="n">
        <v>45363</v>
      </c>
      <c r="D4357" t="inlineStr">
        <is>
          <t>JÄMTLANDS LÄN</t>
        </is>
      </c>
      <c r="E4357" t="inlineStr">
        <is>
          <t>ÅRE</t>
        </is>
      </c>
      <c r="G4357" t="n">
        <v>14.9</v>
      </c>
      <c r="H4357" t="n">
        <v>0</v>
      </c>
      <c r="I4357" t="n">
        <v>0</v>
      </c>
      <c r="J4357" t="n">
        <v>0</v>
      </c>
      <c r="K4357" t="n">
        <v>0</v>
      </c>
      <c r="L4357" t="n">
        <v>0</v>
      </c>
      <c r="M4357" t="n">
        <v>0</v>
      </c>
      <c r="N4357" t="n">
        <v>0</v>
      </c>
      <c r="O4357" t="n">
        <v>0</v>
      </c>
      <c r="P4357" t="n">
        <v>0</v>
      </c>
      <c r="Q4357" t="n">
        <v>0</v>
      </c>
      <c r="R4357" s="2" t="inlineStr"/>
    </row>
    <row r="4358" ht="15" customHeight="1">
      <c r="A4358" t="inlineStr">
        <is>
          <t>A 27399-2021</t>
        </is>
      </c>
      <c r="B4358" s="1" t="n">
        <v>44351</v>
      </c>
      <c r="C4358" s="1" t="n">
        <v>45363</v>
      </c>
      <c r="D4358" t="inlineStr">
        <is>
          <t>JÄMTLANDS LÄN</t>
        </is>
      </c>
      <c r="E4358" t="inlineStr">
        <is>
          <t>RAGUNDA</t>
        </is>
      </c>
      <c r="F4358" t="inlineStr">
        <is>
          <t>Kommuner</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27371-2021</t>
        </is>
      </c>
      <c r="B4359" s="1" t="n">
        <v>44351</v>
      </c>
      <c r="C4359" s="1" t="n">
        <v>45363</v>
      </c>
      <c r="D4359" t="inlineStr">
        <is>
          <t>JÄMTLANDS LÄN</t>
        </is>
      </c>
      <c r="E4359" t="inlineStr">
        <is>
          <t>RAGUNDA</t>
        </is>
      </c>
      <c r="F4359" t="inlineStr">
        <is>
          <t>Kommuner</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27559-2021</t>
        </is>
      </c>
      <c r="B4360" s="1" t="n">
        <v>44352</v>
      </c>
      <c r="C4360" s="1" t="n">
        <v>45363</v>
      </c>
      <c r="D4360" t="inlineStr">
        <is>
          <t>JÄMTLANDS LÄN</t>
        </is>
      </c>
      <c r="E4360" t="inlineStr">
        <is>
          <t>STRÖMSUND</t>
        </is>
      </c>
      <c r="G4360" t="n">
        <v>14.7</v>
      </c>
      <c r="H4360" t="n">
        <v>0</v>
      </c>
      <c r="I4360" t="n">
        <v>0</v>
      </c>
      <c r="J4360" t="n">
        <v>0</v>
      </c>
      <c r="K4360" t="n">
        <v>0</v>
      </c>
      <c r="L4360" t="n">
        <v>0</v>
      </c>
      <c r="M4360" t="n">
        <v>0</v>
      </c>
      <c r="N4360" t="n">
        <v>0</v>
      </c>
      <c r="O4360" t="n">
        <v>0</v>
      </c>
      <c r="P4360" t="n">
        <v>0</v>
      </c>
      <c r="Q4360" t="n">
        <v>0</v>
      </c>
      <c r="R4360" s="2" t="inlineStr"/>
    </row>
    <row r="4361" ht="15" customHeight="1">
      <c r="A4361" t="inlineStr">
        <is>
          <t>A 27772-2021</t>
        </is>
      </c>
      <c r="B4361" s="1" t="n">
        <v>44354</v>
      </c>
      <c r="C4361" s="1" t="n">
        <v>45363</v>
      </c>
      <c r="D4361" t="inlineStr">
        <is>
          <t>JÄMTLANDS LÄN</t>
        </is>
      </c>
      <c r="E4361" t="inlineStr">
        <is>
          <t>BERG</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27979-2021</t>
        </is>
      </c>
      <c r="B4362" s="1" t="n">
        <v>44354</v>
      </c>
      <c r="C4362" s="1" t="n">
        <v>45363</v>
      </c>
      <c r="D4362" t="inlineStr">
        <is>
          <t>JÄMTLANDS LÄN</t>
        </is>
      </c>
      <c r="E4362" t="inlineStr">
        <is>
          <t>STRÖMSUND</t>
        </is>
      </c>
      <c r="F4362" t="inlineStr">
        <is>
          <t>SCA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27978-2021</t>
        </is>
      </c>
      <c r="B4363" s="1" t="n">
        <v>44354</v>
      </c>
      <c r="C4363" s="1" t="n">
        <v>45363</v>
      </c>
      <c r="D4363" t="inlineStr">
        <is>
          <t>JÄMTLANDS LÄN</t>
        </is>
      </c>
      <c r="E4363" t="inlineStr">
        <is>
          <t>STRÖMSUND</t>
        </is>
      </c>
      <c r="F4363" t="inlineStr">
        <is>
          <t>SCA</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27946-2021</t>
        </is>
      </c>
      <c r="B4364" s="1" t="n">
        <v>44354</v>
      </c>
      <c r="C4364" s="1" t="n">
        <v>45363</v>
      </c>
      <c r="D4364" t="inlineStr">
        <is>
          <t>JÄMTLANDS LÄN</t>
        </is>
      </c>
      <c r="E4364" t="inlineStr">
        <is>
          <t>ÅRE</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27980-2021</t>
        </is>
      </c>
      <c r="B4365" s="1" t="n">
        <v>44354</v>
      </c>
      <c r="C4365" s="1" t="n">
        <v>45363</v>
      </c>
      <c r="D4365" t="inlineStr">
        <is>
          <t>JÄMTLANDS LÄN</t>
        </is>
      </c>
      <c r="E4365" t="inlineStr">
        <is>
          <t>STRÖMSUND</t>
        </is>
      </c>
      <c r="F4365" t="inlineStr">
        <is>
          <t>SCA</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28596-2021</t>
        </is>
      </c>
      <c r="B4366" s="1" t="n">
        <v>44356</v>
      </c>
      <c r="C4366" s="1" t="n">
        <v>45363</v>
      </c>
      <c r="D4366" t="inlineStr">
        <is>
          <t>JÄMTLANDS LÄN</t>
        </is>
      </c>
      <c r="E4366" t="inlineStr">
        <is>
          <t>RAGUNDA</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28616-2021</t>
        </is>
      </c>
      <c r="B4367" s="1" t="n">
        <v>44357</v>
      </c>
      <c r="C4367" s="1" t="n">
        <v>45363</v>
      </c>
      <c r="D4367" t="inlineStr">
        <is>
          <t>JÄMTLANDS LÄN</t>
        </is>
      </c>
      <c r="E4367" t="inlineStr">
        <is>
          <t>BRÄCKE</t>
        </is>
      </c>
      <c r="F4367" t="inlineStr">
        <is>
          <t>SCA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28597-2021</t>
        </is>
      </c>
      <c r="B4368" s="1" t="n">
        <v>44357</v>
      </c>
      <c r="C4368" s="1" t="n">
        <v>45363</v>
      </c>
      <c r="D4368" t="inlineStr">
        <is>
          <t>JÄMTLANDS LÄN</t>
        </is>
      </c>
      <c r="E4368" t="inlineStr">
        <is>
          <t>RAGUNDA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28617-2021</t>
        </is>
      </c>
      <c r="B4369" s="1" t="n">
        <v>44356</v>
      </c>
      <c r="C4369" s="1" t="n">
        <v>45363</v>
      </c>
      <c r="D4369" t="inlineStr">
        <is>
          <t>JÄMTLANDS LÄN</t>
        </is>
      </c>
      <c r="E4369" t="inlineStr">
        <is>
          <t>BRÄCKE</t>
        </is>
      </c>
      <c r="F4369" t="inlineStr">
        <is>
          <t>SCA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28446-2021</t>
        </is>
      </c>
      <c r="B4370" s="1" t="n">
        <v>44356</v>
      </c>
      <c r="C4370" s="1" t="n">
        <v>45363</v>
      </c>
      <c r="D4370" t="inlineStr">
        <is>
          <t>JÄMTLANDS LÄN</t>
        </is>
      </c>
      <c r="E4370" t="inlineStr">
        <is>
          <t>HÄRJEDALEN</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28619-2021</t>
        </is>
      </c>
      <c r="B4371" s="1" t="n">
        <v>44356</v>
      </c>
      <c r="C4371" s="1" t="n">
        <v>45363</v>
      </c>
      <c r="D4371" t="inlineStr">
        <is>
          <t>JÄMTLANDS LÄN</t>
        </is>
      </c>
      <c r="E4371" t="inlineStr">
        <is>
          <t>BRÄCKE</t>
        </is>
      </c>
      <c r="F4371" t="inlineStr">
        <is>
          <t>SCA</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28693-2021</t>
        </is>
      </c>
      <c r="B4372" s="1" t="n">
        <v>44357</v>
      </c>
      <c r="C4372" s="1" t="n">
        <v>45363</v>
      </c>
      <c r="D4372" t="inlineStr">
        <is>
          <t>JÄMTLANDS LÄN</t>
        </is>
      </c>
      <c r="E4372" t="inlineStr">
        <is>
          <t>HÄRJEDALEN</t>
        </is>
      </c>
      <c r="G4372" t="n">
        <v>20</v>
      </c>
      <c r="H4372" t="n">
        <v>0</v>
      </c>
      <c r="I4372" t="n">
        <v>0</v>
      </c>
      <c r="J4372" t="n">
        <v>0</v>
      </c>
      <c r="K4372" t="n">
        <v>0</v>
      </c>
      <c r="L4372" t="n">
        <v>0</v>
      </c>
      <c r="M4372" t="n">
        <v>0</v>
      </c>
      <c r="N4372" t="n">
        <v>0</v>
      </c>
      <c r="O4372" t="n">
        <v>0</v>
      </c>
      <c r="P4372" t="n">
        <v>0</v>
      </c>
      <c r="Q4372" t="n">
        <v>0</v>
      </c>
      <c r="R4372" s="2" t="inlineStr"/>
    </row>
    <row r="4373" ht="15" customHeight="1">
      <c r="A4373" t="inlineStr">
        <is>
          <t>A 28881-2021</t>
        </is>
      </c>
      <c r="B4373" s="1" t="n">
        <v>44357</v>
      </c>
      <c r="C4373" s="1" t="n">
        <v>45363</v>
      </c>
      <c r="D4373" t="inlineStr">
        <is>
          <t>JÄMTLANDS LÄN</t>
        </is>
      </c>
      <c r="E4373" t="inlineStr">
        <is>
          <t>ÅRE</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28909-2021</t>
        </is>
      </c>
      <c r="B4374" s="1" t="n">
        <v>44357</v>
      </c>
      <c r="C4374" s="1" t="n">
        <v>45363</v>
      </c>
      <c r="D4374" t="inlineStr">
        <is>
          <t>JÄMTLANDS LÄN</t>
        </is>
      </c>
      <c r="E4374" t="inlineStr">
        <is>
          <t>BRÄCKE</t>
        </is>
      </c>
      <c r="F4374" t="inlineStr">
        <is>
          <t>SCA</t>
        </is>
      </c>
      <c r="G4374" t="n">
        <v>11.2</v>
      </c>
      <c r="H4374" t="n">
        <v>0</v>
      </c>
      <c r="I4374" t="n">
        <v>0</v>
      </c>
      <c r="J4374" t="n">
        <v>0</v>
      </c>
      <c r="K4374" t="n">
        <v>0</v>
      </c>
      <c r="L4374" t="n">
        <v>0</v>
      </c>
      <c r="M4374" t="n">
        <v>0</v>
      </c>
      <c r="N4374" t="n">
        <v>0</v>
      </c>
      <c r="O4374" t="n">
        <v>0</v>
      </c>
      <c r="P4374" t="n">
        <v>0</v>
      </c>
      <c r="Q4374" t="n">
        <v>0</v>
      </c>
      <c r="R4374" s="2" t="inlineStr"/>
      <c r="U4374">
        <f>HYPERLINK("https://klasma.github.io/Logging_2305/knärot/A 28909-2021 karta knärot.png", "A 28909-2021")</f>
        <v/>
      </c>
      <c r="V4374">
        <f>HYPERLINK("https://klasma.github.io/Logging_2305/klagomål/A 28909-2021 FSC-klagomål.docx", "A 28909-2021")</f>
        <v/>
      </c>
      <c r="W4374">
        <f>HYPERLINK("https://klasma.github.io/Logging_2305/klagomålsmail/A 28909-2021 FSC-klagomål mail.docx", "A 28909-2021")</f>
        <v/>
      </c>
      <c r="X4374">
        <f>HYPERLINK("https://klasma.github.io/Logging_2305/tillsyn/A 28909-2021 tillsynsbegäran.docx", "A 28909-2021")</f>
        <v/>
      </c>
      <c r="Y4374">
        <f>HYPERLINK("https://klasma.github.io/Logging_2305/tillsynsmail/A 28909-2021 tillsynsbegäran mail.docx", "A 28909-2021")</f>
        <v/>
      </c>
    </row>
    <row r="4375" ht="15" customHeight="1">
      <c r="A4375" t="inlineStr">
        <is>
          <t>A 28887-2021</t>
        </is>
      </c>
      <c r="B4375" s="1" t="n">
        <v>44357</v>
      </c>
      <c r="C4375" s="1" t="n">
        <v>45363</v>
      </c>
      <c r="D4375" t="inlineStr">
        <is>
          <t>JÄMTLANDS LÄN</t>
        </is>
      </c>
      <c r="E4375" t="inlineStr">
        <is>
          <t>RAGUNDA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28903-2021</t>
        </is>
      </c>
      <c r="B4376" s="1" t="n">
        <v>44357</v>
      </c>
      <c r="C4376" s="1" t="n">
        <v>45363</v>
      </c>
      <c r="D4376" t="inlineStr">
        <is>
          <t>JÄMTLANDS LÄN</t>
        </is>
      </c>
      <c r="E4376" t="inlineStr">
        <is>
          <t>BRÄCKE</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28817-2021</t>
        </is>
      </c>
      <c r="B4377" s="1" t="n">
        <v>44357</v>
      </c>
      <c r="C4377" s="1" t="n">
        <v>45363</v>
      </c>
      <c r="D4377" t="inlineStr">
        <is>
          <t>JÄMTLANDS LÄN</t>
        </is>
      </c>
      <c r="E4377" t="inlineStr">
        <is>
          <t>ÅRE</t>
        </is>
      </c>
      <c r="G4377" t="n">
        <v>21.4</v>
      </c>
      <c r="H4377" t="n">
        <v>0</v>
      </c>
      <c r="I4377" t="n">
        <v>0</v>
      </c>
      <c r="J4377" t="n">
        <v>0</v>
      </c>
      <c r="K4377" t="n">
        <v>0</v>
      </c>
      <c r="L4377" t="n">
        <v>0</v>
      </c>
      <c r="M4377" t="n">
        <v>0</v>
      </c>
      <c r="N4377" t="n">
        <v>0</v>
      </c>
      <c r="O4377" t="n">
        <v>0</v>
      </c>
      <c r="P4377" t="n">
        <v>0</v>
      </c>
      <c r="Q4377" t="n">
        <v>0</v>
      </c>
      <c r="R4377" s="2" t="inlineStr"/>
    </row>
    <row r="4378" ht="15" customHeight="1">
      <c r="A4378" t="inlineStr">
        <is>
          <t>A 28883-2021</t>
        </is>
      </c>
      <c r="B4378" s="1" t="n">
        <v>44357</v>
      </c>
      <c r="C4378" s="1" t="n">
        <v>45363</v>
      </c>
      <c r="D4378" t="inlineStr">
        <is>
          <t>JÄMTLANDS LÄN</t>
        </is>
      </c>
      <c r="E4378" t="inlineStr">
        <is>
          <t>BERG</t>
        </is>
      </c>
      <c r="F4378" t="inlineStr">
        <is>
          <t>Kyrkan</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28990-2021</t>
        </is>
      </c>
      <c r="B4379" s="1" t="n">
        <v>44358</v>
      </c>
      <c r="C4379" s="1" t="n">
        <v>45363</v>
      </c>
      <c r="D4379" t="inlineStr">
        <is>
          <t>JÄMTLANDS LÄN</t>
        </is>
      </c>
      <c r="E4379" t="inlineStr">
        <is>
          <t>KROKOM</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29019-2021</t>
        </is>
      </c>
      <c r="B4380" s="1" t="n">
        <v>44358</v>
      </c>
      <c r="C4380" s="1" t="n">
        <v>45363</v>
      </c>
      <c r="D4380" t="inlineStr">
        <is>
          <t>JÄMTLANDS LÄN</t>
        </is>
      </c>
      <c r="E4380" t="inlineStr">
        <is>
          <t>BERG</t>
        </is>
      </c>
      <c r="F4380" t="inlineStr">
        <is>
          <t>Sveaskog</t>
        </is>
      </c>
      <c r="G4380" t="n">
        <v>27.1</v>
      </c>
      <c r="H4380" t="n">
        <v>0</v>
      </c>
      <c r="I4380" t="n">
        <v>0</v>
      </c>
      <c r="J4380" t="n">
        <v>0</v>
      </c>
      <c r="K4380" t="n">
        <v>0</v>
      </c>
      <c r="L4380" t="n">
        <v>0</v>
      </c>
      <c r="M4380" t="n">
        <v>0</v>
      </c>
      <c r="N4380" t="n">
        <v>0</v>
      </c>
      <c r="O4380" t="n">
        <v>0</v>
      </c>
      <c r="P4380" t="n">
        <v>0</v>
      </c>
      <c r="Q4380" t="n">
        <v>0</v>
      </c>
      <c r="R4380" s="2" t="inlineStr"/>
    </row>
    <row r="4381" ht="15" customHeight="1">
      <c r="A4381" t="inlineStr">
        <is>
          <t>A 29146-2021</t>
        </is>
      </c>
      <c r="B4381" s="1" t="n">
        <v>44358</v>
      </c>
      <c r="C4381" s="1" t="n">
        <v>45363</v>
      </c>
      <c r="D4381" t="inlineStr">
        <is>
          <t>JÄMTLANDS LÄN</t>
        </is>
      </c>
      <c r="E4381" t="inlineStr">
        <is>
          <t>KROKOM</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29284-2021</t>
        </is>
      </c>
      <c r="B4382" s="1" t="n">
        <v>44361</v>
      </c>
      <c r="C4382" s="1" t="n">
        <v>45363</v>
      </c>
      <c r="D4382" t="inlineStr">
        <is>
          <t>JÄMTLANDS LÄN</t>
        </is>
      </c>
      <c r="E4382" t="inlineStr">
        <is>
          <t>HÄRJEDALEN</t>
        </is>
      </c>
      <c r="F4382" t="inlineStr">
        <is>
          <t>Holmen skog AB</t>
        </is>
      </c>
      <c r="G4382" t="n">
        <v>10.5</v>
      </c>
      <c r="H4382" t="n">
        <v>0</v>
      </c>
      <c r="I4382" t="n">
        <v>0</v>
      </c>
      <c r="J4382" t="n">
        <v>0</v>
      </c>
      <c r="K4382" t="n">
        <v>0</v>
      </c>
      <c r="L4382" t="n">
        <v>0</v>
      </c>
      <c r="M4382" t="n">
        <v>0</v>
      </c>
      <c r="N4382" t="n">
        <v>0</v>
      </c>
      <c r="O4382" t="n">
        <v>0</v>
      </c>
      <c r="P4382" t="n">
        <v>0</v>
      </c>
      <c r="Q4382" t="n">
        <v>0</v>
      </c>
      <c r="R4382" s="2" t="inlineStr"/>
    </row>
    <row r="4383" ht="15" customHeight="1">
      <c r="A4383" t="inlineStr">
        <is>
          <t>A 29372-2021</t>
        </is>
      </c>
      <c r="B4383" s="1" t="n">
        <v>44361</v>
      </c>
      <c r="C4383" s="1" t="n">
        <v>45363</v>
      </c>
      <c r="D4383" t="inlineStr">
        <is>
          <t>JÄMTLANDS LÄN</t>
        </is>
      </c>
      <c r="E4383" t="inlineStr">
        <is>
          <t>HÄRJEDALEN</t>
        </is>
      </c>
      <c r="F4383" t="inlineStr">
        <is>
          <t>Holmen skog AB</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29314-2021</t>
        </is>
      </c>
      <c r="B4384" s="1" t="n">
        <v>44361</v>
      </c>
      <c r="C4384" s="1" t="n">
        <v>45363</v>
      </c>
      <c r="D4384" t="inlineStr">
        <is>
          <t>JÄMTLANDS LÄN</t>
        </is>
      </c>
      <c r="E4384" t="inlineStr">
        <is>
          <t>BRÄCKE</t>
        </is>
      </c>
      <c r="G4384" t="n">
        <v>10.7</v>
      </c>
      <c r="H4384" t="n">
        <v>0</v>
      </c>
      <c r="I4384" t="n">
        <v>0</v>
      </c>
      <c r="J4384" t="n">
        <v>0</v>
      </c>
      <c r="K4384" t="n">
        <v>0</v>
      </c>
      <c r="L4384" t="n">
        <v>0</v>
      </c>
      <c r="M4384" t="n">
        <v>0</v>
      </c>
      <c r="N4384" t="n">
        <v>0</v>
      </c>
      <c r="O4384" t="n">
        <v>0</v>
      </c>
      <c r="P4384" t="n">
        <v>0</v>
      </c>
      <c r="Q4384" t="n">
        <v>0</v>
      </c>
      <c r="R4384" s="2" t="inlineStr"/>
    </row>
    <row r="4385" ht="15" customHeight="1">
      <c r="A4385" t="inlineStr">
        <is>
          <t>A 29409-2021</t>
        </is>
      </c>
      <c r="B4385" s="1" t="n">
        <v>44361</v>
      </c>
      <c r="C4385" s="1" t="n">
        <v>45363</v>
      </c>
      <c r="D4385" t="inlineStr">
        <is>
          <t>JÄMTLANDS LÄN</t>
        </is>
      </c>
      <c r="E4385" t="inlineStr">
        <is>
          <t>RAGUNDA</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29452-2021</t>
        </is>
      </c>
      <c r="B4386" s="1" t="n">
        <v>44361</v>
      </c>
      <c r="C4386" s="1" t="n">
        <v>45363</v>
      </c>
      <c r="D4386" t="inlineStr">
        <is>
          <t>JÄMTLANDS LÄN</t>
        </is>
      </c>
      <c r="E4386" t="inlineStr">
        <is>
          <t>HÄRJEDALEN</t>
        </is>
      </c>
      <c r="F4386" t="inlineStr">
        <is>
          <t>Holmen skog AB</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29581-2021</t>
        </is>
      </c>
      <c r="B4387" s="1" t="n">
        <v>44361</v>
      </c>
      <c r="C4387" s="1" t="n">
        <v>45363</v>
      </c>
      <c r="D4387" t="inlineStr">
        <is>
          <t>JÄMTLANDS LÄN</t>
        </is>
      </c>
      <c r="E4387" t="inlineStr">
        <is>
          <t>HÄRJEDALEN</t>
        </is>
      </c>
      <c r="G4387" t="n">
        <v>50.9</v>
      </c>
      <c r="H4387" t="n">
        <v>0</v>
      </c>
      <c r="I4387" t="n">
        <v>0</v>
      </c>
      <c r="J4387" t="n">
        <v>0</v>
      </c>
      <c r="K4387" t="n">
        <v>0</v>
      </c>
      <c r="L4387" t="n">
        <v>0</v>
      </c>
      <c r="M4387" t="n">
        <v>0</v>
      </c>
      <c r="N4387" t="n">
        <v>0</v>
      </c>
      <c r="O4387" t="n">
        <v>0</v>
      </c>
      <c r="P4387" t="n">
        <v>0</v>
      </c>
      <c r="Q4387" t="n">
        <v>0</v>
      </c>
      <c r="R4387" s="2" t="inlineStr"/>
    </row>
    <row r="4388" ht="15" customHeight="1">
      <c r="A4388" t="inlineStr">
        <is>
          <t>A 29585-2021</t>
        </is>
      </c>
      <c r="B4388" s="1" t="n">
        <v>44361</v>
      </c>
      <c r="C4388" s="1" t="n">
        <v>45363</v>
      </c>
      <c r="D4388" t="inlineStr">
        <is>
          <t>JÄMTLANDS LÄN</t>
        </is>
      </c>
      <c r="E4388" t="inlineStr">
        <is>
          <t>HÄRJEDALEN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29552-2021</t>
        </is>
      </c>
      <c r="B4389" s="1" t="n">
        <v>44361</v>
      </c>
      <c r="C4389" s="1" t="n">
        <v>45363</v>
      </c>
      <c r="D4389" t="inlineStr">
        <is>
          <t>JÄMTLANDS LÄN</t>
        </is>
      </c>
      <c r="E4389" t="inlineStr">
        <is>
          <t>STRÖMSUND</t>
        </is>
      </c>
      <c r="F4389" t="inlineStr">
        <is>
          <t>Holmen skog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29603-2021</t>
        </is>
      </c>
      <c r="B4390" s="1" t="n">
        <v>44361</v>
      </c>
      <c r="C4390" s="1" t="n">
        <v>45363</v>
      </c>
      <c r="D4390" t="inlineStr">
        <is>
          <t>JÄMTLANDS LÄN</t>
        </is>
      </c>
      <c r="E4390" t="inlineStr">
        <is>
          <t>BRÄCKE</t>
        </is>
      </c>
      <c r="F4390" t="inlineStr">
        <is>
          <t>Naturvårdsverket</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29628-2021</t>
        </is>
      </c>
      <c r="B4391" s="1" t="n">
        <v>44361</v>
      </c>
      <c r="C4391" s="1" t="n">
        <v>45363</v>
      </c>
      <c r="D4391" t="inlineStr">
        <is>
          <t>JÄMTLANDS LÄN</t>
        </is>
      </c>
      <c r="E4391" t="inlineStr">
        <is>
          <t>STRÖMSUND</t>
        </is>
      </c>
      <c r="F4391" t="inlineStr">
        <is>
          <t>SCA</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29511-2021</t>
        </is>
      </c>
      <c r="B4392" s="1" t="n">
        <v>44361</v>
      </c>
      <c r="C4392" s="1" t="n">
        <v>45363</v>
      </c>
      <c r="D4392" t="inlineStr">
        <is>
          <t>JÄMTLANDS LÄN</t>
        </is>
      </c>
      <c r="E4392" t="inlineStr">
        <is>
          <t>BERG</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29582-2021</t>
        </is>
      </c>
      <c r="B4393" s="1" t="n">
        <v>44362</v>
      </c>
      <c r="C4393" s="1" t="n">
        <v>45363</v>
      </c>
      <c r="D4393" t="inlineStr">
        <is>
          <t>JÄMTLANDS LÄN</t>
        </is>
      </c>
      <c r="E4393" t="inlineStr">
        <is>
          <t>ÖSTERSUND</t>
        </is>
      </c>
      <c r="G4393" t="n">
        <v>31.5</v>
      </c>
      <c r="H4393" t="n">
        <v>0</v>
      </c>
      <c r="I4393" t="n">
        <v>0</v>
      </c>
      <c r="J4393" t="n">
        <v>0</v>
      </c>
      <c r="K4393" t="n">
        <v>0</v>
      </c>
      <c r="L4393" t="n">
        <v>0</v>
      </c>
      <c r="M4393" t="n">
        <v>0</v>
      </c>
      <c r="N4393" t="n">
        <v>0</v>
      </c>
      <c r="O4393" t="n">
        <v>0</v>
      </c>
      <c r="P4393" t="n">
        <v>0</v>
      </c>
      <c r="Q4393" t="n">
        <v>0</v>
      </c>
      <c r="R4393" s="2" t="inlineStr"/>
    </row>
    <row r="4394" ht="15" customHeight="1">
      <c r="A4394" t="inlineStr">
        <is>
          <t>A 29594-2021</t>
        </is>
      </c>
      <c r="B4394" s="1" t="n">
        <v>44361</v>
      </c>
      <c r="C4394" s="1" t="n">
        <v>45363</v>
      </c>
      <c r="D4394" t="inlineStr">
        <is>
          <t>JÄMTLANDS LÄN</t>
        </is>
      </c>
      <c r="E4394" t="inlineStr">
        <is>
          <t>STRÖMSUND</t>
        </is>
      </c>
      <c r="G4394" t="n">
        <v>10.8</v>
      </c>
      <c r="H4394" t="n">
        <v>0</v>
      </c>
      <c r="I4394" t="n">
        <v>0</v>
      </c>
      <c r="J4394" t="n">
        <v>0</v>
      </c>
      <c r="K4394" t="n">
        <v>0</v>
      </c>
      <c r="L4394" t="n">
        <v>0</v>
      </c>
      <c r="M4394" t="n">
        <v>0</v>
      </c>
      <c r="N4394" t="n">
        <v>0</v>
      </c>
      <c r="O4394" t="n">
        <v>0</v>
      </c>
      <c r="P4394" t="n">
        <v>0</v>
      </c>
      <c r="Q4394" t="n">
        <v>0</v>
      </c>
      <c r="R4394" s="2" t="inlineStr"/>
    </row>
    <row r="4395" ht="15" customHeight="1">
      <c r="A4395" t="inlineStr">
        <is>
          <t>A 29601-2021</t>
        </is>
      </c>
      <c r="B4395" s="1" t="n">
        <v>44362</v>
      </c>
      <c r="C4395" s="1" t="n">
        <v>45363</v>
      </c>
      <c r="D4395" t="inlineStr">
        <is>
          <t>JÄMTLANDS LÄN</t>
        </is>
      </c>
      <c r="E4395" t="inlineStr">
        <is>
          <t>STRÖMSUND</t>
        </is>
      </c>
      <c r="F4395" t="inlineStr">
        <is>
          <t>SCA</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29611-2021</t>
        </is>
      </c>
      <c r="B4396" s="1" t="n">
        <v>44361</v>
      </c>
      <c r="C4396" s="1" t="n">
        <v>45363</v>
      </c>
      <c r="D4396" t="inlineStr">
        <is>
          <t>JÄMTLANDS LÄN</t>
        </is>
      </c>
      <c r="E4396" t="inlineStr">
        <is>
          <t>BRÄCKE</t>
        </is>
      </c>
      <c r="F4396" t="inlineStr">
        <is>
          <t>SCA</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29625-2021</t>
        </is>
      </c>
      <c r="B4397" s="1" t="n">
        <v>44362</v>
      </c>
      <c r="C4397" s="1" t="n">
        <v>45363</v>
      </c>
      <c r="D4397" t="inlineStr">
        <is>
          <t>JÄMTLANDS LÄN</t>
        </is>
      </c>
      <c r="E4397" t="inlineStr">
        <is>
          <t>STRÖMSUND</t>
        </is>
      </c>
      <c r="F4397" t="inlineStr">
        <is>
          <t>SCA</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29624-2021</t>
        </is>
      </c>
      <c r="B4398" s="1" t="n">
        <v>44362</v>
      </c>
      <c r="C4398" s="1" t="n">
        <v>45363</v>
      </c>
      <c r="D4398" t="inlineStr">
        <is>
          <t>JÄMTLANDS LÄN</t>
        </is>
      </c>
      <c r="E4398" t="inlineStr">
        <is>
          <t>STRÖMSUND</t>
        </is>
      </c>
      <c r="F4398" t="inlineStr">
        <is>
          <t>SCA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29637-2021</t>
        </is>
      </c>
      <c r="B4399" s="1" t="n">
        <v>44362</v>
      </c>
      <c r="C4399" s="1" t="n">
        <v>45363</v>
      </c>
      <c r="D4399" t="inlineStr">
        <is>
          <t>JÄMTLANDS LÄN</t>
        </is>
      </c>
      <c r="E4399" t="inlineStr">
        <is>
          <t>STRÖMSUND</t>
        </is>
      </c>
      <c r="F4399" t="inlineStr">
        <is>
          <t>SCA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29707-2021</t>
        </is>
      </c>
      <c r="B4400" s="1" t="n">
        <v>44362</v>
      </c>
      <c r="C4400" s="1" t="n">
        <v>45363</v>
      </c>
      <c r="D4400" t="inlineStr">
        <is>
          <t>JÄMTLANDS LÄN</t>
        </is>
      </c>
      <c r="E4400" t="inlineStr">
        <is>
          <t>ÖSTERSUND</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29841-2021</t>
        </is>
      </c>
      <c r="B4401" s="1" t="n">
        <v>44362</v>
      </c>
      <c r="C4401" s="1" t="n">
        <v>45363</v>
      </c>
      <c r="D4401" t="inlineStr">
        <is>
          <t>JÄMTLANDS LÄN</t>
        </is>
      </c>
      <c r="E4401" t="inlineStr">
        <is>
          <t>STRÖMSUND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29896-2021</t>
        </is>
      </c>
      <c r="B4402" s="1" t="n">
        <v>44362</v>
      </c>
      <c r="C4402" s="1" t="n">
        <v>45363</v>
      </c>
      <c r="D4402" t="inlineStr">
        <is>
          <t>JÄMTLANDS LÄN</t>
        </is>
      </c>
      <c r="E4402" t="inlineStr">
        <is>
          <t>KROKOM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29903-2021</t>
        </is>
      </c>
      <c r="B4403" s="1" t="n">
        <v>44363</v>
      </c>
      <c r="C4403" s="1" t="n">
        <v>45363</v>
      </c>
      <c r="D4403" t="inlineStr">
        <is>
          <t>JÄMTLANDS LÄN</t>
        </is>
      </c>
      <c r="E4403" t="inlineStr">
        <is>
          <t>STRÖMSUND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29916-2021</t>
        </is>
      </c>
      <c r="B4404" s="1" t="n">
        <v>44363</v>
      </c>
      <c r="C4404" s="1" t="n">
        <v>45363</v>
      </c>
      <c r="D4404" t="inlineStr">
        <is>
          <t>JÄMTLANDS LÄN</t>
        </is>
      </c>
      <c r="E4404" t="inlineStr">
        <is>
          <t>STRÖMSUND</t>
        </is>
      </c>
      <c r="F4404" t="inlineStr">
        <is>
          <t>SCA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29929-2021</t>
        </is>
      </c>
      <c r="B4405" s="1" t="n">
        <v>44362</v>
      </c>
      <c r="C4405" s="1" t="n">
        <v>45363</v>
      </c>
      <c r="D4405" t="inlineStr">
        <is>
          <t>JÄMTLANDS LÄN</t>
        </is>
      </c>
      <c r="E4405" t="inlineStr">
        <is>
          <t>BRÄCKE</t>
        </is>
      </c>
      <c r="F4405" t="inlineStr">
        <is>
          <t>SCA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30438-2021</t>
        </is>
      </c>
      <c r="B4406" s="1" t="n">
        <v>44362</v>
      </c>
      <c r="C4406" s="1" t="n">
        <v>45363</v>
      </c>
      <c r="D4406" t="inlineStr">
        <is>
          <t>JÄMTLANDS LÄN</t>
        </is>
      </c>
      <c r="E4406" t="inlineStr">
        <is>
          <t>RAGUNDA</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29905-2021</t>
        </is>
      </c>
      <c r="B4407" s="1" t="n">
        <v>44363</v>
      </c>
      <c r="C4407" s="1" t="n">
        <v>45363</v>
      </c>
      <c r="D4407" t="inlineStr">
        <is>
          <t>JÄMTLANDS LÄN</t>
        </is>
      </c>
      <c r="E4407" t="inlineStr">
        <is>
          <t>STRÖMSUND</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29930-2021</t>
        </is>
      </c>
      <c r="B4408" s="1" t="n">
        <v>44362</v>
      </c>
      <c r="C4408" s="1" t="n">
        <v>45363</v>
      </c>
      <c r="D4408" t="inlineStr">
        <is>
          <t>JÄMTLANDS LÄN</t>
        </is>
      </c>
      <c r="E4408" t="inlineStr">
        <is>
          <t>BRÄCKE</t>
        </is>
      </c>
      <c r="F4408" t="inlineStr">
        <is>
          <t>SCA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30459-2021</t>
        </is>
      </c>
      <c r="B4409" s="1" t="n">
        <v>44362</v>
      </c>
      <c r="C4409" s="1" t="n">
        <v>45363</v>
      </c>
      <c r="D4409" t="inlineStr">
        <is>
          <t>JÄMTLANDS LÄN</t>
        </is>
      </c>
      <c r="E4409" t="inlineStr">
        <is>
          <t>RAGUNDA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30108-2021</t>
        </is>
      </c>
      <c r="B4410" s="1" t="n">
        <v>44363</v>
      </c>
      <c r="C4410" s="1" t="n">
        <v>45363</v>
      </c>
      <c r="D4410" t="inlineStr">
        <is>
          <t>JÄMTLANDS LÄN</t>
        </is>
      </c>
      <c r="E4410" t="inlineStr">
        <is>
          <t>BRÄCKE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30102-2021</t>
        </is>
      </c>
      <c r="B4411" s="1" t="n">
        <v>44363</v>
      </c>
      <c r="C4411" s="1" t="n">
        <v>45363</v>
      </c>
      <c r="D4411" t="inlineStr">
        <is>
          <t>JÄMTLANDS LÄN</t>
        </is>
      </c>
      <c r="E4411" t="inlineStr">
        <is>
          <t>BRÄCKE</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30145-2021</t>
        </is>
      </c>
      <c r="B4412" s="1" t="n">
        <v>44363</v>
      </c>
      <c r="C4412" s="1" t="n">
        <v>45363</v>
      </c>
      <c r="D4412" t="inlineStr">
        <is>
          <t>JÄMTLANDS LÄN</t>
        </is>
      </c>
      <c r="E4412" t="inlineStr">
        <is>
          <t>KROKOM</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30302-2021</t>
        </is>
      </c>
      <c r="B4413" s="1" t="n">
        <v>44364</v>
      </c>
      <c r="C4413" s="1" t="n">
        <v>45363</v>
      </c>
      <c r="D4413" t="inlineStr">
        <is>
          <t>JÄMTLANDS LÄN</t>
        </is>
      </c>
      <c r="E4413" t="inlineStr">
        <is>
          <t>HÄRJEDALEN</t>
        </is>
      </c>
      <c r="F4413" t="inlineStr">
        <is>
          <t>Holmen skog AB</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30323-2021</t>
        </is>
      </c>
      <c r="B4414" s="1" t="n">
        <v>44364</v>
      </c>
      <c r="C4414" s="1" t="n">
        <v>45363</v>
      </c>
      <c r="D4414" t="inlineStr">
        <is>
          <t>JÄMTLANDS LÄN</t>
        </is>
      </c>
      <c r="E4414" t="inlineStr">
        <is>
          <t>HÄRJEDALEN</t>
        </is>
      </c>
      <c r="F4414" t="inlineStr">
        <is>
          <t>Holmen skog AB</t>
        </is>
      </c>
      <c r="G4414" t="n">
        <v>11.2</v>
      </c>
      <c r="H4414" t="n">
        <v>0</v>
      </c>
      <c r="I4414" t="n">
        <v>0</v>
      </c>
      <c r="J4414" t="n">
        <v>0</v>
      </c>
      <c r="K4414" t="n">
        <v>0</v>
      </c>
      <c r="L4414" t="n">
        <v>0</v>
      </c>
      <c r="M4414" t="n">
        <v>0</v>
      </c>
      <c r="N4414" t="n">
        <v>0</v>
      </c>
      <c r="O4414" t="n">
        <v>0</v>
      </c>
      <c r="P4414" t="n">
        <v>0</v>
      </c>
      <c r="Q4414" t="n">
        <v>0</v>
      </c>
      <c r="R4414" s="2" t="inlineStr"/>
    </row>
    <row r="4415" ht="15" customHeight="1">
      <c r="A4415" t="inlineStr">
        <is>
          <t>A 30315-2021</t>
        </is>
      </c>
      <c r="B4415" s="1" t="n">
        <v>44364</v>
      </c>
      <c r="C4415" s="1" t="n">
        <v>45363</v>
      </c>
      <c r="D4415" t="inlineStr">
        <is>
          <t>JÄMTLANDS LÄN</t>
        </is>
      </c>
      <c r="E4415" t="inlineStr">
        <is>
          <t>HÄRJEDALEN</t>
        </is>
      </c>
      <c r="F4415" t="inlineStr">
        <is>
          <t>Holmen skog AB</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30311-2021</t>
        </is>
      </c>
      <c r="B4416" s="1" t="n">
        <v>44364</v>
      </c>
      <c r="C4416" s="1" t="n">
        <v>45363</v>
      </c>
      <c r="D4416" t="inlineStr">
        <is>
          <t>JÄMTLANDS LÄN</t>
        </is>
      </c>
      <c r="E4416" t="inlineStr">
        <is>
          <t>HÄRJEDALEN</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30321-2021</t>
        </is>
      </c>
      <c r="B4417" s="1" t="n">
        <v>44364</v>
      </c>
      <c r="C4417" s="1" t="n">
        <v>45363</v>
      </c>
      <c r="D4417" t="inlineStr">
        <is>
          <t>JÄMTLANDS LÄN</t>
        </is>
      </c>
      <c r="E4417" t="inlineStr">
        <is>
          <t>HÄRJEDALEN</t>
        </is>
      </c>
      <c r="F4417" t="inlineStr">
        <is>
          <t>Holmen skog AB</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30317-2021</t>
        </is>
      </c>
      <c r="B4418" s="1" t="n">
        <v>44364</v>
      </c>
      <c r="C4418" s="1" t="n">
        <v>45363</v>
      </c>
      <c r="D4418" t="inlineStr">
        <is>
          <t>JÄMTLANDS LÄN</t>
        </is>
      </c>
      <c r="E4418" t="inlineStr">
        <is>
          <t>HÄRJEDALEN</t>
        </is>
      </c>
      <c r="F4418" t="inlineStr">
        <is>
          <t>Holmen skog AB</t>
        </is>
      </c>
      <c r="G4418" t="n">
        <v>8.4</v>
      </c>
      <c r="H4418" t="n">
        <v>0</v>
      </c>
      <c r="I4418" t="n">
        <v>0</v>
      </c>
      <c r="J4418" t="n">
        <v>0</v>
      </c>
      <c r="K4418" t="n">
        <v>0</v>
      </c>
      <c r="L4418" t="n">
        <v>0</v>
      </c>
      <c r="M4418" t="n">
        <v>0</v>
      </c>
      <c r="N4418" t="n">
        <v>0</v>
      </c>
      <c r="O4418" t="n">
        <v>0</v>
      </c>
      <c r="P4418" t="n">
        <v>0</v>
      </c>
      <c r="Q4418" t="n">
        <v>0</v>
      </c>
      <c r="R4418" s="2" t="inlineStr"/>
    </row>
    <row r="4419" ht="15" customHeight="1">
      <c r="A4419" t="inlineStr">
        <is>
          <t>A 30580-2021</t>
        </is>
      </c>
      <c r="B4419" s="1" t="n">
        <v>44365</v>
      </c>
      <c r="C4419" s="1" t="n">
        <v>45363</v>
      </c>
      <c r="D4419" t="inlineStr">
        <is>
          <t>JÄMTLANDS LÄN</t>
        </is>
      </c>
      <c r="E4419" t="inlineStr">
        <is>
          <t>STRÖMSUND</t>
        </is>
      </c>
      <c r="F4419" t="inlineStr">
        <is>
          <t>SCA</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30581-2021</t>
        </is>
      </c>
      <c r="B4420" s="1" t="n">
        <v>44365</v>
      </c>
      <c r="C4420" s="1" t="n">
        <v>45363</v>
      </c>
      <c r="D4420" t="inlineStr">
        <is>
          <t>JÄMTLANDS LÄN</t>
        </is>
      </c>
      <c r="E4420" t="inlineStr">
        <is>
          <t>RAGUNDA</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30592-2021</t>
        </is>
      </c>
      <c r="B4421" s="1" t="n">
        <v>44365</v>
      </c>
      <c r="C4421" s="1" t="n">
        <v>45363</v>
      </c>
      <c r="D4421" t="inlineStr">
        <is>
          <t>JÄMTLANDS LÄN</t>
        </is>
      </c>
      <c r="E4421" t="inlineStr">
        <is>
          <t>BRÄCKE</t>
        </is>
      </c>
      <c r="F4421" t="inlineStr">
        <is>
          <t>SCA</t>
        </is>
      </c>
      <c r="G4421" t="n">
        <v>22.4</v>
      </c>
      <c r="H4421" t="n">
        <v>0</v>
      </c>
      <c r="I4421" t="n">
        <v>0</v>
      </c>
      <c r="J4421" t="n">
        <v>0</v>
      </c>
      <c r="K4421" t="n">
        <v>0</v>
      </c>
      <c r="L4421" t="n">
        <v>0</v>
      </c>
      <c r="M4421" t="n">
        <v>0</v>
      </c>
      <c r="N4421" t="n">
        <v>0</v>
      </c>
      <c r="O4421" t="n">
        <v>0</v>
      </c>
      <c r="P4421" t="n">
        <v>0</v>
      </c>
      <c r="Q4421" t="n">
        <v>0</v>
      </c>
      <c r="R4421" s="2" t="inlineStr"/>
    </row>
    <row r="4422" ht="15" customHeight="1">
      <c r="A4422" t="inlineStr">
        <is>
          <t>A 30684-2021</t>
        </is>
      </c>
      <c r="B4422" s="1" t="n">
        <v>44365</v>
      </c>
      <c r="C4422" s="1" t="n">
        <v>45363</v>
      </c>
      <c r="D4422" t="inlineStr">
        <is>
          <t>JÄMTLANDS LÄN</t>
        </is>
      </c>
      <c r="E4422" t="inlineStr">
        <is>
          <t>HÄRJEDALEN</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30985-2021</t>
        </is>
      </c>
      <c r="B4423" s="1" t="n">
        <v>44366</v>
      </c>
      <c r="C4423" s="1" t="n">
        <v>45363</v>
      </c>
      <c r="D4423" t="inlineStr">
        <is>
          <t>JÄMTLANDS LÄN</t>
        </is>
      </c>
      <c r="E4423" t="inlineStr">
        <is>
          <t>STRÖMSUND</t>
        </is>
      </c>
      <c r="F4423" t="inlineStr">
        <is>
          <t>SCA</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31077-2021</t>
        </is>
      </c>
      <c r="B4424" s="1" t="n">
        <v>44365</v>
      </c>
      <c r="C4424" s="1" t="n">
        <v>45363</v>
      </c>
      <c r="D4424" t="inlineStr">
        <is>
          <t>JÄMTLANDS LÄN</t>
        </is>
      </c>
      <c r="E4424" t="inlineStr">
        <is>
          <t>STRÖMSUND</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31158-2021</t>
        </is>
      </c>
      <c r="B4425" s="1" t="n">
        <v>44368</v>
      </c>
      <c r="C4425" s="1" t="n">
        <v>45363</v>
      </c>
      <c r="D4425" t="inlineStr">
        <is>
          <t>JÄMTLANDS LÄN</t>
        </is>
      </c>
      <c r="E4425" t="inlineStr">
        <is>
          <t>RAGUNDA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31089-2021</t>
        </is>
      </c>
      <c r="B4426" s="1" t="n">
        <v>44368</v>
      </c>
      <c r="C4426" s="1" t="n">
        <v>45363</v>
      </c>
      <c r="D4426" t="inlineStr">
        <is>
          <t>JÄMTLANDS LÄN</t>
        </is>
      </c>
      <c r="E4426" t="inlineStr">
        <is>
          <t>STRÖMSUND</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31093-2021</t>
        </is>
      </c>
      <c r="B4427" s="1" t="n">
        <v>44368</v>
      </c>
      <c r="C4427" s="1" t="n">
        <v>45363</v>
      </c>
      <c r="D4427" t="inlineStr">
        <is>
          <t>JÄMTLANDS LÄN</t>
        </is>
      </c>
      <c r="E4427" t="inlineStr">
        <is>
          <t>BRÄCKE</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31040-2021</t>
        </is>
      </c>
      <c r="B4428" s="1" t="n">
        <v>44368</v>
      </c>
      <c r="C4428" s="1" t="n">
        <v>45363</v>
      </c>
      <c r="D4428" t="inlineStr">
        <is>
          <t>JÄMTLANDS LÄN</t>
        </is>
      </c>
      <c r="E4428" t="inlineStr">
        <is>
          <t>ÖSTERSUND</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31212-2021</t>
        </is>
      </c>
      <c r="B4429" s="1" t="n">
        <v>44368</v>
      </c>
      <c r="C4429" s="1" t="n">
        <v>45363</v>
      </c>
      <c r="D4429" t="inlineStr">
        <is>
          <t>JÄMTLANDS LÄN</t>
        </is>
      </c>
      <c r="E4429" t="inlineStr">
        <is>
          <t>HÄRJEDALEN</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31342-2021</t>
        </is>
      </c>
      <c r="B4430" s="1" t="n">
        <v>44369</v>
      </c>
      <c r="C4430" s="1" t="n">
        <v>45363</v>
      </c>
      <c r="D4430" t="inlineStr">
        <is>
          <t>JÄMTLANDS LÄN</t>
        </is>
      </c>
      <c r="E4430" t="inlineStr">
        <is>
          <t>BRÄCKE</t>
        </is>
      </c>
      <c r="F4430" t="inlineStr">
        <is>
          <t>SCA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33787-2021</t>
        </is>
      </c>
      <c r="B4431" s="1" t="n">
        <v>44368</v>
      </c>
      <c r="C4431" s="1" t="n">
        <v>45363</v>
      </c>
      <c r="D4431" t="inlineStr">
        <is>
          <t>JÄMTLANDS LÄN</t>
        </is>
      </c>
      <c r="E4431" t="inlineStr">
        <is>
          <t>STRÖMSUND</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31388-2021</t>
        </is>
      </c>
      <c r="B4432" s="1" t="n">
        <v>44369</v>
      </c>
      <c r="C4432" s="1" t="n">
        <v>45363</v>
      </c>
      <c r="D4432" t="inlineStr">
        <is>
          <t>JÄMTLANDS LÄN</t>
        </is>
      </c>
      <c r="E4432" t="inlineStr">
        <is>
          <t>ÅRE</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31467-2021</t>
        </is>
      </c>
      <c r="B4433" s="1" t="n">
        <v>44369</v>
      </c>
      <c r="C4433" s="1" t="n">
        <v>45363</v>
      </c>
      <c r="D4433" t="inlineStr">
        <is>
          <t>JÄMTLANDS LÄN</t>
        </is>
      </c>
      <c r="E4433" t="inlineStr">
        <is>
          <t>KROKOM</t>
        </is>
      </c>
      <c r="G4433" t="n">
        <v>24.7</v>
      </c>
      <c r="H4433" t="n">
        <v>0</v>
      </c>
      <c r="I4433" t="n">
        <v>0</v>
      </c>
      <c r="J4433" t="n">
        <v>0</v>
      </c>
      <c r="K4433" t="n">
        <v>0</v>
      </c>
      <c r="L4433" t="n">
        <v>0</v>
      </c>
      <c r="M4433" t="n">
        <v>0</v>
      </c>
      <c r="N4433" t="n">
        <v>0</v>
      </c>
      <c r="O4433" t="n">
        <v>0</v>
      </c>
      <c r="P4433" t="n">
        <v>0</v>
      </c>
      <c r="Q4433" t="n">
        <v>0</v>
      </c>
      <c r="R4433" s="2" t="inlineStr"/>
    </row>
    <row r="4434" ht="15" customHeight="1">
      <c r="A4434" t="inlineStr">
        <is>
          <t>A 31739-2021</t>
        </is>
      </c>
      <c r="B4434" s="1" t="n">
        <v>44369</v>
      </c>
      <c r="C4434" s="1" t="n">
        <v>45363</v>
      </c>
      <c r="D4434" t="inlineStr">
        <is>
          <t>JÄMTLANDS LÄN</t>
        </is>
      </c>
      <c r="E4434" t="inlineStr">
        <is>
          <t>STRÖMSUND</t>
        </is>
      </c>
      <c r="F4434" t="inlineStr">
        <is>
          <t>SCA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31727-2021</t>
        </is>
      </c>
      <c r="B4435" s="1" t="n">
        <v>44370</v>
      </c>
      <c r="C4435" s="1" t="n">
        <v>45363</v>
      </c>
      <c r="D4435" t="inlineStr">
        <is>
          <t>JÄMTLANDS LÄN</t>
        </is>
      </c>
      <c r="E4435" t="inlineStr">
        <is>
          <t>RAGUNDA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31740-2021</t>
        </is>
      </c>
      <c r="B4436" s="1" t="n">
        <v>44370</v>
      </c>
      <c r="C4436" s="1" t="n">
        <v>45363</v>
      </c>
      <c r="D4436" t="inlineStr">
        <is>
          <t>JÄMTLANDS LÄN</t>
        </is>
      </c>
      <c r="E4436" t="inlineStr">
        <is>
          <t>STRÖMSUND</t>
        </is>
      </c>
      <c r="F4436" t="inlineStr">
        <is>
          <t>SCA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31858-2021</t>
        </is>
      </c>
      <c r="B4437" s="1" t="n">
        <v>44370</v>
      </c>
      <c r="C4437" s="1" t="n">
        <v>45363</v>
      </c>
      <c r="D4437" t="inlineStr">
        <is>
          <t>JÄMTLANDS LÄN</t>
        </is>
      </c>
      <c r="E4437" t="inlineStr">
        <is>
          <t>KROKOM</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31905-2021</t>
        </is>
      </c>
      <c r="B4438" s="1" t="n">
        <v>44370</v>
      </c>
      <c r="C4438" s="1" t="n">
        <v>45363</v>
      </c>
      <c r="D4438" t="inlineStr">
        <is>
          <t>JÄMTLANDS LÄN</t>
        </is>
      </c>
      <c r="E4438" t="inlineStr">
        <is>
          <t>KROKOM</t>
        </is>
      </c>
      <c r="G4438" t="n">
        <v>12.9</v>
      </c>
      <c r="H4438" t="n">
        <v>0</v>
      </c>
      <c r="I4438" t="n">
        <v>0</v>
      </c>
      <c r="J4438" t="n">
        <v>0</v>
      </c>
      <c r="K4438" t="n">
        <v>0</v>
      </c>
      <c r="L4438" t="n">
        <v>0</v>
      </c>
      <c r="M4438" t="n">
        <v>0</v>
      </c>
      <c r="N4438" t="n">
        <v>0</v>
      </c>
      <c r="O4438" t="n">
        <v>0</v>
      </c>
      <c r="P4438" t="n">
        <v>0</v>
      </c>
      <c r="Q4438" t="n">
        <v>0</v>
      </c>
      <c r="R4438" s="2" t="inlineStr"/>
    </row>
    <row r="4439" ht="15" customHeight="1">
      <c r="A4439" t="inlineStr">
        <is>
          <t>A 32101-2021</t>
        </is>
      </c>
      <c r="B4439" s="1" t="n">
        <v>44371</v>
      </c>
      <c r="C4439" s="1" t="n">
        <v>45363</v>
      </c>
      <c r="D4439" t="inlineStr">
        <is>
          <t>JÄMTLANDS LÄN</t>
        </is>
      </c>
      <c r="E4439" t="inlineStr">
        <is>
          <t>BRÄCKE</t>
        </is>
      </c>
      <c r="F4439" t="inlineStr">
        <is>
          <t>SCA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32359-2021</t>
        </is>
      </c>
      <c r="B4440" s="1" t="n">
        <v>44371</v>
      </c>
      <c r="C4440" s="1" t="n">
        <v>45363</v>
      </c>
      <c r="D4440" t="inlineStr">
        <is>
          <t>JÄMTLANDS LÄN</t>
        </is>
      </c>
      <c r="E4440" t="inlineStr">
        <is>
          <t>STRÖMSUND</t>
        </is>
      </c>
      <c r="F4440" t="inlineStr">
        <is>
          <t>SCA</t>
        </is>
      </c>
      <c r="G4440" t="n">
        <v>8.699999999999999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32241-2021</t>
        </is>
      </c>
      <c r="B4441" s="1" t="n">
        <v>44371</v>
      </c>
      <c r="C4441" s="1" t="n">
        <v>45363</v>
      </c>
      <c r="D4441" t="inlineStr">
        <is>
          <t>JÄMTLANDS LÄN</t>
        </is>
      </c>
      <c r="E4441" t="inlineStr">
        <is>
          <t>ÅRE</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32259-2021</t>
        </is>
      </c>
      <c r="B4442" s="1" t="n">
        <v>44371</v>
      </c>
      <c r="C4442" s="1" t="n">
        <v>45363</v>
      </c>
      <c r="D4442" t="inlineStr">
        <is>
          <t>JÄMTLANDS LÄN</t>
        </is>
      </c>
      <c r="E4442" t="inlineStr">
        <is>
          <t>STRÖMSUND</t>
        </is>
      </c>
      <c r="F4442" t="inlineStr">
        <is>
          <t>SCA</t>
        </is>
      </c>
      <c r="G4442" t="n">
        <v>22.4</v>
      </c>
      <c r="H4442" t="n">
        <v>0</v>
      </c>
      <c r="I4442" t="n">
        <v>0</v>
      </c>
      <c r="J4442" t="n">
        <v>0</v>
      </c>
      <c r="K4442" t="n">
        <v>0</v>
      </c>
      <c r="L4442" t="n">
        <v>0</v>
      </c>
      <c r="M4442" t="n">
        <v>0</v>
      </c>
      <c r="N4442" t="n">
        <v>0</v>
      </c>
      <c r="O4442" t="n">
        <v>0</v>
      </c>
      <c r="P4442" t="n">
        <v>0</v>
      </c>
      <c r="Q4442" t="n">
        <v>0</v>
      </c>
      <c r="R4442" s="2" t="inlineStr"/>
    </row>
    <row r="4443" ht="15" customHeight="1">
      <c r="A4443" t="inlineStr">
        <is>
          <t>A 32471-2021</t>
        </is>
      </c>
      <c r="B4443" s="1" t="n">
        <v>44371</v>
      </c>
      <c r="C4443" s="1" t="n">
        <v>45363</v>
      </c>
      <c r="D4443" t="inlineStr">
        <is>
          <t>JÄMTLANDS LÄN</t>
        </is>
      </c>
      <c r="E4443" t="inlineStr">
        <is>
          <t>BRÄCKE</t>
        </is>
      </c>
      <c r="F4443" t="inlineStr">
        <is>
          <t>SCA</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32472-2021</t>
        </is>
      </c>
      <c r="B4444" s="1" t="n">
        <v>44371</v>
      </c>
      <c r="C4444" s="1" t="n">
        <v>45363</v>
      </c>
      <c r="D4444" t="inlineStr">
        <is>
          <t>JÄMTLANDS LÄN</t>
        </is>
      </c>
      <c r="E4444" t="inlineStr">
        <is>
          <t>KROKOM</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32460-2021</t>
        </is>
      </c>
      <c r="B4445" s="1" t="n">
        <v>44371</v>
      </c>
      <c r="C4445" s="1" t="n">
        <v>45363</v>
      </c>
      <c r="D4445" t="inlineStr">
        <is>
          <t>JÄMTLANDS LÄN</t>
        </is>
      </c>
      <c r="E4445" t="inlineStr">
        <is>
          <t>STRÖMSUND</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32465-2021</t>
        </is>
      </c>
      <c r="B4446" s="1" t="n">
        <v>44371</v>
      </c>
      <c r="C4446" s="1" t="n">
        <v>45363</v>
      </c>
      <c r="D4446" t="inlineStr">
        <is>
          <t>JÄMTLANDS LÄN</t>
        </is>
      </c>
      <c r="E4446" t="inlineStr">
        <is>
          <t>STRÖMSUND</t>
        </is>
      </c>
      <c r="F4446" t="inlineStr">
        <is>
          <t>SCA</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32536-2021</t>
        </is>
      </c>
      <c r="B4447" s="1" t="n">
        <v>44374</v>
      </c>
      <c r="C4447" s="1" t="n">
        <v>45363</v>
      </c>
      <c r="D4447" t="inlineStr">
        <is>
          <t>JÄMTLANDS LÄN</t>
        </is>
      </c>
      <c r="E4447" t="inlineStr">
        <is>
          <t>STRÖMSUND</t>
        </is>
      </c>
      <c r="F4447" t="inlineStr">
        <is>
          <t>SCA</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32531-2021</t>
        </is>
      </c>
      <c r="B4448" s="1" t="n">
        <v>44375</v>
      </c>
      <c r="C4448" s="1" t="n">
        <v>45363</v>
      </c>
      <c r="D4448" t="inlineStr">
        <is>
          <t>JÄMTLANDS LÄN</t>
        </is>
      </c>
      <c r="E4448" t="inlineStr">
        <is>
          <t>STRÖMSUND</t>
        </is>
      </c>
      <c r="F4448" t="inlineStr">
        <is>
          <t>SCA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32539-2021</t>
        </is>
      </c>
      <c r="B4449" s="1" t="n">
        <v>44375</v>
      </c>
      <c r="C4449" s="1" t="n">
        <v>45363</v>
      </c>
      <c r="D4449" t="inlineStr">
        <is>
          <t>JÄMTLANDS LÄN</t>
        </is>
      </c>
      <c r="E4449" t="inlineStr">
        <is>
          <t>STRÖMSUND</t>
        </is>
      </c>
      <c r="F4449" t="inlineStr">
        <is>
          <t>SCA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32533-2021</t>
        </is>
      </c>
      <c r="B4450" s="1" t="n">
        <v>44375</v>
      </c>
      <c r="C4450" s="1" t="n">
        <v>45363</v>
      </c>
      <c r="D4450" t="inlineStr">
        <is>
          <t>JÄMTLANDS LÄN</t>
        </is>
      </c>
      <c r="E4450" t="inlineStr">
        <is>
          <t>STRÖMSUND</t>
        </is>
      </c>
      <c r="F4450" t="inlineStr">
        <is>
          <t>SCA</t>
        </is>
      </c>
      <c r="G4450" t="n">
        <v>6.9</v>
      </c>
      <c r="H4450" t="n">
        <v>0</v>
      </c>
      <c r="I4450" t="n">
        <v>0</v>
      </c>
      <c r="J4450" t="n">
        <v>0</v>
      </c>
      <c r="K4450" t="n">
        <v>0</v>
      </c>
      <c r="L4450" t="n">
        <v>0</v>
      </c>
      <c r="M4450" t="n">
        <v>0</v>
      </c>
      <c r="N4450" t="n">
        <v>0</v>
      </c>
      <c r="O4450" t="n">
        <v>0</v>
      </c>
      <c r="P4450" t="n">
        <v>0</v>
      </c>
      <c r="Q4450" t="n">
        <v>0</v>
      </c>
      <c r="R4450" s="2" t="inlineStr"/>
    </row>
    <row r="4451" ht="15" customHeight="1">
      <c r="A4451" t="inlineStr">
        <is>
          <t>A 32538-2021</t>
        </is>
      </c>
      <c r="B4451" s="1" t="n">
        <v>44374</v>
      </c>
      <c r="C4451" s="1" t="n">
        <v>45363</v>
      </c>
      <c r="D4451" t="inlineStr">
        <is>
          <t>JÄMTLANDS LÄN</t>
        </is>
      </c>
      <c r="E4451" t="inlineStr">
        <is>
          <t>STRÖMSUND</t>
        </is>
      </c>
      <c r="F4451" t="inlineStr">
        <is>
          <t>SCA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32693-2021</t>
        </is>
      </c>
      <c r="B4452" s="1" t="n">
        <v>44375</v>
      </c>
      <c r="C4452" s="1" t="n">
        <v>45363</v>
      </c>
      <c r="D4452" t="inlineStr">
        <is>
          <t>JÄMTLANDS LÄN</t>
        </is>
      </c>
      <c r="E4452" t="inlineStr">
        <is>
          <t>KROKOM</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32832-2021</t>
        </is>
      </c>
      <c r="B4453" s="1" t="n">
        <v>44375</v>
      </c>
      <c r="C4453" s="1" t="n">
        <v>45363</v>
      </c>
      <c r="D4453" t="inlineStr">
        <is>
          <t>JÄMTLANDS LÄN</t>
        </is>
      </c>
      <c r="E4453" t="inlineStr">
        <is>
          <t>RAGUNDA</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32994-2021</t>
        </is>
      </c>
      <c r="B4454" s="1" t="n">
        <v>44375</v>
      </c>
      <c r="C4454" s="1" t="n">
        <v>45363</v>
      </c>
      <c r="D4454" t="inlineStr">
        <is>
          <t>JÄMTLANDS LÄN</t>
        </is>
      </c>
      <c r="E4454" t="inlineStr">
        <is>
          <t>ÖSTERSUND</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33004-2021</t>
        </is>
      </c>
      <c r="B4455" s="1" t="n">
        <v>44375</v>
      </c>
      <c r="C4455" s="1" t="n">
        <v>45363</v>
      </c>
      <c r="D4455" t="inlineStr">
        <is>
          <t>JÄMTLANDS LÄN</t>
        </is>
      </c>
      <c r="E4455" t="inlineStr">
        <is>
          <t>ÖSTERSUND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32998-2021</t>
        </is>
      </c>
      <c r="B4456" s="1" t="n">
        <v>44375</v>
      </c>
      <c r="C4456" s="1" t="n">
        <v>45363</v>
      </c>
      <c r="D4456" t="inlineStr">
        <is>
          <t>JÄMTLANDS LÄN</t>
        </is>
      </c>
      <c r="E4456" t="inlineStr">
        <is>
          <t>ÖSTERSUND</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32986-2021</t>
        </is>
      </c>
      <c r="B4457" s="1" t="n">
        <v>44375</v>
      </c>
      <c r="C4457" s="1" t="n">
        <v>45363</v>
      </c>
      <c r="D4457" t="inlineStr">
        <is>
          <t>JÄMTLANDS LÄN</t>
        </is>
      </c>
      <c r="E4457" t="inlineStr">
        <is>
          <t>ÖSTERSUND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33002-2021</t>
        </is>
      </c>
      <c r="B4458" s="1" t="n">
        <v>44375</v>
      </c>
      <c r="C4458" s="1" t="n">
        <v>45363</v>
      </c>
      <c r="D4458" t="inlineStr">
        <is>
          <t>JÄMTLANDS LÄN</t>
        </is>
      </c>
      <c r="E4458" t="inlineStr">
        <is>
          <t>ÖSTERSUND</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32990-2021</t>
        </is>
      </c>
      <c r="B4459" s="1" t="n">
        <v>44375</v>
      </c>
      <c r="C4459" s="1" t="n">
        <v>45363</v>
      </c>
      <c r="D4459" t="inlineStr">
        <is>
          <t>JÄMTLANDS LÄN</t>
        </is>
      </c>
      <c r="E4459" t="inlineStr">
        <is>
          <t>ÖSTERSUND</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33104-2021</t>
        </is>
      </c>
      <c r="B4460" s="1" t="n">
        <v>44376</v>
      </c>
      <c r="C4460" s="1" t="n">
        <v>45363</v>
      </c>
      <c r="D4460" t="inlineStr">
        <is>
          <t>JÄMTLANDS LÄN</t>
        </is>
      </c>
      <c r="E4460" t="inlineStr">
        <is>
          <t>STRÖMSUND</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33189-2021</t>
        </is>
      </c>
      <c r="B4461" s="1" t="n">
        <v>44376</v>
      </c>
      <c r="C4461" s="1" t="n">
        <v>45363</v>
      </c>
      <c r="D4461" t="inlineStr">
        <is>
          <t>JÄMTLANDS LÄN</t>
        </is>
      </c>
      <c r="E4461" t="inlineStr">
        <is>
          <t>KROKOM</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33223-2021</t>
        </is>
      </c>
      <c r="B4462" s="1" t="n">
        <v>44377</v>
      </c>
      <c r="C4462" s="1" t="n">
        <v>45363</v>
      </c>
      <c r="D4462" t="inlineStr">
        <is>
          <t>JÄMTLANDS LÄN</t>
        </is>
      </c>
      <c r="E4462" t="inlineStr">
        <is>
          <t>STRÖMSUND</t>
        </is>
      </c>
      <c r="F4462" t="inlineStr">
        <is>
          <t>SCA</t>
        </is>
      </c>
      <c r="G4462" t="n">
        <v>17.8</v>
      </c>
      <c r="H4462" t="n">
        <v>0</v>
      </c>
      <c r="I4462" t="n">
        <v>0</v>
      </c>
      <c r="J4462" t="n">
        <v>0</v>
      </c>
      <c r="K4462" t="n">
        <v>0</v>
      </c>
      <c r="L4462" t="n">
        <v>0</v>
      </c>
      <c r="M4462" t="n">
        <v>0</v>
      </c>
      <c r="N4462" t="n">
        <v>0</v>
      </c>
      <c r="O4462" t="n">
        <v>0</v>
      </c>
      <c r="P4462" t="n">
        <v>0</v>
      </c>
      <c r="Q4462" t="n">
        <v>0</v>
      </c>
      <c r="R4462" s="2" t="inlineStr"/>
    </row>
    <row r="4463" ht="15" customHeight="1">
      <c r="A4463" t="inlineStr">
        <is>
          <t>A 33225-2021</t>
        </is>
      </c>
      <c r="B4463" s="1" t="n">
        <v>44376</v>
      </c>
      <c r="C4463" s="1" t="n">
        <v>45363</v>
      </c>
      <c r="D4463" t="inlineStr">
        <is>
          <t>JÄMTLANDS LÄN</t>
        </is>
      </c>
      <c r="E4463" t="inlineStr">
        <is>
          <t>STRÖMSUND</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33216-2021</t>
        </is>
      </c>
      <c r="B4464" s="1" t="n">
        <v>44376</v>
      </c>
      <c r="C4464" s="1" t="n">
        <v>45363</v>
      </c>
      <c r="D4464" t="inlineStr">
        <is>
          <t>JÄMTLANDS LÄN</t>
        </is>
      </c>
      <c r="E4464" t="inlineStr">
        <is>
          <t>STRÖMSUND</t>
        </is>
      </c>
      <c r="F4464" t="inlineStr">
        <is>
          <t>SCA</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33221-2021</t>
        </is>
      </c>
      <c r="B4465" s="1" t="n">
        <v>44376</v>
      </c>
      <c r="C4465" s="1" t="n">
        <v>45363</v>
      </c>
      <c r="D4465" t="inlineStr">
        <is>
          <t>JÄMTLANDS LÄN</t>
        </is>
      </c>
      <c r="E4465" t="inlineStr">
        <is>
          <t>BRÄCKE</t>
        </is>
      </c>
      <c r="F4465" t="inlineStr">
        <is>
          <t>SCA</t>
        </is>
      </c>
      <c r="G4465" t="n">
        <v>11.4</v>
      </c>
      <c r="H4465" t="n">
        <v>0</v>
      </c>
      <c r="I4465" t="n">
        <v>0</v>
      </c>
      <c r="J4465" t="n">
        <v>0</v>
      </c>
      <c r="K4465" t="n">
        <v>0</v>
      </c>
      <c r="L4465" t="n">
        <v>0</v>
      </c>
      <c r="M4465" t="n">
        <v>0</v>
      </c>
      <c r="N4465" t="n">
        <v>0</v>
      </c>
      <c r="O4465" t="n">
        <v>0</v>
      </c>
      <c r="P4465" t="n">
        <v>0</v>
      </c>
      <c r="Q4465" t="n">
        <v>0</v>
      </c>
      <c r="R4465" s="2" t="inlineStr"/>
    </row>
    <row r="4466" ht="15" customHeight="1">
      <c r="A4466" t="inlineStr">
        <is>
          <t>A 33320-2021</t>
        </is>
      </c>
      <c r="B4466" s="1" t="n">
        <v>44377</v>
      </c>
      <c r="C4466" s="1" t="n">
        <v>45363</v>
      </c>
      <c r="D4466" t="inlineStr">
        <is>
          <t>JÄMTLANDS LÄN</t>
        </is>
      </c>
      <c r="E4466" t="inlineStr">
        <is>
          <t>KROKOM</t>
        </is>
      </c>
      <c r="F4466" t="inlineStr">
        <is>
          <t>Övriga Aktiebolag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33333-2021</t>
        </is>
      </c>
      <c r="B4467" s="1" t="n">
        <v>44377</v>
      </c>
      <c r="C4467" s="1" t="n">
        <v>45363</v>
      </c>
      <c r="D4467" t="inlineStr">
        <is>
          <t>JÄMTLANDS LÄN</t>
        </is>
      </c>
      <c r="E4467" t="inlineStr">
        <is>
          <t>KROKOM</t>
        </is>
      </c>
      <c r="F4467" t="inlineStr">
        <is>
          <t>Övriga Aktiebolag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33347-2021</t>
        </is>
      </c>
      <c r="B4468" s="1" t="n">
        <v>44377</v>
      </c>
      <c r="C4468" s="1" t="n">
        <v>45363</v>
      </c>
      <c r="D4468" t="inlineStr">
        <is>
          <t>JÄMTLANDS LÄN</t>
        </is>
      </c>
      <c r="E4468" t="inlineStr">
        <is>
          <t>KROKOM</t>
        </is>
      </c>
      <c r="F4468" t="inlineStr">
        <is>
          <t>Övriga Aktiebolag</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33364-2021</t>
        </is>
      </c>
      <c r="B4469" s="1" t="n">
        <v>44377</v>
      </c>
      <c r="C4469" s="1" t="n">
        <v>45363</v>
      </c>
      <c r="D4469" t="inlineStr">
        <is>
          <t>JÄMTLANDS LÄN</t>
        </is>
      </c>
      <c r="E4469" t="inlineStr">
        <is>
          <t>KROKOM</t>
        </is>
      </c>
      <c r="F4469" t="inlineStr">
        <is>
          <t>Övriga Aktiebolag</t>
        </is>
      </c>
      <c r="G4469" t="n">
        <v>12.7</v>
      </c>
      <c r="H4469" t="n">
        <v>0</v>
      </c>
      <c r="I4469" t="n">
        <v>0</v>
      </c>
      <c r="J4469" t="n">
        <v>0</v>
      </c>
      <c r="K4469" t="n">
        <v>0</v>
      </c>
      <c r="L4469" t="n">
        <v>0</v>
      </c>
      <c r="M4469" t="n">
        <v>0</v>
      </c>
      <c r="N4469" t="n">
        <v>0</v>
      </c>
      <c r="O4469" t="n">
        <v>0</v>
      </c>
      <c r="P4469" t="n">
        <v>0</v>
      </c>
      <c r="Q4469" t="n">
        <v>0</v>
      </c>
      <c r="R4469" s="2" t="inlineStr"/>
    </row>
    <row r="4470" ht="15" customHeight="1">
      <c r="A4470" t="inlineStr">
        <is>
          <t>A 33424-2021</t>
        </is>
      </c>
      <c r="B4470" s="1" t="n">
        <v>44377</v>
      </c>
      <c r="C4470" s="1" t="n">
        <v>45363</v>
      </c>
      <c r="D4470" t="inlineStr">
        <is>
          <t>JÄMTLANDS LÄN</t>
        </is>
      </c>
      <c r="E4470" t="inlineStr">
        <is>
          <t>HÄRJEDALEN</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33469-2021</t>
        </is>
      </c>
      <c r="B4471" s="1" t="n">
        <v>44377</v>
      </c>
      <c r="C4471" s="1" t="n">
        <v>45363</v>
      </c>
      <c r="D4471" t="inlineStr">
        <is>
          <t>JÄMTLANDS LÄN</t>
        </is>
      </c>
      <c r="E4471" t="inlineStr">
        <is>
          <t>KROKOM</t>
        </is>
      </c>
      <c r="F4471" t="inlineStr">
        <is>
          <t>Övriga Aktiebolag</t>
        </is>
      </c>
      <c r="G4471" t="n">
        <v>19.1</v>
      </c>
      <c r="H4471" t="n">
        <v>0</v>
      </c>
      <c r="I4471" t="n">
        <v>0</v>
      </c>
      <c r="J4471" t="n">
        <v>0</v>
      </c>
      <c r="K4471" t="n">
        <v>0</v>
      </c>
      <c r="L4471" t="n">
        <v>0</v>
      </c>
      <c r="M4471" t="n">
        <v>0</v>
      </c>
      <c r="N4471" t="n">
        <v>0</v>
      </c>
      <c r="O4471" t="n">
        <v>0</v>
      </c>
      <c r="P4471" t="n">
        <v>0</v>
      </c>
      <c r="Q4471" t="n">
        <v>0</v>
      </c>
      <c r="R4471" s="2" t="inlineStr"/>
    </row>
    <row r="4472" ht="15" customHeight="1">
      <c r="A4472" t="inlineStr">
        <is>
          <t>A 33538-2021</t>
        </is>
      </c>
      <c r="B4472" s="1" t="n">
        <v>44377</v>
      </c>
      <c r="C4472" s="1" t="n">
        <v>45363</v>
      </c>
      <c r="D4472" t="inlineStr">
        <is>
          <t>JÄMTLANDS LÄN</t>
        </is>
      </c>
      <c r="E4472" t="inlineStr">
        <is>
          <t>BRÄCKE</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33549-2021</t>
        </is>
      </c>
      <c r="B4473" s="1" t="n">
        <v>44377</v>
      </c>
      <c r="C4473" s="1" t="n">
        <v>45363</v>
      </c>
      <c r="D4473" t="inlineStr">
        <is>
          <t>JÄMTLANDS LÄN</t>
        </is>
      </c>
      <c r="E4473" t="inlineStr">
        <is>
          <t>STRÖMSUND</t>
        </is>
      </c>
      <c r="F4473" t="inlineStr">
        <is>
          <t>SCA</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33562-2021</t>
        </is>
      </c>
      <c r="B4474" s="1" t="n">
        <v>44377</v>
      </c>
      <c r="C4474" s="1" t="n">
        <v>45363</v>
      </c>
      <c r="D4474" t="inlineStr">
        <is>
          <t>JÄMTLANDS LÄN</t>
        </is>
      </c>
      <c r="E4474" t="inlineStr">
        <is>
          <t>STRÖMSUND</t>
        </is>
      </c>
      <c r="F4474" t="inlineStr">
        <is>
          <t>SCA</t>
        </is>
      </c>
      <c r="G4474" t="n">
        <v>10.5</v>
      </c>
      <c r="H4474" t="n">
        <v>0</v>
      </c>
      <c r="I4474" t="n">
        <v>0</v>
      </c>
      <c r="J4474" t="n">
        <v>0</v>
      </c>
      <c r="K4474" t="n">
        <v>0</v>
      </c>
      <c r="L4474" t="n">
        <v>0</v>
      </c>
      <c r="M4474" t="n">
        <v>0</v>
      </c>
      <c r="N4474" t="n">
        <v>0</v>
      </c>
      <c r="O4474" t="n">
        <v>0</v>
      </c>
      <c r="P4474" t="n">
        <v>0</v>
      </c>
      <c r="Q4474" t="n">
        <v>0</v>
      </c>
      <c r="R4474" s="2" t="inlineStr"/>
    </row>
    <row r="4475" ht="15" customHeight="1">
      <c r="A4475" t="inlineStr">
        <is>
          <t>A 33554-2021</t>
        </is>
      </c>
      <c r="B4475" s="1" t="n">
        <v>44377</v>
      </c>
      <c r="C4475" s="1" t="n">
        <v>45363</v>
      </c>
      <c r="D4475" t="inlineStr">
        <is>
          <t>JÄMTLANDS LÄN</t>
        </is>
      </c>
      <c r="E4475" t="inlineStr">
        <is>
          <t>STRÖMSUND</t>
        </is>
      </c>
      <c r="F4475" t="inlineStr">
        <is>
          <t>SCA</t>
        </is>
      </c>
      <c r="G4475" t="n">
        <v>12.9</v>
      </c>
      <c r="H4475" t="n">
        <v>0</v>
      </c>
      <c r="I4475" t="n">
        <v>0</v>
      </c>
      <c r="J4475" t="n">
        <v>0</v>
      </c>
      <c r="K4475" t="n">
        <v>0</v>
      </c>
      <c r="L4475" t="n">
        <v>0</v>
      </c>
      <c r="M4475" t="n">
        <v>0</v>
      </c>
      <c r="N4475" t="n">
        <v>0</v>
      </c>
      <c r="O4475" t="n">
        <v>0</v>
      </c>
      <c r="P4475" t="n">
        <v>0</v>
      </c>
      <c r="Q4475" t="n">
        <v>0</v>
      </c>
      <c r="R4475" s="2" t="inlineStr"/>
    </row>
    <row r="4476" ht="15" customHeight="1">
      <c r="A4476" t="inlineStr">
        <is>
          <t>A 33802-2021</t>
        </is>
      </c>
      <c r="B4476" s="1" t="n">
        <v>44377</v>
      </c>
      <c r="C4476" s="1" t="n">
        <v>45363</v>
      </c>
      <c r="D4476" t="inlineStr">
        <is>
          <t>JÄMTLANDS LÄN</t>
        </is>
      </c>
      <c r="E4476" t="inlineStr">
        <is>
          <t>KROKOM</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33831-2021</t>
        </is>
      </c>
      <c r="B4477" s="1" t="n">
        <v>44378</v>
      </c>
      <c r="C4477" s="1" t="n">
        <v>45363</v>
      </c>
      <c r="D4477" t="inlineStr">
        <is>
          <t>JÄMTLANDS LÄN</t>
        </is>
      </c>
      <c r="E4477" t="inlineStr">
        <is>
          <t>ÖSTERSUND</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33878-2021</t>
        </is>
      </c>
      <c r="B4478" s="1" t="n">
        <v>44378</v>
      </c>
      <c r="C4478" s="1" t="n">
        <v>45363</v>
      </c>
      <c r="D4478" t="inlineStr">
        <is>
          <t>JÄMTLANDS LÄN</t>
        </is>
      </c>
      <c r="E4478" t="inlineStr">
        <is>
          <t>BERG</t>
        </is>
      </c>
      <c r="G4478" t="n">
        <v>6.6</v>
      </c>
      <c r="H4478" t="n">
        <v>0</v>
      </c>
      <c r="I4478" t="n">
        <v>0</v>
      </c>
      <c r="J4478" t="n">
        <v>0</v>
      </c>
      <c r="K4478" t="n">
        <v>0</v>
      </c>
      <c r="L4478" t="n">
        <v>0</v>
      </c>
      <c r="M4478" t="n">
        <v>0</v>
      </c>
      <c r="N4478" t="n">
        <v>0</v>
      </c>
      <c r="O4478" t="n">
        <v>0</v>
      </c>
      <c r="P4478" t="n">
        <v>0</v>
      </c>
      <c r="Q4478" t="n">
        <v>0</v>
      </c>
      <c r="R4478" s="2" t="inlineStr"/>
    </row>
    <row r="4479" ht="15" customHeight="1">
      <c r="A4479" t="inlineStr">
        <is>
          <t>A 34348-2021</t>
        </is>
      </c>
      <c r="B4479" s="1" t="n">
        <v>44379</v>
      </c>
      <c r="C4479" s="1" t="n">
        <v>45363</v>
      </c>
      <c r="D4479" t="inlineStr">
        <is>
          <t>JÄMTLANDS LÄN</t>
        </is>
      </c>
      <c r="E4479" t="inlineStr">
        <is>
          <t>RAGUNDA</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34279-2021</t>
        </is>
      </c>
      <c r="B4480" s="1" t="n">
        <v>44379</v>
      </c>
      <c r="C4480" s="1" t="n">
        <v>45363</v>
      </c>
      <c r="D4480" t="inlineStr">
        <is>
          <t>JÄMTLANDS LÄN</t>
        </is>
      </c>
      <c r="E4480" t="inlineStr">
        <is>
          <t>KROKOM</t>
        </is>
      </c>
      <c r="G4480" t="n">
        <v>8.800000000000001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34289-2021</t>
        </is>
      </c>
      <c r="B4481" s="1" t="n">
        <v>44379</v>
      </c>
      <c r="C4481" s="1" t="n">
        <v>45363</v>
      </c>
      <c r="D4481" t="inlineStr">
        <is>
          <t>JÄMTLANDS LÄN</t>
        </is>
      </c>
      <c r="E4481" t="inlineStr">
        <is>
          <t>KROKOM</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34409-2021</t>
        </is>
      </c>
      <c r="B4482" s="1" t="n">
        <v>44379</v>
      </c>
      <c r="C4482" s="1" t="n">
        <v>45363</v>
      </c>
      <c r="D4482" t="inlineStr">
        <is>
          <t>JÄMTLANDS LÄN</t>
        </is>
      </c>
      <c r="E4482" t="inlineStr">
        <is>
          <t>BRÄCKE</t>
        </is>
      </c>
      <c r="F4482" t="inlineStr">
        <is>
          <t>SCA</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34357-2021</t>
        </is>
      </c>
      <c r="B4483" s="1" t="n">
        <v>44379</v>
      </c>
      <c r="C4483" s="1" t="n">
        <v>45363</v>
      </c>
      <c r="D4483" t="inlineStr">
        <is>
          <t>JÄMTLANDS LÄN</t>
        </is>
      </c>
      <c r="E4483" t="inlineStr">
        <is>
          <t>ÅRE</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34410-2021</t>
        </is>
      </c>
      <c r="B4484" s="1" t="n">
        <v>44380</v>
      </c>
      <c r="C4484" s="1" t="n">
        <v>45363</v>
      </c>
      <c r="D4484" t="inlineStr">
        <is>
          <t>JÄMTLANDS LÄN</t>
        </is>
      </c>
      <c r="E4484" t="inlineStr">
        <is>
          <t>BRÄCKE</t>
        </is>
      </c>
      <c r="F4484" t="inlineStr">
        <is>
          <t>SCA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34453-2021</t>
        </is>
      </c>
      <c r="B4485" s="1" t="n">
        <v>44381</v>
      </c>
      <c r="C4485" s="1" t="n">
        <v>45363</v>
      </c>
      <c r="D4485" t="inlineStr">
        <is>
          <t>JÄMTLANDS LÄN</t>
        </is>
      </c>
      <c r="E4485" t="inlineStr">
        <is>
          <t>HÄRJEDALEN</t>
        </is>
      </c>
      <c r="G4485" t="n">
        <v>12.7</v>
      </c>
      <c r="H4485" t="n">
        <v>0</v>
      </c>
      <c r="I4485" t="n">
        <v>0</v>
      </c>
      <c r="J4485" t="n">
        <v>0</v>
      </c>
      <c r="K4485" t="n">
        <v>0</v>
      </c>
      <c r="L4485" t="n">
        <v>0</v>
      </c>
      <c r="M4485" t="n">
        <v>0</v>
      </c>
      <c r="N4485" t="n">
        <v>0</v>
      </c>
      <c r="O4485" t="n">
        <v>0</v>
      </c>
      <c r="P4485" t="n">
        <v>0</v>
      </c>
      <c r="Q4485" t="n">
        <v>0</v>
      </c>
      <c r="R4485" s="2" t="inlineStr"/>
    </row>
    <row r="4486" ht="15" customHeight="1">
      <c r="A4486" t="inlineStr">
        <is>
          <t>A 34769-2021</t>
        </is>
      </c>
      <c r="B4486" s="1" t="n">
        <v>44383</v>
      </c>
      <c r="C4486" s="1" t="n">
        <v>45363</v>
      </c>
      <c r="D4486" t="inlineStr">
        <is>
          <t>JÄMTLANDS LÄN</t>
        </is>
      </c>
      <c r="E4486" t="inlineStr">
        <is>
          <t>KROKOM</t>
        </is>
      </c>
      <c r="G4486" t="n">
        <v>14.5</v>
      </c>
      <c r="H4486" t="n">
        <v>0</v>
      </c>
      <c r="I4486" t="n">
        <v>0</v>
      </c>
      <c r="J4486" t="n">
        <v>0</v>
      </c>
      <c r="K4486" t="n">
        <v>0</v>
      </c>
      <c r="L4486" t="n">
        <v>0</v>
      </c>
      <c r="M4486" t="n">
        <v>0</v>
      </c>
      <c r="N4486" t="n">
        <v>0</v>
      </c>
      <c r="O4486" t="n">
        <v>0</v>
      </c>
      <c r="P4486" t="n">
        <v>0</v>
      </c>
      <c r="Q4486" t="n">
        <v>0</v>
      </c>
      <c r="R4486" s="2" t="inlineStr"/>
    </row>
    <row r="4487" ht="15" customHeight="1">
      <c r="A4487" t="inlineStr">
        <is>
          <t>A 34873-2021</t>
        </is>
      </c>
      <c r="B4487" s="1" t="n">
        <v>44382</v>
      </c>
      <c r="C4487" s="1" t="n">
        <v>45363</v>
      </c>
      <c r="D4487" t="inlineStr">
        <is>
          <t>JÄMTLANDS LÄN</t>
        </is>
      </c>
      <c r="E4487" t="inlineStr">
        <is>
          <t>BRÄCKE</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35032-2021</t>
        </is>
      </c>
      <c r="B4488" s="1" t="n">
        <v>44383</v>
      </c>
      <c r="C4488" s="1" t="n">
        <v>45363</v>
      </c>
      <c r="D4488" t="inlineStr">
        <is>
          <t>JÄMTLANDS LÄN</t>
        </is>
      </c>
      <c r="E4488" t="inlineStr">
        <is>
          <t>ÖSTERSUND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35061-2021</t>
        </is>
      </c>
      <c r="B4489" s="1" t="n">
        <v>44383</v>
      </c>
      <c r="C4489" s="1" t="n">
        <v>45363</v>
      </c>
      <c r="D4489" t="inlineStr">
        <is>
          <t>JÄMTLANDS LÄN</t>
        </is>
      </c>
      <c r="E4489" t="inlineStr">
        <is>
          <t>STRÖMSUND</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35044-2021</t>
        </is>
      </c>
      <c r="B4490" s="1" t="n">
        <v>44384</v>
      </c>
      <c r="C4490" s="1" t="n">
        <v>45363</v>
      </c>
      <c r="D4490" t="inlineStr">
        <is>
          <t>JÄMTLANDS LÄN</t>
        </is>
      </c>
      <c r="E4490" t="inlineStr">
        <is>
          <t>STRÖMSUND</t>
        </is>
      </c>
      <c r="G4490" t="n">
        <v>14.3</v>
      </c>
      <c r="H4490" t="n">
        <v>0</v>
      </c>
      <c r="I4490" t="n">
        <v>0</v>
      </c>
      <c r="J4490" t="n">
        <v>0</v>
      </c>
      <c r="K4490" t="n">
        <v>0</v>
      </c>
      <c r="L4490" t="n">
        <v>0</v>
      </c>
      <c r="M4490" t="n">
        <v>0</v>
      </c>
      <c r="N4490" t="n">
        <v>0</v>
      </c>
      <c r="O4490" t="n">
        <v>0</v>
      </c>
      <c r="P4490" t="n">
        <v>0</v>
      </c>
      <c r="Q4490" t="n">
        <v>0</v>
      </c>
      <c r="R4490" s="2" t="inlineStr"/>
    </row>
    <row r="4491" ht="15" customHeight="1">
      <c r="A4491" t="inlineStr">
        <is>
          <t>A 35064-2021</t>
        </is>
      </c>
      <c r="B4491" s="1" t="n">
        <v>44383</v>
      </c>
      <c r="C4491" s="1" t="n">
        <v>45363</v>
      </c>
      <c r="D4491" t="inlineStr">
        <is>
          <t>JÄMTLANDS LÄN</t>
        </is>
      </c>
      <c r="E4491" t="inlineStr">
        <is>
          <t>STRÖMSUND</t>
        </is>
      </c>
      <c r="F4491" t="inlineStr">
        <is>
          <t>SCA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35194-2021</t>
        </is>
      </c>
      <c r="B4492" s="1" t="n">
        <v>44384</v>
      </c>
      <c r="C4492" s="1" t="n">
        <v>45363</v>
      </c>
      <c r="D4492" t="inlineStr">
        <is>
          <t>JÄMTLANDS LÄN</t>
        </is>
      </c>
      <c r="E4492" t="inlineStr">
        <is>
          <t>HÄRJEDALEN</t>
        </is>
      </c>
      <c r="G4492" t="n">
        <v>46.4</v>
      </c>
      <c r="H4492" t="n">
        <v>0</v>
      </c>
      <c r="I4492" t="n">
        <v>0</v>
      </c>
      <c r="J4492" t="n">
        <v>0</v>
      </c>
      <c r="K4492" t="n">
        <v>0</v>
      </c>
      <c r="L4492" t="n">
        <v>0</v>
      </c>
      <c r="M4492" t="n">
        <v>0</v>
      </c>
      <c r="N4492" t="n">
        <v>0</v>
      </c>
      <c r="O4492" t="n">
        <v>0</v>
      </c>
      <c r="P4492" t="n">
        <v>0</v>
      </c>
      <c r="Q4492" t="n">
        <v>0</v>
      </c>
      <c r="R4492" s="2" t="inlineStr"/>
    </row>
    <row r="4493" ht="15" customHeight="1">
      <c r="A4493" t="inlineStr">
        <is>
          <t>A 35244-2021</t>
        </is>
      </c>
      <c r="B4493" s="1" t="n">
        <v>44384</v>
      </c>
      <c r="C4493" s="1" t="n">
        <v>45363</v>
      </c>
      <c r="D4493" t="inlineStr">
        <is>
          <t>JÄMTLANDS LÄN</t>
        </is>
      </c>
      <c r="E4493" t="inlineStr">
        <is>
          <t>BRÄCKE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35252-2021</t>
        </is>
      </c>
      <c r="B4494" s="1" t="n">
        <v>44384</v>
      </c>
      <c r="C4494" s="1" t="n">
        <v>45363</v>
      </c>
      <c r="D4494" t="inlineStr">
        <is>
          <t>JÄMTLANDS LÄN</t>
        </is>
      </c>
      <c r="E4494" t="inlineStr">
        <is>
          <t>BRÄCKE</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35308-2021</t>
        </is>
      </c>
      <c r="B4495" s="1" t="n">
        <v>44384</v>
      </c>
      <c r="C4495" s="1" t="n">
        <v>45363</v>
      </c>
      <c r="D4495" t="inlineStr">
        <is>
          <t>JÄMTLANDS LÄN</t>
        </is>
      </c>
      <c r="E4495" t="inlineStr">
        <is>
          <t>BERG</t>
        </is>
      </c>
      <c r="G4495" t="n">
        <v>2.9</v>
      </c>
      <c r="H4495" t="n">
        <v>0</v>
      </c>
      <c r="I4495" t="n">
        <v>0</v>
      </c>
      <c r="J4495" t="n">
        <v>0</v>
      </c>
      <c r="K4495" t="n">
        <v>0</v>
      </c>
      <c r="L4495" t="n">
        <v>0</v>
      </c>
      <c r="M4495" t="n">
        <v>0</v>
      </c>
      <c r="N4495" t="n">
        <v>0</v>
      </c>
      <c r="O4495" t="n">
        <v>0</v>
      </c>
      <c r="P4495" t="n">
        <v>0</v>
      </c>
      <c r="Q4495" t="n">
        <v>0</v>
      </c>
      <c r="R4495" s="2" t="inlineStr"/>
      <c r="U4495">
        <f>HYPERLINK("https://klasma.github.io/Logging_2326/knärot/A 35308-2021 karta knärot.png", "A 35308-2021")</f>
        <v/>
      </c>
      <c r="V4495">
        <f>HYPERLINK("https://klasma.github.io/Logging_2326/klagomål/A 35308-2021 FSC-klagomål.docx", "A 35308-2021")</f>
        <v/>
      </c>
      <c r="W4495">
        <f>HYPERLINK("https://klasma.github.io/Logging_2326/klagomålsmail/A 35308-2021 FSC-klagomål mail.docx", "A 35308-2021")</f>
        <v/>
      </c>
      <c r="X4495">
        <f>HYPERLINK("https://klasma.github.io/Logging_2326/tillsyn/A 35308-2021 tillsynsbegäran.docx", "A 35308-2021")</f>
        <v/>
      </c>
      <c r="Y4495">
        <f>HYPERLINK("https://klasma.github.io/Logging_2326/tillsynsmail/A 35308-2021 tillsynsbegäran mail.docx", "A 35308-2021")</f>
        <v/>
      </c>
    </row>
    <row r="4496" ht="15" customHeight="1">
      <c r="A4496" t="inlineStr">
        <is>
          <t>A 35342-2021</t>
        </is>
      </c>
      <c r="B4496" s="1" t="n">
        <v>44385</v>
      </c>
      <c r="C4496" s="1" t="n">
        <v>45363</v>
      </c>
      <c r="D4496" t="inlineStr">
        <is>
          <t>JÄMTLANDS LÄN</t>
        </is>
      </c>
      <c r="E4496" t="inlineStr">
        <is>
          <t>STRÖMSUND</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35352-2021</t>
        </is>
      </c>
      <c r="B4497" s="1" t="n">
        <v>44384</v>
      </c>
      <c r="C4497" s="1" t="n">
        <v>45363</v>
      </c>
      <c r="D4497" t="inlineStr">
        <is>
          <t>JÄMTLANDS LÄN</t>
        </is>
      </c>
      <c r="E4497" t="inlineStr">
        <is>
          <t>STRÖMSUND</t>
        </is>
      </c>
      <c r="F4497" t="inlineStr">
        <is>
          <t>SCA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35537-2021</t>
        </is>
      </c>
      <c r="B4498" s="1" t="n">
        <v>44384</v>
      </c>
      <c r="C4498" s="1" t="n">
        <v>45363</v>
      </c>
      <c r="D4498" t="inlineStr">
        <is>
          <t>JÄMTLANDS LÄN</t>
        </is>
      </c>
      <c r="E4498" t="inlineStr">
        <is>
          <t>RAGUNDA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35532-2021</t>
        </is>
      </c>
      <c r="B4499" s="1" t="n">
        <v>44385</v>
      </c>
      <c r="C4499" s="1" t="n">
        <v>45363</v>
      </c>
      <c r="D4499" t="inlineStr">
        <is>
          <t>JÄMTLANDS LÄN</t>
        </is>
      </c>
      <c r="E4499" t="inlineStr">
        <is>
          <t>HÄRJEDALEN</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35565-2021</t>
        </is>
      </c>
      <c r="B4500" s="1" t="n">
        <v>44386</v>
      </c>
      <c r="C4500" s="1" t="n">
        <v>45363</v>
      </c>
      <c r="D4500" t="inlineStr">
        <is>
          <t>JÄMTLANDS LÄN</t>
        </is>
      </c>
      <c r="E4500" t="inlineStr">
        <is>
          <t>STRÖMSUND</t>
        </is>
      </c>
      <c r="F4500" t="inlineStr">
        <is>
          <t>SCA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35522-2021</t>
        </is>
      </c>
      <c r="B4501" s="1" t="n">
        <v>44385</v>
      </c>
      <c r="C4501" s="1" t="n">
        <v>45363</v>
      </c>
      <c r="D4501" t="inlineStr">
        <is>
          <t>JÄMTLANDS LÄN</t>
        </is>
      </c>
      <c r="E4501" t="inlineStr">
        <is>
          <t>STRÖMSUND</t>
        </is>
      </c>
      <c r="F4501" t="inlineStr">
        <is>
          <t>Holmen skog AB</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35564-2021</t>
        </is>
      </c>
      <c r="B4502" s="1" t="n">
        <v>44386</v>
      </c>
      <c r="C4502" s="1" t="n">
        <v>45363</v>
      </c>
      <c r="D4502" t="inlineStr">
        <is>
          <t>JÄMTLANDS LÄN</t>
        </is>
      </c>
      <c r="E4502" t="inlineStr">
        <is>
          <t>BRÄCKE</t>
        </is>
      </c>
      <c r="F4502" t="inlineStr">
        <is>
          <t>SCA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35386-2021</t>
        </is>
      </c>
      <c r="B4503" s="1" t="n">
        <v>44385</v>
      </c>
      <c r="C4503" s="1" t="n">
        <v>45363</v>
      </c>
      <c r="D4503" t="inlineStr">
        <is>
          <t>JÄMTLANDS LÄN</t>
        </is>
      </c>
      <c r="E4503" t="inlineStr">
        <is>
          <t>RAGUNDA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35572-2021</t>
        </is>
      </c>
      <c r="B4504" s="1" t="n">
        <v>44386</v>
      </c>
      <c r="C4504" s="1" t="n">
        <v>45363</v>
      </c>
      <c r="D4504" t="inlineStr">
        <is>
          <t>JÄMTLANDS LÄN</t>
        </is>
      </c>
      <c r="E4504" t="inlineStr">
        <is>
          <t>HÄRJEDALEN</t>
        </is>
      </c>
      <c r="F4504" t="inlineStr">
        <is>
          <t>SCA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35988-2021</t>
        </is>
      </c>
      <c r="B4505" s="1" t="n">
        <v>44385</v>
      </c>
      <c r="C4505" s="1" t="n">
        <v>45363</v>
      </c>
      <c r="D4505" t="inlineStr">
        <is>
          <t>JÄMTLANDS LÄN</t>
        </is>
      </c>
      <c r="E4505" t="inlineStr">
        <is>
          <t>RAGUNDA</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35573-2021</t>
        </is>
      </c>
      <c r="B4506" s="1" t="n">
        <v>44386</v>
      </c>
      <c r="C4506" s="1" t="n">
        <v>45363</v>
      </c>
      <c r="D4506" t="inlineStr">
        <is>
          <t>JÄMTLANDS LÄN</t>
        </is>
      </c>
      <c r="E4506" t="inlineStr">
        <is>
          <t>HÄRJEDALEN</t>
        </is>
      </c>
      <c r="F4506" t="inlineStr">
        <is>
          <t>SCA</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35755-2021</t>
        </is>
      </c>
      <c r="B4507" s="1" t="n">
        <v>44385</v>
      </c>
      <c r="C4507" s="1" t="n">
        <v>45363</v>
      </c>
      <c r="D4507" t="inlineStr">
        <is>
          <t>JÄMTLANDS LÄN</t>
        </is>
      </c>
      <c r="E4507" t="inlineStr">
        <is>
          <t>ÖSTERSUND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35867-2021</t>
        </is>
      </c>
      <c r="B4508" s="1" t="n">
        <v>44387</v>
      </c>
      <c r="C4508" s="1" t="n">
        <v>45363</v>
      </c>
      <c r="D4508" t="inlineStr">
        <is>
          <t>JÄMTLANDS LÄN</t>
        </is>
      </c>
      <c r="E4508" t="inlineStr">
        <is>
          <t>BERG</t>
        </is>
      </c>
      <c r="F4508" t="inlineStr">
        <is>
          <t>SCA</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35916-2021</t>
        </is>
      </c>
      <c r="B4509" s="1" t="n">
        <v>44388</v>
      </c>
      <c r="C4509" s="1" t="n">
        <v>45363</v>
      </c>
      <c r="D4509" t="inlineStr">
        <is>
          <t>JÄMTLANDS LÄN</t>
        </is>
      </c>
      <c r="E4509" t="inlineStr">
        <is>
          <t>STRÖMSUND</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35915-2021</t>
        </is>
      </c>
      <c r="B4510" s="1" t="n">
        <v>44388</v>
      </c>
      <c r="C4510" s="1" t="n">
        <v>45363</v>
      </c>
      <c r="D4510" t="inlineStr">
        <is>
          <t>JÄMTLANDS LÄN</t>
        </is>
      </c>
      <c r="E4510" t="inlineStr">
        <is>
          <t>STRÖMSUND</t>
        </is>
      </c>
      <c r="F4510" t="inlineStr">
        <is>
          <t>SCA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35914-2021</t>
        </is>
      </c>
      <c r="B4511" s="1" t="n">
        <v>44388</v>
      </c>
      <c r="C4511" s="1" t="n">
        <v>45363</v>
      </c>
      <c r="D4511" t="inlineStr">
        <is>
          <t>JÄMTLANDS LÄN</t>
        </is>
      </c>
      <c r="E4511" t="inlineStr">
        <is>
          <t>STRÖMSUND</t>
        </is>
      </c>
      <c r="F4511" t="inlineStr">
        <is>
          <t>SCA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35918-2021</t>
        </is>
      </c>
      <c r="B4512" s="1" t="n">
        <v>44388</v>
      </c>
      <c r="C4512" s="1" t="n">
        <v>45363</v>
      </c>
      <c r="D4512" t="inlineStr">
        <is>
          <t>JÄMTLANDS LÄN</t>
        </is>
      </c>
      <c r="E4512" t="inlineStr">
        <is>
          <t>STRÖMSUND</t>
        </is>
      </c>
      <c r="F4512" t="inlineStr">
        <is>
          <t>SCA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36031-2021</t>
        </is>
      </c>
      <c r="B4513" s="1" t="n">
        <v>44389</v>
      </c>
      <c r="C4513" s="1" t="n">
        <v>45363</v>
      </c>
      <c r="D4513" t="inlineStr">
        <is>
          <t>JÄMTLANDS LÄN</t>
        </is>
      </c>
      <c r="E4513" t="inlineStr">
        <is>
          <t>BERG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36033-2021</t>
        </is>
      </c>
      <c r="B4514" s="1" t="n">
        <v>44389</v>
      </c>
      <c r="C4514" s="1" t="n">
        <v>45363</v>
      </c>
      <c r="D4514" t="inlineStr">
        <is>
          <t>JÄMTLANDS LÄN</t>
        </is>
      </c>
      <c r="E4514" t="inlineStr">
        <is>
          <t>BERG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36176-2021</t>
        </is>
      </c>
      <c r="B4515" s="1" t="n">
        <v>44389</v>
      </c>
      <c r="C4515" s="1" t="n">
        <v>45363</v>
      </c>
      <c r="D4515" t="inlineStr">
        <is>
          <t>JÄMTLANDS LÄN</t>
        </is>
      </c>
      <c r="E4515" t="inlineStr">
        <is>
          <t>STRÖMSUND</t>
        </is>
      </c>
      <c r="F4515" t="inlineStr">
        <is>
          <t>Holmen skog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36079-2021</t>
        </is>
      </c>
      <c r="B4516" s="1" t="n">
        <v>44389</v>
      </c>
      <c r="C4516" s="1" t="n">
        <v>45363</v>
      </c>
      <c r="D4516" t="inlineStr">
        <is>
          <t>JÄMTLANDS LÄN</t>
        </is>
      </c>
      <c r="E4516" t="inlineStr">
        <is>
          <t>KROKOM</t>
        </is>
      </c>
      <c r="F4516" t="inlineStr">
        <is>
          <t>Övriga Aktiebolag</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36227-2021</t>
        </is>
      </c>
      <c r="B4517" s="1" t="n">
        <v>44390</v>
      </c>
      <c r="C4517" s="1" t="n">
        <v>45363</v>
      </c>
      <c r="D4517" t="inlineStr">
        <is>
          <t>JÄMTLANDS LÄN</t>
        </is>
      </c>
      <c r="E4517" t="inlineStr">
        <is>
          <t>RAGUNDA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36228-2021</t>
        </is>
      </c>
      <c r="B4518" s="1" t="n">
        <v>44390</v>
      </c>
      <c r="C4518" s="1" t="n">
        <v>45363</v>
      </c>
      <c r="D4518" t="inlineStr">
        <is>
          <t>JÄMTLANDS LÄN</t>
        </is>
      </c>
      <c r="E4518" t="inlineStr">
        <is>
          <t>RAGUNDA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36235-2021</t>
        </is>
      </c>
      <c r="B4519" s="1" t="n">
        <v>44389</v>
      </c>
      <c r="C4519" s="1" t="n">
        <v>45363</v>
      </c>
      <c r="D4519" t="inlineStr">
        <is>
          <t>JÄMTLANDS LÄN</t>
        </is>
      </c>
      <c r="E4519" t="inlineStr">
        <is>
          <t>HÄRJEDALEN</t>
        </is>
      </c>
      <c r="F4519" t="inlineStr">
        <is>
          <t>SCA</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36230-2021</t>
        </is>
      </c>
      <c r="B4520" s="1" t="n">
        <v>44390</v>
      </c>
      <c r="C4520" s="1" t="n">
        <v>45363</v>
      </c>
      <c r="D4520" t="inlineStr">
        <is>
          <t>JÄMTLANDS LÄN</t>
        </is>
      </c>
      <c r="E4520" t="inlineStr">
        <is>
          <t>RAGUNDA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36248-2021</t>
        </is>
      </c>
      <c r="B4521" s="1" t="n">
        <v>44389</v>
      </c>
      <c r="C4521" s="1" t="n">
        <v>45363</v>
      </c>
      <c r="D4521" t="inlineStr">
        <is>
          <t>JÄMTLANDS LÄN</t>
        </is>
      </c>
      <c r="E4521" t="inlineStr">
        <is>
          <t>KROKOM</t>
        </is>
      </c>
      <c r="G4521" t="n">
        <v>17.1</v>
      </c>
      <c r="H4521" t="n">
        <v>0</v>
      </c>
      <c r="I4521" t="n">
        <v>0</v>
      </c>
      <c r="J4521" t="n">
        <v>0</v>
      </c>
      <c r="K4521" t="n">
        <v>0</v>
      </c>
      <c r="L4521" t="n">
        <v>0</v>
      </c>
      <c r="M4521" t="n">
        <v>0</v>
      </c>
      <c r="N4521" t="n">
        <v>0</v>
      </c>
      <c r="O4521" t="n">
        <v>0</v>
      </c>
      <c r="P4521" t="n">
        <v>0</v>
      </c>
      <c r="Q4521" t="n">
        <v>0</v>
      </c>
      <c r="R4521" s="2" t="inlineStr"/>
    </row>
    <row r="4522" ht="15" customHeight="1">
      <c r="A4522" t="inlineStr">
        <is>
          <t>A 36445-2021</t>
        </is>
      </c>
      <c r="B4522" s="1" t="n">
        <v>44391</v>
      </c>
      <c r="C4522" s="1" t="n">
        <v>45363</v>
      </c>
      <c r="D4522" t="inlineStr">
        <is>
          <t>JÄMTLANDS LÄN</t>
        </is>
      </c>
      <c r="E4522" t="inlineStr">
        <is>
          <t>BRÄCKE</t>
        </is>
      </c>
      <c r="F4522" t="inlineStr">
        <is>
          <t>SCA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36453-2021</t>
        </is>
      </c>
      <c r="B4523" s="1" t="n">
        <v>44391</v>
      </c>
      <c r="C4523" s="1" t="n">
        <v>45363</v>
      </c>
      <c r="D4523" t="inlineStr">
        <is>
          <t>JÄMTLANDS LÄN</t>
        </is>
      </c>
      <c r="E4523" t="inlineStr">
        <is>
          <t>STRÖMSUND</t>
        </is>
      </c>
      <c r="F4523" t="inlineStr">
        <is>
          <t>SCA</t>
        </is>
      </c>
      <c r="G4523" t="n">
        <v>13.1</v>
      </c>
      <c r="H4523" t="n">
        <v>0</v>
      </c>
      <c r="I4523" t="n">
        <v>0</v>
      </c>
      <c r="J4523" t="n">
        <v>0</v>
      </c>
      <c r="K4523" t="n">
        <v>0</v>
      </c>
      <c r="L4523" t="n">
        <v>0</v>
      </c>
      <c r="M4523" t="n">
        <v>0</v>
      </c>
      <c r="N4523" t="n">
        <v>0</v>
      </c>
      <c r="O4523" t="n">
        <v>0</v>
      </c>
      <c r="P4523" t="n">
        <v>0</v>
      </c>
      <c r="Q4523" t="n">
        <v>0</v>
      </c>
      <c r="R4523" s="2" t="inlineStr"/>
    </row>
    <row r="4524" ht="15" customHeight="1">
      <c r="A4524" t="inlineStr">
        <is>
          <t>A 36491-2021</t>
        </is>
      </c>
      <c r="B4524" s="1" t="n">
        <v>44390</v>
      </c>
      <c r="C4524" s="1" t="n">
        <v>45363</v>
      </c>
      <c r="D4524" t="inlineStr">
        <is>
          <t>JÄMTLANDS LÄN</t>
        </is>
      </c>
      <c r="E4524" t="inlineStr">
        <is>
          <t>KROKOM</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36567-2021</t>
        </is>
      </c>
      <c r="B4525" s="1" t="n">
        <v>44391</v>
      </c>
      <c r="C4525" s="1" t="n">
        <v>45363</v>
      </c>
      <c r="D4525" t="inlineStr">
        <is>
          <t>JÄMTLANDS LÄN</t>
        </is>
      </c>
      <c r="E4525" t="inlineStr">
        <is>
          <t>KROKOM</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36577-2021</t>
        </is>
      </c>
      <c r="B4526" s="1" t="n">
        <v>44391</v>
      </c>
      <c r="C4526" s="1" t="n">
        <v>45363</v>
      </c>
      <c r="D4526" t="inlineStr">
        <is>
          <t>JÄMTLANDS LÄN</t>
        </is>
      </c>
      <c r="E4526" t="inlineStr">
        <is>
          <t>KROKOM</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36706-2021</t>
        </is>
      </c>
      <c r="B4527" s="1" t="n">
        <v>44392</v>
      </c>
      <c r="C4527" s="1" t="n">
        <v>45363</v>
      </c>
      <c r="D4527" t="inlineStr">
        <is>
          <t>JÄMTLANDS LÄN</t>
        </is>
      </c>
      <c r="E4527" t="inlineStr">
        <is>
          <t>STRÖMSUND</t>
        </is>
      </c>
      <c r="F4527" t="inlineStr">
        <is>
          <t>Holmen skog AB</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36720-2021</t>
        </is>
      </c>
      <c r="B4528" s="1" t="n">
        <v>44392</v>
      </c>
      <c r="C4528" s="1" t="n">
        <v>45363</v>
      </c>
      <c r="D4528" t="inlineStr">
        <is>
          <t>JÄMTLANDS LÄN</t>
        </is>
      </c>
      <c r="E4528" t="inlineStr">
        <is>
          <t>BERG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36819-2021</t>
        </is>
      </c>
      <c r="B4529" s="1" t="n">
        <v>44392</v>
      </c>
      <c r="C4529" s="1" t="n">
        <v>45363</v>
      </c>
      <c r="D4529" t="inlineStr">
        <is>
          <t>JÄMTLANDS LÄN</t>
        </is>
      </c>
      <c r="E4529" t="inlineStr">
        <is>
          <t>BRÄCKE</t>
        </is>
      </c>
      <c r="F4529" t="inlineStr">
        <is>
          <t>SCA</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36868-2021</t>
        </is>
      </c>
      <c r="B4530" s="1" t="n">
        <v>44393</v>
      </c>
      <c r="C4530" s="1" t="n">
        <v>45363</v>
      </c>
      <c r="D4530" t="inlineStr">
        <is>
          <t>JÄMTLANDS LÄN</t>
        </is>
      </c>
      <c r="E4530" t="inlineStr">
        <is>
          <t>ÅRE</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37047-2021</t>
        </is>
      </c>
      <c r="B4531" s="1" t="n">
        <v>44393</v>
      </c>
      <c r="C4531" s="1" t="n">
        <v>45363</v>
      </c>
      <c r="D4531" t="inlineStr">
        <is>
          <t>JÄMTLANDS LÄN</t>
        </is>
      </c>
      <c r="E4531" t="inlineStr">
        <is>
          <t>STRÖMSUND</t>
        </is>
      </c>
      <c r="F4531" t="inlineStr">
        <is>
          <t>SCA</t>
        </is>
      </c>
      <c r="G4531" t="n">
        <v>12.3</v>
      </c>
      <c r="H4531" t="n">
        <v>0</v>
      </c>
      <c r="I4531" t="n">
        <v>0</v>
      </c>
      <c r="J4531" t="n">
        <v>0</v>
      </c>
      <c r="K4531" t="n">
        <v>0</v>
      </c>
      <c r="L4531" t="n">
        <v>0</v>
      </c>
      <c r="M4531" t="n">
        <v>0</v>
      </c>
      <c r="N4531" t="n">
        <v>0</v>
      </c>
      <c r="O4531" t="n">
        <v>0</v>
      </c>
      <c r="P4531" t="n">
        <v>0</v>
      </c>
      <c r="Q4531" t="n">
        <v>0</v>
      </c>
      <c r="R4531" s="2" t="inlineStr"/>
    </row>
    <row r="4532" ht="15" customHeight="1">
      <c r="A4532" t="inlineStr">
        <is>
          <t>A 37053-2021</t>
        </is>
      </c>
      <c r="B4532" s="1" t="n">
        <v>44394</v>
      </c>
      <c r="C4532" s="1" t="n">
        <v>45363</v>
      </c>
      <c r="D4532" t="inlineStr">
        <is>
          <t>JÄMTLANDS LÄN</t>
        </is>
      </c>
      <c r="E4532" t="inlineStr">
        <is>
          <t>BRÄCKE</t>
        </is>
      </c>
      <c r="F4532" t="inlineStr">
        <is>
          <t>SCA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37048-2021</t>
        </is>
      </c>
      <c r="B4533" s="1" t="n">
        <v>44394</v>
      </c>
      <c r="C4533" s="1" t="n">
        <v>45363</v>
      </c>
      <c r="D4533" t="inlineStr">
        <is>
          <t>JÄMTLANDS LÄN</t>
        </is>
      </c>
      <c r="E4533" t="inlineStr">
        <is>
          <t>BRÄCKE</t>
        </is>
      </c>
      <c r="F4533" t="inlineStr">
        <is>
          <t>SCA</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37086-2021</t>
        </is>
      </c>
      <c r="B4534" s="1" t="n">
        <v>44395</v>
      </c>
      <c r="C4534" s="1" t="n">
        <v>45363</v>
      </c>
      <c r="D4534" t="inlineStr">
        <is>
          <t>JÄMTLANDS LÄN</t>
        </is>
      </c>
      <c r="E4534" t="inlineStr">
        <is>
          <t>ÅRE</t>
        </is>
      </c>
      <c r="G4534" t="n">
        <v>34.1</v>
      </c>
      <c r="H4534" t="n">
        <v>0</v>
      </c>
      <c r="I4534" t="n">
        <v>0</v>
      </c>
      <c r="J4534" t="n">
        <v>0</v>
      </c>
      <c r="K4534" t="n">
        <v>0</v>
      </c>
      <c r="L4534" t="n">
        <v>0</v>
      </c>
      <c r="M4534" t="n">
        <v>0</v>
      </c>
      <c r="N4534" t="n">
        <v>0</v>
      </c>
      <c r="O4534" t="n">
        <v>0</v>
      </c>
      <c r="P4534" t="n">
        <v>0</v>
      </c>
      <c r="Q4534" t="n">
        <v>0</v>
      </c>
      <c r="R4534" s="2" t="inlineStr"/>
    </row>
    <row r="4535" ht="15" customHeight="1">
      <c r="A4535" t="inlineStr">
        <is>
          <t>A 37156-2021</t>
        </is>
      </c>
      <c r="B4535" s="1" t="n">
        <v>44396</v>
      </c>
      <c r="C4535" s="1" t="n">
        <v>45363</v>
      </c>
      <c r="D4535" t="inlineStr">
        <is>
          <t>JÄMTLANDS LÄN</t>
        </is>
      </c>
      <c r="E4535" t="inlineStr">
        <is>
          <t>ÅRE</t>
        </is>
      </c>
      <c r="G4535" t="n">
        <v>16.5</v>
      </c>
      <c r="H4535" t="n">
        <v>0</v>
      </c>
      <c r="I4535" t="n">
        <v>0</v>
      </c>
      <c r="J4535" t="n">
        <v>0</v>
      </c>
      <c r="K4535" t="n">
        <v>0</v>
      </c>
      <c r="L4535" t="n">
        <v>0</v>
      </c>
      <c r="M4535" t="n">
        <v>0</v>
      </c>
      <c r="N4535" t="n">
        <v>0</v>
      </c>
      <c r="O4535" t="n">
        <v>0</v>
      </c>
      <c r="P4535" t="n">
        <v>0</v>
      </c>
      <c r="Q4535" t="n">
        <v>0</v>
      </c>
      <c r="R4535" s="2" t="inlineStr"/>
    </row>
    <row r="4536" ht="15" customHeight="1">
      <c r="A4536" t="inlineStr">
        <is>
          <t>A 37155-2021</t>
        </is>
      </c>
      <c r="B4536" s="1" t="n">
        <v>44396</v>
      </c>
      <c r="C4536" s="1" t="n">
        <v>45363</v>
      </c>
      <c r="D4536" t="inlineStr">
        <is>
          <t>JÄMTLANDS LÄN</t>
        </is>
      </c>
      <c r="E4536" t="inlineStr">
        <is>
          <t>HÄRJEDALEN</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37227-2021</t>
        </is>
      </c>
      <c r="B4537" s="1" t="n">
        <v>44396</v>
      </c>
      <c r="C4537" s="1" t="n">
        <v>45363</v>
      </c>
      <c r="D4537" t="inlineStr">
        <is>
          <t>JÄMTLANDS LÄN</t>
        </is>
      </c>
      <c r="E4537" t="inlineStr">
        <is>
          <t>RAGUNDA</t>
        </is>
      </c>
      <c r="G4537" t="n">
        <v>10.1</v>
      </c>
      <c r="H4537" t="n">
        <v>0</v>
      </c>
      <c r="I4537" t="n">
        <v>0</v>
      </c>
      <c r="J4537" t="n">
        <v>0</v>
      </c>
      <c r="K4537" t="n">
        <v>0</v>
      </c>
      <c r="L4537" t="n">
        <v>0</v>
      </c>
      <c r="M4537" t="n">
        <v>0</v>
      </c>
      <c r="N4537" t="n">
        <v>0</v>
      </c>
      <c r="O4537" t="n">
        <v>0</v>
      </c>
      <c r="P4537" t="n">
        <v>0</v>
      </c>
      <c r="Q4537" t="n">
        <v>0</v>
      </c>
      <c r="R4537" s="2" t="inlineStr"/>
    </row>
    <row r="4538" ht="15" customHeight="1">
      <c r="A4538" t="inlineStr">
        <is>
          <t>A 37238-2021</t>
        </is>
      </c>
      <c r="B4538" s="1" t="n">
        <v>44397</v>
      </c>
      <c r="C4538" s="1" t="n">
        <v>45363</v>
      </c>
      <c r="D4538" t="inlineStr">
        <is>
          <t>JÄMTLANDS LÄN</t>
        </is>
      </c>
      <c r="E4538" t="inlineStr">
        <is>
          <t>BRÄCKE</t>
        </is>
      </c>
      <c r="F4538" t="inlineStr">
        <is>
          <t>SCA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37229-2021</t>
        </is>
      </c>
      <c r="B4539" s="1" t="n">
        <v>44397</v>
      </c>
      <c r="C4539" s="1" t="n">
        <v>45363</v>
      </c>
      <c r="D4539" t="inlineStr">
        <is>
          <t>JÄMTLANDS LÄN</t>
        </is>
      </c>
      <c r="E4539" t="inlineStr">
        <is>
          <t>STRÖMSUND</t>
        </is>
      </c>
      <c r="F4539" t="inlineStr">
        <is>
          <t>SCA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37307-2021</t>
        </is>
      </c>
      <c r="B4540" s="1" t="n">
        <v>44397</v>
      </c>
      <c r="C4540" s="1" t="n">
        <v>45363</v>
      </c>
      <c r="D4540" t="inlineStr">
        <is>
          <t>JÄMTLANDS LÄN</t>
        </is>
      </c>
      <c r="E4540" t="inlineStr">
        <is>
          <t>BERG</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37373-2021</t>
        </is>
      </c>
      <c r="B4541" s="1" t="n">
        <v>44398</v>
      </c>
      <c r="C4541" s="1" t="n">
        <v>45363</v>
      </c>
      <c r="D4541" t="inlineStr">
        <is>
          <t>JÄMTLANDS LÄN</t>
        </is>
      </c>
      <c r="E4541" t="inlineStr">
        <is>
          <t>STRÖMSUND</t>
        </is>
      </c>
      <c r="F4541" t="inlineStr">
        <is>
          <t>SCA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37370-2021</t>
        </is>
      </c>
      <c r="B4542" s="1" t="n">
        <v>44397</v>
      </c>
      <c r="C4542" s="1" t="n">
        <v>45363</v>
      </c>
      <c r="D4542" t="inlineStr">
        <is>
          <t>JÄMTLANDS LÄN</t>
        </is>
      </c>
      <c r="E4542" t="inlineStr">
        <is>
          <t>STRÖMSUND</t>
        </is>
      </c>
      <c r="F4542" t="inlineStr">
        <is>
          <t>SCA</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37376-2021</t>
        </is>
      </c>
      <c r="B4543" s="1" t="n">
        <v>44397</v>
      </c>
      <c r="C4543" s="1" t="n">
        <v>45363</v>
      </c>
      <c r="D4543" t="inlineStr">
        <is>
          <t>JÄMTLANDS LÄN</t>
        </is>
      </c>
      <c r="E4543" t="inlineStr">
        <is>
          <t>BRÄCKE</t>
        </is>
      </c>
      <c r="F4543" t="inlineStr">
        <is>
          <t>SCA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37371-2021</t>
        </is>
      </c>
      <c r="B4544" s="1" t="n">
        <v>44398</v>
      </c>
      <c r="C4544" s="1" t="n">
        <v>45363</v>
      </c>
      <c r="D4544" t="inlineStr">
        <is>
          <t>JÄMTLANDS LÄN</t>
        </is>
      </c>
      <c r="E4544" t="inlineStr">
        <is>
          <t>STRÖMSUND</t>
        </is>
      </c>
      <c r="F4544" t="inlineStr">
        <is>
          <t>SCA</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37375-2021</t>
        </is>
      </c>
      <c r="B4545" s="1" t="n">
        <v>44397</v>
      </c>
      <c r="C4545" s="1" t="n">
        <v>45363</v>
      </c>
      <c r="D4545" t="inlineStr">
        <is>
          <t>JÄMTLANDS LÄN</t>
        </is>
      </c>
      <c r="E4545" t="inlineStr">
        <is>
          <t>BRÄCKE</t>
        </is>
      </c>
      <c r="F4545" t="inlineStr">
        <is>
          <t>SCA</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37461-2021</t>
        </is>
      </c>
      <c r="B4546" s="1" t="n">
        <v>44398</v>
      </c>
      <c r="C4546" s="1" t="n">
        <v>45363</v>
      </c>
      <c r="D4546" t="inlineStr">
        <is>
          <t>JÄMTLANDS LÄN</t>
        </is>
      </c>
      <c r="E4546" t="inlineStr">
        <is>
          <t>ÅRE</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37479-2021</t>
        </is>
      </c>
      <c r="B4547" s="1" t="n">
        <v>44398</v>
      </c>
      <c r="C4547" s="1" t="n">
        <v>45363</v>
      </c>
      <c r="D4547" t="inlineStr">
        <is>
          <t>JÄMTLANDS LÄN</t>
        </is>
      </c>
      <c r="E4547" t="inlineStr">
        <is>
          <t>BRÄCKE</t>
        </is>
      </c>
      <c r="F4547" t="inlineStr">
        <is>
          <t>SCA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37591-2021</t>
        </is>
      </c>
      <c r="B4548" s="1" t="n">
        <v>44399</v>
      </c>
      <c r="C4548" s="1" t="n">
        <v>45363</v>
      </c>
      <c r="D4548" t="inlineStr">
        <is>
          <t>JÄMTLANDS LÄN</t>
        </is>
      </c>
      <c r="E4548" t="inlineStr">
        <is>
          <t>BERG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37586-2021</t>
        </is>
      </c>
      <c r="B4549" s="1" t="n">
        <v>44399</v>
      </c>
      <c r="C4549" s="1" t="n">
        <v>45363</v>
      </c>
      <c r="D4549" t="inlineStr">
        <is>
          <t>JÄMTLANDS LÄN</t>
        </is>
      </c>
      <c r="E4549" t="inlineStr">
        <is>
          <t>BERG</t>
        </is>
      </c>
      <c r="G4549" t="n">
        <v>15.4</v>
      </c>
      <c r="H4549" t="n">
        <v>0</v>
      </c>
      <c r="I4549" t="n">
        <v>0</v>
      </c>
      <c r="J4549" t="n">
        <v>0</v>
      </c>
      <c r="K4549" t="n">
        <v>0</v>
      </c>
      <c r="L4549" t="n">
        <v>0</v>
      </c>
      <c r="M4549" t="n">
        <v>0</v>
      </c>
      <c r="N4549" t="n">
        <v>0</v>
      </c>
      <c r="O4549" t="n">
        <v>0</v>
      </c>
      <c r="P4549" t="n">
        <v>0</v>
      </c>
      <c r="Q4549" t="n">
        <v>0</v>
      </c>
      <c r="R4549" s="2" t="inlineStr"/>
    </row>
    <row r="4550" ht="15" customHeight="1">
      <c r="A4550" t="inlineStr">
        <is>
          <t>A 37589-2021</t>
        </is>
      </c>
      <c r="B4550" s="1" t="n">
        <v>44399</v>
      </c>
      <c r="C4550" s="1" t="n">
        <v>45363</v>
      </c>
      <c r="D4550" t="inlineStr">
        <is>
          <t>JÄMTLANDS LÄN</t>
        </is>
      </c>
      <c r="E4550" t="inlineStr">
        <is>
          <t>BERG</t>
        </is>
      </c>
      <c r="G4550" t="n">
        <v>8.6</v>
      </c>
      <c r="H4550" t="n">
        <v>0</v>
      </c>
      <c r="I4550" t="n">
        <v>0</v>
      </c>
      <c r="J4550" t="n">
        <v>0</v>
      </c>
      <c r="K4550" t="n">
        <v>0</v>
      </c>
      <c r="L4550" t="n">
        <v>0</v>
      </c>
      <c r="M4550" t="n">
        <v>0</v>
      </c>
      <c r="N4550" t="n">
        <v>0</v>
      </c>
      <c r="O4550" t="n">
        <v>0</v>
      </c>
      <c r="P4550" t="n">
        <v>0</v>
      </c>
      <c r="Q4550" t="n">
        <v>0</v>
      </c>
      <c r="R4550" s="2" t="inlineStr"/>
    </row>
    <row r="4551" ht="15" customHeight="1">
      <c r="A4551" t="inlineStr">
        <is>
          <t>A 37588-2021</t>
        </is>
      </c>
      <c r="B4551" s="1" t="n">
        <v>44399</v>
      </c>
      <c r="C4551" s="1" t="n">
        <v>45363</v>
      </c>
      <c r="D4551" t="inlineStr">
        <is>
          <t>JÄMTLANDS LÄN</t>
        </is>
      </c>
      <c r="E4551" t="inlineStr">
        <is>
          <t>BERG</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37641-2021</t>
        </is>
      </c>
      <c r="B4552" s="1" t="n">
        <v>44400</v>
      </c>
      <c r="C4552" s="1" t="n">
        <v>45363</v>
      </c>
      <c r="D4552" t="inlineStr">
        <is>
          <t>JÄMTLANDS LÄN</t>
        </is>
      </c>
      <c r="E4552" t="inlineStr">
        <is>
          <t>KROKOM</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37687-2021</t>
        </is>
      </c>
      <c r="B4553" s="1" t="n">
        <v>44400</v>
      </c>
      <c r="C4553" s="1" t="n">
        <v>45363</v>
      </c>
      <c r="D4553" t="inlineStr">
        <is>
          <t>JÄMTLANDS LÄN</t>
        </is>
      </c>
      <c r="E4553" t="inlineStr">
        <is>
          <t>BERG</t>
        </is>
      </c>
      <c r="F4553" t="inlineStr">
        <is>
          <t>Sveaskog</t>
        </is>
      </c>
      <c r="G4553" t="n">
        <v>15.7</v>
      </c>
      <c r="H4553" t="n">
        <v>0</v>
      </c>
      <c r="I4553" t="n">
        <v>0</v>
      </c>
      <c r="J4553" t="n">
        <v>0</v>
      </c>
      <c r="K4553" t="n">
        <v>0</v>
      </c>
      <c r="L4553" t="n">
        <v>0</v>
      </c>
      <c r="M4553" t="n">
        <v>0</v>
      </c>
      <c r="N4553" t="n">
        <v>0</v>
      </c>
      <c r="O4553" t="n">
        <v>0</v>
      </c>
      <c r="P4553" t="n">
        <v>0</v>
      </c>
      <c r="Q4553" t="n">
        <v>0</v>
      </c>
      <c r="R4553" s="2" t="inlineStr"/>
    </row>
    <row r="4554" ht="15" customHeight="1">
      <c r="A4554" t="inlineStr">
        <is>
          <t>A 37806-2021</t>
        </is>
      </c>
      <c r="B4554" s="1" t="n">
        <v>44402</v>
      </c>
      <c r="C4554" s="1" t="n">
        <v>45363</v>
      </c>
      <c r="D4554" t="inlineStr">
        <is>
          <t>JÄMTLANDS LÄN</t>
        </is>
      </c>
      <c r="E4554" t="inlineStr">
        <is>
          <t>RAGUNDA</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37832-2021</t>
        </is>
      </c>
      <c r="B4555" s="1" t="n">
        <v>44403</v>
      </c>
      <c r="C4555" s="1" t="n">
        <v>45363</v>
      </c>
      <c r="D4555" t="inlineStr">
        <is>
          <t>JÄMTLANDS LÄN</t>
        </is>
      </c>
      <c r="E4555" t="inlineStr">
        <is>
          <t>HÄRJEDALEN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37957-2021</t>
        </is>
      </c>
      <c r="B4556" s="1" t="n">
        <v>44403</v>
      </c>
      <c r="C4556" s="1" t="n">
        <v>45363</v>
      </c>
      <c r="D4556" t="inlineStr">
        <is>
          <t>JÄMTLANDS LÄN</t>
        </is>
      </c>
      <c r="E4556" t="inlineStr">
        <is>
          <t>BRÄCKE</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37825-2021</t>
        </is>
      </c>
      <c r="B4557" s="1" t="n">
        <v>44403</v>
      </c>
      <c r="C4557" s="1" t="n">
        <v>45363</v>
      </c>
      <c r="D4557" t="inlineStr">
        <is>
          <t>JÄMTLANDS LÄN</t>
        </is>
      </c>
      <c r="E4557" t="inlineStr">
        <is>
          <t>HÄRJEDALEN</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38001-2021</t>
        </is>
      </c>
      <c r="B4558" s="1" t="n">
        <v>44404</v>
      </c>
      <c r="C4558" s="1" t="n">
        <v>45363</v>
      </c>
      <c r="D4558" t="inlineStr">
        <is>
          <t>JÄMTLANDS LÄN</t>
        </is>
      </c>
      <c r="E4558" t="inlineStr">
        <is>
          <t>HÄRJEDALEN</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38215-2021</t>
        </is>
      </c>
      <c r="B4559" s="1" t="n">
        <v>44405</v>
      </c>
      <c r="C4559" s="1" t="n">
        <v>45363</v>
      </c>
      <c r="D4559" t="inlineStr">
        <is>
          <t>JÄMTLANDS LÄN</t>
        </is>
      </c>
      <c r="E4559" t="inlineStr">
        <is>
          <t>HÄRJEDALEN</t>
        </is>
      </c>
      <c r="F4559" t="inlineStr">
        <is>
          <t>Övriga Aktiebolag</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38142-2021</t>
        </is>
      </c>
      <c r="B4560" s="1" t="n">
        <v>44405</v>
      </c>
      <c r="C4560" s="1" t="n">
        <v>45363</v>
      </c>
      <c r="D4560" t="inlineStr">
        <is>
          <t>JÄMTLANDS LÄN</t>
        </is>
      </c>
      <c r="E4560" t="inlineStr">
        <is>
          <t>ÖSTERSUND</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38212-2021</t>
        </is>
      </c>
      <c r="B4561" s="1" t="n">
        <v>44405</v>
      </c>
      <c r="C4561" s="1" t="n">
        <v>45363</v>
      </c>
      <c r="D4561" t="inlineStr">
        <is>
          <t>JÄMTLANDS LÄN</t>
        </is>
      </c>
      <c r="E4561" t="inlineStr">
        <is>
          <t>RAGUNDA</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38279-2021</t>
        </is>
      </c>
      <c r="B4562" s="1" t="n">
        <v>44406</v>
      </c>
      <c r="C4562" s="1" t="n">
        <v>45363</v>
      </c>
      <c r="D4562" t="inlineStr">
        <is>
          <t>JÄMTLANDS LÄN</t>
        </is>
      </c>
      <c r="E4562" t="inlineStr">
        <is>
          <t>BRÄCKE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38284-2021</t>
        </is>
      </c>
      <c r="B4563" s="1" t="n">
        <v>44406</v>
      </c>
      <c r="C4563" s="1" t="n">
        <v>45363</v>
      </c>
      <c r="D4563" t="inlineStr">
        <is>
          <t>JÄMTLANDS LÄN</t>
        </is>
      </c>
      <c r="E4563" t="inlineStr">
        <is>
          <t>BRÄCKE</t>
        </is>
      </c>
      <c r="F4563" t="inlineStr">
        <is>
          <t>SCA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38280-2021</t>
        </is>
      </c>
      <c r="B4564" s="1" t="n">
        <v>44405</v>
      </c>
      <c r="C4564" s="1" t="n">
        <v>45363</v>
      </c>
      <c r="D4564" t="inlineStr">
        <is>
          <t>JÄMTLANDS LÄN</t>
        </is>
      </c>
      <c r="E4564" t="inlineStr">
        <is>
          <t>BRÄCKE</t>
        </is>
      </c>
      <c r="F4564" t="inlineStr">
        <is>
          <t>SCA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38285-2021</t>
        </is>
      </c>
      <c r="B4565" s="1" t="n">
        <v>44405</v>
      </c>
      <c r="C4565" s="1" t="n">
        <v>45363</v>
      </c>
      <c r="D4565" t="inlineStr">
        <is>
          <t>JÄMTLANDS LÄN</t>
        </is>
      </c>
      <c r="E4565" t="inlineStr">
        <is>
          <t>BRÄCKE</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38219-2021</t>
        </is>
      </c>
      <c r="B4566" s="1" t="n">
        <v>44405</v>
      </c>
      <c r="C4566" s="1" t="n">
        <v>45363</v>
      </c>
      <c r="D4566" t="inlineStr">
        <is>
          <t>JÄMTLANDS LÄN</t>
        </is>
      </c>
      <c r="E4566" t="inlineStr">
        <is>
          <t>STRÖMSUND</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38270-2021</t>
        </is>
      </c>
      <c r="B4567" s="1" t="n">
        <v>44406</v>
      </c>
      <c r="C4567" s="1" t="n">
        <v>45363</v>
      </c>
      <c r="D4567" t="inlineStr">
        <is>
          <t>JÄMTLANDS LÄN</t>
        </is>
      </c>
      <c r="E4567" t="inlineStr">
        <is>
          <t>RAGUNDA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38269-2021</t>
        </is>
      </c>
      <c r="B4568" s="1" t="n">
        <v>44406</v>
      </c>
      <c r="C4568" s="1" t="n">
        <v>45363</v>
      </c>
      <c r="D4568" t="inlineStr">
        <is>
          <t>JÄMTLANDS LÄN</t>
        </is>
      </c>
      <c r="E4568" t="inlineStr">
        <is>
          <t>RAGUNDA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38281-2021</t>
        </is>
      </c>
      <c r="B4569" s="1" t="n">
        <v>44405</v>
      </c>
      <c r="C4569" s="1" t="n">
        <v>45363</v>
      </c>
      <c r="D4569" t="inlineStr">
        <is>
          <t>JÄMTLANDS LÄN</t>
        </is>
      </c>
      <c r="E4569" t="inlineStr">
        <is>
          <t>BRÄCKE</t>
        </is>
      </c>
      <c r="F4569" t="inlineStr">
        <is>
          <t>SCA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38356-2021</t>
        </is>
      </c>
      <c r="B4570" s="1" t="n">
        <v>44406</v>
      </c>
      <c r="C4570" s="1" t="n">
        <v>45363</v>
      </c>
      <c r="D4570" t="inlineStr">
        <is>
          <t>JÄMTLANDS LÄN</t>
        </is>
      </c>
      <c r="E4570" t="inlineStr">
        <is>
          <t>HÄRJEDALEN</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38424-2021</t>
        </is>
      </c>
      <c r="B4571" s="1" t="n">
        <v>44407</v>
      </c>
      <c r="C4571" s="1" t="n">
        <v>45363</v>
      </c>
      <c r="D4571" t="inlineStr">
        <is>
          <t>JÄMTLANDS LÄN</t>
        </is>
      </c>
      <c r="E4571" t="inlineStr">
        <is>
          <t>BRÄCKE</t>
        </is>
      </c>
      <c r="F4571" t="inlineStr">
        <is>
          <t>SCA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38450-2021</t>
        </is>
      </c>
      <c r="B4572" s="1" t="n">
        <v>44406</v>
      </c>
      <c r="C4572" s="1" t="n">
        <v>45363</v>
      </c>
      <c r="D4572" t="inlineStr">
        <is>
          <t>JÄMTLANDS LÄN</t>
        </is>
      </c>
      <c r="E4572" t="inlineStr">
        <is>
          <t>ÅRE</t>
        </is>
      </c>
      <c r="G4572" t="n">
        <v>8.699999999999999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38456-2021</t>
        </is>
      </c>
      <c r="B4573" s="1" t="n">
        <v>44406</v>
      </c>
      <c r="C4573" s="1" t="n">
        <v>45363</v>
      </c>
      <c r="D4573" t="inlineStr">
        <is>
          <t>JÄMTLANDS LÄN</t>
        </is>
      </c>
      <c r="E4573" t="inlineStr">
        <is>
          <t>ÅRE</t>
        </is>
      </c>
      <c r="G4573" t="n">
        <v>19.8</v>
      </c>
      <c r="H4573" t="n">
        <v>0</v>
      </c>
      <c r="I4573" t="n">
        <v>0</v>
      </c>
      <c r="J4573" t="n">
        <v>0</v>
      </c>
      <c r="K4573" t="n">
        <v>0</v>
      </c>
      <c r="L4573" t="n">
        <v>0</v>
      </c>
      <c r="M4573" t="n">
        <v>0</v>
      </c>
      <c r="N4573" t="n">
        <v>0</v>
      </c>
      <c r="O4573" t="n">
        <v>0</v>
      </c>
      <c r="P4573" t="n">
        <v>0</v>
      </c>
      <c r="Q4573" t="n">
        <v>0</v>
      </c>
      <c r="R4573" s="2" t="inlineStr"/>
    </row>
    <row r="4574" ht="15" customHeight="1">
      <c r="A4574" t="inlineStr">
        <is>
          <t>A 38511-2021</t>
        </is>
      </c>
      <c r="B4574" s="1" t="n">
        <v>44407</v>
      </c>
      <c r="C4574" s="1" t="n">
        <v>45363</v>
      </c>
      <c r="D4574" t="inlineStr">
        <is>
          <t>JÄMTLANDS LÄN</t>
        </is>
      </c>
      <c r="E4574" t="inlineStr">
        <is>
          <t>KROKOM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38583-2021</t>
        </is>
      </c>
      <c r="B4575" s="1" t="n">
        <v>44408</v>
      </c>
      <c r="C4575" s="1" t="n">
        <v>45363</v>
      </c>
      <c r="D4575" t="inlineStr">
        <is>
          <t>JÄMTLANDS LÄN</t>
        </is>
      </c>
      <c r="E4575" t="inlineStr">
        <is>
          <t>STRÖMSUND</t>
        </is>
      </c>
      <c r="F4575" t="inlineStr">
        <is>
          <t>SCA</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38578-2021</t>
        </is>
      </c>
      <c r="B4576" s="1" t="n">
        <v>44407</v>
      </c>
      <c r="C4576" s="1" t="n">
        <v>45363</v>
      </c>
      <c r="D4576" t="inlineStr">
        <is>
          <t>JÄMTLANDS LÄN</t>
        </is>
      </c>
      <c r="E4576" t="inlineStr">
        <is>
          <t>STRÖMSUND</t>
        </is>
      </c>
      <c r="F4576" t="inlineStr">
        <is>
          <t>SCA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38587-2021</t>
        </is>
      </c>
      <c r="B4577" s="1" t="n">
        <v>44408</v>
      </c>
      <c r="C4577" s="1" t="n">
        <v>45363</v>
      </c>
      <c r="D4577" t="inlineStr">
        <is>
          <t>JÄMTLANDS LÄN</t>
        </is>
      </c>
      <c r="E4577" t="inlineStr">
        <is>
          <t>STRÖMSUND</t>
        </is>
      </c>
      <c r="F4577" t="inlineStr">
        <is>
          <t>SCA</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38593-2021</t>
        </is>
      </c>
      <c r="B4578" s="1" t="n">
        <v>44407</v>
      </c>
      <c r="C4578" s="1" t="n">
        <v>45363</v>
      </c>
      <c r="D4578" t="inlineStr">
        <is>
          <t>JÄMTLANDS LÄN</t>
        </is>
      </c>
      <c r="E4578" t="inlineStr">
        <is>
          <t>BRÄCKE</t>
        </is>
      </c>
      <c r="F4578" t="inlineStr">
        <is>
          <t>SCA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38586-2021</t>
        </is>
      </c>
      <c r="B4579" s="1" t="n">
        <v>44407</v>
      </c>
      <c r="C4579" s="1" t="n">
        <v>45363</v>
      </c>
      <c r="D4579" t="inlineStr">
        <is>
          <t>JÄMTLANDS LÄN</t>
        </is>
      </c>
      <c r="E4579" t="inlineStr">
        <is>
          <t>STRÖMSUND</t>
        </is>
      </c>
      <c r="F4579" t="inlineStr">
        <is>
          <t>SCA</t>
        </is>
      </c>
      <c r="G4579" t="n">
        <v>1.4</v>
      </c>
      <c r="H4579" t="n">
        <v>0</v>
      </c>
      <c r="I4579" t="n">
        <v>0</v>
      </c>
      <c r="J4579" t="n">
        <v>0</v>
      </c>
      <c r="K4579" t="n">
        <v>0</v>
      </c>
      <c r="L4579" t="n">
        <v>0</v>
      </c>
      <c r="M4579" t="n">
        <v>0</v>
      </c>
      <c r="N4579" t="n">
        <v>0</v>
      </c>
      <c r="O4579" t="n">
        <v>0</v>
      </c>
      <c r="P4579" t="n">
        <v>0</v>
      </c>
      <c r="Q4579" t="n">
        <v>0</v>
      </c>
      <c r="R4579" s="2" t="inlineStr"/>
      <c r="U4579">
        <f>HYPERLINK("https://klasma.github.io/Logging_2313/knärot/A 38586-2021 karta knärot.png", "A 38586-2021")</f>
        <v/>
      </c>
      <c r="V4579">
        <f>HYPERLINK("https://klasma.github.io/Logging_2313/klagomål/A 38586-2021 FSC-klagomål.docx", "A 38586-2021")</f>
        <v/>
      </c>
      <c r="W4579">
        <f>HYPERLINK("https://klasma.github.io/Logging_2313/klagomålsmail/A 38586-2021 FSC-klagomål mail.docx", "A 38586-2021")</f>
        <v/>
      </c>
      <c r="X4579">
        <f>HYPERLINK("https://klasma.github.io/Logging_2313/tillsyn/A 38586-2021 tillsynsbegäran.docx", "A 38586-2021")</f>
        <v/>
      </c>
      <c r="Y4579">
        <f>HYPERLINK("https://klasma.github.io/Logging_2313/tillsynsmail/A 38586-2021 tillsynsbegäran mail.docx", "A 38586-2021")</f>
        <v/>
      </c>
    </row>
    <row r="4580" ht="15" customHeight="1">
      <c r="A4580" t="inlineStr">
        <is>
          <t>A 38629-2021</t>
        </is>
      </c>
      <c r="B4580" s="1" t="n">
        <v>44410</v>
      </c>
      <c r="C4580" s="1" t="n">
        <v>45363</v>
      </c>
      <c r="D4580" t="inlineStr">
        <is>
          <t>JÄMTLANDS LÄN</t>
        </is>
      </c>
      <c r="E4580" t="inlineStr">
        <is>
          <t>STRÖMSUND</t>
        </is>
      </c>
      <c r="F4580" t="inlineStr">
        <is>
          <t>SCA</t>
        </is>
      </c>
      <c r="G4580" t="n">
        <v>18.3</v>
      </c>
      <c r="H4580" t="n">
        <v>0</v>
      </c>
      <c r="I4580" t="n">
        <v>0</v>
      </c>
      <c r="J4580" t="n">
        <v>0</v>
      </c>
      <c r="K4580" t="n">
        <v>0</v>
      </c>
      <c r="L4580" t="n">
        <v>0</v>
      </c>
      <c r="M4580" t="n">
        <v>0</v>
      </c>
      <c r="N4580" t="n">
        <v>0</v>
      </c>
      <c r="O4580" t="n">
        <v>0</v>
      </c>
      <c r="P4580" t="n">
        <v>0</v>
      </c>
      <c r="Q4580" t="n">
        <v>0</v>
      </c>
      <c r="R4580" s="2" t="inlineStr"/>
    </row>
    <row r="4581" ht="15" customHeight="1">
      <c r="A4581" t="inlineStr">
        <is>
          <t>A 38647-2021</t>
        </is>
      </c>
      <c r="B4581" s="1" t="n">
        <v>44410</v>
      </c>
      <c r="C4581" s="1" t="n">
        <v>45363</v>
      </c>
      <c r="D4581" t="inlineStr">
        <is>
          <t>JÄMTLANDS LÄN</t>
        </is>
      </c>
      <c r="E4581" t="inlineStr">
        <is>
          <t>ÖSTERSUND</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38763-2021</t>
        </is>
      </c>
      <c r="B4582" s="1" t="n">
        <v>44410</v>
      </c>
      <c r="C4582" s="1" t="n">
        <v>45363</v>
      </c>
      <c r="D4582" t="inlineStr">
        <is>
          <t>JÄMTLANDS LÄN</t>
        </is>
      </c>
      <c r="E4582" t="inlineStr">
        <is>
          <t>STRÖMSUND</t>
        </is>
      </c>
      <c r="F4582" t="inlineStr">
        <is>
          <t>Kyrkan</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38644-2021</t>
        </is>
      </c>
      <c r="B4583" s="1" t="n">
        <v>44410</v>
      </c>
      <c r="C4583" s="1" t="n">
        <v>45363</v>
      </c>
      <c r="D4583" t="inlineStr">
        <is>
          <t>JÄMTLANDS LÄN</t>
        </is>
      </c>
      <c r="E4583" t="inlineStr">
        <is>
          <t>ÖSTERSUND</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38782-2021</t>
        </is>
      </c>
      <c r="B4584" s="1" t="n">
        <v>44410</v>
      </c>
      <c r="C4584" s="1" t="n">
        <v>45363</v>
      </c>
      <c r="D4584" t="inlineStr">
        <is>
          <t>JÄMTLANDS LÄN</t>
        </is>
      </c>
      <c r="E4584" t="inlineStr">
        <is>
          <t>RAGUNDA</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38786-2021</t>
        </is>
      </c>
      <c r="B4585" s="1" t="n">
        <v>44410</v>
      </c>
      <c r="C4585" s="1" t="n">
        <v>45363</v>
      </c>
      <c r="D4585" t="inlineStr">
        <is>
          <t>JÄMTLANDS LÄN</t>
        </is>
      </c>
      <c r="E4585" t="inlineStr">
        <is>
          <t>STRÖMSUND</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38794-2021</t>
        </is>
      </c>
      <c r="B4586" s="1" t="n">
        <v>44410</v>
      </c>
      <c r="C4586" s="1" t="n">
        <v>45363</v>
      </c>
      <c r="D4586" t="inlineStr">
        <is>
          <t>JÄMTLANDS LÄN</t>
        </is>
      </c>
      <c r="E4586" t="inlineStr">
        <is>
          <t>HÄRJEDALEN</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38956-2021</t>
        </is>
      </c>
      <c r="B4587" s="1" t="n">
        <v>44411</v>
      </c>
      <c r="C4587" s="1" t="n">
        <v>45363</v>
      </c>
      <c r="D4587" t="inlineStr">
        <is>
          <t>JÄMTLANDS LÄN</t>
        </is>
      </c>
      <c r="E4587" t="inlineStr">
        <is>
          <t>BRÄCKE</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39258-2021</t>
        </is>
      </c>
      <c r="B4588" s="1" t="n">
        <v>44413</v>
      </c>
      <c r="C4588" s="1" t="n">
        <v>45363</v>
      </c>
      <c r="D4588" t="inlineStr">
        <is>
          <t>JÄMTLANDS LÄN</t>
        </is>
      </c>
      <c r="E4588" t="inlineStr">
        <is>
          <t>RAGUNDA</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39321-2021</t>
        </is>
      </c>
      <c r="B4589" s="1" t="n">
        <v>44413</v>
      </c>
      <c r="C4589" s="1" t="n">
        <v>45363</v>
      </c>
      <c r="D4589" t="inlineStr">
        <is>
          <t>JÄMTLANDS LÄN</t>
        </is>
      </c>
      <c r="E4589" t="inlineStr">
        <is>
          <t>HÄRJEDALEN</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39331-2021</t>
        </is>
      </c>
      <c r="B4590" s="1" t="n">
        <v>44414</v>
      </c>
      <c r="C4590" s="1" t="n">
        <v>45363</v>
      </c>
      <c r="D4590" t="inlineStr">
        <is>
          <t>JÄMTLANDS LÄN</t>
        </is>
      </c>
      <c r="E4590" t="inlineStr">
        <is>
          <t>STRÖMSUND</t>
        </is>
      </c>
      <c r="F4590" t="inlineStr">
        <is>
          <t>SCA</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39332-2021</t>
        </is>
      </c>
      <c r="B4591" s="1" t="n">
        <v>44413</v>
      </c>
      <c r="C4591" s="1" t="n">
        <v>45363</v>
      </c>
      <c r="D4591" t="inlineStr">
        <is>
          <t>JÄMTLANDS LÄN</t>
        </is>
      </c>
      <c r="E4591" t="inlineStr">
        <is>
          <t>STRÖMSUND</t>
        </is>
      </c>
      <c r="F4591" t="inlineStr">
        <is>
          <t>SCA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39493-2021</t>
        </is>
      </c>
      <c r="B4592" s="1" t="n">
        <v>44414</v>
      </c>
      <c r="C4592" s="1" t="n">
        <v>45363</v>
      </c>
      <c r="D4592" t="inlineStr">
        <is>
          <t>JÄMTLANDS LÄN</t>
        </is>
      </c>
      <c r="E4592" t="inlineStr">
        <is>
          <t>HÄRJEDALEN</t>
        </is>
      </c>
      <c r="G4592" t="n">
        <v>13.5</v>
      </c>
      <c r="H4592" t="n">
        <v>0</v>
      </c>
      <c r="I4592" t="n">
        <v>0</v>
      </c>
      <c r="J4592" t="n">
        <v>0</v>
      </c>
      <c r="K4592" t="n">
        <v>0</v>
      </c>
      <c r="L4592" t="n">
        <v>0</v>
      </c>
      <c r="M4592" t="n">
        <v>0</v>
      </c>
      <c r="N4592" t="n">
        <v>0</v>
      </c>
      <c r="O4592" t="n">
        <v>0</v>
      </c>
      <c r="P4592" t="n">
        <v>0</v>
      </c>
      <c r="Q4592" t="n">
        <v>0</v>
      </c>
      <c r="R4592" s="2" t="inlineStr"/>
    </row>
    <row r="4593" ht="15" customHeight="1">
      <c r="A4593" t="inlineStr">
        <is>
          <t>A 39511-2021</t>
        </is>
      </c>
      <c r="B4593" s="1" t="n">
        <v>44414</v>
      </c>
      <c r="C4593" s="1" t="n">
        <v>45363</v>
      </c>
      <c r="D4593" t="inlineStr">
        <is>
          <t>JÄMTLANDS LÄN</t>
        </is>
      </c>
      <c r="E4593" t="inlineStr">
        <is>
          <t>STRÖMSUND</t>
        </is>
      </c>
      <c r="F4593" t="inlineStr">
        <is>
          <t>SCA</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39492-2021</t>
        </is>
      </c>
      <c r="B4594" s="1" t="n">
        <v>44414</v>
      </c>
      <c r="C4594" s="1" t="n">
        <v>45363</v>
      </c>
      <c r="D4594" t="inlineStr">
        <is>
          <t>JÄMTLANDS LÄN</t>
        </is>
      </c>
      <c r="E4594" t="inlineStr">
        <is>
          <t>HÄRJEDALEN</t>
        </is>
      </c>
      <c r="G4594" t="n">
        <v>28.3</v>
      </c>
      <c r="H4594" t="n">
        <v>0</v>
      </c>
      <c r="I4594" t="n">
        <v>0</v>
      </c>
      <c r="J4594" t="n">
        <v>0</v>
      </c>
      <c r="K4594" t="n">
        <v>0</v>
      </c>
      <c r="L4594" t="n">
        <v>0</v>
      </c>
      <c r="M4594" t="n">
        <v>0</v>
      </c>
      <c r="N4594" t="n">
        <v>0</v>
      </c>
      <c r="O4594" t="n">
        <v>0</v>
      </c>
      <c r="P4594" t="n">
        <v>0</v>
      </c>
      <c r="Q4594" t="n">
        <v>0</v>
      </c>
      <c r="R4594" s="2" t="inlineStr"/>
    </row>
    <row r="4595" ht="15" customHeight="1">
      <c r="A4595" t="inlineStr">
        <is>
          <t>A 39510-2021</t>
        </is>
      </c>
      <c r="B4595" s="1" t="n">
        <v>44414</v>
      </c>
      <c r="C4595" s="1" t="n">
        <v>45363</v>
      </c>
      <c r="D4595" t="inlineStr">
        <is>
          <t>JÄMTLANDS LÄN</t>
        </is>
      </c>
      <c r="E4595" t="inlineStr">
        <is>
          <t>STRÖMSUND</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39735-2021</t>
        </is>
      </c>
      <c r="B4596" s="1" t="n">
        <v>44414</v>
      </c>
      <c r="C4596" s="1" t="n">
        <v>45363</v>
      </c>
      <c r="D4596" t="inlineStr">
        <is>
          <t>JÄMTLANDS LÄN</t>
        </is>
      </c>
      <c r="E4596" t="inlineStr">
        <is>
          <t>ÖSTERSUND</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39610-2021</t>
        </is>
      </c>
      <c r="B4597" s="1" t="n">
        <v>44417</v>
      </c>
      <c r="C4597" s="1" t="n">
        <v>45363</v>
      </c>
      <c r="D4597" t="inlineStr">
        <is>
          <t>JÄMTLANDS LÄN</t>
        </is>
      </c>
      <c r="E4597" t="inlineStr">
        <is>
          <t>HÄRJEDALEN</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39616-2021</t>
        </is>
      </c>
      <c r="B4598" s="1" t="n">
        <v>44417</v>
      </c>
      <c r="C4598" s="1" t="n">
        <v>45363</v>
      </c>
      <c r="D4598" t="inlineStr">
        <is>
          <t>JÄMTLANDS LÄN</t>
        </is>
      </c>
      <c r="E4598" t="inlineStr">
        <is>
          <t>HÄRJEDALEN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39611-2021</t>
        </is>
      </c>
      <c r="B4599" s="1" t="n">
        <v>44417</v>
      </c>
      <c r="C4599" s="1" t="n">
        <v>45363</v>
      </c>
      <c r="D4599" t="inlineStr">
        <is>
          <t>JÄMTLANDS LÄN</t>
        </is>
      </c>
      <c r="E4599" t="inlineStr">
        <is>
          <t>HÄRJEDALEN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39631-2021</t>
        </is>
      </c>
      <c r="B4600" s="1" t="n">
        <v>44417</v>
      </c>
      <c r="C4600" s="1" t="n">
        <v>45363</v>
      </c>
      <c r="D4600" t="inlineStr">
        <is>
          <t>JÄMTLANDS LÄN</t>
        </is>
      </c>
      <c r="E4600" t="inlineStr">
        <is>
          <t>HÄRJEDALEN</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39618-2021</t>
        </is>
      </c>
      <c r="B4601" s="1" t="n">
        <v>44417</v>
      </c>
      <c r="C4601" s="1" t="n">
        <v>45363</v>
      </c>
      <c r="D4601" t="inlineStr">
        <is>
          <t>JÄMTLANDS LÄN</t>
        </is>
      </c>
      <c r="E4601" t="inlineStr">
        <is>
          <t>HÄRJEDALEN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39943-2021</t>
        </is>
      </c>
      <c r="B4602" s="1" t="n">
        <v>44417</v>
      </c>
      <c r="C4602" s="1" t="n">
        <v>45363</v>
      </c>
      <c r="D4602" t="inlineStr">
        <is>
          <t>JÄMTLANDS LÄN</t>
        </is>
      </c>
      <c r="E4602" t="inlineStr">
        <is>
          <t>BERG</t>
        </is>
      </c>
      <c r="F4602" t="inlineStr">
        <is>
          <t>SCA</t>
        </is>
      </c>
      <c r="G4602" t="n">
        <v>8.199999999999999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39945-2021</t>
        </is>
      </c>
      <c r="B4603" s="1" t="n">
        <v>44417</v>
      </c>
      <c r="C4603" s="1" t="n">
        <v>45363</v>
      </c>
      <c r="D4603" t="inlineStr">
        <is>
          <t>JÄMTLANDS LÄN</t>
        </is>
      </c>
      <c r="E4603" t="inlineStr">
        <is>
          <t>STRÖMSUND</t>
        </is>
      </c>
      <c r="F4603" t="inlineStr">
        <is>
          <t>SCA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39934-2021</t>
        </is>
      </c>
      <c r="B4604" s="1" t="n">
        <v>44417</v>
      </c>
      <c r="C4604" s="1" t="n">
        <v>45363</v>
      </c>
      <c r="D4604" t="inlineStr">
        <is>
          <t>JÄMTLANDS LÄN</t>
        </is>
      </c>
      <c r="E4604" t="inlineStr">
        <is>
          <t>BRÄCKE</t>
        </is>
      </c>
      <c r="F4604" t="inlineStr">
        <is>
          <t>SCA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39944-2021</t>
        </is>
      </c>
      <c r="B4605" s="1" t="n">
        <v>44417</v>
      </c>
      <c r="C4605" s="1" t="n">
        <v>45363</v>
      </c>
      <c r="D4605" t="inlineStr">
        <is>
          <t>JÄMTLANDS LÄN</t>
        </is>
      </c>
      <c r="E4605" t="inlineStr">
        <is>
          <t>STRÖMSUND</t>
        </is>
      </c>
      <c r="F4605" t="inlineStr">
        <is>
          <t>SCA</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39979-2021</t>
        </is>
      </c>
      <c r="B4606" s="1" t="n">
        <v>44418</v>
      </c>
      <c r="C4606" s="1" t="n">
        <v>45363</v>
      </c>
      <c r="D4606" t="inlineStr">
        <is>
          <t>JÄMTLANDS LÄN</t>
        </is>
      </c>
      <c r="E4606" t="inlineStr">
        <is>
          <t>HÄRJEDALEN</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39951-2021</t>
        </is>
      </c>
      <c r="B4607" s="1" t="n">
        <v>44418</v>
      </c>
      <c r="C4607" s="1" t="n">
        <v>45363</v>
      </c>
      <c r="D4607" t="inlineStr">
        <is>
          <t>JÄMTLANDS LÄN</t>
        </is>
      </c>
      <c r="E4607" t="inlineStr">
        <is>
          <t>HÄRJEDALEN</t>
        </is>
      </c>
      <c r="F4607" t="inlineStr">
        <is>
          <t>Sveaskog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39950-2021</t>
        </is>
      </c>
      <c r="B4608" s="1" t="n">
        <v>44418</v>
      </c>
      <c r="C4608" s="1" t="n">
        <v>45363</v>
      </c>
      <c r="D4608" t="inlineStr">
        <is>
          <t>JÄMTLANDS LÄN</t>
        </is>
      </c>
      <c r="E4608" t="inlineStr">
        <is>
          <t>HÄRJEDALEN</t>
        </is>
      </c>
      <c r="F4608" t="inlineStr">
        <is>
          <t>Sveaskog</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40038-2021</t>
        </is>
      </c>
      <c r="B4609" s="1" t="n">
        <v>44418</v>
      </c>
      <c r="C4609" s="1" t="n">
        <v>45363</v>
      </c>
      <c r="D4609" t="inlineStr">
        <is>
          <t>JÄMTLANDS LÄN</t>
        </is>
      </c>
      <c r="E4609" t="inlineStr">
        <is>
          <t>ÖSTERSUND</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40213-2021</t>
        </is>
      </c>
      <c r="B4610" s="1" t="n">
        <v>44419</v>
      </c>
      <c r="C4610" s="1" t="n">
        <v>45363</v>
      </c>
      <c r="D4610" t="inlineStr">
        <is>
          <t>JÄMTLANDS LÄN</t>
        </is>
      </c>
      <c r="E4610" t="inlineStr">
        <is>
          <t>RAGUNDA</t>
        </is>
      </c>
      <c r="F4610" t="inlineStr">
        <is>
          <t>SCA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40336-2021</t>
        </is>
      </c>
      <c r="B4611" s="1" t="n">
        <v>44419</v>
      </c>
      <c r="C4611" s="1" t="n">
        <v>45363</v>
      </c>
      <c r="D4611" t="inlineStr">
        <is>
          <t>JÄMTLANDS LÄN</t>
        </is>
      </c>
      <c r="E4611" t="inlineStr">
        <is>
          <t>ÅRE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40313-2021</t>
        </is>
      </c>
      <c r="B4612" s="1" t="n">
        <v>44419</v>
      </c>
      <c r="C4612" s="1" t="n">
        <v>45363</v>
      </c>
      <c r="D4612" t="inlineStr">
        <is>
          <t>JÄMTLANDS LÄN</t>
        </is>
      </c>
      <c r="E4612" t="inlineStr">
        <is>
          <t>BRÄCKE</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40339-2021</t>
        </is>
      </c>
      <c r="B4613" s="1" t="n">
        <v>44419</v>
      </c>
      <c r="C4613" s="1" t="n">
        <v>45363</v>
      </c>
      <c r="D4613" t="inlineStr">
        <is>
          <t>JÄMTLANDS LÄN</t>
        </is>
      </c>
      <c r="E4613" t="inlineStr">
        <is>
          <t>ÅRE</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40354-2021</t>
        </is>
      </c>
      <c r="B4614" s="1" t="n">
        <v>44419</v>
      </c>
      <c r="C4614" s="1" t="n">
        <v>45363</v>
      </c>
      <c r="D4614" t="inlineStr">
        <is>
          <t>JÄMTLANDS LÄN</t>
        </is>
      </c>
      <c r="E4614" t="inlineStr">
        <is>
          <t>STRÖMSUND</t>
        </is>
      </c>
      <c r="G4614" t="n">
        <v>10</v>
      </c>
      <c r="H4614" t="n">
        <v>0</v>
      </c>
      <c r="I4614" t="n">
        <v>0</v>
      </c>
      <c r="J4614" t="n">
        <v>0</v>
      </c>
      <c r="K4614" t="n">
        <v>0</v>
      </c>
      <c r="L4614" t="n">
        <v>0</v>
      </c>
      <c r="M4614" t="n">
        <v>0</v>
      </c>
      <c r="N4614" t="n">
        <v>0</v>
      </c>
      <c r="O4614" t="n">
        <v>0</v>
      </c>
      <c r="P4614" t="n">
        <v>0</v>
      </c>
      <c r="Q4614" t="n">
        <v>0</v>
      </c>
      <c r="R4614" s="2" t="inlineStr"/>
    </row>
    <row r="4615" ht="15" customHeight="1">
      <c r="A4615" t="inlineStr">
        <is>
          <t>A 40341-2021</t>
        </is>
      </c>
      <c r="B4615" s="1" t="n">
        <v>44419</v>
      </c>
      <c r="C4615" s="1" t="n">
        <v>45363</v>
      </c>
      <c r="D4615" t="inlineStr">
        <is>
          <t>JÄMTLANDS LÄN</t>
        </is>
      </c>
      <c r="E4615" t="inlineStr">
        <is>
          <t>ÅRE</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40467-2021</t>
        </is>
      </c>
      <c r="B4616" s="1" t="n">
        <v>44420</v>
      </c>
      <c r="C4616" s="1" t="n">
        <v>45363</v>
      </c>
      <c r="D4616" t="inlineStr">
        <is>
          <t>JÄMTLANDS LÄN</t>
        </is>
      </c>
      <c r="E4616" t="inlineStr">
        <is>
          <t>BRÄCKE</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40412-2021</t>
        </is>
      </c>
      <c r="B4617" s="1" t="n">
        <v>44419</v>
      </c>
      <c r="C4617" s="1" t="n">
        <v>45363</v>
      </c>
      <c r="D4617" t="inlineStr">
        <is>
          <t>JÄMTLANDS LÄN</t>
        </is>
      </c>
      <c r="E4617" t="inlineStr">
        <is>
          <t>HÄRJEDALEN</t>
        </is>
      </c>
      <c r="F4617" t="inlineStr">
        <is>
          <t>Sveaskog</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40482-2021</t>
        </is>
      </c>
      <c r="B4618" s="1" t="n">
        <v>44420</v>
      </c>
      <c r="C4618" s="1" t="n">
        <v>45363</v>
      </c>
      <c r="D4618" t="inlineStr">
        <is>
          <t>JÄMTLANDS LÄN</t>
        </is>
      </c>
      <c r="E4618" t="inlineStr">
        <is>
          <t>BRÄCKE</t>
        </is>
      </c>
      <c r="F4618" t="inlineStr">
        <is>
          <t>SCA</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40481-2021</t>
        </is>
      </c>
      <c r="B4619" s="1" t="n">
        <v>44420</v>
      </c>
      <c r="C4619" s="1" t="n">
        <v>45363</v>
      </c>
      <c r="D4619" t="inlineStr">
        <is>
          <t>JÄMTLANDS LÄN</t>
        </is>
      </c>
      <c r="E4619" t="inlineStr">
        <is>
          <t>BRÄCKE</t>
        </is>
      </c>
      <c r="F4619" t="inlineStr">
        <is>
          <t>SCA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40497-2021</t>
        </is>
      </c>
      <c r="B4620" s="1" t="n">
        <v>44420</v>
      </c>
      <c r="C4620" s="1" t="n">
        <v>45363</v>
      </c>
      <c r="D4620" t="inlineStr">
        <is>
          <t>JÄMTLANDS LÄN</t>
        </is>
      </c>
      <c r="E4620" t="inlineStr">
        <is>
          <t>HÄRJEDALEN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40657-2021</t>
        </is>
      </c>
      <c r="B4621" s="1" t="n">
        <v>44420</v>
      </c>
      <c r="C4621" s="1" t="n">
        <v>45363</v>
      </c>
      <c r="D4621" t="inlineStr">
        <is>
          <t>JÄMTLANDS LÄN</t>
        </is>
      </c>
      <c r="E4621" t="inlineStr">
        <is>
          <t>STRÖMSUND</t>
        </is>
      </c>
      <c r="F4621" t="inlineStr">
        <is>
          <t>Holmen skog AB</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40769-2021</t>
        </is>
      </c>
      <c r="B4622" s="1" t="n">
        <v>44420</v>
      </c>
      <c r="C4622" s="1" t="n">
        <v>45363</v>
      </c>
      <c r="D4622" t="inlineStr">
        <is>
          <t>JÄMTLANDS LÄN</t>
        </is>
      </c>
      <c r="E4622" t="inlineStr">
        <is>
          <t>BRÄCKE</t>
        </is>
      </c>
      <c r="F4622" t="inlineStr">
        <is>
          <t>SCA</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40770-2021</t>
        </is>
      </c>
      <c r="B4623" s="1" t="n">
        <v>44421</v>
      </c>
      <c r="C4623" s="1" t="n">
        <v>45363</v>
      </c>
      <c r="D4623" t="inlineStr">
        <is>
          <t>JÄMTLANDS LÄN</t>
        </is>
      </c>
      <c r="E4623" t="inlineStr">
        <is>
          <t>RAGUNDA</t>
        </is>
      </c>
      <c r="F4623" t="inlineStr">
        <is>
          <t>SCA</t>
        </is>
      </c>
      <c r="G4623" t="n">
        <v>6.8</v>
      </c>
      <c r="H4623" t="n">
        <v>0</v>
      </c>
      <c r="I4623" t="n">
        <v>0</v>
      </c>
      <c r="J4623" t="n">
        <v>0</v>
      </c>
      <c r="K4623" t="n">
        <v>0</v>
      </c>
      <c r="L4623" t="n">
        <v>0</v>
      </c>
      <c r="M4623" t="n">
        <v>0</v>
      </c>
      <c r="N4623" t="n">
        <v>0</v>
      </c>
      <c r="O4623" t="n">
        <v>0</v>
      </c>
      <c r="P4623" t="n">
        <v>0</v>
      </c>
      <c r="Q4623" t="n">
        <v>0</v>
      </c>
      <c r="R4623" s="2" t="inlineStr"/>
    </row>
    <row r="4624" ht="15" customHeight="1">
      <c r="A4624" t="inlineStr">
        <is>
          <t>A 40827-2021</t>
        </is>
      </c>
      <c r="B4624" s="1" t="n">
        <v>44421</v>
      </c>
      <c r="C4624" s="1" t="n">
        <v>45363</v>
      </c>
      <c r="D4624" t="inlineStr">
        <is>
          <t>JÄMTLANDS LÄN</t>
        </is>
      </c>
      <c r="E4624" t="inlineStr">
        <is>
          <t>STRÖMSUND</t>
        </is>
      </c>
      <c r="F4624" t="inlineStr">
        <is>
          <t>Holmen skog AB</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40857-2021</t>
        </is>
      </c>
      <c r="B4625" s="1" t="n">
        <v>44421</v>
      </c>
      <c r="C4625" s="1" t="n">
        <v>45363</v>
      </c>
      <c r="D4625" t="inlineStr">
        <is>
          <t>JÄMTLANDS LÄN</t>
        </is>
      </c>
      <c r="E4625" t="inlineStr">
        <is>
          <t>STRÖMSUND</t>
        </is>
      </c>
      <c r="F4625" t="inlineStr">
        <is>
          <t>Holmen skog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40806-2021</t>
        </is>
      </c>
      <c r="B4626" s="1" t="n">
        <v>44421</v>
      </c>
      <c r="C4626" s="1" t="n">
        <v>45363</v>
      </c>
      <c r="D4626" t="inlineStr">
        <is>
          <t>JÄMTLANDS LÄN</t>
        </is>
      </c>
      <c r="E4626" t="inlineStr">
        <is>
          <t>STRÖMSUND</t>
        </is>
      </c>
      <c r="F4626" t="inlineStr">
        <is>
          <t>Holmen skog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40808-2021</t>
        </is>
      </c>
      <c r="B4627" s="1" t="n">
        <v>44421</v>
      </c>
      <c r="C4627" s="1" t="n">
        <v>45363</v>
      </c>
      <c r="D4627" t="inlineStr">
        <is>
          <t>JÄMTLANDS LÄN</t>
        </is>
      </c>
      <c r="E4627" t="inlineStr">
        <is>
          <t>HÄRJEDALEN</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41059-2021</t>
        </is>
      </c>
      <c r="B4628" s="1" t="n">
        <v>44422</v>
      </c>
      <c r="C4628" s="1" t="n">
        <v>45363</v>
      </c>
      <c r="D4628" t="inlineStr">
        <is>
          <t>JÄMTLANDS LÄN</t>
        </is>
      </c>
      <c r="E4628" t="inlineStr">
        <is>
          <t>STRÖMSUND</t>
        </is>
      </c>
      <c r="F4628" t="inlineStr">
        <is>
          <t>SCA</t>
        </is>
      </c>
      <c r="G4628" t="n">
        <v>17.6</v>
      </c>
      <c r="H4628" t="n">
        <v>0</v>
      </c>
      <c r="I4628" t="n">
        <v>0</v>
      </c>
      <c r="J4628" t="n">
        <v>0</v>
      </c>
      <c r="K4628" t="n">
        <v>0</v>
      </c>
      <c r="L4628" t="n">
        <v>0</v>
      </c>
      <c r="M4628" t="n">
        <v>0</v>
      </c>
      <c r="N4628" t="n">
        <v>0</v>
      </c>
      <c r="O4628" t="n">
        <v>0</v>
      </c>
      <c r="P4628" t="n">
        <v>0</v>
      </c>
      <c r="Q4628" t="n">
        <v>0</v>
      </c>
      <c r="R4628" s="2" t="inlineStr"/>
    </row>
    <row r="4629" ht="15" customHeight="1">
      <c r="A4629" t="inlineStr">
        <is>
          <t>A 41060-2021</t>
        </is>
      </c>
      <c r="B4629" s="1" t="n">
        <v>44422</v>
      </c>
      <c r="C4629" s="1" t="n">
        <v>45363</v>
      </c>
      <c r="D4629" t="inlineStr">
        <is>
          <t>JÄMTLANDS LÄN</t>
        </is>
      </c>
      <c r="E4629" t="inlineStr">
        <is>
          <t>BRÄCKE</t>
        </is>
      </c>
      <c r="F4629" t="inlineStr">
        <is>
          <t>SCA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41062-2021</t>
        </is>
      </c>
      <c r="B4630" s="1" t="n">
        <v>44422</v>
      </c>
      <c r="C4630" s="1" t="n">
        <v>45363</v>
      </c>
      <c r="D4630" t="inlineStr">
        <is>
          <t>JÄMTLANDS LÄN</t>
        </is>
      </c>
      <c r="E4630" t="inlineStr">
        <is>
          <t>RAGUNDA</t>
        </is>
      </c>
      <c r="F4630" t="inlineStr">
        <is>
          <t>SCA</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41149-2021</t>
        </is>
      </c>
      <c r="B4631" s="1" t="n">
        <v>44423</v>
      </c>
      <c r="C4631" s="1" t="n">
        <v>45363</v>
      </c>
      <c r="D4631" t="inlineStr">
        <is>
          <t>JÄMTLANDS LÄN</t>
        </is>
      </c>
      <c r="E4631" t="inlineStr">
        <is>
          <t>HÄRJEDALEN</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41147-2021</t>
        </is>
      </c>
      <c r="B4632" s="1" t="n">
        <v>44423</v>
      </c>
      <c r="C4632" s="1" t="n">
        <v>45363</v>
      </c>
      <c r="D4632" t="inlineStr">
        <is>
          <t>JÄMTLANDS LÄN</t>
        </is>
      </c>
      <c r="E4632" t="inlineStr">
        <is>
          <t>HÄRJEDALEN</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41146-2021</t>
        </is>
      </c>
      <c r="B4633" s="1" t="n">
        <v>44423</v>
      </c>
      <c r="C4633" s="1" t="n">
        <v>45363</v>
      </c>
      <c r="D4633" t="inlineStr">
        <is>
          <t>JÄMTLANDS LÄN</t>
        </is>
      </c>
      <c r="E4633" t="inlineStr">
        <is>
          <t>HÄRJEDALEN</t>
        </is>
      </c>
      <c r="G4633" t="n">
        <v>14.9</v>
      </c>
      <c r="H4633" t="n">
        <v>0</v>
      </c>
      <c r="I4633" t="n">
        <v>0</v>
      </c>
      <c r="J4633" t="n">
        <v>0</v>
      </c>
      <c r="K4633" t="n">
        <v>0</v>
      </c>
      <c r="L4633" t="n">
        <v>0</v>
      </c>
      <c r="M4633" t="n">
        <v>0</v>
      </c>
      <c r="N4633" t="n">
        <v>0</v>
      </c>
      <c r="O4633" t="n">
        <v>0</v>
      </c>
      <c r="P4633" t="n">
        <v>0</v>
      </c>
      <c r="Q4633" t="n">
        <v>0</v>
      </c>
      <c r="R4633" s="2" t="inlineStr"/>
    </row>
    <row r="4634" ht="15" customHeight="1">
      <c r="A4634" t="inlineStr">
        <is>
          <t>A 41262-2021</t>
        </is>
      </c>
      <c r="B4634" s="1" t="n">
        <v>44424</v>
      </c>
      <c r="C4634" s="1" t="n">
        <v>45363</v>
      </c>
      <c r="D4634" t="inlineStr">
        <is>
          <t>JÄMTLANDS LÄN</t>
        </is>
      </c>
      <c r="E4634" t="inlineStr">
        <is>
          <t>RAGUNDA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41387-2021</t>
        </is>
      </c>
      <c r="B4635" s="1" t="n">
        <v>44424</v>
      </c>
      <c r="C4635" s="1" t="n">
        <v>45363</v>
      </c>
      <c r="D4635" t="inlineStr">
        <is>
          <t>JÄMTLANDS LÄN</t>
        </is>
      </c>
      <c r="E4635" t="inlineStr">
        <is>
          <t>HÄRJEDALEN</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41395-2021</t>
        </is>
      </c>
      <c r="B4636" s="1" t="n">
        <v>44424</v>
      </c>
      <c r="C4636" s="1" t="n">
        <v>45363</v>
      </c>
      <c r="D4636" t="inlineStr">
        <is>
          <t>JÄMTLANDS LÄN</t>
        </is>
      </c>
      <c r="E4636" t="inlineStr">
        <is>
          <t>HÄRJEDALEN</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41400-2021</t>
        </is>
      </c>
      <c r="B4637" s="1" t="n">
        <v>44424</v>
      </c>
      <c r="C4637" s="1" t="n">
        <v>45363</v>
      </c>
      <c r="D4637" t="inlineStr">
        <is>
          <t>JÄMTLANDS LÄN</t>
        </is>
      </c>
      <c r="E4637" t="inlineStr">
        <is>
          <t>HÄRJEDALEN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41391-2021</t>
        </is>
      </c>
      <c r="B4638" s="1" t="n">
        <v>44424</v>
      </c>
      <c r="C4638" s="1" t="n">
        <v>45363</v>
      </c>
      <c r="D4638" t="inlineStr">
        <is>
          <t>JÄMTLANDS LÄN</t>
        </is>
      </c>
      <c r="E4638" t="inlineStr">
        <is>
          <t>HÄRJEDALEN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41474-2021</t>
        </is>
      </c>
      <c r="B4639" s="1" t="n">
        <v>44424</v>
      </c>
      <c r="C4639" s="1" t="n">
        <v>45363</v>
      </c>
      <c r="D4639" t="inlineStr">
        <is>
          <t>JÄMTLANDS LÄN</t>
        </is>
      </c>
      <c r="E4639" t="inlineStr">
        <is>
          <t>BRÄCKE</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41491-2021</t>
        </is>
      </c>
      <c r="B4640" s="1" t="n">
        <v>44424</v>
      </c>
      <c r="C4640" s="1" t="n">
        <v>45363</v>
      </c>
      <c r="D4640" t="inlineStr">
        <is>
          <t>JÄMTLANDS LÄN</t>
        </is>
      </c>
      <c r="E4640" t="inlineStr">
        <is>
          <t>STRÖMSUND</t>
        </is>
      </c>
      <c r="F4640" t="inlineStr">
        <is>
          <t>SCA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41490-2021</t>
        </is>
      </c>
      <c r="B4641" s="1" t="n">
        <v>44425</v>
      </c>
      <c r="C4641" s="1" t="n">
        <v>45363</v>
      </c>
      <c r="D4641" t="inlineStr">
        <is>
          <t>JÄMTLANDS LÄN</t>
        </is>
      </c>
      <c r="E4641" t="inlineStr">
        <is>
          <t>STRÖMSUND</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41613-2021</t>
        </is>
      </c>
      <c r="B4642" s="1" t="n">
        <v>44425</v>
      </c>
      <c r="C4642" s="1" t="n">
        <v>45363</v>
      </c>
      <c r="D4642" t="inlineStr">
        <is>
          <t>JÄMTLANDS LÄN</t>
        </is>
      </c>
      <c r="E4642" t="inlineStr">
        <is>
          <t>RAGUNDA</t>
        </is>
      </c>
      <c r="F4642" t="inlineStr">
        <is>
          <t>Kommuner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41609-2021</t>
        </is>
      </c>
      <c r="B4643" s="1" t="n">
        <v>44425</v>
      </c>
      <c r="C4643" s="1" t="n">
        <v>45363</v>
      </c>
      <c r="D4643" t="inlineStr">
        <is>
          <t>JÄMTLANDS LÄN</t>
        </is>
      </c>
      <c r="E4643" t="inlineStr">
        <is>
          <t>RAGUNDA</t>
        </is>
      </c>
      <c r="F4643" t="inlineStr">
        <is>
          <t>Kommuner</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41639-2021</t>
        </is>
      </c>
      <c r="B4644" s="1" t="n">
        <v>44425</v>
      </c>
      <c r="C4644" s="1" t="n">
        <v>45363</v>
      </c>
      <c r="D4644" t="inlineStr">
        <is>
          <t>JÄMTLANDS LÄN</t>
        </is>
      </c>
      <c r="E4644" t="inlineStr">
        <is>
          <t>STRÖMSUND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41606-2021</t>
        </is>
      </c>
      <c r="B4645" s="1" t="n">
        <v>44425</v>
      </c>
      <c r="C4645" s="1" t="n">
        <v>45363</v>
      </c>
      <c r="D4645" t="inlineStr">
        <is>
          <t>JÄMTLANDS LÄN</t>
        </is>
      </c>
      <c r="E4645" t="inlineStr">
        <is>
          <t>RAGUNDA</t>
        </is>
      </c>
      <c r="F4645" t="inlineStr">
        <is>
          <t>Kommuner</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41802-2021</t>
        </is>
      </c>
      <c r="B4646" s="1" t="n">
        <v>44425</v>
      </c>
      <c r="C4646" s="1" t="n">
        <v>45363</v>
      </c>
      <c r="D4646" t="inlineStr">
        <is>
          <t>JÄMTLANDS LÄN</t>
        </is>
      </c>
      <c r="E4646" t="inlineStr">
        <is>
          <t>ÖSTERSUND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41978-2021</t>
        </is>
      </c>
      <c r="B4647" s="1" t="n">
        <v>44426</v>
      </c>
      <c r="C4647" s="1" t="n">
        <v>45363</v>
      </c>
      <c r="D4647" t="inlineStr">
        <is>
          <t>JÄMTLANDS LÄN</t>
        </is>
      </c>
      <c r="E4647" t="inlineStr">
        <is>
          <t>HÄRJEDALEN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42243-2021</t>
        </is>
      </c>
      <c r="B4648" s="1" t="n">
        <v>44426</v>
      </c>
      <c r="C4648" s="1" t="n">
        <v>45363</v>
      </c>
      <c r="D4648" t="inlineStr">
        <is>
          <t>JÄMTLANDS LÄN</t>
        </is>
      </c>
      <c r="E4648" t="inlineStr">
        <is>
          <t>BRÄCKE</t>
        </is>
      </c>
      <c r="F4648" t="inlineStr">
        <is>
          <t>SCA</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42247-2021</t>
        </is>
      </c>
      <c r="B4649" s="1" t="n">
        <v>44426</v>
      </c>
      <c r="C4649" s="1" t="n">
        <v>45363</v>
      </c>
      <c r="D4649" t="inlineStr">
        <is>
          <t>JÄMTLANDS LÄN</t>
        </is>
      </c>
      <c r="E4649" t="inlineStr">
        <is>
          <t>STRÖMSUND</t>
        </is>
      </c>
      <c r="F4649" t="inlineStr">
        <is>
          <t>SCA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42260-2021</t>
        </is>
      </c>
      <c r="B4650" s="1" t="n">
        <v>44427</v>
      </c>
      <c r="C4650" s="1" t="n">
        <v>45363</v>
      </c>
      <c r="D4650" t="inlineStr">
        <is>
          <t>JÄMTLANDS LÄN</t>
        </is>
      </c>
      <c r="E4650" t="inlineStr">
        <is>
          <t>RAGUNDA</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42369-2021</t>
        </is>
      </c>
      <c r="B4651" s="1" t="n">
        <v>44427</v>
      </c>
      <c r="C4651" s="1" t="n">
        <v>45363</v>
      </c>
      <c r="D4651" t="inlineStr">
        <is>
          <t>JÄMTLANDS LÄN</t>
        </is>
      </c>
      <c r="E4651" t="inlineStr">
        <is>
          <t>KROKOM</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42469-2021</t>
        </is>
      </c>
      <c r="B4652" s="1" t="n">
        <v>44427</v>
      </c>
      <c r="C4652" s="1" t="n">
        <v>45363</v>
      </c>
      <c r="D4652" t="inlineStr">
        <is>
          <t>JÄMTLANDS LÄN</t>
        </is>
      </c>
      <c r="E4652" t="inlineStr">
        <is>
          <t>ÖSTERSUND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42537-2021</t>
        </is>
      </c>
      <c r="B4653" s="1" t="n">
        <v>44428</v>
      </c>
      <c r="C4653" s="1" t="n">
        <v>45363</v>
      </c>
      <c r="D4653" t="inlineStr">
        <is>
          <t>JÄMTLANDS LÄN</t>
        </is>
      </c>
      <c r="E4653" t="inlineStr">
        <is>
          <t>RAGUNDA</t>
        </is>
      </c>
      <c r="F4653" t="inlineStr">
        <is>
          <t>SCA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42549-2021</t>
        </is>
      </c>
      <c r="B4654" s="1" t="n">
        <v>44427</v>
      </c>
      <c r="C4654" s="1" t="n">
        <v>45363</v>
      </c>
      <c r="D4654" t="inlineStr">
        <is>
          <t>JÄMTLANDS LÄN</t>
        </is>
      </c>
      <c r="E4654" t="inlineStr">
        <is>
          <t>STRÖMSUND</t>
        </is>
      </c>
      <c r="F4654" t="inlineStr">
        <is>
          <t>SCA</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42545-2021</t>
        </is>
      </c>
      <c r="B4655" s="1" t="n">
        <v>44428</v>
      </c>
      <c r="C4655" s="1" t="n">
        <v>45363</v>
      </c>
      <c r="D4655" t="inlineStr">
        <is>
          <t>JÄMTLANDS LÄN</t>
        </is>
      </c>
      <c r="E4655" t="inlineStr">
        <is>
          <t>STRÖMSUND</t>
        </is>
      </c>
      <c r="F4655" t="inlineStr">
        <is>
          <t>SCA</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42551-2021</t>
        </is>
      </c>
      <c r="B4656" s="1" t="n">
        <v>44427</v>
      </c>
      <c r="C4656" s="1" t="n">
        <v>45363</v>
      </c>
      <c r="D4656" t="inlineStr">
        <is>
          <t>JÄMTLANDS LÄN</t>
        </is>
      </c>
      <c r="E4656" t="inlineStr">
        <is>
          <t>STRÖMSUND</t>
        </is>
      </c>
      <c r="F4656" t="inlineStr">
        <is>
          <t>SCA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42793-2021</t>
        </is>
      </c>
      <c r="B4657" s="1" t="n">
        <v>44428</v>
      </c>
      <c r="C4657" s="1" t="n">
        <v>45363</v>
      </c>
      <c r="D4657" t="inlineStr">
        <is>
          <t>JÄMTLANDS LÄN</t>
        </is>
      </c>
      <c r="E4657" t="inlineStr">
        <is>
          <t>ÖSTERSUND</t>
        </is>
      </c>
      <c r="G4657" t="n">
        <v>8.199999999999999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42806-2021</t>
        </is>
      </c>
      <c r="B4658" s="1" t="n">
        <v>44429</v>
      </c>
      <c r="C4658" s="1" t="n">
        <v>45363</v>
      </c>
      <c r="D4658" t="inlineStr">
        <is>
          <t>JÄMTLANDS LÄN</t>
        </is>
      </c>
      <c r="E4658" t="inlineStr">
        <is>
          <t>BRÄCKE</t>
        </is>
      </c>
      <c r="F4658" t="inlineStr">
        <is>
          <t>SCA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42794-2021</t>
        </is>
      </c>
      <c r="B4659" s="1" t="n">
        <v>44429</v>
      </c>
      <c r="C4659" s="1" t="n">
        <v>45363</v>
      </c>
      <c r="D4659" t="inlineStr">
        <is>
          <t>JÄMTLANDS LÄN</t>
        </is>
      </c>
      <c r="E4659" t="inlineStr">
        <is>
          <t>STRÖMSUND</t>
        </is>
      </c>
      <c r="F4659" t="inlineStr">
        <is>
          <t>SCA</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42832-2021</t>
        </is>
      </c>
      <c r="B4660" s="1" t="n">
        <v>44430</v>
      </c>
      <c r="C4660" s="1" t="n">
        <v>45363</v>
      </c>
      <c r="D4660" t="inlineStr">
        <is>
          <t>JÄMTLANDS LÄN</t>
        </is>
      </c>
      <c r="E4660" t="inlineStr">
        <is>
          <t>ÖSTERSUND</t>
        </is>
      </c>
      <c r="G4660" t="n">
        <v>9</v>
      </c>
      <c r="H4660" t="n">
        <v>0</v>
      </c>
      <c r="I4660" t="n">
        <v>0</v>
      </c>
      <c r="J4660" t="n">
        <v>0</v>
      </c>
      <c r="K4660" t="n">
        <v>0</v>
      </c>
      <c r="L4660" t="n">
        <v>0</v>
      </c>
      <c r="M4660" t="n">
        <v>0</v>
      </c>
      <c r="N4660" t="n">
        <v>0</v>
      </c>
      <c r="O4660" t="n">
        <v>0</v>
      </c>
      <c r="P4660" t="n">
        <v>0</v>
      </c>
      <c r="Q4660" t="n">
        <v>0</v>
      </c>
      <c r="R4660" s="2" t="inlineStr"/>
    </row>
    <row r="4661" ht="15" customHeight="1">
      <c r="A4661" t="inlineStr">
        <is>
          <t>A 42827-2021</t>
        </is>
      </c>
      <c r="B4661" s="1" t="n">
        <v>44430</v>
      </c>
      <c r="C4661" s="1" t="n">
        <v>45363</v>
      </c>
      <c r="D4661" t="inlineStr">
        <is>
          <t>JÄMTLANDS LÄN</t>
        </is>
      </c>
      <c r="E4661" t="inlineStr">
        <is>
          <t>HÄRJEDALEN</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43040-2021</t>
        </is>
      </c>
      <c r="B4662" s="1" t="n">
        <v>44431</v>
      </c>
      <c r="C4662" s="1" t="n">
        <v>45363</v>
      </c>
      <c r="D4662" t="inlineStr">
        <is>
          <t>JÄMTLANDS LÄN</t>
        </is>
      </c>
      <c r="E4662" t="inlineStr">
        <is>
          <t>RAGUNDA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43072-2021</t>
        </is>
      </c>
      <c r="B4663" s="1" t="n">
        <v>44431</v>
      </c>
      <c r="C4663" s="1" t="n">
        <v>45363</v>
      </c>
      <c r="D4663" t="inlineStr">
        <is>
          <t>JÄMTLANDS LÄN</t>
        </is>
      </c>
      <c r="E4663" t="inlineStr">
        <is>
          <t>STRÖMSUND</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43310-2021</t>
        </is>
      </c>
      <c r="B4664" s="1" t="n">
        <v>44432</v>
      </c>
      <c r="C4664" s="1" t="n">
        <v>45363</v>
      </c>
      <c r="D4664" t="inlineStr">
        <is>
          <t>JÄMTLANDS LÄN</t>
        </is>
      </c>
      <c r="E4664" t="inlineStr">
        <is>
          <t>ÖSTERSUND</t>
        </is>
      </c>
      <c r="F4664" t="inlineStr">
        <is>
          <t>Sveaskog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43839-2021</t>
        </is>
      </c>
      <c r="B4665" s="1" t="n">
        <v>44434</v>
      </c>
      <c r="C4665" s="1" t="n">
        <v>45363</v>
      </c>
      <c r="D4665" t="inlineStr">
        <is>
          <t>JÄMTLANDS LÄN</t>
        </is>
      </c>
      <c r="E4665" t="inlineStr">
        <is>
          <t>STRÖMSUND</t>
        </is>
      </c>
      <c r="F4665" t="inlineStr">
        <is>
          <t>SCA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43754-2021</t>
        </is>
      </c>
      <c r="B4666" s="1" t="n">
        <v>44433</v>
      </c>
      <c r="C4666" s="1" t="n">
        <v>45363</v>
      </c>
      <c r="D4666" t="inlineStr">
        <is>
          <t>JÄMTLANDS LÄN</t>
        </is>
      </c>
      <c r="E4666" t="inlineStr">
        <is>
          <t>STRÖMSUND</t>
        </is>
      </c>
      <c r="F4666" t="inlineStr">
        <is>
          <t>Sveaskog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43752-2021</t>
        </is>
      </c>
      <c r="B4667" s="1" t="n">
        <v>44433</v>
      </c>
      <c r="C4667" s="1" t="n">
        <v>45363</v>
      </c>
      <c r="D4667" t="inlineStr">
        <is>
          <t>JÄMTLANDS LÄN</t>
        </is>
      </c>
      <c r="E4667" t="inlineStr">
        <is>
          <t>STRÖMSUND</t>
        </is>
      </c>
      <c r="F4667" t="inlineStr">
        <is>
          <t>Sveaskog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43831-2021</t>
        </is>
      </c>
      <c r="B4668" s="1" t="n">
        <v>44433</v>
      </c>
      <c r="C4668" s="1" t="n">
        <v>45363</v>
      </c>
      <c r="D4668" t="inlineStr">
        <is>
          <t>JÄMTLANDS LÄN</t>
        </is>
      </c>
      <c r="E4668" t="inlineStr">
        <is>
          <t>BRÄCKE</t>
        </is>
      </c>
      <c r="F4668" t="inlineStr">
        <is>
          <t>SCA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43842-2021</t>
        </is>
      </c>
      <c r="B4669" s="1" t="n">
        <v>44433</v>
      </c>
      <c r="C4669" s="1" t="n">
        <v>45363</v>
      </c>
      <c r="D4669" t="inlineStr">
        <is>
          <t>JÄMTLANDS LÄN</t>
        </is>
      </c>
      <c r="E4669" t="inlineStr">
        <is>
          <t>STRÖMSUND</t>
        </is>
      </c>
      <c r="F4669" t="inlineStr">
        <is>
          <t>SCA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43846-2021</t>
        </is>
      </c>
      <c r="B4670" s="1" t="n">
        <v>44434</v>
      </c>
      <c r="C4670" s="1" t="n">
        <v>45363</v>
      </c>
      <c r="D4670" t="inlineStr">
        <is>
          <t>JÄMTLANDS LÄN</t>
        </is>
      </c>
      <c r="E4670" t="inlineStr">
        <is>
          <t>STRÖMSUND</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43832-2021</t>
        </is>
      </c>
      <c r="B4671" s="1" t="n">
        <v>44434</v>
      </c>
      <c r="C4671" s="1" t="n">
        <v>45363</v>
      </c>
      <c r="D4671" t="inlineStr">
        <is>
          <t>JÄMTLANDS LÄN</t>
        </is>
      </c>
      <c r="E4671" t="inlineStr">
        <is>
          <t>BRÄCKE</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43844-2021</t>
        </is>
      </c>
      <c r="B4672" s="1" t="n">
        <v>44433</v>
      </c>
      <c r="C4672" s="1" t="n">
        <v>45363</v>
      </c>
      <c r="D4672" t="inlineStr">
        <is>
          <t>JÄMTLANDS LÄN</t>
        </is>
      </c>
      <c r="E4672" t="inlineStr">
        <is>
          <t>STRÖMSUND</t>
        </is>
      </c>
      <c r="F4672" t="inlineStr">
        <is>
          <t>SCA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44013-2021</t>
        </is>
      </c>
      <c r="B4673" s="1" t="n">
        <v>44434</v>
      </c>
      <c r="C4673" s="1" t="n">
        <v>45363</v>
      </c>
      <c r="D4673" t="inlineStr">
        <is>
          <t>JÄMTLANDS LÄN</t>
        </is>
      </c>
      <c r="E4673" t="inlineStr">
        <is>
          <t>ÖSTERSUND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44025-2021</t>
        </is>
      </c>
      <c r="B4674" s="1" t="n">
        <v>44434</v>
      </c>
      <c r="C4674" s="1" t="n">
        <v>45363</v>
      </c>
      <c r="D4674" t="inlineStr">
        <is>
          <t>JÄMTLANDS LÄN</t>
        </is>
      </c>
      <c r="E4674" t="inlineStr">
        <is>
          <t>STRÖMSUND</t>
        </is>
      </c>
      <c r="F4674" t="inlineStr">
        <is>
          <t>Holmen skog AB</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44051-2021</t>
        </is>
      </c>
      <c r="B4675" s="1" t="n">
        <v>44434</v>
      </c>
      <c r="C4675" s="1" t="n">
        <v>45363</v>
      </c>
      <c r="D4675" t="inlineStr">
        <is>
          <t>JÄMTLANDS LÄN</t>
        </is>
      </c>
      <c r="E4675" t="inlineStr">
        <is>
          <t>ÖSTERSUND</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44088-2021</t>
        </is>
      </c>
      <c r="B4676" s="1" t="n">
        <v>44434</v>
      </c>
      <c r="C4676" s="1" t="n">
        <v>45363</v>
      </c>
      <c r="D4676" t="inlineStr">
        <is>
          <t>JÄMTLANDS LÄN</t>
        </is>
      </c>
      <c r="E4676" t="inlineStr">
        <is>
          <t>BERG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44244-2021</t>
        </is>
      </c>
      <c r="B4677" s="1" t="n">
        <v>44434</v>
      </c>
      <c r="C4677" s="1" t="n">
        <v>45363</v>
      </c>
      <c r="D4677" t="inlineStr">
        <is>
          <t>JÄMTLANDS LÄN</t>
        </is>
      </c>
      <c r="E4677" t="inlineStr">
        <is>
          <t>BRÄCKE</t>
        </is>
      </c>
      <c r="F4677" t="inlineStr">
        <is>
          <t>SCA</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44104-2021</t>
        </is>
      </c>
      <c r="B4678" s="1" t="n">
        <v>44434</v>
      </c>
      <c r="C4678" s="1" t="n">
        <v>45363</v>
      </c>
      <c r="D4678" t="inlineStr">
        <is>
          <t>JÄMTLANDS LÄN</t>
        </is>
      </c>
      <c r="E4678" t="inlineStr">
        <is>
          <t>STRÖMSUND</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44163-2021</t>
        </is>
      </c>
      <c r="B4679" s="1" t="n">
        <v>44434</v>
      </c>
      <c r="C4679" s="1" t="n">
        <v>45363</v>
      </c>
      <c r="D4679" t="inlineStr">
        <is>
          <t>JÄMTLANDS LÄN</t>
        </is>
      </c>
      <c r="E4679" t="inlineStr">
        <is>
          <t>RAGUNDA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44229-2021</t>
        </is>
      </c>
      <c r="B4680" s="1" t="n">
        <v>44434</v>
      </c>
      <c r="C4680" s="1" t="n">
        <v>45363</v>
      </c>
      <c r="D4680" t="inlineStr">
        <is>
          <t>JÄMTLANDS LÄN</t>
        </is>
      </c>
      <c r="E4680" t="inlineStr">
        <is>
          <t>STRÖMSUND</t>
        </is>
      </c>
      <c r="F4680" t="inlineStr">
        <is>
          <t>SCA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44243-2021</t>
        </is>
      </c>
      <c r="B4681" s="1" t="n">
        <v>44434</v>
      </c>
      <c r="C4681" s="1" t="n">
        <v>45363</v>
      </c>
      <c r="D4681" t="inlineStr">
        <is>
          <t>JÄMTLANDS LÄN</t>
        </is>
      </c>
      <c r="E4681" t="inlineStr">
        <is>
          <t>BRÄCKE</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44267-2021</t>
        </is>
      </c>
      <c r="B4682" s="1" t="n">
        <v>44434</v>
      </c>
      <c r="C4682" s="1" t="n">
        <v>45363</v>
      </c>
      <c r="D4682" t="inlineStr">
        <is>
          <t>JÄMTLANDS LÄN</t>
        </is>
      </c>
      <c r="E4682" t="inlineStr">
        <is>
          <t>ÖSTERSUND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44241-2021</t>
        </is>
      </c>
      <c r="B4683" s="1" t="n">
        <v>44435</v>
      </c>
      <c r="C4683" s="1" t="n">
        <v>45363</v>
      </c>
      <c r="D4683" t="inlineStr">
        <is>
          <t>JÄMTLANDS LÄN</t>
        </is>
      </c>
      <c r="E4683" t="inlineStr">
        <is>
          <t>RAGUNDA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44247-2021</t>
        </is>
      </c>
      <c r="B4684" s="1" t="n">
        <v>44435</v>
      </c>
      <c r="C4684" s="1" t="n">
        <v>45363</v>
      </c>
      <c r="D4684" t="inlineStr">
        <is>
          <t>JÄMTLANDS LÄN</t>
        </is>
      </c>
      <c r="E4684" t="inlineStr">
        <is>
          <t>RAGUNDA</t>
        </is>
      </c>
      <c r="F4684" t="inlineStr">
        <is>
          <t>SCA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44410-2021</t>
        </is>
      </c>
      <c r="B4685" s="1" t="n">
        <v>44435</v>
      </c>
      <c r="C4685" s="1" t="n">
        <v>45363</v>
      </c>
      <c r="D4685" t="inlineStr">
        <is>
          <t>JÄMTLANDS LÄN</t>
        </is>
      </c>
      <c r="E4685" t="inlineStr">
        <is>
          <t>STRÖMSUND</t>
        </is>
      </c>
      <c r="F4685" t="inlineStr">
        <is>
          <t>Holmen skog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44436-2021</t>
        </is>
      </c>
      <c r="B4686" s="1" t="n">
        <v>44435</v>
      </c>
      <c r="C4686" s="1" t="n">
        <v>45363</v>
      </c>
      <c r="D4686" t="inlineStr">
        <is>
          <t>JÄMTLANDS LÄN</t>
        </is>
      </c>
      <c r="E4686" t="inlineStr">
        <is>
          <t>STRÖMSUND</t>
        </is>
      </c>
      <c r="F4686" t="inlineStr">
        <is>
          <t>Holmen skog AB</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44602-2021</t>
        </is>
      </c>
      <c r="B4687" s="1" t="n">
        <v>44436</v>
      </c>
      <c r="C4687" s="1" t="n">
        <v>45363</v>
      </c>
      <c r="D4687" t="inlineStr">
        <is>
          <t>JÄMTLANDS LÄN</t>
        </is>
      </c>
      <c r="E4687" t="inlineStr">
        <is>
          <t>STRÖMSUND</t>
        </is>
      </c>
      <c r="F4687" t="inlineStr">
        <is>
          <t>SCA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44600-2021</t>
        </is>
      </c>
      <c r="B4688" s="1" t="n">
        <v>44436</v>
      </c>
      <c r="C4688" s="1" t="n">
        <v>45363</v>
      </c>
      <c r="D4688" t="inlineStr">
        <is>
          <t>JÄMTLANDS LÄN</t>
        </is>
      </c>
      <c r="E4688" t="inlineStr">
        <is>
          <t>STRÖMSUND</t>
        </is>
      </c>
      <c r="F4688" t="inlineStr">
        <is>
          <t>SCA</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44605-2021</t>
        </is>
      </c>
      <c r="B4689" s="1" t="n">
        <v>44436</v>
      </c>
      <c r="C4689" s="1" t="n">
        <v>45363</v>
      </c>
      <c r="D4689" t="inlineStr">
        <is>
          <t>JÄMTLANDS LÄN</t>
        </is>
      </c>
      <c r="E4689" t="inlineStr">
        <is>
          <t>STRÖMSUND</t>
        </is>
      </c>
      <c r="F4689" t="inlineStr">
        <is>
          <t>SCA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44519-2021</t>
        </is>
      </c>
      <c r="B4690" s="1" t="n">
        <v>44435</v>
      </c>
      <c r="C4690" s="1" t="n">
        <v>45363</v>
      </c>
      <c r="D4690" t="inlineStr">
        <is>
          <t>JÄMTLANDS LÄN</t>
        </is>
      </c>
      <c r="E4690" t="inlineStr">
        <is>
          <t>HÄRJEDALEN</t>
        </is>
      </c>
      <c r="F4690" t="inlineStr">
        <is>
          <t>Kyrkan</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44606-2021</t>
        </is>
      </c>
      <c r="B4691" s="1" t="n">
        <v>44436</v>
      </c>
      <c r="C4691" s="1" t="n">
        <v>45363</v>
      </c>
      <c r="D4691" t="inlineStr">
        <is>
          <t>JÄMTLANDS LÄN</t>
        </is>
      </c>
      <c r="E4691" t="inlineStr">
        <is>
          <t>STRÖMSUND</t>
        </is>
      </c>
      <c r="F4691" t="inlineStr">
        <is>
          <t>SCA</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44911-2021</t>
        </is>
      </c>
      <c r="B4692" s="1" t="n">
        <v>44435</v>
      </c>
      <c r="C4692" s="1" t="n">
        <v>45363</v>
      </c>
      <c r="D4692" t="inlineStr">
        <is>
          <t>JÄMTLANDS LÄN</t>
        </is>
      </c>
      <c r="E4692" t="inlineStr">
        <is>
          <t>BERG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44997-2021</t>
        </is>
      </c>
      <c r="B4693" s="1" t="n">
        <v>44438</v>
      </c>
      <c r="C4693" s="1" t="n">
        <v>45363</v>
      </c>
      <c r="D4693" t="inlineStr">
        <is>
          <t>JÄMTLANDS LÄN</t>
        </is>
      </c>
      <c r="E4693" t="inlineStr">
        <is>
          <t>BERG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45011-2021</t>
        </is>
      </c>
      <c r="B4694" s="1" t="n">
        <v>44439</v>
      </c>
      <c r="C4694" s="1" t="n">
        <v>45363</v>
      </c>
      <c r="D4694" t="inlineStr">
        <is>
          <t>JÄMTLANDS LÄN</t>
        </is>
      </c>
      <c r="E4694" t="inlineStr">
        <is>
          <t>STRÖMSUND</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45230-2021</t>
        </is>
      </c>
      <c r="B4695" s="1" t="n">
        <v>44439</v>
      </c>
      <c r="C4695" s="1" t="n">
        <v>45363</v>
      </c>
      <c r="D4695" t="inlineStr">
        <is>
          <t>JÄMTLANDS LÄN</t>
        </is>
      </c>
      <c r="E4695" t="inlineStr">
        <is>
          <t>STRÖMSUND</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45351-2021</t>
        </is>
      </c>
      <c r="B4696" s="1" t="n">
        <v>44440</v>
      </c>
      <c r="C4696" s="1" t="n">
        <v>45363</v>
      </c>
      <c r="D4696" t="inlineStr">
        <is>
          <t>JÄMTLANDS LÄN</t>
        </is>
      </c>
      <c r="E4696" t="inlineStr">
        <is>
          <t>STRÖMSUND</t>
        </is>
      </c>
      <c r="F4696" t="inlineStr">
        <is>
          <t>SCA</t>
        </is>
      </c>
      <c r="G4696" t="n">
        <v>10.9</v>
      </c>
      <c r="H4696" t="n">
        <v>0</v>
      </c>
      <c r="I4696" t="n">
        <v>0</v>
      </c>
      <c r="J4696" t="n">
        <v>0</v>
      </c>
      <c r="K4696" t="n">
        <v>0</v>
      </c>
      <c r="L4696" t="n">
        <v>0</v>
      </c>
      <c r="M4696" t="n">
        <v>0</v>
      </c>
      <c r="N4696" t="n">
        <v>0</v>
      </c>
      <c r="O4696" t="n">
        <v>0</v>
      </c>
      <c r="P4696" t="n">
        <v>0</v>
      </c>
      <c r="Q4696" t="n">
        <v>0</v>
      </c>
      <c r="R4696" s="2" t="inlineStr"/>
    </row>
    <row r="4697" ht="15" customHeight="1">
      <c r="A4697" t="inlineStr">
        <is>
          <t>A 45333-2021</t>
        </is>
      </c>
      <c r="B4697" s="1" t="n">
        <v>44439</v>
      </c>
      <c r="C4697" s="1" t="n">
        <v>45363</v>
      </c>
      <c r="D4697" t="inlineStr">
        <is>
          <t>JÄMTLANDS LÄN</t>
        </is>
      </c>
      <c r="E4697" t="inlineStr">
        <is>
          <t>STRÖMSUND</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45349-2021</t>
        </is>
      </c>
      <c r="B4698" s="1" t="n">
        <v>44440</v>
      </c>
      <c r="C4698" s="1" t="n">
        <v>45363</v>
      </c>
      <c r="D4698" t="inlineStr">
        <is>
          <t>JÄMTLANDS LÄN</t>
        </is>
      </c>
      <c r="E4698" t="inlineStr">
        <is>
          <t>BERG</t>
        </is>
      </c>
      <c r="F4698" t="inlineStr">
        <is>
          <t>SCA</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45340-2021</t>
        </is>
      </c>
      <c r="B4699" s="1" t="n">
        <v>44440</v>
      </c>
      <c r="C4699" s="1" t="n">
        <v>45363</v>
      </c>
      <c r="D4699" t="inlineStr">
        <is>
          <t>JÄMTLANDS LÄN</t>
        </is>
      </c>
      <c r="E4699" t="inlineStr">
        <is>
          <t>STRÖMSUND</t>
        </is>
      </c>
      <c r="F4699" t="inlineStr">
        <is>
          <t>SCA</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45409-2021</t>
        </is>
      </c>
      <c r="B4700" s="1" t="n">
        <v>44440</v>
      </c>
      <c r="C4700" s="1" t="n">
        <v>45363</v>
      </c>
      <c r="D4700" t="inlineStr">
        <is>
          <t>JÄMTLANDS LÄN</t>
        </is>
      </c>
      <c r="E4700" t="inlineStr">
        <is>
          <t>HÄRJEDALEN</t>
        </is>
      </c>
      <c r="G4700" t="n">
        <v>18.9</v>
      </c>
      <c r="H4700" t="n">
        <v>0</v>
      </c>
      <c r="I4700" t="n">
        <v>0</v>
      </c>
      <c r="J4700" t="n">
        <v>0</v>
      </c>
      <c r="K4700" t="n">
        <v>0</v>
      </c>
      <c r="L4700" t="n">
        <v>0</v>
      </c>
      <c r="M4700" t="n">
        <v>0</v>
      </c>
      <c r="N4700" t="n">
        <v>0</v>
      </c>
      <c r="O4700" t="n">
        <v>0</v>
      </c>
      <c r="P4700" t="n">
        <v>0</v>
      </c>
      <c r="Q4700" t="n">
        <v>0</v>
      </c>
      <c r="R4700" s="2" t="inlineStr"/>
    </row>
    <row r="4701" ht="15" customHeight="1">
      <c r="A4701" t="inlineStr">
        <is>
          <t>A 45363-2021</t>
        </is>
      </c>
      <c r="B4701" s="1" t="n">
        <v>44440</v>
      </c>
      <c r="C4701" s="1" t="n">
        <v>45363</v>
      </c>
      <c r="D4701" t="inlineStr">
        <is>
          <t>JÄMTLANDS LÄN</t>
        </is>
      </c>
      <c r="E4701" t="inlineStr">
        <is>
          <t>HÄRJEDALEN</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45557-2021</t>
        </is>
      </c>
      <c r="B4702" s="1" t="n">
        <v>44440</v>
      </c>
      <c r="C4702" s="1" t="n">
        <v>45363</v>
      </c>
      <c r="D4702" t="inlineStr">
        <is>
          <t>JÄMTLANDS LÄN</t>
        </is>
      </c>
      <c r="E4702" t="inlineStr">
        <is>
          <t>HÄRJEDALEN</t>
        </is>
      </c>
      <c r="G4702" t="n">
        <v>11.4</v>
      </c>
      <c r="H4702" t="n">
        <v>0</v>
      </c>
      <c r="I4702" t="n">
        <v>0</v>
      </c>
      <c r="J4702" t="n">
        <v>0</v>
      </c>
      <c r="K4702" t="n">
        <v>0</v>
      </c>
      <c r="L4702" t="n">
        <v>0</v>
      </c>
      <c r="M4702" t="n">
        <v>0</v>
      </c>
      <c r="N4702" t="n">
        <v>0</v>
      </c>
      <c r="O4702" t="n">
        <v>0</v>
      </c>
      <c r="P4702" t="n">
        <v>0</v>
      </c>
      <c r="Q4702" t="n">
        <v>0</v>
      </c>
      <c r="R4702" s="2" t="inlineStr"/>
    </row>
    <row r="4703" ht="15" customHeight="1">
      <c r="A4703" t="inlineStr">
        <is>
          <t>A 45622-2021</t>
        </is>
      </c>
      <c r="B4703" s="1" t="n">
        <v>44441</v>
      </c>
      <c r="C4703" s="1" t="n">
        <v>45363</v>
      </c>
      <c r="D4703" t="inlineStr">
        <is>
          <t>JÄMTLANDS LÄN</t>
        </is>
      </c>
      <c r="E4703" t="inlineStr">
        <is>
          <t>STRÖMSUND</t>
        </is>
      </c>
      <c r="F4703" t="inlineStr">
        <is>
          <t>SCA</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45640-2021</t>
        </is>
      </c>
      <c r="B4704" s="1" t="n">
        <v>44440</v>
      </c>
      <c r="C4704" s="1" t="n">
        <v>45363</v>
      </c>
      <c r="D4704" t="inlineStr">
        <is>
          <t>JÄMTLANDS LÄN</t>
        </is>
      </c>
      <c r="E4704" t="inlineStr">
        <is>
          <t>STRÖMSUND</t>
        </is>
      </c>
      <c r="F4704" t="inlineStr">
        <is>
          <t>SCA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45628-2021</t>
        </is>
      </c>
      <c r="B4705" s="1" t="n">
        <v>44441</v>
      </c>
      <c r="C4705" s="1" t="n">
        <v>45363</v>
      </c>
      <c r="D4705" t="inlineStr">
        <is>
          <t>JÄMTLANDS LÄN</t>
        </is>
      </c>
      <c r="E4705" t="inlineStr">
        <is>
          <t>STRÖMSUND</t>
        </is>
      </c>
      <c r="F4705" t="inlineStr">
        <is>
          <t>SCA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45635-2021</t>
        </is>
      </c>
      <c r="B4706" s="1" t="n">
        <v>44440</v>
      </c>
      <c r="C4706" s="1" t="n">
        <v>45363</v>
      </c>
      <c r="D4706" t="inlineStr">
        <is>
          <t>JÄMTLANDS LÄN</t>
        </is>
      </c>
      <c r="E4706" t="inlineStr">
        <is>
          <t>STRÖMSUND</t>
        </is>
      </c>
      <c r="F4706" t="inlineStr">
        <is>
          <t>SCA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45641-2021</t>
        </is>
      </c>
      <c r="B4707" s="1" t="n">
        <v>44440</v>
      </c>
      <c r="C4707" s="1" t="n">
        <v>45363</v>
      </c>
      <c r="D4707" t="inlineStr">
        <is>
          <t>JÄMTLANDS LÄN</t>
        </is>
      </c>
      <c r="E4707" t="inlineStr">
        <is>
          <t>STRÖMSUND</t>
        </is>
      </c>
      <c r="F4707" t="inlineStr">
        <is>
          <t>SCA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45630-2021</t>
        </is>
      </c>
      <c r="B4708" s="1" t="n">
        <v>44440</v>
      </c>
      <c r="C4708" s="1" t="n">
        <v>45363</v>
      </c>
      <c r="D4708" t="inlineStr">
        <is>
          <t>JÄMTLANDS LÄN</t>
        </is>
      </c>
      <c r="E4708" t="inlineStr">
        <is>
          <t>STRÖMSUND</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45638-2021</t>
        </is>
      </c>
      <c r="B4709" s="1" t="n">
        <v>44440</v>
      </c>
      <c r="C4709" s="1" t="n">
        <v>45363</v>
      </c>
      <c r="D4709" t="inlineStr">
        <is>
          <t>JÄMTLANDS LÄN</t>
        </is>
      </c>
      <c r="E4709" t="inlineStr">
        <is>
          <t>STRÖMSUND</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45627-2021</t>
        </is>
      </c>
      <c r="B4710" s="1" t="n">
        <v>44441</v>
      </c>
      <c r="C4710" s="1" t="n">
        <v>45363</v>
      </c>
      <c r="D4710" t="inlineStr">
        <is>
          <t>JÄMTLANDS LÄN</t>
        </is>
      </c>
      <c r="E4710" t="inlineStr">
        <is>
          <t>STRÖMSUND</t>
        </is>
      </c>
      <c r="F4710" t="inlineStr">
        <is>
          <t>SCA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45626-2021</t>
        </is>
      </c>
      <c r="B4711" s="1" t="n">
        <v>44441</v>
      </c>
      <c r="C4711" s="1" t="n">
        <v>45363</v>
      </c>
      <c r="D4711" t="inlineStr">
        <is>
          <t>JÄMTLANDS LÄN</t>
        </is>
      </c>
      <c r="E4711" t="inlineStr">
        <is>
          <t>STRÖMSUND</t>
        </is>
      </c>
      <c r="F4711" t="inlineStr">
        <is>
          <t>SCA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45639-2021</t>
        </is>
      </c>
      <c r="B4712" s="1" t="n">
        <v>44440</v>
      </c>
      <c r="C4712" s="1" t="n">
        <v>45363</v>
      </c>
      <c r="D4712" t="inlineStr">
        <is>
          <t>JÄMTLANDS LÄN</t>
        </is>
      </c>
      <c r="E4712" t="inlineStr">
        <is>
          <t>STRÖMSUND</t>
        </is>
      </c>
      <c r="F4712" t="inlineStr">
        <is>
          <t>SCA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45365-2021</t>
        </is>
      </c>
      <c r="B4713" s="1" t="n">
        <v>44440</v>
      </c>
      <c r="C4713" s="1" t="n">
        <v>45363</v>
      </c>
      <c r="D4713" t="inlineStr">
        <is>
          <t>JÄMTLANDS LÄN</t>
        </is>
      </c>
      <c r="E4713" t="inlineStr">
        <is>
          <t>HÄRJEDALEN</t>
        </is>
      </c>
      <c r="F4713" t="inlineStr">
        <is>
          <t>Sveaskog</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45717-2021</t>
        </is>
      </c>
      <c r="B4714" s="1" t="n">
        <v>44441</v>
      </c>
      <c r="C4714" s="1" t="n">
        <v>45363</v>
      </c>
      <c r="D4714" t="inlineStr">
        <is>
          <t>JÄMTLANDS LÄN</t>
        </is>
      </c>
      <c r="E4714" t="inlineStr">
        <is>
          <t>HÄRJEDALEN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45744-2021</t>
        </is>
      </c>
      <c r="B4715" s="1" t="n">
        <v>44441</v>
      </c>
      <c r="C4715" s="1" t="n">
        <v>45363</v>
      </c>
      <c r="D4715" t="inlineStr">
        <is>
          <t>JÄMTLANDS LÄN</t>
        </is>
      </c>
      <c r="E4715" t="inlineStr">
        <is>
          <t>HÄRJEDALEN</t>
        </is>
      </c>
      <c r="F4715" t="inlineStr">
        <is>
          <t>Holmen skog AB</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46002-2021</t>
        </is>
      </c>
      <c r="B4716" s="1" t="n">
        <v>44441</v>
      </c>
      <c r="C4716" s="1" t="n">
        <v>45363</v>
      </c>
      <c r="D4716" t="inlineStr">
        <is>
          <t>JÄMTLANDS LÄN</t>
        </is>
      </c>
      <c r="E4716" t="inlineStr">
        <is>
          <t>ÖSTERSUND</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46004-2021</t>
        </is>
      </c>
      <c r="B4717" s="1" t="n">
        <v>44441</v>
      </c>
      <c r="C4717" s="1" t="n">
        <v>45363</v>
      </c>
      <c r="D4717" t="inlineStr">
        <is>
          <t>JÄMTLANDS LÄN</t>
        </is>
      </c>
      <c r="E4717" t="inlineStr">
        <is>
          <t>ÖSTERSUND</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46111-2021</t>
        </is>
      </c>
      <c r="B4718" s="1" t="n">
        <v>44441</v>
      </c>
      <c r="C4718" s="1" t="n">
        <v>45363</v>
      </c>
      <c r="D4718" t="inlineStr">
        <is>
          <t>JÄMTLANDS LÄN</t>
        </is>
      </c>
      <c r="E4718" t="inlineStr">
        <is>
          <t>ÖSTERSUND</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46228-2021</t>
        </is>
      </c>
      <c r="B4719" s="1" t="n">
        <v>44441</v>
      </c>
      <c r="C4719" s="1" t="n">
        <v>45363</v>
      </c>
      <c r="D4719" t="inlineStr">
        <is>
          <t>JÄMTLANDS LÄN</t>
        </is>
      </c>
      <c r="E4719" t="inlineStr">
        <is>
          <t>RAGUNDA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46139-2021</t>
        </is>
      </c>
      <c r="B4720" s="1" t="n">
        <v>44441</v>
      </c>
      <c r="C4720" s="1" t="n">
        <v>45363</v>
      </c>
      <c r="D4720" t="inlineStr">
        <is>
          <t>JÄMTLANDS LÄN</t>
        </is>
      </c>
      <c r="E4720" t="inlineStr">
        <is>
          <t>ÖSTERSUND</t>
        </is>
      </c>
      <c r="G4720" t="n">
        <v>12.8</v>
      </c>
      <c r="H4720" t="n">
        <v>0</v>
      </c>
      <c r="I4720" t="n">
        <v>0</v>
      </c>
      <c r="J4720" t="n">
        <v>0</v>
      </c>
      <c r="K4720" t="n">
        <v>0</v>
      </c>
      <c r="L4720" t="n">
        <v>0</v>
      </c>
      <c r="M4720" t="n">
        <v>0</v>
      </c>
      <c r="N4720" t="n">
        <v>0</v>
      </c>
      <c r="O4720" t="n">
        <v>0</v>
      </c>
      <c r="P4720" t="n">
        <v>0</v>
      </c>
      <c r="Q4720" t="n">
        <v>0</v>
      </c>
      <c r="R4720" s="2" t="inlineStr"/>
    </row>
    <row r="4721" ht="15" customHeight="1">
      <c r="A4721" t="inlineStr">
        <is>
          <t>A 46115-2021</t>
        </is>
      </c>
      <c r="B4721" s="1" t="n">
        <v>44441</v>
      </c>
      <c r="C4721" s="1" t="n">
        <v>45363</v>
      </c>
      <c r="D4721" t="inlineStr">
        <is>
          <t>JÄMTLANDS LÄN</t>
        </is>
      </c>
      <c r="E4721" t="inlineStr">
        <is>
          <t>BERG</t>
        </is>
      </c>
      <c r="G4721" t="n">
        <v>15.1</v>
      </c>
      <c r="H4721" t="n">
        <v>0</v>
      </c>
      <c r="I4721" t="n">
        <v>0</v>
      </c>
      <c r="J4721" t="n">
        <v>0</v>
      </c>
      <c r="K4721" t="n">
        <v>0</v>
      </c>
      <c r="L4721" t="n">
        <v>0</v>
      </c>
      <c r="M4721" t="n">
        <v>0</v>
      </c>
      <c r="N4721" t="n">
        <v>0</v>
      </c>
      <c r="O4721" t="n">
        <v>0</v>
      </c>
      <c r="P4721" t="n">
        <v>0</v>
      </c>
      <c r="Q4721" t="n">
        <v>0</v>
      </c>
      <c r="R4721" s="2" t="inlineStr"/>
    </row>
    <row r="4722" ht="15" customHeight="1">
      <c r="A4722" t="inlineStr">
        <is>
          <t>A 46352-2021</t>
        </is>
      </c>
      <c r="B4722" s="1" t="n">
        <v>44442</v>
      </c>
      <c r="C4722" s="1" t="n">
        <v>45363</v>
      </c>
      <c r="D4722" t="inlineStr">
        <is>
          <t>JÄMTLANDS LÄN</t>
        </is>
      </c>
      <c r="E4722" t="inlineStr">
        <is>
          <t>HÄRJEDALEN</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46368-2021</t>
        </is>
      </c>
      <c r="B4723" s="1" t="n">
        <v>44443</v>
      </c>
      <c r="C4723" s="1" t="n">
        <v>45363</v>
      </c>
      <c r="D4723" t="inlineStr">
        <is>
          <t>JÄMTLANDS LÄN</t>
        </is>
      </c>
      <c r="E4723" t="inlineStr">
        <is>
          <t>RAGUNDA</t>
        </is>
      </c>
      <c r="F4723" t="inlineStr">
        <is>
          <t>SCA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46401-2021</t>
        </is>
      </c>
      <c r="B4724" s="1" t="n">
        <v>44443</v>
      </c>
      <c r="C4724" s="1" t="n">
        <v>45363</v>
      </c>
      <c r="D4724" t="inlineStr">
        <is>
          <t>JÄMTLANDS LÄN</t>
        </is>
      </c>
      <c r="E4724" t="inlineStr">
        <is>
          <t>RAGUNDA</t>
        </is>
      </c>
      <c r="G4724" t="n">
        <v>7</v>
      </c>
      <c r="H4724" t="n">
        <v>0</v>
      </c>
      <c r="I4724" t="n">
        <v>0</v>
      </c>
      <c r="J4724" t="n">
        <v>0</v>
      </c>
      <c r="K4724" t="n">
        <v>0</v>
      </c>
      <c r="L4724" t="n">
        <v>0</v>
      </c>
      <c r="M4724" t="n">
        <v>0</v>
      </c>
      <c r="N4724" t="n">
        <v>0</v>
      </c>
      <c r="O4724" t="n">
        <v>0</v>
      </c>
      <c r="P4724" t="n">
        <v>0</v>
      </c>
      <c r="Q4724" t="n">
        <v>0</v>
      </c>
      <c r="R4724" s="2" t="inlineStr"/>
    </row>
    <row r="4725" ht="15" customHeight="1">
      <c r="A4725" t="inlineStr">
        <is>
          <t>A 46515-2021</t>
        </is>
      </c>
      <c r="B4725" s="1" t="n">
        <v>44445</v>
      </c>
      <c r="C4725" s="1" t="n">
        <v>45363</v>
      </c>
      <c r="D4725" t="inlineStr">
        <is>
          <t>JÄMTLANDS LÄN</t>
        </is>
      </c>
      <c r="E4725" t="inlineStr">
        <is>
          <t>BERG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46625-2021</t>
        </is>
      </c>
      <c r="B4726" s="1" t="n">
        <v>44445</v>
      </c>
      <c r="C4726" s="1" t="n">
        <v>45363</v>
      </c>
      <c r="D4726" t="inlineStr">
        <is>
          <t>JÄMTLANDS LÄN</t>
        </is>
      </c>
      <c r="E4726" t="inlineStr">
        <is>
          <t>KROKOM</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46793-2021</t>
        </is>
      </c>
      <c r="B4727" s="1" t="n">
        <v>44445</v>
      </c>
      <c r="C4727" s="1" t="n">
        <v>45363</v>
      </c>
      <c r="D4727" t="inlineStr">
        <is>
          <t>JÄMTLANDS LÄN</t>
        </is>
      </c>
      <c r="E4727" t="inlineStr">
        <is>
          <t>BRÄCKE</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46792-2021</t>
        </is>
      </c>
      <c r="B4728" s="1" t="n">
        <v>44445</v>
      </c>
      <c r="C4728" s="1" t="n">
        <v>45363</v>
      </c>
      <c r="D4728" t="inlineStr">
        <is>
          <t>JÄMTLANDS LÄN</t>
        </is>
      </c>
      <c r="E4728" t="inlineStr">
        <is>
          <t>BRÄCKE</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46853-2021</t>
        </is>
      </c>
      <c r="B4729" s="1" t="n">
        <v>44446</v>
      </c>
      <c r="C4729" s="1" t="n">
        <v>45363</v>
      </c>
      <c r="D4729" t="inlineStr">
        <is>
          <t>JÄMTLANDS LÄN</t>
        </is>
      </c>
      <c r="E4729" t="inlineStr">
        <is>
          <t>BERG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46952-2021</t>
        </is>
      </c>
      <c r="B4730" s="1" t="n">
        <v>44446</v>
      </c>
      <c r="C4730" s="1" t="n">
        <v>45363</v>
      </c>
      <c r="D4730" t="inlineStr">
        <is>
          <t>JÄMTLANDS LÄN</t>
        </is>
      </c>
      <c r="E4730" t="inlineStr">
        <is>
          <t>BRÄCKE</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46937-2021</t>
        </is>
      </c>
      <c r="B4731" s="1" t="n">
        <v>44446</v>
      </c>
      <c r="C4731" s="1" t="n">
        <v>45363</v>
      </c>
      <c r="D4731" t="inlineStr">
        <is>
          <t>JÄMTLANDS LÄN</t>
        </is>
      </c>
      <c r="E4731" t="inlineStr">
        <is>
          <t>BERG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46969-2021</t>
        </is>
      </c>
      <c r="B4732" s="1" t="n">
        <v>44446</v>
      </c>
      <c r="C4732" s="1" t="n">
        <v>45363</v>
      </c>
      <c r="D4732" t="inlineStr">
        <is>
          <t>JÄMTLANDS LÄN</t>
        </is>
      </c>
      <c r="E4732" t="inlineStr">
        <is>
          <t>STRÖMSUND</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44374-2021</t>
        </is>
      </c>
      <c r="B4733" s="1" t="n">
        <v>44447</v>
      </c>
      <c r="C4733" s="1" t="n">
        <v>45363</v>
      </c>
      <c r="D4733" t="inlineStr">
        <is>
          <t>JÄMTLANDS LÄN</t>
        </is>
      </c>
      <c r="E4733" t="inlineStr">
        <is>
          <t>KROKOM</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47261-2021</t>
        </is>
      </c>
      <c r="B4734" s="1" t="n">
        <v>44447</v>
      </c>
      <c r="C4734" s="1" t="n">
        <v>45363</v>
      </c>
      <c r="D4734" t="inlineStr">
        <is>
          <t>JÄMTLANDS LÄN</t>
        </is>
      </c>
      <c r="E4734" t="inlineStr">
        <is>
          <t>STRÖMSUND</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47289-2021</t>
        </is>
      </c>
      <c r="B4735" s="1" t="n">
        <v>44447</v>
      </c>
      <c r="C4735" s="1" t="n">
        <v>45363</v>
      </c>
      <c r="D4735" t="inlineStr">
        <is>
          <t>JÄMTLANDS LÄN</t>
        </is>
      </c>
      <c r="E4735" t="inlineStr">
        <is>
          <t>HÄRJEDALEN</t>
        </is>
      </c>
      <c r="F4735" t="inlineStr">
        <is>
          <t>Holmen skog AB</t>
        </is>
      </c>
      <c r="G4735" t="n">
        <v>31.7</v>
      </c>
      <c r="H4735" t="n">
        <v>0</v>
      </c>
      <c r="I4735" t="n">
        <v>0</v>
      </c>
      <c r="J4735" t="n">
        <v>0</v>
      </c>
      <c r="K4735" t="n">
        <v>0</v>
      </c>
      <c r="L4735" t="n">
        <v>0</v>
      </c>
      <c r="M4735" t="n">
        <v>0</v>
      </c>
      <c r="N4735" t="n">
        <v>0</v>
      </c>
      <c r="O4735" t="n">
        <v>0</v>
      </c>
      <c r="P4735" t="n">
        <v>0</v>
      </c>
      <c r="Q4735" t="n">
        <v>0</v>
      </c>
      <c r="R4735" s="2" t="inlineStr"/>
    </row>
    <row r="4736" ht="15" customHeight="1">
      <c r="A4736" t="inlineStr">
        <is>
          <t>A 47548-2021</t>
        </is>
      </c>
      <c r="B4736" s="1" t="n">
        <v>44448</v>
      </c>
      <c r="C4736" s="1" t="n">
        <v>45363</v>
      </c>
      <c r="D4736" t="inlineStr">
        <is>
          <t>JÄMTLANDS LÄN</t>
        </is>
      </c>
      <c r="E4736" t="inlineStr">
        <is>
          <t>RAGUNDA</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47546-2021</t>
        </is>
      </c>
      <c r="B4737" s="1" t="n">
        <v>44448</v>
      </c>
      <c r="C4737" s="1" t="n">
        <v>45363</v>
      </c>
      <c r="D4737" t="inlineStr">
        <is>
          <t>JÄMTLANDS LÄN</t>
        </is>
      </c>
      <c r="E4737" t="inlineStr">
        <is>
          <t>RAGUNDA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47559-2021</t>
        </is>
      </c>
      <c r="B4738" s="1" t="n">
        <v>44447</v>
      </c>
      <c r="C4738" s="1" t="n">
        <v>45363</v>
      </c>
      <c r="D4738" t="inlineStr">
        <is>
          <t>JÄMTLANDS LÄN</t>
        </is>
      </c>
      <c r="E4738" t="inlineStr">
        <is>
          <t>BRÄCKE</t>
        </is>
      </c>
      <c r="F4738" t="inlineStr">
        <is>
          <t>SCA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47558-2021</t>
        </is>
      </c>
      <c r="B4739" s="1" t="n">
        <v>44448</v>
      </c>
      <c r="C4739" s="1" t="n">
        <v>45363</v>
      </c>
      <c r="D4739" t="inlineStr">
        <is>
          <t>JÄMTLANDS LÄN</t>
        </is>
      </c>
      <c r="E4739" t="inlineStr">
        <is>
          <t>BRÄCKE</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47560-2021</t>
        </is>
      </c>
      <c r="B4740" s="1" t="n">
        <v>44448</v>
      </c>
      <c r="C4740" s="1" t="n">
        <v>45363</v>
      </c>
      <c r="D4740" t="inlineStr">
        <is>
          <t>JÄMTLANDS LÄN</t>
        </is>
      </c>
      <c r="E4740" t="inlineStr">
        <is>
          <t>BRÄCKE</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47607-2021</t>
        </is>
      </c>
      <c r="B4741" s="1" t="n">
        <v>44447</v>
      </c>
      <c r="C4741" s="1" t="n">
        <v>45363</v>
      </c>
      <c r="D4741" t="inlineStr">
        <is>
          <t>JÄMTLANDS LÄN</t>
        </is>
      </c>
      <c r="E4741" t="inlineStr">
        <is>
          <t>STRÖMSUND</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47847-2021</t>
        </is>
      </c>
      <c r="B4742" s="1" t="n">
        <v>44448</v>
      </c>
      <c r="C4742" s="1" t="n">
        <v>45363</v>
      </c>
      <c r="D4742" t="inlineStr">
        <is>
          <t>JÄMTLANDS LÄN</t>
        </is>
      </c>
      <c r="E4742" t="inlineStr">
        <is>
          <t>STRÖMSUND</t>
        </is>
      </c>
      <c r="F4742" t="inlineStr">
        <is>
          <t>Holmen skog AB</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47938-2021</t>
        </is>
      </c>
      <c r="B4743" s="1" t="n">
        <v>44449</v>
      </c>
      <c r="C4743" s="1" t="n">
        <v>45363</v>
      </c>
      <c r="D4743" t="inlineStr">
        <is>
          <t>JÄMTLANDS LÄN</t>
        </is>
      </c>
      <c r="E4743" t="inlineStr">
        <is>
          <t>STRÖMSUND</t>
        </is>
      </c>
      <c r="F4743" t="inlineStr">
        <is>
          <t>SCA</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47983-2021</t>
        </is>
      </c>
      <c r="B4744" s="1" t="n">
        <v>44448</v>
      </c>
      <c r="C4744" s="1" t="n">
        <v>45363</v>
      </c>
      <c r="D4744" t="inlineStr">
        <is>
          <t>JÄMTLANDS LÄN</t>
        </is>
      </c>
      <c r="E4744" t="inlineStr">
        <is>
          <t>BRÄCKE</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47936-2021</t>
        </is>
      </c>
      <c r="B4745" s="1" t="n">
        <v>44448</v>
      </c>
      <c r="C4745" s="1" t="n">
        <v>45363</v>
      </c>
      <c r="D4745" t="inlineStr">
        <is>
          <t>JÄMTLANDS LÄN</t>
        </is>
      </c>
      <c r="E4745" t="inlineStr">
        <is>
          <t>STRÖMSUND</t>
        </is>
      </c>
      <c r="F4745" t="inlineStr">
        <is>
          <t>SCA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47941-2021</t>
        </is>
      </c>
      <c r="B4746" s="1" t="n">
        <v>44449</v>
      </c>
      <c r="C4746" s="1" t="n">
        <v>45363</v>
      </c>
      <c r="D4746" t="inlineStr">
        <is>
          <t>JÄMTLANDS LÄN</t>
        </is>
      </c>
      <c r="E4746" t="inlineStr">
        <is>
          <t>STRÖMSUND</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47943-2021</t>
        </is>
      </c>
      <c r="B4747" s="1" t="n">
        <v>44448</v>
      </c>
      <c r="C4747" s="1" t="n">
        <v>45363</v>
      </c>
      <c r="D4747" t="inlineStr">
        <is>
          <t>JÄMTLANDS LÄN</t>
        </is>
      </c>
      <c r="E4747" t="inlineStr">
        <is>
          <t>STRÖMSUND</t>
        </is>
      </c>
      <c r="F4747" t="inlineStr">
        <is>
          <t>SCA</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47934-2021</t>
        </is>
      </c>
      <c r="B4748" s="1" t="n">
        <v>44448</v>
      </c>
      <c r="C4748" s="1" t="n">
        <v>45363</v>
      </c>
      <c r="D4748" t="inlineStr">
        <is>
          <t>JÄMTLANDS LÄN</t>
        </is>
      </c>
      <c r="E4748" t="inlineStr">
        <is>
          <t>STRÖMSUND</t>
        </is>
      </c>
      <c r="F4748" t="inlineStr">
        <is>
          <t>SCA</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47940-2021</t>
        </is>
      </c>
      <c r="B4749" s="1" t="n">
        <v>44449</v>
      </c>
      <c r="C4749" s="1" t="n">
        <v>45363</v>
      </c>
      <c r="D4749" t="inlineStr">
        <is>
          <t>JÄMTLANDS LÄN</t>
        </is>
      </c>
      <c r="E4749" t="inlineStr">
        <is>
          <t>STRÖMSUND</t>
        </is>
      </c>
      <c r="F4749" t="inlineStr">
        <is>
          <t>SCA</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47996-2021</t>
        </is>
      </c>
      <c r="B4750" s="1" t="n">
        <v>44448</v>
      </c>
      <c r="C4750" s="1" t="n">
        <v>45363</v>
      </c>
      <c r="D4750" t="inlineStr">
        <is>
          <t>JÄMTLANDS LÄN</t>
        </is>
      </c>
      <c r="E4750" t="inlineStr">
        <is>
          <t>RAGUNDA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48065-2021</t>
        </is>
      </c>
      <c r="B4751" s="1" t="n">
        <v>44449</v>
      </c>
      <c r="C4751" s="1" t="n">
        <v>45363</v>
      </c>
      <c r="D4751" t="inlineStr">
        <is>
          <t>JÄMTLANDS LÄN</t>
        </is>
      </c>
      <c r="E4751" t="inlineStr">
        <is>
          <t>HÄRJEDALEN</t>
        </is>
      </c>
      <c r="G4751" t="n">
        <v>24.8</v>
      </c>
      <c r="H4751" t="n">
        <v>0</v>
      </c>
      <c r="I4751" t="n">
        <v>0</v>
      </c>
      <c r="J4751" t="n">
        <v>0</v>
      </c>
      <c r="K4751" t="n">
        <v>0</v>
      </c>
      <c r="L4751" t="n">
        <v>0</v>
      </c>
      <c r="M4751" t="n">
        <v>0</v>
      </c>
      <c r="N4751" t="n">
        <v>0</v>
      </c>
      <c r="O4751" t="n">
        <v>0</v>
      </c>
      <c r="P4751" t="n">
        <v>0</v>
      </c>
      <c r="Q4751" t="n">
        <v>0</v>
      </c>
      <c r="R4751" s="2" t="inlineStr"/>
    </row>
    <row r="4752" ht="15" customHeight="1">
      <c r="A4752" t="inlineStr">
        <is>
          <t>A 48079-2021</t>
        </is>
      </c>
      <c r="B4752" s="1" t="n">
        <v>44449</v>
      </c>
      <c r="C4752" s="1" t="n">
        <v>45363</v>
      </c>
      <c r="D4752" t="inlineStr">
        <is>
          <t>JÄMTLANDS LÄN</t>
        </is>
      </c>
      <c r="E4752" t="inlineStr">
        <is>
          <t>HÄRJEDALEN</t>
        </is>
      </c>
      <c r="G4752" t="n">
        <v>12.5</v>
      </c>
      <c r="H4752" t="n">
        <v>0</v>
      </c>
      <c r="I4752" t="n">
        <v>0</v>
      </c>
      <c r="J4752" t="n">
        <v>0</v>
      </c>
      <c r="K4752" t="n">
        <v>0</v>
      </c>
      <c r="L4752" t="n">
        <v>0</v>
      </c>
      <c r="M4752" t="n">
        <v>0</v>
      </c>
      <c r="N4752" t="n">
        <v>0</v>
      </c>
      <c r="O4752" t="n">
        <v>0</v>
      </c>
      <c r="P4752" t="n">
        <v>0</v>
      </c>
      <c r="Q4752" t="n">
        <v>0</v>
      </c>
      <c r="R4752" s="2" t="inlineStr"/>
    </row>
    <row r="4753" ht="15" customHeight="1">
      <c r="A4753" t="inlineStr">
        <is>
          <t>A 48132-2021</t>
        </is>
      </c>
      <c r="B4753" s="1" t="n">
        <v>44449</v>
      </c>
      <c r="C4753" s="1" t="n">
        <v>45363</v>
      </c>
      <c r="D4753" t="inlineStr">
        <is>
          <t>JÄMTLANDS LÄN</t>
        </is>
      </c>
      <c r="E4753" t="inlineStr">
        <is>
          <t>HÄRJEDALEN</t>
        </is>
      </c>
      <c r="F4753" t="inlineStr">
        <is>
          <t>Holmen skog AB</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48142-2021</t>
        </is>
      </c>
      <c r="B4754" s="1" t="n">
        <v>44449</v>
      </c>
      <c r="C4754" s="1" t="n">
        <v>45363</v>
      </c>
      <c r="D4754" t="inlineStr">
        <is>
          <t>JÄMTLANDS LÄN</t>
        </is>
      </c>
      <c r="E4754" t="inlineStr">
        <is>
          <t>HÄRJEDALEN</t>
        </is>
      </c>
      <c r="F4754" t="inlineStr">
        <is>
          <t>Holmen skog AB</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48440-2021</t>
        </is>
      </c>
      <c r="B4755" s="1" t="n">
        <v>44449</v>
      </c>
      <c r="C4755" s="1" t="n">
        <v>45363</v>
      </c>
      <c r="D4755" t="inlineStr">
        <is>
          <t>JÄMTLANDS LÄN</t>
        </is>
      </c>
      <c r="E4755" t="inlineStr">
        <is>
          <t>KROKOM</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48284-2021</t>
        </is>
      </c>
      <c r="B4756" s="1" t="n">
        <v>44449</v>
      </c>
      <c r="C4756" s="1" t="n">
        <v>45363</v>
      </c>
      <c r="D4756" t="inlineStr">
        <is>
          <t>JÄMTLANDS LÄN</t>
        </is>
      </c>
      <c r="E4756" t="inlineStr">
        <is>
          <t>BRÄCKE</t>
        </is>
      </c>
      <c r="G4756" t="n">
        <v>12.9</v>
      </c>
      <c r="H4756" t="n">
        <v>0</v>
      </c>
      <c r="I4756" t="n">
        <v>0</v>
      </c>
      <c r="J4756" t="n">
        <v>0</v>
      </c>
      <c r="K4756" t="n">
        <v>0</v>
      </c>
      <c r="L4756" t="n">
        <v>0</v>
      </c>
      <c r="M4756" t="n">
        <v>0</v>
      </c>
      <c r="N4756" t="n">
        <v>0</v>
      </c>
      <c r="O4756" t="n">
        <v>0</v>
      </c>
      <c r="P4756" t="n">
        <v>0</v>
      </c>
      <c r="Q4756" t="n">
        <v>0</v>
      </c>
      <c r="R4756" s="2" t="inlineStr"/>
    </row>
    <row r="4757" ht="15" customHeight="1">
      <c r="A4757" t="inlineStr">
        <is>
          <t>A 48508-2021</t>
        </is>
      </c>
      <c r="B4757" s="1" t="n">
        <v>44451</v>
      </c>
      <c r="C4757" s="1" t="n">
        <v>45363</v>
      </c>
      <c r="D4757" t="inlineStr">
        <is>
          <t>JÄMTLANDS LÄN</t>
        </is>
      </c>
      <c r="E4757" t="inlineStr">
        <is>
          <t>STRÖMSUND</t>
        </is>
      </c>
      <c r="G4757" t="n">
        <v>11.1</v>
      </c>
      <c r="H4757" t="n">
        <v>0</v>
      </c>
      <c r="I4757" t="n">
        <v>0</v>
      </c>
      <c r="J4757" t="n">
        <v>0</v>
      </c>
      <c r="K4757" t="n">
        <v>0</v>
      </c>
      <c r="L4757" t="n">
        <v>0</v>
      </c>
      <c r="M4757" t="n">
        <v>0</v>
      </c>
      <c r="N4757" t="n">
        <v>0</v>
      </c>
      <c r="O4757" t="n">
        <v>0</v>
      </c>
      <c r="P4757" t="n">
        <v>0</v>
      </c>
      <c r="Q4757" t="n">
        <v>0</v>
      </c>
      <c r="R4757" s="2" t="inlineStr"/>
    </row>
    <row r="4758" ht="15" customHeight="1">
      <c r="A4758" t="inlineStr">
        <is>
          <t>A 48444-2021</t>
        </is>
      </c>
      <c r="B4758" s="1" t="n">
        <v>44452</v>
      </c>
      <c r="C4758" s="1" t="n">
        <v>45363</v>
      </c>
      <c r="D4758" t="inlineStr">
        <is>
          <t>JÄMTLANDS LÄN</t>
        </is>
      </c>
      <c r="E4758" t="inlineStr">
        <is>
          <t>HÄRJEDALEN</t>
        </is>
      </c>
      <c r="F4758" t="inlineStr">
        <is>
          <t>Holmen skog AB</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48586-2021</t>
        </is>
      </c>
      <c r="B4759" s="1" t="n">
        <v>44452</v>
      </c>
      <c r="C4759" s="1" t="n">
        <v>45363</v>
      </c>
      <c r="D4759" t="inlineStr">
        <is>
          <t>JÄMTLANDS LÄN</t>
        </is>
      </c>
      <c r="E4759" t="inlineStr">
        <is>
          <t>HÄRJEDALEN</t>
        </is>
      </c>
      <c r="F4759" t="inlineStr">
        <is>
          <t>Holmen skog AB</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48769-2021</t>
        </is>
      </c>
      <c r="B4760" s="1" t="n">
        <v>44452</v>
      </c>
      <c r="C4760" s="1" t="n">
        <v>45363</v>
      </c>
      <c r="D4760" t="inlineStr">
        <is>
          <t>JÄMTLANDS LÄN</t>
        </is>
      </c>
      <c r="E4760" t="inlineStr">
        <is>
          <t>HÄRJEDALEN</t>
        </is>
      </c>
      <c r="F4760" t="inlineStr">
        <is>
          <t>Holmen skog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48681-2021</t>
        </is>
      </c>
      <c r="B4761" s="1" t="n">
        <v>44452</v>
      </c>
      <c r="C4761" s="1" t="n">
        <v>45363</v>
      </c>
      <c r="D4761" t="inlineStr">
        <is>
          <t>JÄMTLANDS LÄN</t>
        </is>
      </c>
      <c r="E4761" t="inlineStr">
        <is>
          <t>HÄRJEDALEN</t>
        </is>
      </c>
      <c r="F4761" t="inlineStr">
        <is>
          <t>Holmen skog AB</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48832-2021</t>
        </is>
      </c>
      <c r="B4762" s="1" t="n">
        <v>44452</v>
      </c>
      <c r="C4762" s="1" t="n">
        <v>45363</v>
      </c>
      <c r="D4762" t="inlineStr">
        <is>
          <t>JÄMTLANDS LÄN</t>
        </is>
      </c>
      <c r="E4762" t="inlineStr">
        <is>
          <t>RAGUNDA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48863-2021</t>
        </is>
      </c>
      <c r="B4763" s="1" t="n">
        <v>44453</v>
      </c>
      <c r="C4763" s="1" t="n">
        <v>45363</v>
      </c>
      <c r="D4763" t="inlineStr">
        <is>
          <t>JÄMTLANDS LÄN</t>
        </is>
      </c>
      <c r="E4763" t="inlineStr">
        <is>
          <t>STRÖMSUND</t>
        </is>
      </c>
      <c r="F4763" t="inlineStr">
        <is>
          <t>SCA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48947-2021</t>
        </is>
      </c>
      <c r="B4764" s="1" t="n">
        <v>44453</v>
      </c>
      <c r="C4764" s="1" t="n">
        <v>45363</v>
      </c>
      <c r="D4764" t="inlineStr">
        <is>
          <t>JÄMTLANDS LÄN</t>
        </is>
      </c>
      <c r="E4764" t="inlineStr">
        <is>
          <t>ÖSTERSUND</t>
        </is>
      </c>
      <c r="G4764" t="n">
        <v>22.3</v>
      </c>
      <c r="H4764" t="n">
        <v>0</v>
      </c>
      <c r="I4764" t="n">
        <v>0</v>
      </c>
      <c r="J4764" t="n">
        <v>0</v>
      </c>
      <c r="K4764" t="n">
        <v>0</v>
      </c>
      <c r="L4764" t="n">
        <v>0</v>
      </c>
      <c r="M4764" t="n">
        <v>0</v>
      </c>
      <c r="N4764" t="n">
        <v>0</v>
      </c>
      <c r="O4764" t="n">
        <v>0</v>
      </c>
      <c r="P4764" t="n">
        <v>0</v>
      </c>
      <c r="Q4764" t="n">
        <v>0</v>
      </c>
      <c r="R4764" s="2" t="inlineStr"/>
    </row>
    <row r="4765" ht="15" customHeight="1">
      <c r="A4765" t="inlineStr">
        <is>
          <t>A 49166-2021</t>
        </is>
      </c>
      <c r="B4765" s="1" t="n">
        <v>44454</v>
      </c>
      <c r="C4765" s="1" t="n">
        <v>45363</v>
      </c>
      <c r="D4765" t="inlineStr">
        <is>
          <t>JÄMTLANDS LÄN</t>
        </is>
      </c>
      <c r="E4765" t="inlineStr">
        <is>
          <t>STRÖMSUND</t>
        </is>
      </c>
      <c r="F4765" t="inlineStr">
        <is>
          <t>SCA</t>
        </is>
      </c>
      <c r="G4765" t="n">
        <v>3.3</v>
      </c>
      <c r="H4765" t="n">
        <v>0</v>
      </c>
      <c r="I4765" t="n">
        <v>0</v>
      </c>
      <c r="J4765" t="n">
        <v>0</v>
      </c>
      <c r="K4765" t="n">
        <v>0</v>
      </c>
      <c r="L4765" t="n">
        <v>0</v>
      </c>
      <c r="M4765" t="n">
        <v>0</v>
      </c>
      <c r="N4765" t="n">
        <v>0</v>
      </c>
      <c r="O4765" t="n">
        <v>0</v>
      </c>
      <c r="P4765" t="n">
        <v>0</v>
      </c>
      <c r="Q4765" t="n">
        <v>0</v>
      </c>
      <c r="R4765" s="2" t="inlineStr"/>
      <c r="U4765">
        <f>HYPERLINK("https://klasma.github.io/Logging_2313/knärot/A 49166-2021 karta knärot.png", "A 49166-2021")</f>
        <v/>
      </c>
      <c r="V4765">
        <f>HYPERLINK("https://klasma.github.io/Logging_2313/klagomål/A 49166-2021 FSC-klagomål.docx", "A 49166-2021")</f>
        <v/>
      </c>
      <c r="W4765">
        <f>HYPERLINK("https://klasma.github.io/Logging_2313/klagomålsmail/A 49166-2021 FSC-klagomål mail.docx", "A 49166-2021")</f>
        <v/>
      </c>
      <c r="X4765">
        <f>HYPERLINK("https://klasma.github.io/Logging_2313/tillsyn/A 49166-2021 tillsynsbegäran.docx", "A 49166-2021")</f>
        <v/>
      </c>
      <c r="Y4765">
        <f>HYPERLINK("https://klasma.github.io/Logging_2313/tillsynsmail/A 49166-2021 tillsynsbegäran mail.docx", "A 49166-2021")</f>
        <v/>
      </c>
    </row>
    <row r="4766" ht="15" customHeight="1">
      <c r="A4766" t="inlineStr">
        <is>
          <t>A 49202-2021</t>
        </is>
      </c>
      <c r="B4766" s="1" t="n">
        <v>44453</v>
      </c>
      <c r="C4766" s="1" t="n">
        <v>45363</v>
      </c>
      <c r="D4766" t="inlineStr">
        <is>
          <t>JÄMTLANDS LÄN</t>
        </is>
      </c>
      <c r="E4766" t="inlineStr">
        <is>
          <t>RAGUNDA</t>
        </is>
      </c>
      <c r="G4766" t="n">
        <v>23.4</v>
      </c>
      <c r="H4766" t="n">
        <v>0</v>
      </c>
      <c r="I4766" t="n">
        <v>0</v>
      </c>
      <c r="J4766" t="n">
        <v>0</v>
      </c>
      <c r="K4766" t="n">
        <v>0</v>
      </c>
      <c r="L4766" t="n">
        <v>0</v>
      </c>
      <c r="M4766" t="n">
        <v>0</v>
      </c>
      <c r="N4766" t="n">
        <v>0</v>
      </c>
      <c r="O4766" t="n">
        <v>0</v>
      </c>
      <c r="P4766" t="n">
        <v>0</v>
      </c>
      <c r="Q4766" t="n">
        <v>0</v>
      </c>
      <c r="R4766" s="2" t="inlineStr"/>
    </row>
    <row r="4767" ht="15" customHeight="1">
      <c r="A4767" t="inlineStr">
        <is>
          <t>A 49204-2021</t>
        </is>
      </c>
      <c r="B4767" s="1" t="n">
        <v>44454</v>
      </c>
      <c r="C4767" s="1" t="n">
        <v>45363</v>
      </c>
      <c r="D4767" t="inlineStr">
        <is>
          <t>JÄMTLANDS LÄN</t>
        </is>
      </c>
      <c r="E4767" t="inlineStr">
        <is>
          <t>STRÖMSUND</t>
        </is>
      </c>
      <c r="F4767" t="inlineStr">
        <is>
          <t>Sveaskog</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49210-2021</t>
        </is>
      </c>
      <c r="B4768" s="1" t="n">
        <v>44454</v>
      </c>
      <c r="C4768" s="1" t="n">
        <v>45363</v>
      </c>
      <c r="D4768" t="inlineStr">
        <is>
          <t>JÄMTLANDS LÄN</t>
        </is>
      </c>
      <c r="E4768" t="inlineStr">
        <is>
          <t>STRÖMSUND</t>
        </is>
      </c>
      <c r="F4768" t="inlineStr">
        <is>
          <t>Sveaskog</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49208-2021</t>
        </is>
      </c>
      <c r="B4769" s="1" t="n">
        <v>44454</v>
      </c>
      <c r="C4769" s="1" t="n">
        <v>45363</v>
      </c>
      <c r="D4769" t="inlineStr">
        <is>
          <t>JÄMTLANDS LÄN</t>
        </is>
      </c>
      <c r="E4769" t="inlineStr">
        <is>
          <t>STRÖMSUND</t>
        </is>
      </c>
      <c r="F4769" t="inlineStr">
        <is>
          <t>Sveaskog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49212-2021</t>
        </is>
      </c>
      <c r="B4770" s="1" t="n">
        <v>44454</v>
      </c>
      <c r="C4770" s="1" t="n">
        <v>45363</v>
      </c>
      <c r="D4770" t="inlineStr">
        <is>
          <t>JÄMTLANDS LÄN</t>
        </is>
      </c>
      <c r="E4770" t="inlineStr">
        <is>
          <t>STRÖMSUND</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49206-2021</t>
        </is>
      </c>
      <c r="B4771" s="1" t="n">
        <v>44454</v>
      </c>
      <c r="C4771" s="1" t="n">
        <v>45363</v>
      </c>
      <c r="D4771" t="inlineStr">
        <is>
          <t>JÄMTLANDS LÄN</t>
        </is>
      </c>
      <c r="E4771" t="inlineStr">
        <is>
          <t>STRÖMSUND</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49620-2021</t>
        </is>
      </c>
      <c r="B4772" s="1" t="n">
        <v>44455</v>
      </c>
      <c r="C4772" s="1" t="n">
        <v>45363</v>
      </c>
      <c r="D4772" t="inlineStr">
        <is>
          <t>JÄMTLANDS LÄN</t>
        </is>
      </c>
      <c r="E4772" t="inlineStr">
        <is>
          <t>STRÖMSUND</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49929-2021</t>
        </is>
      </c>
      <c r="B4773" s="1" t="n">
        <v>44456</v>
      </c>
      <c r="C4773" s="1" t="n">
        <v>45363</v>
      </c>
      <c r="D4773" t="inlineStr">
        <is>
          <t>JÄMTLANDS LÄN</t>
        </is>
      </c>
      <c r="E4773" t="inlineStr">
        <is>
          <t>STRÖMSUND</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50453-2021</t>
        </is>
      </c>
      <c r="B4774" s="1" t="n">
        <v>44455</v>
      </c>
      <c r="C4774" s="1" t="n">
        <v>45363</v>
      </c>
      <c r="D4774" t="inlineStr">
        <is>
          <t>JÄMTLANDS LÄN</t>
        </is>
      </c>
      <c r="E4774" t="inlineStr">
        <is>
          <t>BERG</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49937-2021</t>
        </is>
      </c>
      <c r="B4775" s="1" t="n">
        <v>44455</v>
      </c>
      <c r="C4775" s="1" t="n">
        <v>45363</v>
      </c>
      <c r="D4775" t="inlineStr">
        <is>
          <t>JÄMTLANDS LÄN</t>
        </is>
      </c>
      <c r="E4775" t="inlineStr">
        <is>
          <t>BRÄCKE</t>
        </is>
      </c>
      <c r="F4775" t="inlineStr">
        <is>
          <t>SCA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50020-2021</t>
        </is>
      </c>
      <c r="B4776" s="1" t="n">
        <v>44456</v>
      </c>
      <c r="C4776" s="1" t="n">
        <v>45363</v>
      </c>
      <c r="D4776" t="inlineStr">
        <is>
          <t>JÄMTLANDS LÄN</t>
        </is>
      </c>
      <c r="E4776" t="inlineStr">
        <is>
          <t>STRÖMSUND</t>
        </is>
      </c>
      <c r="F4776" t="inlineStr">
        <is>
          <t>Sveaskog</t>
        </is>
      </c>
      <c r="G4776" t="n">
        <v>18.7</v>
      </c>
      <c r="H4776" t="n">
        <v>0</v>
      </c>
      <c r="I4776" t="n">
        <v>0</v>
      </c>
      <c r="J4776" t="n">
        <v>0</v>
      </c>
      <c r="K4776" t="n">
        <v>0</v>
      </c>
      <c r="L4776" t="n">
        <v>0</v>
      </c>
      <c r="M4776" t="n">
        <v>0</v>
      </c>
      <c r="N4776" t="n">
        <v>0</v>
      </c>
      <c r="O4776" t="n">
        <v>0</v>
      </c>
      <c r="P4776" t="n">
        <v>0</v>
      </c>
      <c r="Q4776" t="n">
        <v>0</v>
      </c>
      <c r="R4776" s="2" t="inlineStr"/>
    </row>
    <row r="4777" ht="15" customHeight="1">
      <c r="A4777" t="inlineStr">
        <is>
          <t>A 50025-2021</t>
        </is>
      </c>
      <c r="B4777" s="1" t="n">
        <v>44456</v>
      </c>
      <c r="C4777" s="1" t="n">
        <v>45363</v>
      </c>
      <c r="D4777" t="inlineStr">
        <is>
          <t>JÄMTLANDS LÄN</t>
        </is>
      </c>
      <c r="E4777" t="inlineStr">
        <is>
          <t>STRÖMSUND</t>
        </is>
      </c>
      <c r="F4777" t="inlineStr">
        <is>
          <t>Sveaskog</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50034-2021</t>
        </is>
      </c>
      <c r="B4778" s="1" t="n">
        <v>44456</v>
      </c>
      <c r="C4778" s="1" t="n">
        <v>45363</v>
      </c>
      <c r="D4778" t="inlineStr">
        <is>
          <t>JÄMTLANDS LÄN</t>
        </is>
      </c>
      <c r="E4778" t="inlineStr">
        <is>
          <t>STRÖMSUND</t>
        </is>
      </c>
      <c r="F4778" t="inlineStr">
        <is>
          <t>Sveaskog</t>
        </is>
      </c>
      <c r="G4778" t="n">
        <v>12.9</v>
      </c>
      <c r="H4778" t="n">
        <v>0</v>
      </c>
      <c r="I4778" t="n">
        <v>0</v>
      </c>
      <c r="J4778" t="n">
        <v>0</v>
      </c>
      <c r="K4778" t="n">
        <v>0</v>
      </c>
      <c r="L4778" t="n">
        <v>0</v>
      </c>
      <c r="M4778" t="n">
        <v>0</v>
      </c>
      <c r="N4778" t="n">
        <v>0</v>
      </c>
      <c r="O4778" t="n">
        <v>0</v>
      </c>
      <c r="P4778" t="n">
        <v>0</v>
      </c>
      <c r="Q4778" t="n">
        <v>0</v>
      </c>
      <c r="R4778" s="2" t="inlineStr"/>
    </row>
    <row r="4779" ht="15" customHeight="1">
      <c r="A4779" t="inlineStr">
        <is>
          <t>A 50029-2021</t>
        </is>
      </c>
      <c r="B4779" s="1" t="n">
        <v>44456</v>
      </c>
      <c r="C4779" s="1" t="n">
        <v>45363</v>
      </c>
      <c r="D4779" t="inlineStr">
        <is>
          <t>JÄMTLANDS LÄN</t>
        </is>
      </c>
      <c r="E4779" t="inlineStr">
        <is>
          <t>STRÖMSUND</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50037-2021</t>
        </is>
      </c>
      <c r="B4780" s="1" t="n">
        <v>44456</v>
      </c>
      <c r="C4780" s="1" t="n">
        <v>45363</v>
      </c>
      <c r="D4780" t="inlineStr">
        <is>
          <t>JÄMTLANDS LÄN</t>
        </is>
      </c>
      <c r="E4780" t="inlineStr">
        <is>
          <t>STRÖMSUND</t>
        </is>
      </c>
      <c r="F4780" t="inlineStr">
        <is>
          <t>Sveaskog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50022-2021</t>
        </is>
      </c>
      <c r="B4781" s="1" t="n">
        <v>44456</v>
      </c>
      <c r="C4781" s="1" t="n">
        <v>45363</v>
      </c>
      <c r="D4781" t="inlineStr">
        <is>
          <t>JÄMTLANDS LÄN</t>
        </is>
      </c>
      <c r="E4781" t="inlineStr">
        <is>
          <t>STRÖMSUND</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50028-2021</t>
        </is>
      </c>
      <c r="B4782" s="1" t="n">
        <v>44456</v>
      </c>
      <c r="C4782" s="1" t="n">
        <v>45363</v>
      </c>
      <c r="D4782" t="inlineStr">
        <is>
          <t>JÄMTLANDS LÄN</t>
        </is>
      </c>
      <c r="E4782" t="inlineStr">
        <is>
          <t>STRÖMSUND</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50099-2021</t>
        </is>
      </c>
      <c r="B4783" s="1" t="n">
        <v>44456</v>
      </c>
      <c r="C4783" s="1" t="n">
        <v>45363</v>
      </c>
      <c r="D4783" t="inlineStr">
        <is>
          <t>JÄMTLANDS LÄN</t>
        </is>
      </c>
      <c r="E4783" t="inlineStr">
        <is>
          <t>ÅRE</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50176-2021</t>
        </is>
      </c>
      <c r="B4784" s="1" t="n">
        <v>44457</v>
      </c>
      <c r="C4784" s="1" t="n">
        <v>45363</v>
      </c>
      <c r="D4784" t="inlineStr">
        <is>
          <t>JÄMTLANDS LÄN</t>
        </is>
      </c>
      <c r="E4784" t="inlineStr">
        <is>
          <t>STRÖMSUND</t>
        </is>
      </c>
      <c r="F4784" t="inlineStr">
        <is>
          <t>SCA</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50168-2021</t>
        </is>
      </c>
      <c r="B4785" s="1" t="n">
        <v>44457</v>
      </c>
      <c r="C4785" s="1" t="n">
        <v>45363</v>
      </c>
      <c r="D4785" t="inlineStr">
        <is>
          <t>JÄMTLANDS LÄN</t>
        </is>
      </c>
      <c r="E4785" t="inlineStr">
        <is>
          <t>RAGUNDA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50179-2021</t>
        </is>
      </c>
      <c r="B4786" s="1" t="n">
        <v>44456</v>
      </c>
      <c r="C4786" s="1" t="n">
        <v>45363</v>
      </c>
      <c r="D4786" t="inlineStr">
        <is>
          <t>JÄMTLANDS LÄN</t>
        </is>
      </c>
      <c r="E4786" t="inlineStr">
        <is>
          <t>STRÖMSUND</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50177-2021</t>
        </is>
      </c>
      <c r="B4787" s="1" t="n">
        <v>44456</v>
      </c>
      <c r="C4787" s="1" t="n">
        <v>45363</v>
      </c>
      <c r="D4787" t="inlineStr">
        <is>
          <t>JÄMTLANDS LÄN</t>
        </is>
      </c>
      <c r="E4787" t="inlineStr">
        <is>
          <t>KROKOM</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50180-2021</t>
        </is>
      </c>
      <c r="B4788" s="1" t="n">
        <v>44456</v>
      </c>
      <c r="C4788" s="1" t="n">
        <v>45363</v>
      </c>
      <c r="D4788" t="inlineStr">
        <is>
          <t>JÄMTLANDS LÄN</t>
        </is>
      </c>
      <c r="E4788" t="inlineStr">
        <is>
          <t>STRÖMSUND</t>
        </is>
      </c>
      <c r="F4788" t="inlineStr">
        <is>
          <t>SCA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50023-2021</t>
        </is>
      </c>
      <c r="B4789" s="1" t="n">
        <v>44456</v>
      </c>
      <c r="C4789" s="1" t="n">
        <v>45363</v>
      </c>
      <c r="D4789" t="inlineStr">
        <is>
          <t>JÄMTLANDS LÄN</t>
        </is>
      </c>
      <c r="E4789" t="inlineStr">
        <is>
          <t>STRÖMSUND</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50476-2021</t>
        </is>
      </c>
      <c r="B4790" s="1" t="n">
        <v>44459</v>
      </c>
      <c r="C4790" s="1" t="n">
        <v>45363</v>
      </c>
      <c r="D4790" t="inlineStr">
        <is>
          <t>JÄMTLANDS LÄN</t>
        </is>
      </c>
      <c r="E4790" t="inlineStr">
        <is>
          <t>KROKOM</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50780-2021</t>
        </is>
      </c>
      <c r="B4791" s="1" t="n">
        <v>44459</v>
      </c>
      <c r="C4791" s="1" t="n">
        <v>45363</v>
      </c>
      <c r="D4791" t="inlineStr">
        <is>
          <t>JÄMTLANDS LÄN</t>
        </is>
      </c>
      <c r="E4791" t="inlineStr">
        <is>
          <t>BERG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50887-2021</t>
        </is>
      </c>
      <c r="B4792" s="1" t="n">
        <v>44459</v>
      </c>
      <c r="C4792" s="1" t="n">
        <v>45363</v>
      </c>
      <c r="D4792" t="inlineStr">
        <is>
          <t>JÄMTLANDS LÄN</t>
        </is>
      </c>
      <c r="E4792" t="inlineStr">
        <is>
          <t>KROKOM</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50775-2021</t>
        </is>
      </c>
      <c r="B4793" s="1" t="n">
        <v>44460</v>
      </c>
      <c r="C4793" s="1" t="n">
        <v>45363</v>
      </c>
      <c r="D4793" t="inlineStr">
        <is>
          <t>JÄMTLANDS LÄN</t>
        </is>
      </c>
      <c r="E4793" t="inlineStr">
        <is>
          <t>HÄRJEDALEN</t>
        </is>
      </c>
      <c r="F4793" t="inlineStr">
        <is>
          <t>Bergvik skog väst AB</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50890-2021</t>
        </is>
      </c>
      <c r="B4794" s="1" t="n">
        <v>44460</v>
      </c>
      <c r="C4794" s="1" t="n">
        <v>45363</v>
      </c>
      <c r="D4794" t="inlineStr">
        <is>
          <t>JÄMTLANDS LÄN</t>
        </is>
      </c>
      <c r="E4794" t="inlineStr">
        <is>
          <t>STRÖMSUND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50790-2021</t>
        </is>
      </c>
      <c r="B4795" s="1" t="n">
        <v>44460</v>
      </c>
      <c r="C4795" s="1" t="n">
        <v>45363</v>
      </c>
      <c r="D4795" t="inlineStr">
        <is>
          <t>JÄMTLANDS LÄN</t>
        </is>
      </c>
      <c r="E4795" t="inlineStr">
        <is>
          <t>KROKOM</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51095-2021</t>
        </is>
      </c>
      <c r="B4796" s="1" t="n">
        <v>44461</v>
      </c>
      <c r="C4796" s="1" t="n">
        <v>45363</v>
      </c>
      <c r="D4796" t="inlineStr">
        <is>
          <t>JÄMTLANDS LÄN</t>
        </is>
      </c>
      <c r="E4796" t="inlineStr">
        <is>
          <t>BRÄCKE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51042-2021</t>
        </is>
      </c>
      <c r="B4797" s="1" t="n">
        <v>44461</v>
      </c>
      <c r="C4797" s="1" t="n">
        <v>45363</v>
      </c>
      <c r="D4797" t="inlineStr">
        <is>
          <t>JÄMTLANDS LÄN</t>
        </is>
      </c>
      <c r="E4797" t="inlineStr">
        <is>
          <t>ÅRE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51040-2021</t>
        </is>
      </c>
      <c r="B4798" s="1" t="n">
        <v>44461</v>
      </c>
      <c r="C4798" s="1" t="n">
        <v>45363</v>
      </c>
      <c r="D4798" t="inlineStr">
        <is>
          <t>JÄMTLANDS LÄN</t>
        </is>
      </c>
      <c r="E4798" t="inlineStr">
        <is>
          <t>ÅRE</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51446-2021</t>
        </is>
      </c>
      <c r="B4799" s="1" t="n">
        <v>44461</v>
      </c>
      <c r="C4799" s="1" t="n">
        <v>45363</v>
      </c>
      <c r="D4799" t="inlineStr">
        <is>
          <t>JÄMTLANDS LÄN</t>
        </is>
      </c>
      <c r="E4799" t="inlineStr">
        <is>
          <t>STRÖMSUND</t>
        </is>
      </c>
      <c r="F4799" t="inlineStr">
        <is>
          <t>SCA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51951-2021</t>
        </is>
      </c>
      <c r="B4800" s="1" t="n">
        <v>44462</v>
      </c>
      <c r="C4800" s="1" t="n">
        <v>45363</v>
      </c>
      <c r="D4800" t="inlineStr">
        <is>
          <t>JÄMTLANDS LÄN</t>
        </is>
      </c>
      <c r="E4800" t="inlineStr">
        <is>
          <t>BERG</t>
        </is>
      </c>
      <c r="F4800" t="inlineStr">
        <is>
          <t>SCA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51957-2021</t>
        </is>
      </c>
      <c r="B4801" s="1" t="n">
        <v>44463</v>
      </c>
      <c r="C4801" s="1" t="n">
        <v>45363</v>
      </c>
      <c r="D4801" t="inlineStr">
        <is>
          <t>JÄMTLANDS LÄN</t>
        </is>
      </c>
      <c r="E4801" t="inlineStr">
        <is>
          <t>BRÄCKE</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51954-2021</t>
        </is>
      </c>
      <c r="B4802" s="1" t="n">
        <v>44463</v>
      </c>
      <c r="C4802" s="1" t="n">
        <v>45363</v>
      </c>
      <c r="D4802" t="inlineStr">
        <is>
          <t>JÄMTLANDS LÄN</t>
        </is>
      </c>
      <c r="E4802" t="inlineStr">
        <is>
          <t>STRÖMSUND</t>
        </is>
      </c>
      <c r="F4802" t="inlineStr">
        <is>
          <t>SCA</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51953-2021</t>
        </is>
      </c>
      <c r="B4803" s="1" t="n">
        <v>44463</v>
      </c>
      <c r="C4803" s="1" t="n">
        <v>45363</v>
      </c>
      <c r="D4803" t="inlineStr">
        <is>
          <t>JÄMTLANDS LÄN</t>
        </is>
      </c>
      <c r="E4803" t="inlineStr">
        <is>
          <t>STRÖMSUND</t>
        </is>
      </c>
      <c r="F4803" t="inlineStr">
        <is>
          <t>SCA</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52022-2021</t>
        </is>
      </c>
      <c r="B4804" s="1" t="n">
        <v>44463</v>
      </c>
      <c r="C4804" s="1" t="n">
        <v>45363</v>
      </c>
      <c r="D4804" t="inlineStr">
        <is>
          <t>JÄMTLANDS LÄN</t>
        </is>
      </c>
      <c r="E4804" t="inlineStr">
        <is>
          <t>BRÄCKE</t>
        </is>
      </c>
      <c r="G4804" t="n">
        <v>8.4</v>
      </c>
      <c r="H4804" t="n">
        <v>0</v>
      </c>
      <c r="I4804" t="n">
        <v>0</v>
      </c>
      <c r="J4804" t="n">
        <v>0</v>
      </c>
      <c r="K4804" t="n">
        <v>0</v>
      </c>
      <c r="L4804" t="n">
        <v>0</v>
      </c>
      <c r="M4804" t="n">
        <v>0</v>
      </c>
      <c r="N4804" t="n">
        <v>0</v>
      </c>
      <c r="O4804" t="n">
        <v>0</v>
      </c>
      <c r="P4804" t="n">
        <v>0</v>
      </c>
      <c r="Q4804" t="n">
        <v>0</v>
      </c>
      <c r="R4804" s="2" t="inlineStr"/>
    </row>
    <row r="4805" ht="15" customHeight="1">
      <c r="A4805" t="inlineStr">
        <is>
          <t>A 52327-2021</t>
        </is>
      </c>
      <c r="B4805" s="1" t="n">
        <v>44463</v>
      </c>
      <c r="C4805" s="1" t="n">
        <v>45363</v>
      </c>
      <c r="D4805" t="inlineStr">
        <is>
          <t>JÄMTLANDS LÄN</t>
        </is>
      </c>
      <c r="E4805" t="inlineStr">
        <is>
          <t>STRÖMSUND</t>
        </is>
      </c>
      <c r="F4805" t="inlineStr">
        <is>
          <t>SCA</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52334-2021</t>
        </is>
      </c>
      <c r="B4806" s="1" t="n">
        <v>44464</v>
      </c>
      <c r="C4806" s="1" t="n">
        <v>45363</v>
      </c>
      <c r="D4806" t="inlineStr">
        <is>
          <t>JÄMTLANDS LÄN</t>
        </is>
      </c>
      <c r="E4806" t="inlineStr">
        <is>
          <t>RAGUNDA</t>
        </is>
      </c>
      <c r="F4806" t="inlineStr">
        <is>
          <t>SCA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52323-2021</t>
        </is>
      </c>
      <c r="B4807" s="1" t="n">
        <v>44464</v>
      </c>
      <c r="C4807" s="1" t="n">
        <v>45363</v>
      </c>
      <c r="D4807" t="inlineStr">
        <is>
          <t>JÄMTLANDS LÄN</t>
        </is>
      </c>
      <c r="E4807" t="inlineStr">
        <is>
          <t>BRÄCKE</t>
        </is>
      </c>
      <c r="F4807" t="inlineStr">
        <is>
          <t>SCA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52333-2021</t>
        </is>
      </c>
      <c r="B4808" s="1" t="n">
        <v>44464</v>
      </c>
      <c r="C4808" s="1" t="n">
        <v>45363</v>
      </c>
      <c r="D4808" t="inlineStr">
        <is>
          <t>JÄMTLANDS LÄN</t>
        </is>
      </c>
      <c r="E4808" t="inlineStr">
        <is>
          <t>RAGUNDA</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52397-2021</t>
        </is>
      </c>
      <c r="B4809" s="1" t="n">
        <v>44463</v>
      </c>
      <c r="C4809" s="1" t="n">
        <v>45363</v>
      </c>
      <c r="D4809" t="inlineStr">
        <is>
          <t>JÄMTLANDS LÄN</t>
        </is>
      </c>
      <c r="E4809" t="inlineStr">
        <is>
          <t>STRÖMSUND</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52332-2021</t>
        </is>
      </c>
      <c r="B4810" s="1" t="n">
        <v>44463</v>
      </c>
      <c r="C4810" s="1" t="n">
        <v>45363</v>
      </c>
      <c r="D4810" t="inlineStr">
        <is>
          <t>JÄMTLANDS LÄN</t>
        </is>
      </c>
      <c r="E4810" t="inlineStr">
        <is>
          <t>STRÖMSUND</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52427-2021</t>
        </is>
      </c>
      <c r="B4811" s="1" t="n">
        <v>44466</v>
      </c>
      <c r="C4811" s="1" t="n">
        <v>45363</v>
      </c>
      <c r="D4811" t="inlineStr">
        <is>
          <t>JÄMTLANDS LÄN</t>
        </is>
      </c>
      <c r="E4811" t="inlineStr">
        <is>
          <t>ÅRE</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52557-2021</t>
        </is>
      </c>
      <c r="B4812" s="1" t="n">
        <v>44466</v>
      </c>
      <c r="C4812" s="1" t="n">
        <v>45363</v>
      </c>
      <c r="D4812" t="inlineStr">
        <is>
          <t>JÄMTLANDS LÄN</t>
        </is>
      </c>
      <c r="E4812" t="inlineStr">
        <is>
          <t>KROKOM</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52399-2021</t>
        </is>
      </c>
      <c r="B4813" s="1" t="n">
        <v>44466</v>
      </c>
      <c r="C4813" s="1" t="n">
        <v>45363</v>
      </c>
      <c r="D4813" t="inlineStr">
        <is>
          <t>JÄMTLANDS LÄN</t>
        </is>
      </c>
      <c r="E4813" t="inlineStr">
        <is>
          <t>STRÖMSUND</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52578-2021</t>
        </is>
      </c>
      <c r="B4814" s="1" t="n">
        <v>44466</v>
      </c>
      <c r="C4814" s="1" t="n">
        <v>45363</v>
      </c>
      <c r="D4814" t="inlineStr">
        <is>
          <t>JÄMTLANDS LÄN</t>
        </is>
      </c>
      <c r="E4814" t="inlineStr">
        <is>
          <t>KROKOM</t>
        </is>
      </c>
      <c r="G4814" t="n">
        <v>17.1</v>
      </c>
      <c r="H4814" t="n">
        <v>0</v>
      </c>
      <c r="I4814" t="n">
        <v>0</v>
      </c>
      <c r="J4814" t="n">
        <v>0</v>
      </c>
      <c r="K4814" t="n">
        <v>0</v>
      </c>
      <c r="L4814" t="n">
        <v>0</v>
      </c>
      <c r="M4814" t="n">
        <v>0</v>
      </c>
      <c r="N4814" t="n">
        <v>0</v>
      </c>
      <c r="O4814" t="n">
        <v>0</v>
      </c>
      <c r="P4814" t="n">
        <v>0</v>
      </c>
      <c r="Q4814" t="n">
        <v>0</v>
      </c>
      <c r="R4814" s="2" t="inlineStr"/>
    </row>
    <row r="4815" ht="15" customHeight="1">
      <c r="A4815" t="inlineStr">
        <is>
          <t>A 52685-2021</t>
        </is>
      </c>
      <c r="B4815" s="1" t="n">
        <v>44466</v>
      </c>
      <c r="C4815" s="1" t="n">
        <v>45363</v>
      </c>
      <c r="D4815" t="inlineStr">
        <is>
          <t>JÄMTLANDS LÄN</t>
        </is>
      </c>
      <c r="E4815" t="inlineStr">
        <is>
          <t>HÄRJEDALEN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52718-2021</t>
        </is>
      </c>
      <c r="B4816" s="1" t="n">
        <v>44467</v>
      </c>
      <c r="C4816" s="1" t="n">
        <v>45363</v>
      </c>
      <c r="D4816" t="inlineStr">
        <is>
          <t>JÄMTLANDS LÄN</t>
        </is>
      </c>
      <c r="E4816" t="inlineStr">
        <is>
          <t>STRÖMSUND</t>
        </is>
      </c>
      <c r="F4816" t="inlineStr">
        <is>
          <t>SCA</t>
        </is>
      </c>
      <c r="G4816" t="n">
        <v>14.3</v>
      </c>
      <c r="H4816" t="n">
        <v>0</v>
      </c>
      <c r="I4816" t="n">
        <v>0</v>
      </c>
      <c r="J4816" t="n">
        <v>0</v>
      </c>
      <c r="K4816" t="n">
        <v>0</v>
      </c>
      <c r="L4816" t="n">
        <v>0</v>
      </c>
      <c r="M4816" t="n">
        <v>0</v>
      </c>
      <c r="N4816" t="n">
        <v>0</v>
      </c>
      <c r="O4816" t="n">
        <v>0</v>
      </c>
      <c r="P4816" t="n">
        <v>0</v>
      </c>
      <c r="Q4816" t="n">
        <v>0</v>
      </c>
      <c r="R4816" s="2" t="inlineStr"/>
    </row>
    <row r="4817" ht="15" customHeight="1">
      <c r="A4817" t="inlineStr">
        <is>
          <t>A 52707-2021</t>
        </is>
      </c>
      <c r="B4817" s="1" t="n">
        <v>44467</v>
      </c>
      <c r="C4817" s="1" t="n">
        <v>45363</v>
      </c>
      <c r="D4817" t="inlineStr">
        <is>
          <t>JÄMTLANDS LÄN</t>
        </is>
      </c>
      <c r="E4817" t="inlineStr">
        <is>
          <t>STRÖMSUND</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52969-2021</t>
        </is>
      </c>
      <c r="B4818" s="1" t="n">
        <v>44466</v>
      </c>
      <c r="C4818" s="1" t="n">
        <v>45363</v>
      </c>
      <c r="D4818" t="inlineStr">
        <is>
          <t>JÄMTLANDS LÄN</t>
        </is>
      </c>
      <c r="E4818" t="inlineStr">
        <is>
          <t>STRÖMSUND</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52913-2021</t>
        </is>
      </c>
      <c r="B4819" s="1" t="n">
        <v>44466</v>
      </c>
      <c r="C4819" s="1" t="n">
        <v>45363</v>
      </c>
      <c r="D4819" t="inlineStr">
        <is>
          <t>JÄMTLANDS LÄN</t>
        </is>
      </c>
      <c r="E4819" t="inlineStr">
        <is>
          <t>ÖSTERSUND</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53191-2021</t>
        </is>
      </c>
      <c r="B4820" s="1" t="n">
        <v>44468</v>
      </c>
      <c r="C4820" s="1" t="n">
        <v>45363</v>
      </c>
      <c r="D4820" t="inlineStr">
        <is>
          <t>JÄMTLANDS LÄN</t>
        </is>
      </c>
      <c r="E4820" t="inlineStr">
        <is>
          <t>KROKOM</t>
        </is>
      </c>
      <c r="F4820" t="inlineStr">
        <is>
          <t>Kyrkan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53420-2021</t>
        </is>
      </c>
      <c r="B4821" s="1" t="n">
        <v>44468</v>
      </c>
      <c r="C4821" s="1" t="n">
        <v>45363</v>
      </c>
      <c r="D4821" t="inlineStr">
        <is>
          <t>JÄMTLANDS LÄN</t>
        </is>
      </c>
      <c r="E4821" t="inlineStr">
        <is>
          <t>STRÖMSUND</t>
        </is>
      </c>
      <c r="F4821" t="inlineStr">
        <is>
          <t>Holmen skog AB</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53518-2021</t>
        </is>
      </c>
      <c r="B4822" s="1" t="n">
        <v>44468</v>
      </c>
      <c r="C4822" s="1" t="n">
        <v>45363</v>
      </c>
      <c r="D4822" t="inlineStr">
        <is>
          <t>JÄMTLANDS LÄN</t>
        </is>
      </c>
      <c r="E4822" t="inlineStr">
        <is>
          <t>STRÖMSUND</t>
        </is>
      </c>
      <c r="F4822" t="inlineStr">
        <is>
          <t>SCA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53513-2021</t>
        </is>
      </c>
      <c r="B4823" s="1" t="n">
        <v>44468</v>
      </c>
      <c r="C4823" s="1" t="n">
        <v>45363</v>
      </c>
      <c r="D4823" t="inlineStr">
        <is>
          <t>JÄMTLANDS LÄN</t>
        </is>
      </c>
      <c r="E4823" t="inlineStr">
        <is>
          <t>STRÖMSUND</t>
        </is>
      </c>
      <c r="F4823" t="inlineStr">
        <is>
          <t>SCA</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53516-2021</t>
        </is>
      </c>
      <c r="B4824" s="1" t="n">
        <v>44468</v>
      </c>
      <c r="C4824" s="1" t="n">
        <v>45363</v>
      </c>
      <c r="D4824" t="inlineStr">
        <is>
          <t>JÄMTLANDS LÄN</t>
        </is>
      </c>
      <c r="E4824" t="inlineStr">
        <is>
          <t>BRÄCKE</t>
        </is>
      </c>
      <c r="F4824" t="inlineStr">
        <is>
          <t>SCA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53612-2021</t>
        </is>
      </c>
      <c r="B4825" s="1" t="n">
        <v>44469</v>
      </c>
      <c r="C4825" s="1" t="n">
        <v>45363</v>
      </c>
      <c r="D4825" t="inlineStr">
        <is>
          <t>JÄMTLANDS LÄN</t>
        </is>
      </c>
      <c r="E4825" t="inlineStr">
        <is>
          <t>BRÄCKE</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53949-2021</t>
        </is>
      </c>
      <c r="B4826" s="1" t="n">
        <v>44470</v>
      </c>
      <c r="C4826" s="1" t="n">
        <v>45363</v>
      </c>
      <c r="D4826" t="inlineStr">
        <is>
          <t>JÄMTLANDS LÄN</t>
        </is>
      </c>
      <c r="E4826" t="inlineStr">
        <is>
          <t>BRÄCKE</t>
        </is>
      </c>
      <c r="F4826" t="inlineStr">
        <is>
          <t>SCA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54039-2021</t>
        </is>
      </c>
      <c r="B4827" s="1" t="n">
        <v>44470</v>
      </c>
      <c r="C4827" s="1" t="n">
        <v>45363</v>
      </c>
      <c r="D4827" t="inlineStr">
        <is>
          <t>JÄMTLANDS LÄN</t>
        </is>
      </c>
      <c r="E4827" t="inlineStr">
        <is>
          <t>KROKOM</t>
        </is>
      </c>
      <c r="G4827" t="n">
        <v>9.9</v>
      </c>
      <c r="H4827" t="n">
        <v>0</v>
      </c>
      <c r="I4827" t="n">
        <v>0</v>
      </c>
      <c r="J4827" t="n">
        <v>0</v>
      </c>
      <c r="K4827" t="n">
        <v>0</v>
      </c>
      <c r="L4827" t="n">
        <v>0</v>
      </c>
      <c r="M4827" t="n">
        <v>0</v>
      </c>
      <c r="N4827" t="n">
        <v>0</v>
      </c>
      <c r="O4827" t="n">
        <v>0</v>
      </c>
      <c r="P4827" t="n">
        <v>0</v>
      </c>
      <c r="Q4827" t="n">
        <v>0</v>
      </c>
      <c r="R4827" s="2" t="inlineStr"/>
    </row>
    <row r="4828" ht="15" customHeight="1">
      <c r="A4828" t="inlineStr">
        <is>
          <t>A 54035-2021</t>
        </is>
      </c>
      <c r="B4828" s="1" t="n">
        <v>44470</v>
      </c>
      <c r="C4828" s="1" t="n">
        <v>45363</v>
      </c>
      <c r="D4828" t="inlineStr">
        <is>
          <t>JÄMTLANDS LÄN</t>
        </is>
      </c>
      <c r="E4828" t="inlineStr">
        <is>
          <t>BRÄCKE</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54037-2021</t>
        </is>
      </c>
      <c r="B4829" s="1" t="n">
        <v>44470</v>
      </c>
      <c r="C4829" s="1" t="n">
        <v>45363</v>
      </c>
      <c r="D4829" t="inlineStr">
        <is>
          <t>JÄMTLANDS LÄN</t>
        </is>
      </c>
      <c r="E4829" t="inlineStr">
        <is>
          <t>KROKOM</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54050-2021</t>
        </is>
      </c>
      <c r="B4830" s="1" t="n">
        <v>44470</v>
      </c>
      <c r="C4830" s="1" t="n">
        <v>45363</v>
      </c>
      <c r="D4830" t="inlineStr">
        <is>
          <t>JÄMTLANDS LÄN</t>
        </is>
      </c>
      <c r="E4830" t="inlineStr">
        <is>
          <t>STRÖMSUND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54117-2021</t>
        </is>
      </c>
      <c r="B4831" s="1" t="n">
        <v>44470</v>
      </c>
      <c r="C4831" s="1" t="n">
        <v>45363</v>
      </c>
      <c r="D4831" t="inlineStr">
        <is>
          <t>JÄMTLANDS LÄN</t>
        </is>
      </c>
      <c r="E4831" t="inlineStr">
        <is>
          <t>STRÖMSUND</t>
        </is>
      </c>
      <c r="F4831" t="inlineStr">
        <is>
          <t>Holmen skog AB</t>
        </is>
      </c>
      <c r="G4831" t="n">
        <v>10.3</v>
      </c>
      <c r="H4831" t="n">
        <v>0</v>
      </c>
      <c r="I4831" t="n">
        <v>0</v>
      </c>
      <c r="J4831" t="n">
        <v>0</v>
      </c>
      <c r="K4831" t="n">
        <v>0</v>
      </c>
      <c r="L4831" t="n">
        <v>0</v>
      </c>
      <c r="M4831" t="n">
        <v>0</v>
      </c>
      <c r="N4831" t="n">
        <v>0</v>
      </c>
      <c r="O4831" t="n">
        <v>0</v>
      </c>
      <c r="P4831" t="n">
        <v>0</v>
      </c>
      <c r="Q4831" t="n">
        <v>0</v>
      </c>
      <c r="R4831" s="2" t="inlineStr"/>
    </row>
    <row r="4832" ht="15" customHeight="1">
      <c r="A4832" t="inlineStr">
        <is>
          <t>A 54103-2021</t>
        </is>
      </c>
      <c r="B4832" s="1" t="n">
        <v>44470</v>
      </c>
      <c r="C4832" s="1" t="n">
        <v>45363</v>
      </c>
      <c r="D4832" t="inlineStr">
        <is>
          <t>JÄMTLANDS LÄN</t>
        </is>
      </c>
      <c r="E4832" t="inlineStr">
        <is>
          <t>HÄRJEDALEN</t>
        </is>
      </c>
      <c r="F4832" t="inlineStr">
        <is>
          <t>Holmen skog AB</t>
        </is>
      </c>
      <c r="G4832" t="n">
        <v>11.9</v>
      </c>
      <c r="H4832" t="n">
        <v>0</v>
      </c>
      <c r="I4832" t="n">
        <v>0</v>
      </c>
      <c r="J4832" t="n">
        <v>0</v>
      </c>
      <c r="K4832" t="n">
        <v>0</v>
      </c>
      <c r="L4832" t="n">
        <v>0</v>
      </c>
      <c r="M4832" t="n">
        <v>0</v>
      </c>
      <c r="N4832" t="n">
        <v>0</v>
      </c>
      <c r="O4832" t="n">
        <v>0</v>
      </c>
      <c r="P4832" t="n">
        <v>0</v>
      </c>
      <c r="Q4832" t="n">
        <v>0</v>
      </c>
      <c r="R4832" s="2" t="inlineStr"/>
    </row>
    <row r="4833" ht="15" customHeight="1">
      <c r="A4833" t="inlineStr">
        <is>
          <t>A 54152-2021</t>
        </is>
      </c>
      <c r="B4833" s="1" t="n">
        <v>44470</v>
      </c>
      <c r="C4833" s="1" t="n">
        <v>45363</v>
      </c>
      <c r="D4833" t="inlineStr">
        <is>
          <t>JÄMTLANDS LÄN</t>
        </is>
      </c>
      <c r="E4833" t="inlineStr">
        <is>
          <t>KROKOM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54218-2021</t>
        </is>
      </c>
      <c r="B4834" s="1" t="n">
        <v>44470</v>
      </c>
      <c r="C4834" s="1" t="n">
        <v>45363</v>
      </c>
      <c r="D4834" t="inlineStr">
        <is>
          <t>JÄMTLANDS LÄN</t>
        </is>
      </c>
      <c r="E4834" t="inlineStr">
        <is>
          <t>HÄRJEDALEN</t>
        </is>
      </c>
      <c r="F4834" t="inlineStr">
        <is>
          <t>Holmen skog AB</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54331-2021</t>
        </is>
      </c>
      <c r="B4835" s="1" t="n">
        <v>44472</v>
      </c>
      <c r="C4835" s="1" t="n">
        <v>45363</v>
      </c>
      <c r="D4835" t="inlineStr">
        <is>
          <t>JÄMTLANDS LÄN</t>
        </is>
      </c>
      <c r="E4835" t="inlineStr">
        <is>
          <t>HÄRJEDALEN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54516-2021</t>
        </is>
      </c>
      <c r="B4836" s="1" t="n">
        <v>44473</v>
      </c>
      <c r="C4836" s="1" t="n">
        <v>45363</v>
      </c>
      <c r="D4836" t="inlineStr">
        <is>
          <t>JÄMTLANDS LÄN</t>
        </is>
      </c>
      <c r="E4836" t="inlineStr">
        <is>
          <t>KROKOM</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54420-2021</t>
        </is>
      </c>
      <c r="B4837" s="1" t="n">
        <v>44473</v>
      </c>
      <c r="C4837" s="1" t="n">
        <v>45363</v>
      </c>
      <c r="D4837" t="inlineStr">
        <is>
          <t>JÄMTLANDS LÄN</t>
        </is>
      </c>
      <c r="E4837" t="inlineStr">
        <is>
          <t>HÄRJEDALEN</t>
        </is>
      </c>
      <c r="F4837" t="inlineStr">
        <is>
          <t>Bergvik skog väst AB</t>
        </is>
      </c>
      <c r="G4837" t="n">
        <v>18.5</v>
      </c>
      <c r="H4837" t="n">
        <v>0</v>
      </c>
      <c r="I4837" t="n">
        <v>0</v>
      </c>
      <c r="J4837" t="n">
        <v>0</v>
      </c>
      <c r="K4837" t="n">
        <v>0</v>
      </c>
      <c r="L4837" t="n">
        <v>0</v>
      </c>
      <c r="M4837" t="n">
        <v>0</v>
      </c>
      <c r="N4837" t="n">
        <v>0</v>
      </c>
      <c r="O4837" t="n">
        <v>0</v>
      </c>
      <c r="P4837" t="n">
        <v>0</v>
      </c>
      <c r="Q4837" t="n">
        <v>0</v>
      </c>
      <c r="R4837" s="2" t="inlineStr"/>
    </row>
    <row r="4838" ht="15" customHeight="1">
      <c r="A4838" t="inlineStr">
        <is>
          <t>A 54438-2021</t>
        </is>
      </c>
      <c r="B4838" s="1" t="n">
        <v>44473</v>
      </c>
      <c r="C4838" s="1" t="n">
        <v>45363</v>
      </c>
      <c r="D4838" t="inlineStr">
        <is>
          <t>JÄMTLANDS LÄN</t>
        </is>
      </c>
      <c r="E4838" t="inlineStr">
        <is>
          <t>KROKOM</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54499-2021</t>
        </is>
      </c>
      <c r="B4839" s="1" t="n">
        <v>44473</v>
      </c>
      <c r="C4839" s="1" t="n">
        <v>45363</v>
      </c>
      <c r="D4839" t="inlineStr">
        <is>
          <t>JÄMTLANDS LÄN</t>
        </is>
      </c>
      <c r="E4839" t="inlineStr">
        <is>
          <t>KROKOM</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54497-2021</t>
        </is>
      </c>
      <c r="B4840" s="1" t="n">
        <v>44473</v>
      </c>
      <c r="C4840" s="1" t="n">
        <v>45363</v>
      </c>
      <c r="D4840" t="inlineStr">
        <is>
          <t>JÄMTLANDS LÄN</t>
        </is>
      </c>
      <c r="E4840" t="inlineStr">
        <is>
          <t>KROKOM</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54526-2021</t>
        </is>
      </c>
      <c r="B4841" s="1" t="n">
        <v>44473</v>
      </c>
      <c r="C4841" s="1" t="n">
        <v>45363</v>
      </c>
      <c r="D4841" t="inlineStr">
        <is>
          <t>JÄMTLANDS LÄN</t>
        </is>
      </c>
      <c r="E4841" t="inlineStr">
        <is>
          <t>KROKOM</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54573-2021</t>
        </is>
      </c>
      <c r="B4842" s="1" t="n">
        <v>44473</v>
      </c>
      <c r="C4842" s="1" t="n">
        <v>45363</v>
      </c>
      <c r="D4842" t="inlineStr">
        <is>
          <t>JÄMTLANDS LÄN</t>
        </is>
      </c>
      <c r="E4842" t="inlineStr">
        <is>
          <t>KROKOM</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54571-2021</t>
        </is>
      </c>
      <c r="B4843" s="1" t="n">
        <v>44473</v>
      </c>
      <c r="C4843" s="1" t="n">
        <v>45363</v>
      </c>
      <c r="D4843" t="inlineStr">
        <is>
          <t>JÄMTLANDS LÄN</t>
        </is>
      </c>
      <c r="E4843" t="inlineStr">
        <is>
          <t>BRÄCKE</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54766-2021</t>
        </is>
      </c>
      <c r="B4844" s="1" t="n">
        <v>44473</v>
      </c>
      <c r="C4844" s="1" t="n">
        <v>45363</v>
      </c>
      <c r="D4844" t="inlineStr">
        <is>
          <t>JÄMTLANDS LÄN</t>
        </is>
      </c>
      <c r="E4844" t="inlineStr">
        <is>
          <t>BERG</t>
        </is>
      </c>
      <c r="F4844" t="inlineStr">
        <is>
          <t>SCA</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54799-2021</t>
        </is>
      </c>
      <c r="B4845" s="1" t="n">
        <v>44473</v>
      </c>
      <c r="C4845" s="1" t="n">
        <v>45363</v>
      </c>
      <c r="D4845" t="inlineStr">
        <is>
          <t>JÄMTLANDS LÄN</t>
        </is>
      </c>
      <c r="E4845" t="inlineStr">
        <is>
          <t>BERG</t>
        </is>
      </c>
      <c r="F4845" t="inlineStr">
        <is>
          <t>SCA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54842-2021</t>
        </is>
      </c>
      <c r="B4846" s="1" t="n">
        <v>44473</v>
      </c>
      <c r="C4846" s="1" t="n">
        <v>45363</v>
      </c>
      <c r="D4846" t="inlineStr">
        <is>
          <t>JÄMTLANDS LÄN</t>
        </is>
      </c>
      <c r="E4846" t="inlineStr">
        <is>
          <t>HÄRJEDALEN</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54809-2021</t>
        </is>
      </c>
      <c r="B4847" s="1" t="n">
        <v>44474</v>
      </c>
      <c r="C4847" s="1" t="n">
        <v>45363</v>
      </c>
      <c r="D4847" t="inlineStr">
        <is>
          <t>JÄMTLANDS LÄN</t>
        </is>
      </c>
      <c r="E4847" t="inlineStr">
        <is>
          <t>BRÄCKE</t>
        </is>
      </c>
      <c r="F4847" t="inlineStr">
        <is>
          <t>SCA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55029-2021</t>
        </is>
      </c>
      <c r="B4848" s="1" t="n">
        <v>44474</v>
      </c>
      <c r="C4848" s="1" t="n">
        <v>45363</v>
      </c>
      <c r="D4848" t="inlineStr">
        <is>
          <t>JÄMTLANDS LÄN</t>
        </is>
      </c>
      <c r="E4848" t="inlineStr">
        <is>
          <t>HÄRJEDALEN</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55219-2021</t>
        </is>
      </c>
      <c r="B4849" s="1" t="n">
        <v>44475</v>
      </c>
      <c r="C4849" s="1" t="n">
        <v>45363</v>
      </c>
      <c r="D4849" t="inlineStr">
        <is>
          <t>JÄMTLANDS LÄN</t>
        </is>
      </c>
      <c r="E4849" t="inlineStr">
        <is>
          <t>HÄRJEDALEN</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55226-2021</t>
        </is>
      </c>
      <c r="B4850" s="1" t="n">
        <v>44475</v>
      </c>
      <c r="C4850" s="1" t="n">
        <v>45363</v>
      </c>
      <c r="D4850" t="inlineStr">
        <is>
          <t>JÄMTLANDS LÄN</t>
        </is>
      </c>
      <c r="E4850" t="inlineStr">
        <is>
          <t>HÄRJEDALEN</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55232-2021</t>
        </is>
      </c>
      <c r="B4851" s="1" t="n">
        <v>44475</v>
      </c>
      <c r="C4851" s="1" t="n">
        <v>45363</v>
      </c>
      <c r="D4851" t="inlineStr">
        <is>
          <t>JÄMTLANDS LÄN</t>
        </is>
      </c>
      <c r="E4851" t="inlineStr">
        <is>
          <t>HÄRJEDALEN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55250-2021</t>
        </is>
      </c>
      <c r="B4852" s="1" t="n">
        <v>44475</v>
      </c>
      <c r="C4852" s="1" t="n">
        <v>45363</v>
      </c>
      <c r="D4852" t="inlineStr">
        <is>
          <t>JÄMTLANDS LÄN</t>
        </is>
      </c>
      <c r="E4852" t="inlineStr">
        <is>
          <t>HÄRJEDALEN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55231-2021</t>
        </is>
      </c>
      <c r="B4853" s="1" t="n">
        <v>44475</v>
      </c>
      <c r="C4853" s="1" t="n">
        <v>45363</v>
      </c>
      <c r="D4853" t="inlineStr">
        <is>
          <t>JÄMTLANDS LÄN</t>
        </is>
      </c>
      <c r="E4853" t="inlineStr">
        <is>
          <t>HÄRJEDALEN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55238-2021</t>
        </is>
      </c>
      <c r="B4854" s="1" t="n">
        <v>44475</v>
      </c>
      <c r="C4854" s="1" t="n">
        <v>45363</v>
      </c>
      <c r="D4854" t="inlineStr">
        <is>
          <t>JÄMTLANDS LÄN</t>
        </is>
      </c>
      <c r="E4854" t="inlineStr">
        <is>
          <t>HÄRJEDALEN</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55242-2021</t>
        </is>
      </c>
      <c r="B4855" s="1" t="n">
        <v>44475</v>
      </c>
      <c r="C4855" s="1" t="n">
        <v>45363</v>
      </c>
      <c r="D4855" t="inlineStr">
        <is>
          <t>JÄMTLANDS LÄN</t>
        </is>
      </c>
      <c r="E4855" t="inlineStr">
        <is>
          <t>HÄRJEDALEN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55252-2021</t>
        </is>
      </c>
      <c r="B4856" s="1" t="n">
        <v>44475</v>
      </c>
      <c r="C4856" s="1" t="n">
        <v>45363</v>
      </c>
      <c r="D4856" t="inlineStr">
        <is>
          <t>JÄMTLANDS LÄN</t>
        </is>
      </c>
      <c r="E4856" t="inlineStr">
        <is>
          <t>HÄRJEDALEN</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55257-2021</t>
        </is>
      </c>
      <c r="B4857" s="1" t="n">
        <v>44475</v>
      </c>
      <c r="C4857" s="1" t="n">
        <v>45363</v>
      </c>
      <c r="D4857" t="inlineStr">
        <is>
          <t>JÄMTLANDS LÄN</t>
        </is>
      </c>
      <c r="E4857" t="inlineStr">
        <is>
          <t>HÄRJEDALEN</t>
        </is>
      </c>
      <c r="G4857" t="n">
        <v>0</v>
      </c>
      <c r="H4857" t="n">
        <v>0</v>
      </c>
      <c r="I4857" t="n">
        <v>0</v>
      </c>
      <c r="J4857" t="n">
        <v>0</v>
      </c>
      <c r="K4857" t="n">
        <v>0</v>
      </c>
      <c r="L4857" t="n">
        <v>0</v>
      </c>
      <c r="M4857" t="n">
        <v>0</v>
      </c>
      <c r="N4857" t="n">
        <v>0</v>
      </c>
      <c r="O4857" t="n">
        <v>0</v>
      </c>
      <c r="P4857" t="n">
        <v>0</v>
      </c>
      <c r="Q4857" t="n">
        <v>0</v>
      </c>
      <c r="R4857" s="2" t="inlineStr"/>
    </row>
    <row r="4858" ht="15" customHeight="1">
      <c r="A4858" t="inlineStr">
        <is>
          <t>A 55255-2021</t>
        </is>
      </c>
      <c r="B4858" s="1" t="n">
        <v>44475</v>
      </c>
      <c r="C4858" s="1" t="n">
        <v>45363</v>
      </c>
      <c r="D4858" t="inlineStr">
        <is>
          <t>JÄMTLANDS LÄN</t>
        </is>
      </c>
      <c r="E4858" t="inlineStr">
        <is>
          <t>HÄRJEDALEN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55302-2021</t>
        </is>
      </c>
      <c r="B4859" s="1" t="n">
        <v>44475</v>
      </c>
      <c r="C4859" s="1" t="n">
        <v>45363</v>
      </c>
      <c r="D4859" t="inlineStr">
        <is>
          <t>JÄMTLANDS LÄN</t>
        </is>
      </c>
      <c r="E4859" t="inlineStr">
        <is>
          <t>ÖSTERSUND</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55246-2021</t>
        </is>
      </c>
      <c r="B4860" s="1" t="n">
        <v>44475</v>
      </c>
      <c r="C4860" s="1" t="n">
        <v>45363</v>
      </c>
      <c r="D4860" t="inlineStr">
        <is>
          <t>JÄMTLANDS LÄN</t>
        </is>
      </c>
      <c r="E4860" t="inlineStr">
        <is>
          <t>HÄRJEDALEN</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55384-2021</t>
        </is>
      </c>
      <c r="B4861" s="1" t="n">
        <v>44475</v>
      </c>
      <c r="C4861" s="1" t="n">
        <v>45363</v>
      </c>
      <c r="D4861" t="inlineStr">
        <is>
          <t>JÄMTLANDS LÄN</t>
        </is>
      </c>
      <c r="E4861" t="inlineStr">
        <is>
          <t>HÄRJEDALEN</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55379-2021</t>
        </is>
      </c>
      <c r="B4862" s="1" t="n">
        <v>44475</v>
      </c>
      <c r="C4862" s="1" t="n">
        <v>45363</v>
      </c>
      <c r="D4862" t="inlineStr">
        <is>
          <t>JÄMTLANDS LÄN</t>
        </is>
      </c>
      <c r="E4862" t="inlineStr">
        <is>
          <t>HÄRJEDALEN</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55388-2021</t>
        </is>
      </c>
      <c r="B4863" s="1" t="n">
        <v>44475</v>
      </c>
      <c r="C4863" s="1" t="n">
        <v>45363</v>
      </c>
      <c r="D4863" t="inlineStr">
        <is>
          <t>JÄMTLANDS LÄN</t>
        </is>
      </c>
      <c r="E4863" t="inlineStr">
        <is>
          <t>HÄRJEDALEN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55396-2021</t>
        </is>
      </c>
      <c r="B4864" s="1" t="n">
        <v>44475</v>
      </c>
      <c r="C4864" s="1" t="n">
        <v>45363</v>
      </c>
      <c r="D4864" t="inlineStr">
        <is>
          <t>JÄMTLANDS LÄN</t>
        </is>
      </c>
      <c r="E4864" t="inlineStr">
        <is>
          <t>HÄRJEDALEN</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55385-2021</t>
        </is>
      </c>
      <c r="B4865" s="1" t="n">
        <v>44475</v>
      </c>
      <c r="C4865" s="1" t="n">
        <v>45363</v>
      </c>
      <c r="D4865" t="inlineStr">
        <is>
          <t>JÄMTLANDS LÄN</t>
        </is>
      </c>
      <c r="E4865" t="inlineStr">
        <is>
          <t>HÄRJEDALEN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55381-2021</t>
        </is>
      </c>
      <c r="B4866" s="1" t="n">
        <v>44475</v>
      </c>
      <c r="C4866" s="1" t="n">
        <v>45363</v>
      </c>
      <c r="D4866" t="inlineStr">
        <is>
          <t>JÄMTLANDS LÄN</t>
        </is>
      </c>
      <c r="E4866" t="inlineStr">
        <is>
          <t>HÄRJEDALEN</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55399-2021</t>
        </is>
      </c>
      <c r="B4867" s="1" t="n">
        <v>44475</v>
      </c>
      <c r="C4867" s="1" t="n">
        <v>45363</v>
      </c>
      <c r="D4867" t="inlineStr">
        <is>
          <t>JÄMTLANDS LÄN</t>
        </is>
      </c>
      <c r="E4867" t="inlineStr">
        <is>
          <t>HÄRJEDALEN</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55517-2021</t>
        </is>
      </c>
      <c r="B4868" s="1" t="n">
        <v>44475</v>
      </c>
      <c r="C4868" s="1" t="n">
        <v>45363</v>
      </c>
      <c r="D4868" t="inlineStr">
        <is>
          <t>JÄMTLANDS LÄN</t>
        </is>
      </c>
      <c r="E4868" t="inlineStr">
        <is>
          <t>HÄRJEDALEN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55608-2021</t>
        </is>
      </c>
      <c r="B4869" s="1" t="n">
        <v>44475</v>
      </c>
      <c r="C4869" s="1" t="n">
        <v>45363</v>
      </c>
      <c r="D4869" t="inlineStr">
        <is>
          <t>JÄMTLANDS LÄN</t>
        </is>
      </c>
      <c r="E4869" t="inlineStr">
        <is>
          <t>STRÖMSUND</t>
        </is>
      </c>
      <c r="F4869" t="inlineStr">
        <is>
          <t>SCA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55542-2021</t>
        </is>
      </c>
      <c r="B4870" s="1" t="n">
        <v>44475</v>
      </c>
      <c r="C4870" s="1" t="n">
        <v>45363</v>
      </c>
      <c r="D4870" t="inlineStr">
        <is>
          <t>JÄMTLANDS LÄN</t>
        </is>
      </c>
      <c r="E4870" t="inlineStr">
        <is>
          <t>HÄRJEDALEN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55393-2021</t>
        </is>
      </c>
      <c r="B4871" s="1" t="n">
        <v>44475</v>
      </c>
      <c r="C4871" s="1" t="n">
        <v>45363</v>
      </c>
      <c r="D4871" t="inlineStr">
        <is>
          <t>JÄMTLANDS LÄN</t>
        </is>
      </c>
      <c r="E4871" t="inlineStr">
        <is>
          <t>HÄRJEDALEN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55215-2021</t>
        </is>
      </c>
      <c r="B4872" s="1" t="n">
        <v>44475</v>
      </c>
      <c r="C4872" s="1" t="n">
        <v>45363</v>
      </c>
      <c r="D4872" t="inlineStr">
        <is>
          <t>JÄMTLANDS LÄN</t>
        </is>
      </c>
      <c r="E4872" t="inlineStr">
        <is>
          <t>HÄRJEDALEN</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55701-2021</t>
        </is>
      </c>
      <c r="B4873" s="1" t="n">
        <v>44475</v>
      </c>
      <c r="C4873" s="1" t="n">
        <v>45363</v>
      </c>
      <c r="D4873" t="inlineStr">
        <is>
          <t>JÄMTLANDS LÄN</t>
        </is>
      </c>
      <c r="E4873" t="inlineStr">
        <is>
          <t>RAGUNDA</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55918-2021</t>
        </is>
      </c>
      <c r="B4874" s="1" t="n">
        <v>44476</v>
      </c>
      <c r="C4874" s="1" t="n">
        <v>45363</v>
      </c>
      <c r="D4874" t="inlineStr">
        <is>
          <t>JÄMTLANDS LÄN</t>
        </is>
      </c>
      <c r="E4874" t="inlineStr">
        <is>
          <t>STRÖMSUND</t>
        </is>
      </c>
      <c r="F4874" t="inlineStr">
        <is>
          <t>SCA</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55920-2021</t>
        </is>
      </c>
      <c r="B4875" s="1" t="n">
        <v>44476</v>
      </c>
      <c r="C4875" s="1" t="n">
        <v>45363</v>
      </c>
      <c r="D4875" t="inlineStr">
        <is>
          <t>JÄMTLANDS LÄN</t>
        </is>
      </c>
      <c r="E4875" t="inlineStr">
        <is>
          <t>STRÖMSUND</t>
        </is>
      </c>
      <c r="F4875" t="inlineStr">
        <is>
          <t>SCA</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55927-2021</t>
        </is>
      </c>
      <c r="B4876" s="1" t="n">
        <v>44476</v>
      </c>
      <c r="C4876" s="1" t="n">
        <v>45363</v>
      </c>
      <c r="D4876" t="inlineStr">
        <is>
          <t>JÄMTLANDS LÄN</t>
        </is>
      </c>
      <c r="E4876" t="inlineStr">
        <is>
          <t>STRÖMSUND</t>
        </is>
      </c>
      <c r="F4876" t="inlineStr">
        <is>
          <t>SCA</t>
        </is>
      </c>
      <c r="G4876" t="n">
        <v>16.9</v>
      </c>
      <c r="H4876" t="n">
        <v>0</v>
      </c>
      <c r="I4876" t="n">
        <v>0</v>
      </c>
      <c r="J4876" t="n">
        <v>0</v>
      </c>
      <c r="K4876" t="n">
        <v>0</v>
      </c>
      <c r="L4876" t="n">
        <v>0</v>
      </c>
      <c r="M4876" t="n">
        <v>0</v>
      </c>
      <c r="N4876" t="n">
        <v>0</v>
      </c>
      <c r="O4876" t="n">
        <v>0</v>
      </c>
      <c r="P4876" t="n">
        <v>0</v>
      </c>
      <c r="Q4876" t="n">
        <v>0</v>
      </c>
      <c r="R4876" s="2" t="inlineStr"/>
    </row>
    <row r="4877" ht="15" customHeight="1">
      <c r="A4877" t="inlineStr">
        <is>
          <t>A 55919-2021</t>
        </is>
      </c>
      <c r="B4877" s="1" t="n">
        <v>44477</v>
      </c>
      <c r="C4877" s="1" t="n">
        <v>45363</v>
      </c>
      <c r="D4877" t="inlineStr">
        <is>
          <t>JÄMTLANDS LÄN</t>
        </is>
      </c>
      <c r="E4877" t="inlineStr">
        <is>
          <t>STRÖMSUND</t>
        </is>
      </c>
      <c r="F4877" t="inlineStr">
        <is>
          <t>SCA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55932-2021</t>
        </is>
      </c>
      <c r="B4878" s="1" t="n">
        <v>44476</v>
      </c>
      <c r="C4878" s="1" t="n">
        <v>45363</v>
      </c>
      <c r="D4878" t="inlineStr">
        <is>
          <t>JÄMTLANDS LÄN</t>
        </is>
      </c>
      <c r="E4878" t="inlineStr">
        <is>
          <t>RAGUNDA</t>
        </is>
      </c>
      <c r="F4878" t="inlineStr">
        <is>
          <t>SCA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55939-2021</t>
        </is>
      </c>
      <c r="B4879" s="1" t="n">
        <v>44476</v>
      </c>
      <c r="C4879" s="1" t="n">
        <v>45363</v>
      </c>
      <c r="D4879" t="inlineStr">
        <is>
          <t>JÄMTLANDS LÄN</t>
        </is>
      </c>
      <c r="E4879" t="inlineStr">
        <is>
          <t>STRÖMSUND</t>
        </is>
      </c>
      <c r="F4879" t="inlineStr">
        <is>
          <t>SCA</t>
        </is>
      </c>
      <c r="G4879" t="n">
        <v>19.3</v>
      </c>
      <c r="H4879" t="n">
        <v>0</v>
      </c>
      <c r="I4879" t="n">
        <v>0</v>
      </c>
      <c r="J4879" t="n">
        <v>0</v>
      </c>
      <c r="K4879" t="n">
        <v>0</v>
      </c>
      <c r="L4879" t="n">
        <v>0</v>
      </c>
      <c r="M4879" t="n">
        <v>0</v>
      </c>
      <c r="N4879" t="n">
        <v>0</v>
      </c>
      <c r="O4879" t="n">
        <v>0</v>
      </c>
      <c r="P4879" t="n">
        <v>0</v>
      </c>
      <c r="Q4879" t="n">
        <v>0</v>
      </c>
      <c r="R4879" s="2" t="inlineStr"/>
    </row>
    <row r="4880" ht="15" customHeight="1">
      <c r="A4880" t="inlineStr">
        <is>
          <t>A 56055-2021</t>
        </is>
      </c>
      <c r="B4880" s="1" t="n">
        <v>44477</v>
      </c>
      <c r="C4880" s="1" t="n">
        <v>45363</v>
      </c>
      <c r="D4880" t="inlineStr">
        <is>
          <t>JÄMTLANDS LÄN</t>
        </is>
      </c>
      <c r="E4880" t="inlineStr">
        <is>
          <t>RAGUNDA</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56197-2021</t>
        </is>
      </c>
      <c r="B4881" s="1" t="n">
        <v>44478</v>
      </c>
      <c r="C4881" s="1" t="n">
        <v>45363</v>
      </c>
      <c r="D4881" t="inlineStr">
        <is>
          <t>JÄMTLANDS LÄN</t>
        </is>
      </c>
      <c r="E4881" t="inlineStr">
        <is>
          <t>ÅRE</t>
        </is>
      </c>
      <c r="F4881" t="inlineStr">
        <is>
          <t>Övriga Aktiebolag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56192-2021</t>
        </is>
      </c>
      <c r="B4882" s="1" t="n">
        <v>44477</v>
      </c>
      <c r="C4882" s="1" t="n">
        <v>45363</v>
      </c>
      <c r="D4882" t="inlineStr">
        <is>
          <t>JÄMTLANDS LÄN</t>
        </is>
      </c>
      <c r="E4882" t="inlineStr">
        <is>
          <t>ÅRE</t>
        </is>
      </c>
      <c r="F4882" t="inlineStr">
        <is>
          <t>Övriga Aktiebolag</t>
        </is>
      </c>
      <c r="G4882" t="n">
        <v>21.5</v>
      </c>
      <c r="H4882" t="n">
        <v>0</v>
      </c>
      <c r="I4882" t="n">
        <v>0</v>
      </c>
      <c r="J4882" t="n">
        <v>0</v>
      </c>
      <c r="K4882" t="n">
        <v>0</v>
      </c>
      <c r="L4882" t="n">
        <v>0</v>
      </c>
      <c r="M4882" t="n">
        <v>0</v>
      </c>
      <c r="N4882" t="n">
        <v>0</v>
      </c>
      <c r="O4882" t="n">
        <v>0</v>
      </c>
      <c r="P4882" t="n">
        <v>0</v>
      </c>
      <c r="Q4882" t="n">
        <v>0</v>
      </c>
      <c r="R4882" s="2" t="inlineStr"/>
    </row>
    <row r="4883" ht="15" customHeight="1">
      <c r="A4883" t="inlineStr">
        <is>
          <t>A 56213-2021</t>
        </is>
      </c>
      <c r="B4883" s="1" t="n">
        <v>44478</v>
      </c>
      <c r="C4883" s="1" t="n">
        <v>45363</v>
      </c>
      <c r="D4883" t="inlineStr">
        <is>
          <t>JÄMTLANDS LÄN</t>
        </is>
      </c>
      <c r="E4883" t="inlineStr">
        <is>
          <t>STRÖMSUND</t>
        </is>
      </c>
      <c r="F4883" t="inlineStr">
        <is>
          <t>SCA</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56208-2021</t>
        </is>
      </c>
      <c r="B4884" s="1" t="n">
        <v>44477</v>
      </c>
      <c r="C4884" s="1" t="n">
        <v>45363</v>
      </c>
      <c r="D4884" t="inlineStr">
        <is>
          <t>JÄMTLANDS LÄN</t>
        </is>
      </c>
      <c r="E4884" t="inlineStr">
        <is>
          <t>STRÖMSUND</t>
        </is>
      </c>
      <c r="F4884" t="inlineStr">
        <is>
          <t>SCA</t>
        </is>
      </c>
      <c r="G4884" t="n">
        <v>23.9</v>
      </c>
      <c r="H4884" t="n">
        <v>0</v>
      </c>
      <c r="I4884" t="n">
        <v>0</v>
      </c>
      <c r="J4884" t="n">
        <v>0</v>
      </c>
      <c r="K4884" t="n">
        <v>0</v>
      </c>
      <c r="L4884" t="n">
        <v>0</v>
      </c>
      <c r="M4884" t="n">
        <v>0</v>
      </c>
      <c r="N4884" t="n">
        <v>0</v>
      </c>
      <c r="O4884" t="n">
        <v>0</v>
      </c>
      <c r="P4884" t="n">
        <v>0</v>
      </c>
      <c r="Q4884" t="n">
        <v>0</v>
      </c>
      <c r="R4884" s="2" t="inlineStr"/>
    </row>
    <row r="4885" ht="15" customHeight="1">
      <c r="A4885" t="inlineStr">
        <is>
          <t>A 56220-2021</t>
        </is>
      </c>
      <c r="B4885" s="1" t="n">
        <v>44477</v>
      </c>
      <c r="C4885" s="1" t="n">
        <v>45363</v>
      </c>
      <c r="D4885" t="inlineStr">
        <is>
          <t>JÄMTLANDS LÄN</t>
        </is>
      </c>
      <c r="E4885" t="inlineStr">
        <is>
          <t>BERG</t>
        </is>
      </c>
      <c r="F4885" t="inlineStr">
        <is>
          <t>SCA</t>
        </is>
      </c>
      <c r="G4885" t="n">
        <v>12.8</v>
      </c>
      <c r="H4885" t="n">
        <v>0</v>
      </c>
      <c r="I4885" t="n">
        <v>0</v>
      </c>
      <c r="J4885" t="n">
        <v>0</v>
      </c>
      <c r="K4885" t="n">
        <v>0</v>
      </c>
      <c r="L4885" t="n">
        <v>0</v>
      </c>
      <c r="M4885" t="n">
        <v>0</v>
      </c>
      <c r="N4885" t="n">
        <v>0</v>
      </c>
      <c r="O4885" t="n">
        <v>0</v>
      </c>
      <c r="P4885" t="n">
        <v>0</v>
      </c>
      <c r="Q4885" t="n">
        <v>0</v>
      </c>
      <c r="R4885" s="2" t="inlineStr"/>
    </row>
    <row r="4886" ht="15" customHeight="1">
      <c r="A4886" t="inlineStr">
        <is>
          <t>A 56202-2021</t>
        </is>
      </c>
      <c r="B4886" s="1" t="n">
        <v>44477</v>
      </c>
      <c r="C4886" s="1" t="n">
        <v>45363</v>
      </c>
      <c r="D4886" t="inlineStr">
        <is>
          <t>JÄMTLANDS LÄN</t>
        </is>
      </c>
      <c r="E4886" t="inlineStr">
        <is>
          <t>BERG</t>
        </is>
      </c>
      <c r="F4886" t="inlineStr">
        <is>
          <t>SCA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56221-2021</t>
        </is>
      </c>
      <c r="B4887" s="1" t="n">
        <v>44477</v>
      </c>
      <c r="C4887" s="1" t="n">
        <v>45363</v>
      </c>
      <c r="D4887" t="inlineStr">
        <is>
          <t>JÄMTLANDS LÄN</t>
        </is>
      </c>
      <c r="E4887" t="inlineStr">
        <is>
          <t>BRÄCKE</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56114-2021</t>
        </is>
      </c>
      <c r="B4888" s="1" t="n">
        <v>44477</v>
      </c>
      <c r="C4888" s="1" t="n">
        <v>45363</v>
      </c>
      <c r="D4888" t="inlineStr">
        <is>
          <t>JÄMTLANDS LÄN</t>
        </is>
      </c>
      <c r="E4888" t="inlineStr">
        <is>
          <t>BRÄCKE</t>
        </is>
      </c>
      <c r="G4888" t="n">
        <v>12.7</v>
      </c>
      <c r="H4888" t="n">
        <v>0</v>
      </c>
      <c r="I4888" t="n">
        <v>0</v>
      </c>
      <c r="J4888" t="n">
        <v>0</v>
      </c>
      <c r="K4888" t="n">
        <v>0</v>
      </c>
      <c r="L4888" t="n">
        <v>0</v>
      </c>
      <c r="M4888" t="n">
        <v>0</v>
      </c>
      <c r="N4888" t="n">
        <v>0</v>
      </c>
      <c r="O4888" t="n">
        <v>0</v>
      </c>
      <c r="P4888" t="n">
        <v>0</v>
      </c>
      <c r="Q4888" t="n">
        <v>0</v>
      </c>
      <c r="R4888" s="2" t="inlineStr"/>
    </row>
    <row r="4889" ht="15" customHeight="1">
      <c r="A4889" t="inlineStr">
        <is>
          <t>A 56577-2021</t>
        </is>
      </c>
      <c r="B4889" s="1" t="n">
        <v>44480</v>
      </c>
      <c r="C4889" s="1" t="n">
        <v>45363</v>
      </c>
      <c r="D4889" t="inlineStr">
        <is>
          <t>JÄMTLANDS LÄN</t>
        </is>
      </c>
      <c r="E4889" t="inlineStr">
        <is>
          <t>KROKOM</t>
        </is>
      </c>
      <c r="F4889" t="inlineStr">
        <is>
          <t>Kyrkan</t>
        </is>
      </c>
      <c r="G4889" t="n">
        <v>13.8</v>
      </c>
      <c r="H4889" t="n">
        <v>0</v>
      </c>
      <c r="I4889" t="n">
        <v>0</v>
      </c>
      <c r="J4889" t="n">
        <v>0</v>
      </c>
      <c r="K4889" t="n">
        <v>0</v>
      </c>
      <c r="L4889" t="n">
        <v>0</v>
      </c>
      <c r="M4889" t="n">
        <v>0</v>
      </c>
      <c r="N4889" t="n">
        <v>0</v>
      </c>
      <c r="O4889" t="n">
        <v>0</v>
      </c>
      <c r="P4889" t="n">
        <v>0</v>
      </c>
      <c r="Q4889" t="n">
        <v>0</v>
      </c>
      <c r="R4889" s="2" t="inlineStr"/>
    </row>
    <row r="4890" ht="15" customHeight="1">
      <c r="A4890" t="inlineStr">
        <is>
          <t>A 56639-2021</t>
        </is>
      </c>
      <c r="B4890" s="1" t="n">
        <v>44480</v>
      </c>
      <c r="C4890" s="1" t="n">
        <v>45363</v>
      </c>
      <c r="D4890" t="inlineStr">
        <is>
          <t>JÄMTLANDS LÄN</t>
        </is>
      </c>
      <c r="E4890" t="inlineStr">
        <is>
          <t>BRÄCKE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56594-2021</t>
        </is>
      </c>
      <c r="B4891" s="1" t="n">
        <v>44480</v>
      </c>
      <c r="C4891" s="1" t="n">
        <v>45363</v>
      </c>
      <c r="D4891" t="inlineStr">
        <is>
          <t>JÄMTLANDS LÄN</t>
        </is>
      </c>
      <c r="E4891" t="inlineStr">
        <is>
          <t>RAGUNDA</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56648-2021</t>
        </is>
      </c>
      <c r="B4892" s="1" t="n">
        <v>44481</v>
      </c>
      <c r="C4892" s="1" t="n">
        <v>45363</v>
      </c>
      <c r="D4892" t="inlineStr">
        <is>
          <t>JÄMTLANDS LÄN</t>
        </is>
      </c>
      <c r="E4892" t="inlineStr">
        <is>
          <t>BRÄCKE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56655-2021</t>
        </is>
      </c>
      <c r="B4893" s="1" t="n">
        <v>44480</v>
      </c>
      <c r="C4893" s="1" t="n">
        <v>45363</v>
      </c>
      <c r="D4893" t="inlineStr">
        <is>
          <t>JÄMTLANDS LÄN</t>
        </is>
      </c>
      <c r="E4893" t="inlineStr">
        <is>
          <t>STRÖMSUND</t>
        </is>
      </c>
      <c r="F4893" t="inlineStr">
        <is>
          <t>SCA</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56654-2021</t>
        </is>
      </c>
      <c r="B4894" s="1" t="n">
        <v>44480</v>
      </c>
      <c r="C4894" s="1" t="n">
        <v>45363</v>
      </c>
      <c r="D4894" t="inlineStr">
        <is>
          <t>JÄMTLANDS LÄN</t>
        </is>
      </c>
      <c r="E4894" t="inlineStr">
        <is>
          <t>STRÖMSUND</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56649-2021</t>
        </is>
      </c>
      <c r="B4895" s="1" t="n">
        <v>44480</v>
      </c>
      <c r="C4895" s="1" t="n">
        <v>45363</v>
      </c>
      <c r="D4895" t="inlineStr">
        <is>
          <t>JÄMTLANDS LÄN</t>
        </is>
      </c>
      <c r="E4895" t="inlineStr">
        <is>
          <t>BRÄCKE</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56640-2021</t>
        </is>
      </c>
      <c r="B4896" s="1" t="n">
        <v>44480</v>
      </c>
      <c r="C4896" s="1" t="n">
        <v>45363</v>
      </c>
      <c r="D4896" t="inlineStr">
        <is>
          <t>JÄMTLANDS LÄN</t>
        </is>
      </c>
      <c r="E4896" t="inlineStr">
        <is>
          <t>BRÄCKE</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56852-2021</t>
        </is>
      </c>
      <c r="B4897" s="1" t="n">
        <v>44481</v>
      </c>
      <c r="C4897" s="1" t="n">
        <v>45363</v>
      </c>
      <c r="D4897" t="inlineStr">
        <is>
          <t>JÄMTLANDS LÄN</t>
        </is>
      </c>
      <c r="E4897" t="inlineStr">
        <is>
          <t>HÄRJEDALEN</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56895-2021</t>
        </is>
      </c>
      <c r="B4898" s="1" t="n">
        <v>44482</v>
      </c>
      <c r="C4898" s="1" t="n">
        <v>45363</v>
      </c>
      <c r="D4898" t="inlineStr">
        <is>
          <t>JÄMTLANDS LÄN</t>
        </is>
      </c>
      <c r="E4898" t="inlineStr">
        <is>
          <t>BRÄCKE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56896-2021</t>
        </is>
      </c>
      <c r="B4899" s="1" t="n">
        <v>44482</v>
      </c>
      <c r="C4899" s="1" t="n">
        <v>45363</v>
      </c>
      <c r="D4899" t="inlineStr">
        <is>
          <t>JÄMTLANDS LÄN</t>
        </is>
      </c>
      <c r="E4899" t="inlineStr">
        <is>
          <t>BRÄCKE</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57194-2021</t>
        </is>
      </c>
      <c r="B4900" s="1" t="n">
        <v>44483</v>
      </c>
      <c r="C4900" s="1" t="n">
        <v>45363</v>
      </c>
      <c r="D4900" t="inlineStr">
        <is>
          <t>JÄMTLANDS LÄN</t>
        </is>
      </c>
      <c r="E4900" t="inlineStr">
        <is>
          <t>RAGUNDA</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57150-2021</t>
        </is>
      </c>
      <c r="B4901" s="1" t="n">
        <v>44482</v>
      </c>
      <c r="C4901" s="1" t="n">
        <v>45363</v>
      </c>
      <c r="D4901" t="inlineStr">
        <is>
          <t>JÄMTLANDS LÄN</t>
        </is>
      </c>
      <c r="E4901" t="inlineStr">
        <is>
          <t>ÅRE</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57158-2021</t>
        </is>
      </c>
      <c r="B4902" s="1" t="n">
        <v>44482</v>
      </c>
      <c r="C4902" s="1" t="n">
        <v>45363</v>
      </c>
      <c r="D4902" t="inlineStr">
        <is>
          <t>JÄMTLANDS LÄN</t>
        </is>
      </c>
      <c r="E4902" t="inlineStr">
        <is>
          <t>ÅRE</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57381-2021</t>
        </is>
      </c>
      <c r="B4903" s="1" t="n">
        <v>44483</v>
      </c>
      <c r="C4903" s="1" t="n">
        <v>45363</v>
      </c>
      <c r="D4903" t="inlineStr">
        <is>
          <t>JÄMTLANDS LÄN</t>
        </is>
      </c>
      <c r="E4903" t="inlineStr">
        <is>
          <t>HÄRJEDALEN</t>
        </is>
      </c>
      <c r="G4903" t="n">
        <v>17.9</v>
      </c>
      <c r="H4903" t="n">
        <v>0</v>
      </c>
      <c r="I4903" t="n">
        <v>0</v>
      </c>
      <c r="J4903" t="n">
        <v>0</v>
      </c>
      <c r="K4903" t="n">
        <v>0</v>
      </c>
      <c r="L4903" t="n">
        <v>0</v>
      </c>
      <c r="M4903" t="n">
        <v>0</v>
      </c>
      <c r="N4903" t="n">
        <v>0</v>
      </c>
      <c r="O4903" t="n">
        <v>0</v>
      </c>
      <c r="P4903" t="n">
        <v>0</v>
      </c>
      <c r="Q4903" t="n">
        <v>0</v>
      </c>
      <c r="R4903" s="2" t="inlineStr"/>
    </row>
    <row r="4904" ht="15" customHeight="1">
      <c r="A4904" t="inlineStr">
        <is>
          <t>A 57256-2021</t>
        </is>
      </c>
      <c r="B4904" s="1" t="n">
        <v>44483</v>
      </c>
      <c r="C4904" s="1" t="n">
        <v>45363</v>
      </c>
      <c r="D4904" t="inlineStr">
        <is>
          <t>JÄMTLANDS LÄN</t>
        </is>
      </c>
      <c r="E4904" t="inlineStr">
        <is>
          <t>HÄRJEDALEN</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57304-2021</t>
        </is>
      </c>
      <c r="B4905" s="1" t="n">
        <v>44483</v>
      </c>
      <c r="C4905" s="1" t="n">
        <v>45363</v>
      </c>
      <c r="D4905" t="inlineStr">
        <is>
          <t>JÄMTLANDS LÄN</t>
        </is>
      </c>
      <c r="E4905" t="inlineStr">
        <is>
          <t>KROKOM</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57373-2021</t>
        </is>
      </c>
      <c r="B4906" s="1" t="n">
        <v>44483</v>
      </c>
      <c r="C4906" s="1" t="n">
        <v>45363</v>
      </c>
      <c r="D4906" t="inlineStr">
        <is>
          <t>JÄMTLANDS LÄN</t>
        </is>
      </c>
      <c r="E4906" t="inlineStr">
        <is>
          <t>HÄRJEDALEN</t>
        </is>
      </c>
      <c r="G4906" t="n">
        <v>10.8</v>
      </c>
      <c r="H4906" t="n">
        <v>0</v>
      </c>
      <c r="I4906" t="n">
        <v>0</v>
      </c>
      <c r="J4906" t="n">
        <v>0</v>
      </c>
      <c r="K4906" t="n">
        <v>0</v>
      </c>
      <c r="L4906" t="n">
        <v>0</v>
      </c>
      <c r="M4906" t="n">
        <v>0</v>
      </c>
      <c r="N4906" t="n">
        <v>0</v>
      </c>
      <c r="O4906" t="n">
        <v>0</v>
      </c>
      <c r="P4906" t="n">
        <v>0</v>
      </c>
      <c r="Q4906" t="n">
        <v>0</v>
      </c>
      <c r="R4906" s="2" t="inlineStr"/>
    </row>
    <row r="4907" ht="15" customHeight="1">
      <c r="A4907" t="inlineStr">
        <is>
          <t>A 57433-2021</t>
        </is>
      </c>
      <c r="B4907" s="1" t="n">
        <v>44483</v>
      </c>
      <c r="C4907" s="1" t="n">
        <v>45363</v>
      </c>
      <c r="D4907" t="inlineStr">
        <is>
          <t>JÄMTLANDS LÄN</t>
        </is>
      </c>
      <c r="E4907" t="inlineStr">
        <is>
          <t>STRÖMSUND</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57547-2021</t>
        </is>
      </c>
      <c r="B4908" s="1" t="n">
        <v>44484</v>
      </c>
      <c r="C4908" s="1" t="n">
        <v>45363</v>
      </c>
      <c r="D4908" t="inlineStr">
        <is>
          <t>JÄMTLANDS LÄN</t>
        </is>
      </c>
      <c r="E4908" t="inlineStr">
        <is>
          <t>STRÖMSUND</t>
        </is>
      </c>
      <c r="F4908" t="inlineStr">
        <is>
          <t>SCA</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57560-2021</t>
        </is>
      </c>
      <c r="B4909" s="1" t="n">
        <v>44483</v>
      </c>
      <c r="C4909" s="1" t="n">
        <v>45363</v>
      </c>
      <c r="D4909" t="inlineStr">
        <is>
          <t>JÄMTLANDS LÄN</t>
        </is>
      </c>
      <c r="E4909" t="inlineStr">
        <is>
          <t>STRÖMSUND</t>
        </is>
      </c>
      <c r="F4909" t="inlineStr">
        <is>
          <t>SCA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57512-2021</t>
        </is>
      </c>
      <c r="B4910" s="1" t="n">
        <v>44483</v>
      </c>
      <c r="C4910" s="1" t="n">
        <v>45363</v>
      </c>
      <c r="D4910" t="inlineStr">
        <is>
          <t>JÄMTLANDS LÄN</t>
        </is>
      </c>
      <c r="E4910" t="inlineStr">
        <is>
          <t>ÅRE</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57710-2021</t>
        </is>
      </c>
      <c r="B4911" s="1" t="n">
        <v>44484</v>
      </c>
      <c r="C4911" s="1" t="n">
        <v>45363</v>
      </c>
      <c r="D4911" t="inlineStr">
        <is>
          <t>JÄMTLANDS LÄN</t>
        </is>
      </c>
      <c r="E4911" t="inlineStr">
        <is>
          <t>ÅRE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57755-2021</t>
        </is>
      </c>
      <c r="B4912" s="1" t="n">
        <v>44484</v>
      </c>
      <c r="C4912" s="1" t="n">
        <v>45363</v>
      </c>
      <c r="D4912" t="inlineStr">
        <is>
          <t>JÄMTLANDS LÄN</t>
        </is>
      </c>
      <c r="E4912" t="inlineStr">
        <is>
          <t>HÄRJEDALEN</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57782-2021</t>
        </is>
      </c>
      <c r="B4913" s="1" t="n">
        <v>44484</v>
      </c>
      <c r="C4913" s="1" t="n">
        <v>45363</v>
      </c>
      <c r="D4913" t="inlineStr">
        <is>
          <t>JÄMTLANDS LÄN</t>
        </is>
      </c>
      <c r="E4913" t="inlineStr">
        <is>
          <t>HÄRJEDALEN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58230-2021</t>
        </is>
      </c>
      <c r="B4914" s="1" t="n">
        <v>44487</v>
      </c>
      <c r="C4914" s="1" t="n">
        <v>45363</v>
      </c>
      <c r="D4914" t="inlineStr">
        <is>
          <t>JÄMTLANDS LÄN</t>
        </is>
      </c>
      <c r="E4914" t="inlineStr">
        <is>
          <t>ÅRE</t>
        </is>
      </c>
      <c r="G4914" t="n">
        <v>19.3</v>
      </c>
      <c r="H4914" t="n">
        <v>0</v>
      </c>
      <c r="I4914" t="n">
        <v>0</v>
      </c>
      <c r="J4914" t="n">
        <v>0</v>
      </c>
      <c r="K4914" t="n">
        <v>0</v>
      </c>
      <c r="L4914" t="n">
        <v>0</v>
      </c>
      <c r="M4914" t="n">
        <v>0</v>
      </c>
      <c r="N4914" t="n">
        <v>0</v>
      </c>
      <c r="O4914" t="n">
        <v>0</v>
      </c>
      <c r="P4914" t="n">
        <v>0</v>
      </c>
      <c r="Q4914" t="n">
        <v>0</v>
      </c>
      <c r="R4914" s="2" t="inlineStr"/>
    </row>
    <row r="4915" ht="15" customHeight="1">
      <c r="A4915" t="inlineStr">
        <is>
          <t>A 57949-2021</t>
        </is>
      </c>
      <c r="B4915" s="1" t="n">
        <v>44487</v>
      </c>
      <c r="C4915" s="1" t="n">
        <v>45363</v>
      </c>
      <c r="D4915" t="inlineStr">
        <is>
          <t>JÄMTLANDS LÄN</t>
        </is>
      </c>
      <c r="E4915" t="inlineStr">
        <is>
          <t>BERG</t>
        </is>
      </c>
      <c r="G4915" t="n">
        <v>9.699999999999999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58039-2021</t>
        </is>
      </c>
      <c r="B4916" s="1" t="n">
        <v>44487</v>
      </c>
      <c r="C4916" s="1" t="n">
        <v>45363</v>
      </c>
      <c r="D4916" t="inlineStr">
        <is>
          <t>JÄMTLANDS LÄN</t>
        </is>
      </c>
      <c r="E4916" t="inlineStr">
        <is>
          <t>BRÄCKE</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58088-2021</t>
        </is>
      </c>
      <c r="B4917" s="1" t="n">
        <v>44487</v>
      </c>
      <c r="C4917" s="1" t="n">
        <v>45363</v>
      </c>
      <c r="D4917" t="inlineStr">
        <is>
          <t>JÄMTLANDS LÄN</t>
        </is>
      </c>
      <c r="E4917" t="inlineStr">
        <is>
          <t>BERG</t>
        </is>
      </c>
      <c r="F4917" t="inlineStr">
        <is>
          <t>Sveaskog</t>
        </is>
      </c>
      <c r="G4917" t="n">
        <v>10.7</v>
      </c>
      <c r="H4917" t="n">
        <v>0</v>
      </c>
      <c r="I4917" t="n">
        <v>0</v>
      </c>
      <c r="J4917" t="n">
        <v>0</v>
      </c>
      <c r="K4917" t="n">
        <v>0</v>
      </c>
      <c r="L4917" t="n">
        <v>0</v>
      </c>
      <c r="M4917" t="n">
        <v>0</v>
      </c>
      <c r="N4917" t="n">
        <v>0</v>
      </c>
      <c r="O4917" t="n">
        <v>0</v>
      </c>
      <c r="P4917" t="n">
        <v>0</v>
      </c>
      <c r="Q4917" t="n">
        <v>0</v>
      </c>
      <c r="R4917" s="2" t="inlineStr"/>
    </row>
    <row r="4918" ht="15" customHeight="1">
      <c r="A4918" t="inlineStr">
        <is>
          <t>A 58157-2021</t>
        </is>
      </c>
      <c r="B4918" s="1" t="n">
        <v>44487</v>
      </c>
      <c r="C4918" s="1" t="n">
        <v>45363</v>
      </c>
      <c r="D4918" t="inlineStr">
        <is>
          <t>JÄMTLANDS LÄN</t>
        </is>
      </c>
      <c r="E4918" t="inlineStr">
        <is>
          <t>BERG</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58260-2021</t>
        </is>
      </c>
      <c r="B4919" s="1" t="n">
        <v>44487</v>
      </c>
      <c r="C4919" s="1" t="n">
        <v>45363</v>
      </c>
      <c r="D4919" t="inlineStr">
        <is>
          <t>JÄMTLANDS LÄN</t>
        </is>
      </c>
      <c r="E4919" t="inlineStr">
        <is>
          <t>STRÖMSUND</t>
        </is>
      </c>
      <c r="F4919" t="inlineStr">
        <is>
          <t>SCA</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58022-2021</t>
        </is>
      </c>
      <c r="B4920" s="1" t="n">
        <v>44487</v>
      </c>
      <c r="C4920" s="1" t="n">
        <v>45363</v>
      </c>
      <c r="D4920" t="inlineStr">
        <is>
          <t>JÄMTLANDS LÄN</t>
        </is>
      </c>
      <c r="E4920" t="inlineStr">
        <is>
          <t>STRÖMSUND</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58151-2021</t>
        </is>
      </c>
      <c r="B4921" s="1" t="n">
        <v>44487</v>
      </c>
      <c r="C4921" s="1" t="n">
        <v>45363</v>
      </c>
      <c r="D4921" t="inlineStr">
        <is>
          <t>JÄMTLANDS LÄN</t>
        </is>
      </c>
      <c r="E4921" t="inlineStr">
        <is>
          <t>BERG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58232-2021</t>
        </is>
      </c>
      <c r="B4922" s="1" t="n">
        <v>44487</v>
      </c>
      <c r="C4922" s="1" t="n">
        <v>45363</v>
      </c>
      <c r="D4922" t="inlineStr">
        <is>
          <t>JÄMTLANDS LÄN</t>
        </is>
      </c>
      <c r="E4922" t="inlineStr">
        <is>
          <t>ÅRE</t>
        </is>
      </c>
      <c r="G4922" t="n">
        <v>43.7</v>
      </c>
      <c r="H4922" t="n">
        <v>0</v>
      </c>
      <c r="I4922" t="n">
        <v>0</v>
      </c>
      <c r="J4922" t="n">
        <v>0</v>
      </c>
      <c r="K4922" t="n">
        <v>0</v>
      </c>
      <c r="L4922" t="n">
        <v>0</v>
      </c>
      <c r="M4922" t="n">
        <v>0</v>
      </c>
      <c r="N4922" t="n">
        <v>0</v>
      </c>
      <c r="O4922" t="n">
        <v>0</v>
      </c>
      <c r="P4922" t="n">
        <v>0</v>
      </c>
      <c r="Q4922" t="n">
        <v>0</v>
      </c>
      <c r="R4922" s="2" t="inlineStr"/>
    </row>
    <row r="4923" ht="15" customHeight="1">
      <c r="A4923" t="inlineStr">
        <is>
          <t>A 58269-2021</t>
        </is>
      </c>
      <c r="B4923" s="1" t="n">
        <v>44487</v>
      </c>
      <c r="C4923" s="1" t="n">
        <v>45363</v>
      </c>
      <c r="D4923" t="inlineStr">
        <is>
          <t>JÄMTLANDS LÄN</t>
        </is>
      </c>
      <c r="E4923" t="inlineStr">
        <is>
          <t>BRÄCKE</t>
        </is>
      </c>
      <c r="F4923" t="inlineStr">
        <is>
          <t>SCA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58272-2021</t>
        </is>
      </c>
      <c r="B4924" s="1" t="n">
        <v>44487</v>
      </c>
      <c r="C4924" s="1" t="n">
        <v>45363</v>
      </c>
      <c r="D4924" t="inlineStr">
        <is>
          <t>JÄMTLANDS LÄN</t>
        </is>
      </c>
      <c r="E4924" t="inlineStr">
        <is>
          <t>BRÄCKE</t>
        </is>
      </c>
      <c r="F4924" t="inlineStr">
        <is>
          <t>SCA</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59126-2021</t>
        </is>
      </c>
      <c r="B4925" s="1" t="n">
        <v>44487</v>
      </c>
      <c r="C4925" s="1" t="n">
        <v>45363</v>
      </c>
      <c r="D4925" t="inlineStr">
        <is>
          <t>JÄMTLANDS LÄN</t>
        </is>
      </c>
      <c r="E4925" t="inlineStr">
        <is>
          <t>STRÖMSUND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58228-2021</t>
        </is>
      </c>
      <c r="B4926" s="1" t="n">
        <v>44487</v>
      </c>
      <c r="C4926" s="1" t="n">
        <v>45363</v>
      </c>
      <c r="D4926" t="inlineStr">
        <is>
          <t>JÄMTLANDS LÄN</t>
        </is>
      </c>
      <c r="E4926" t="inlineStr">
        <is>
          <t>ÅRE</t>
        </is>
      </c>
      <c r="G4926" t="n">
        <v>46.2</v>
      </c>
      <c r="H4926" t="n">
        <v>0</v>
      </c>
      <c r="I4926" t="n">
        <v>0</v>
      </c>
      <c r="J4926" t="n">
        <v>0</v>
      </c>
      <c r="K4926" t="n">
        <v>0</v>
      </c>
      <c r="L4926" t="n">
        <v>0</v>
      </c>
      <c r="M4926" t="n">
        <v>0</v>
      </c>
      <c r="N4926" t="n">
        <v>0</v>
      </c>
      <c r="O4926" t="n">
        <v>0</v>
      </c>
      <c r="P4926" t="n">
        <v>0</v>
      </c>
      <c r="Q4926" t="n">
        <v>0</v>
      </c>
      <c r="R4926" s="2" t="inlineStr"/>
    </row>
    <row r="4927" ht="15" customHeight="1">
      <c r="A4927" t="inlineStr">
        <is>
          <t>A 58311-2021</t>
        </is>
      </c>
      <c r="B4927" s="1" t="n">
        <v>44487</v>
      </c>
      <c r="C4927" s="1" t="n">
        <v>45363</v>
      </c>
      <c r="D4927" t="inlineStr">
        <is>
          <t>JÄMTLANDS LÄN</t>
        </is>
      </c>
      <c r="E4927" t="inlineStr">
        <is>
          <t>BRÄCKE</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58390-2021</t>
        </is>
      </c>
      <c r="B4928" s="1" t="n">
        <v>44488</v>
      </c>
      <c r="C4928" s="1" t="n">
        <v>45363</v>
      </c>
      <c r="D4928" t="inlineStr">
        <is>
          <t>JÄMTLANDS LÄN</t>
        </is>
      </c>
      <c r="E4928" t="inlineStr">
        <is>
          <t>KROKOM</t>
        </is>
      </c>
      <c r="G4928" t="n">
        <v>9.800000000000001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58451-2021</t>
        </is>
      </c>
      <c r="B4929" s="1" t="n">
        <v>44488</v>
      </c>
      <c r="C4929" s="1" t="n">
        <v>45363</v>
      </c>
      <c r="D4929" t="inlineStr">
        <is>
          <t>JÄMTLANDS LÄN</t>
        </is>
      </c>
      <c r="E4929" t="inlineStr">
        <is>
          <t>HÄRJEDALEN</t>
        </is>
      </c>
      <c r="F4929" t="inlineStr">
        <is>
          <t>Naturvårdsverket</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58584-2021</t>
        </is>
      </c>
      <c r="B4930" s="1" t="n">
        <v>44488</v>
      </c>
      <c r="C4930" s="1" t="n">
        <v>45363</v>
      </c>
      <c r="D4930" t="inlineStr">
        <is>
          <t>JÄMTLANDS LÄN</t>
        </is>
      </c>
      <c r="E4930" t="inlineStr">
        <is>
          <t>BRÄCKE</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58960-2021</t>
        </is>
      </c>
      <c r="B4931" s="1" t="n">
        <v>44490</v>
      </c>
      <c r="C4931" s="1" t="n">
        <v>45363</v>
      </c>
      <c r="D4931" t="inlineStr">
        <is>
          <t>JÄMTLANDS LÄN</t>
        </is>
      </c>
      <c r="E4931" t="inlineStr">
        <is>
          <t>RAGUNDA</t>
        </is>
      </c>
      <c r="F4931" t="inlineStr">
        <is>
          <t>SCA</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58972-2021</t>
        </is>
      </c>
      <c r="B4932" s="1" t="n">
        <v>44490</v>
      </c>
      <c r="C4932" s="1" t="n">
        <v>45363</v>
      </c>
      <c r="D4932" t="inlineStr">
        <is>
          <t>JÄMTLANDS LÄN</t>
        </is>
      </c>
      <c r="E4932" t="inlineStr">
        <is>
          <t>STRÖMSUND</t>
        </is>
      </c>
      <c r="F4932" t="inlineStr">
        <is>
          <t>SCA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58984-2021</t>
        </is>
      </c>
      <c r="B4933" s="1" t="n">
        <v>44490</v>
      </c>
      <c r="C4933" s="1" t="n">
        <v>45363</v>
      </c>
      <c r="D4933" t="inlineStr">
        <is>
          <t>JÄMTLANDS LÄN</t>
        </is>
      </c>
      <c r="E4933" t="inlineStr">
        <is>
          <t>RAGUNDA</t>
        </is>
      </c>
      <c r="F4933" t="inlineStr">
        <is>
          <t>SCA</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58973-2021</t>
        </is>
      </c>
      <c r="B4934" s="1" t="n">
        <v>44489</v>
      </c>
      <c r="C4934" s="1" t="n">
        <v>45363</v>
      </c>
      <c r="D4934" t="inlineStr">
        <is>
          <t>JÄMTLANDS LÄN</t>
        </is>
      </c>
      <c r="E4934" t="inlineStr">
        <is>
          <t>STRÖMSUND</t>
        </is>
      </c>
      <c r="F4934" t="inlineStr">
        <is>
          <t>SCA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58940-2021</t>
        </is>
      </c>
      <c r="B4935" s="1" t="n">
        <v>44489</v>
      </c>
      <c r="C4935" s="1" t="n">
        <v>45363</v>
      </c>
      <c r="D4935" t="inlineStr">
        <is>
          <t>JÄMTLANDS LÄN</t>
        </is>
      </c>
      <c r="E4935" t="inlineStr">
        <is>
          <t>ÅRE</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58971-2021</t>
        </is>
      </c>
      <c r="B4936" s="1" t="n">
        <v>44490</v>
      </c>
      <c r="C4936" s="1" t="n">
        <v>45363</v>
      </c>
      <c r="D4936" t="inlineStr">
        <is>
          <t>JÄMTLANDS LÄN</t>
        </is>
      </c>
      <c r="E4936" t="inlineStr">
        <is>
          <t>STRÖMSUND</t>
        </is>
      </c>
      <c r="F4936" t="inlineStr">
        <is>
          <t>SCA</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59139-2021</t>
        </is>
      </c>
      <c r="B4937" s="1" t="n">
        <v>44490</v>
      </c>
      <c r="C4937" s="1" t="n">
        <v>45363</v>
      </c>
      <c r="D4937" t="inlineStr">
        <is>
          <t>JÄMTLANDS LÄN</t>
        </is>
      </c>
      <c r="E4937" t="inlineStr">
        <is>
          <t>STRÖMSUND</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59023-2021</t>
        </is>
      </c>
      <c r="B4938" s="1" t="n">
        <v>44490</v>
      </c>
      <c r="C4938" s="1" t="n">
        <v>45363</v>
      </c>
      <c r="D4938" t="inlineStr">
        <is>
          <t>JÄMTLANDS LÄN</t>
        </is>
      </c>
      <c r="E4938" t="inlineStr">
        <is>
          <t>BERG</t>
        </is>
      </c>
      <c r="F4938" t="inlineStr">
        <is>
          <t>Kyrkan</t>
        </is>
      </c>
      <c r="G4938" t="n">
        <v>9.1</v>
      </c>
      <c r="H4938" t="n">
        <v>0</v>
      </c>
      <c r="I4938" t="n">
        <v>0</v>
      </c>
      <c r="J4938" t="n">
        <v>0</v>
      </c>
      <c r="K4938" t="n">
        <v>0</v>
      </c>
      <c r="L4938" t="n">
        <v>0</v>
      </c>
      <c r="M4938" t="n">
        <v>0</v>
      </c>
      <c r="N4938" t="n">
        <v>0</v>
      </c>
      <c r="O4938" t="n">
        <v>0</v>
      </c>
      <c r="P4938" t="n">
        <v>0</v>
      </c>
      <c r="Q4938" t="n">
        <v>0</v>
      </c>
      <c r="R4938" s="2" t="inlineStr"/>
    </row>
    <row r="4939" ht="15" customHeight="1">
      <c r="A4939" t="inlineStr">
        <is>
          <t>A 59245-2021</t>
        </is>
      </c>
      <c r="B4939" s="1" t="n">
        <v>44490</v>
      </c>
      <c r="C4939" s="1" t="n">
        <v>45363</v>
      </c>
      <c r="D4939" t="inlineStr">
        <is>
          <t>JÄMTLANDS LÄN</t>
        </is>
      </c>
      <c r="E4939" t="inlineStr">
        <is>
          <t>BERG</t>
        </is>
      </c>
      <c r="G4939" t="n">
        <v>15.8</v>
      </c>
      <c r="H4939" t="n">
        <v>0</v>
      </c>
      <c r="I4939" t="n">
        <v>0</v>
      </c>
      <c r="J4939" t="n">
        <v>0</v>
      </c>
      <c r="K4939" t="n">
        <v>0</v>
      </c>
      <c r="L4939" t="n">
        <v>0</v>
      </c>
      <c r="M4939" t="n">
        <v>0</v>
      </c>
      <c r="N4939" t="n">
        <v>0</v>
      </c>
      <c r="O4939" t="n">
        <v>0</v>
      </c>
      <c r="P4939" t="n">
        <v>0</v>
      </c>
      <c r="Q4939" t="n">
        <v>0</v>
      </c>
      <c r="R4939" s="2" t="inlineStr"/>
    </row>
    <row r="4940" ht="15" customHeight="1">
      <c r="A4940" t="inlineStr">
        <is>
          <t>A 59315-2021</t>
        </is>
      </c>
      <c r="B4940" s="1" t="n">
        <v>44491</v>
      </c>
      <c r="C4940" s="1" t="n">
        <v>45363</v>
      </c>
      <c r="D4940" t="inlineStr">
        <is>
          <t>JÄMTLANDS LÄN</t>
        </is>
      </c>
      <c r="E4940" t="inlineStr">
        <is>
          <t>BRÄCKE</t>
        </is>
      </c>
      <c r="F4940" t="inlineStr">
        <is>
          <t>SCA</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59322-2021</t>
        </is>
      </c>
      <c r="B4941" s="1" t="n">
        <v>44491</v>
      </c>
      <c r="C4941" s="1" t="n">
        <v>45363</v>
      </c>
      <c r="D4941" t="inlineStr">
        <is>
          <t>JÄMTLANDS LÄN</t>
        </is>
      </c>
      <c r="E4941" t="inlineStr">
        <is>
          <t>BRÄCKE</t>
        </is>
      </c>
      <c r="F4941" t="inlineStr">
        <is>
          <t>SCA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59316-2021</t>
        </is>
      </c>
      <c r="B4942" s="1" t="n">
        <v>44491</v>
      </c>
      <c r="C4942" s="1" t="n">
        <v>45363</v>
      </c>
      <c r="D4942" t="inlineStr">
        <is>
          <t>JÄMTLANDS LÄN</t>
        </is>
      </c>
      <c r="E4942" t="inlineStr">
        <is>
          <t>BRÄCKE</t>
        </is>
      </c>
      <c r="F4942" t="inlineStr">
        <is>
          <t>SCA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59352-2021</t>
        </is>
      </c>
      <c r="B4943" s="1" t="n">
        <v>44490</v>
      </c>
      <c r="C4943" s="1" t="n">
        <v>45363</v>
      </c>
      <c r="D4943" t="inlineStr">
        <is>
          <t>JÄMTLANDS LÄN</t>
        </is>
      </c>
      <c r="E4943" t="inlineStr">
        <is>
          <t>ÅRE</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59313-2021</t>
        </is>
      </c>
      <c r="B4944" s="1" t="n">
        <v>44491</v>
      </c>
      <c r="C4944" s="1" t="n">
        <v>45363</v>
      </c>
      <c r="D4944" t="inlineStr">
        <is>
          <t>JÄMTLANDS LÄN</t>
        </is>
      </c>
      <c r="E4944" t="inlineStr">
        <is>
          <t>STRÖMSUND</t>
        </is>
      </c>
      <c r="F4944" t="inlineStr">
        <is>
          <t>SCA</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59321-2021</t>
        </is>
      </c>
      <c r="B4945" s="1" t="n">
        <v>44491</v>
      </c>
      <c r="C4945" s="1" t="n">
        <v>45363</v>
      </c>
      <c r="D4945" t="inlineStr">
        <is>
          <t>JÄMTLANDS LÄN</t>
        </is>
      </c>
      <c r="E4945" t="inlineStr">
        <is>
          <t>RAGUNDA</t>
        </is>
      </c>
      <c r="F4945" t="inlineStr">
        <is>
          <t>SCA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59397-2021</t>
        </is>
      </c>
      <c r="B4946" s="1" t="n">
        <v>44491</v>
      </c>
      <c r="C4946" s="1" t="n">
        <v>45363</v>
      </c>
      <c r="D4946" t="inlineStr">
        <is>
          <t>JÄMTLANDS LÄN</t>
        </is>
      </c>
      <c r="E4946" t="inlineStr">
        <is>
          <t>ÅRE</t>
        </is>
      </c>
      <c r="F4946" t="inlineStr">
        <is>
          <t>Övriga Aktiebolag</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59506-2021</t>
        </is>
      </c>
      <c r="B4947" s="1" t="n">
        <v>44491</v>
      </c>
      <c r="C4947" s="1" t="n">
        <v>45363</v>
      </c>
      <c r="D4947" t="inlineStr">
        <is>
          <t>JÄMTLANDS LÄN</t>
        </is>
      </c>
      <c r="E4947" t="inlineStr">
        <is>
          <t>KROKOM</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59916-2021</t>
        </is>
      </c>
      <c r="B4948" s="1" t="n">
        <v>44494</v>
      </c>
      <c r="C4948" s="1" t="n">
        <v>45363</v>
      </c>
      <c r="D4948" t="inlineStr">
        <is>
          <t>JÄMTLANDS LÄN</t>
        </is>
      </c>
      <c r="E4948" t="inlineStr">
        <is>
          <t>KROKOM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59969-2021</t>
        </is>
      </c>
      <c r="B4949" s="1" t="n">
        <v>44495</v>
      </c>
      <c r="C4949" s="1" t="n">
        <v>45363</v>
      </c>
      <c r="D4949" t="inlineStr">
        <is>
          <t>JÄMTLANDS LÄN</t>
        </is>
      </c>
      <c r="E4949" t="inlineStr">
        <is>
          <t>STRÖMSUND</t>
        </is>
      </c>
      <c r="F4949" t="inlineStr">
        <is>
          <t>SCA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60011-2021</t>
        </is>
      </c>
      <c r="B4950" s="1" t="n">
        <v>44495</v>
      </c>
      <c r="C4950" s="1" t="n">
        <v>45363</v>
      </c>
      <c r="D4950" t="inlineStr">
        <is>
          <t>JÄMTLANDS LÄN</t>
        </is>
      </c>
      <c r="E4950" t="inlineStr">
        <is>
          <t>STRÖMSUND</t>
        </is>
      </c>
      <c r="F4950" t="inlineStr">
        <is>
          <t>SCA</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59913-2021</t>
        </is>
      </c>
      <c r="B4951" s="1" t="n">
        <v>44494</v>
      </c>
      <c r="C4951" s="1" t="n">
        <v>45363</v>
      </c>
      <c r="D4951" t="inlineStr">
        <is>
          <t>JÄMTLANDS LÄN</t>
        </is>
      </c>
      <c r="E4951" t="inlineStr">
        <is>
          <t>KROKOM</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59996-2021</t>
        </is>
      </c>
      <c r="B4952" s="1" t="n">
        <v>44495</v>
      </c>
      <c r="C4952" s="1" t="n">
        <v>45363</v>
      </c>
      <c r="D4952" t="inlineStr">
        <is>
          <t>JÄMTLANDS LÄN</t>
        </is>
      </c>
      <c r="E4952" t="inlineStr">
        <is>
          <t>RAGUNDA</t>
        </is>
      </c>
      <c r="F4952" t="inlineStr">
        <is>
          <t>SCA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59928-2021</t>
        </is>
      </c>
      <c r="B4953" s="1" t="n">
        <v>44494</v>
      </c>
      <c r="C4953" s="1" t="n">
        <v>45363</v>
      </c>
      <c r="D4953" t="inlineStr">
        <is>
          <t>JÄMTLANDS LÄN</t>
        </is>
      </c>
      <c r="E4953" t="inlineStr">
        <is>
          <t>HÄRJEDALEN</t>
        </is>
      </c>
      <c r="G4953" t="n">
        <v>28.6</v>
      </c>
      <c r="H4953" t="n">
        <v>0</v>
      </c>
      <c r="I4953" t="n">
        <v>0</v>
      </c>
      <c r="J4953" t="n">
        <v>0</v>
      </c>
      <c r="K4953" t="n">
        <v>0</v>
      </c>
      <c r="L4953" t="n">
        <v>0</v>
      </c>
      <c r="M4953" t="n">
        <v>0</v>
      </c>
      <c r="N4953" t="n">
        <v>0</v>
      </c>
      <c r="O4953" t="n">
        <v>0</v>
      </c>
      <c r="P4953" t="n">
        <v>0</v>
      </c>
      <c r="Q4953" t="n">
        <v>0</v>
      </c>
      <c r="R4953" s="2" t="inlineStr"/>
    </row>
    <row r="4954" ht="15" customHeight="1">
      <c r="A4954" t="inlineStr">
        <is>
          <t>A 60015-2021</t>
        </is>
      </c>
      <c r="B4954" s="1" t="n">
        <v>44495</v>
      </c>
      <c r="C4954" s="1" t="n">
        <v>45363</v>
      </c>
      <c r="D4954" t="inlineStr">
        <is>
          <t>JÄMTLANDS LÄN</t>
        </is>
      </c>
      <c r="E4954" t="inlineStr">
        <is>
          <t>BRÄCKE</t>
        </is>
      </c>
      <c r="G4954" t="n">
        <v>18.7</v>
      </c>
      <c r="H4954" t="n">
        <v>0</v>
      </c>
      <c r="I4954" t="n">
        <v>0</v>
      </c>
      <c r="J4954" t="n">
        <v>0</v>
      </c>
      <c r="K4954" t="n">
        <v>0</v>
      </c>
      <c r="L4954" t="n">
        <v>0</v>
      </c>
      <c r="M4954" t="n">
        <v>0</v>
      </c>
      <c r="N4954" t="n">
        <v>0</v>
      </c>
      <c r="O4954" t="n">
        <v>0</v>
      </c>
      <c r="P4954" t="n">
        <v>0</v>
      </c>
      <c r="Q4954" t="n">
        <v>0</v>
      </c>
      <c r="R4954" s="2" t="inlineStr"/>
    </row>
    <row r="4955" ht="15" customHeight="1">
      <c r="A4955" t="inlineStr">
        <is>
          <t>A 60132-2021</t>
        </is>
      </c>
      <c r="B4955" s="1" t="n">
        <v>44495</v>
      </c>
      <c r="C4955" s="1" t="n">
        <v>45363</v>
      </c>
      <c r="D4955" t="inlineStr">
        <is>
          <t>JÄMTLANDS LÄN</t>
        </is>
      </c>
      <c r="E4955" t="inlineStr">
        <is>
          <t>ÅRE</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60122-2021</t>
        </is>
      </c>
      <c r="B4956" s="1" t="n">
        <v>44495</v>
      </c>
      <c r="C4956" s="1" t="n">
        <v>45363</v>
      </c>
      <c r="D4956" t="inlineStr">
        <is>
          <t>JÄMTLANDS LÄN</t>
        </is>
      </c>
      <c r="E4956" t="inlineStr">
        <is>
          <t>ÅRE</t>
        </is>
      </c>
      <c r="G4956" t="n">
        <v>46.7</v>
      </c>
      <c r="H4956" t="n">
        <v>0</v>
      </c>
      <c r="I4956" t="n">
        <v>0</v>
      </c>
      <c r="J4956" t="n">
        <v>0</v>
      </c>
      <c r="K4956" t="n">
        <v>0</v>
      </c>
      <c r="L4956" t="n">
        <v>0</v>
      </c>
      <c r="M4956" t="n">
        <v>0</v>
      </c>
      <c r="N4956" t="n">
        <v>0</v>
      </c>
      <c r="O4956" t="n">
        <v>0</v>
      </c>
      <c r="P4956" t="n">
        <v>0</v>
      </c>
      <c r="Q4956" t="n">
        <v>0</v>
      </c>
      <c r="R4956" s="2" t="inlineStr"/>
    </row>
    <row r="4957" ht="15" customHeight="1">
      <c r="A4957" t="inlineStr">
        <is>
          <t>A 60313-2021</t>
        </is>
      </c>
      <c r="B4957" s="1" t="n">
        <v>44495</v>
      </c>
      <c r="C4957" s="1" t="n">
        <v>45363</v>
      </c>
      <c r="D4957" t="inlineStr">
        <is>
          <t>JÄMTLANDS LÄN</t>
        </is>
      </c>
      <c r="E4957" t="inlineStr">
        <is>
          <t>RAGUNDA</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60312-2021</t>
        </is>
      </c>
      <c r="B4958" s="1" t="n">
        <v>44496</v>
      </c>
      <c r="C4958" s="1" t="n">
        <v>45363</v>
      </c>
      <c r="D4958" t="inlineStr">
        <is>
          <t>JÄMTLANDS LÄN</t>
        </is>
      </c>
      <c r="E4958" t="inlineStr">
        <is>
          <t>RAGUNDA</t>
        </is>
      </c>
      <c r="F4958" t="inlineStr">
        <is>
          <t>SCA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60348-2021</t>
        </is>
      </c>
      <c r="B4959" s="1" t="n">
        <v>44495</v>
      </c>
      <c r="C4959" s="1" t="n">
        <v>45363</v>
      </c>
      <c r="D4959" t="inlineStr">
        <is>
          <t>JÄMTLANDS LÄN</t>
        </is>
      </c>
      <c r="E4959" t="inlineStr">
        <is>
          <t>KROKOM</t>
        </is>
      </c>
      <c r="G4959" t="n">
        <v>11.2</v>
      </c>
      <c r="H4959" t="n">
        <v>0</v>
      </c>
      <c r="I4959" t="n">
        <v>0</v>
      </c>
      <c r="J4959" t="n">
        <v>0</v>
      </c>
      <c r="K4959" t="n">
        <v>0</v>
      </c>
      <c r="L4959" t="n">
        <v>0</v>
      </c>
      <c r="M4959" t="n">
        <v>0</v>
      </c>
      <c r="N4959" t="n">
        <v>0</v>
      </c>
      <c r="O4959" t="n">
        <v>0</v>
      </c>
      <c r="P4959" t="n">
        <v>0</v>
      </c>
      <c r="Q4959" t="n">
        <v>0</v>
      </c>
      <c r="R4959" s="2" t="inlineStr"/>
    </row>
    <row r="4960" ht="15" customHeight="1">
      <c r="A4960" t="inlineStr">
        <is>
          <t>A 60319-2021</t>
        </is>
      </c>
      <c r="B4960" s="1" t="n">
        <v>44495</v>
      </c>
      <c r="C4960" s="1" t="n">
        <v>45363</v>
      </c>
      <c r="D4960" t="inlineStr">
        <is>
          <t>JÄMTLANDS LÄN</t>
        </is>
      </c>
      <c r="E4960" t="inlineStr">
        <is>
          <t>STRÖMSUND</t>
        </is>
      </c>
      <c r="F4960" t="inlineStr">
        <is>
          <t>SCA</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60325-2021</t>
        </is>
      </c>
      <c r="B4961" s="1" t="n">
        <v>44496</v>
      </c>
      <c r="C4961" s="1" t="n">
        <v>45363</v>
      </c>
      <c r="D4961" t="inlineStr">
        <is>
          <t>JÄMTLANDS LÄN</t>
        </is>
      </c>
      <c r="E4961" t="inlineStr">
        <is>
          <t>BRÄCKE</t>
        </is>
      </c>
      <c r="F4961" t="inlineStr">
        <is>
          <t>SCA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60351-2021</t>
        </is>
      </c>
      <c r="B4962" s="1" t="n">
        <v>44495</v>
      </c>
      <c r="C4962" s="1" t="n">
        <v>45363</v>
      </c>
      <c r="D4962" t="inlineStr">
        <is>
          <t>JÄMTLANDS LÄN</t>
        </is>
      </c>
      <c r="E4962" t="inlineStr">
        <is>
          <t>KROKOM</t>
        </is>
      </c>
      <c r="G4962" t="n">
        <v>9.300000000000001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61566-2021</t>
        </is>
      </c>
      <c r="B4963" s="1" t="n">
        <v>44496</v>
      </c>
      <c r="C4963" s="1" t="n">
        <v>45363</v>
      </c>
      <c r="D4963" t="inlineStr">
        <is>
          <t>JÄMTLANDS LÄN</t>
        </is>
      </c>
      <c r="E4963" t="inlineStr">
        <is>
          <t>ÅRE</t>
        </is>
      </c>
      <c r="F4963" t="inlineStr">
        <is>
          <t>Övriga statliga verk och myndigheter</t>
        </is>
      </c>
      <c r="G4963" t="n">
        <v>10.9</v>
      </c>
      <c r="H4963" t="n">
        <v>0</v>
      </c>
      <c r="I4963" t="n">
        <v>0</v>
      </c>
      <c r="J4963" t="n">
        <v>0</v>
      </c>
      <c r="K4963" t="n">
        <v>0</v>
      </c>
      <c r="L4963" t="n">
        <v>0</v>
      </c>
      <c r="M4963" t="n">
        <v>0</v>
      </c>
      <c r="N4963" t="n">
        <v>0</v>
      </c>
      <c r="O4963" t="n">
        <v>0</v>
      </c>
      <c r="P4963" t="n">
        <v>0</v>
      </c>
      <c r="Q4963" t="n">
        <v>0</v>
      </c>
      <c r="R4963" s="2" t="inlineStr"/>
    </row>
    <row r="4964" ht="15" customHeight="1">
      <c r="A4964" t="inlineStr">
        <is>
          <t>A 60939-2021</t>
        </is>
      </c>
      <c r="B4964" s="1" t="n">
        <v>44496</v>
      </c>
      <c r="C4964" s="1" t="n">
        <v>45363</v>
      </c>
      <c r="D4964" t="inlineStr">
        <is>
          <t>JÄMTLANDS LÄN</t>
        </is>
      </c>
      <c r="E4964" t="inlineStr">
        <is>
          <t>STRÖMSUND</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60775-2021</t>
        </is>
      </c>
      <c r="B4965" s="1" t="n">
        <v>44496</v>
      </c>
      <c r="C4965" s="1" t="n">
        <v>45363</v>
      </c>
      <c r="D4965" t="inlineStr">
        <is>
          <t>JÄMTLANDS LÄN</t>
        </is>
      </c>
      <c r="E4965" t="inlineStr">
        <is>
          <t>STRÖMSUND</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60957-2021</t>
        </is>
      </c>
      <c r="B4966" s="1" t="n">
        <v>44496</v>
      </c>
      <c r="C4966" s="1" t="n">
        <v>45363</v>
      </c>
      <c r="D4966" t="inlineStr">
        <is>
          <t>JÄMTLANDS LÄN</t>
        </is>
      </c>
      <c r="E4966" t="inlineStr">
        <is>
          <t>RAGUNDA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61524-2021</t>
        </is>
      </c>
      <c r="B4967" s="1" t="n">
        <v>44496</v>
      </c>
      <c r="C4967" s="1" t="n">
        <v>45363</v>
      </c>
      <c r="D4967" t="inlineStr">
        <is>
          <t>JÄMTLANDS LÄN</t>
        </is>
      </c>
      <c r="E4967" t="inlineStr">
        <is>
          <t>ÅRE</t>
        </is>
      </c>
      <c r="F4967" t="inlineStr">
        <is>
          <t>Övriga statliga verk och myndigheter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60789-2021</t>
        </is>
      </c>
      <c r="B4968" s="1" t="n">
        <v>44496</v>
      </c>
      <c r="C4968" s="1" t="n">
        <v>45363</v>
      </c>
      <c r="D4968" t="inlineStr">
        <is>
          <t>JÄMTLANDS LÄN</t>
        </is>
      </c>
      <c r="E4968" t="inlineStr">
        <is>
          <t>STRÖMSUND</t>
        </is>
      </c>
      <c r="F4968" t="inlineStr">
        <is>
          <t>SCA</t>
        </is>
      </c>
      <c r="G4968" t="n">
        <v>14.7</v>
      </c>
      <c r="H4968" t="n">
        <v>0</v>
      </c>
      <c r="I4968" t="n">
        <v>0</v>
      </c>
      <c r="J4968" t="n">
        <v>0</v>
      </c>
      <c r="K4968" t="n">
        <v>0</v>
      </c>
      <c r="L4968" t="n">
        <v>0</v>
      </c>
      <c r="M4968" t="n">
        <v>0</v>
      </c>
      <c r="N4968" t="n">
        <v>0</v>
      </c>
      <c r="O4968" t="n">
        <v>0</v>
      </c>
      <c r="P4968" t="n">
        <v>0</v>
      </c>
      <c r="Q4968" t="n">
        <v>0</v>
      </c>
      <c r="R4968" s="2" t="inlineStr"/>
    </row>
    <row r="4969" ht="15" customHeight="1">
      <c r="A4969" t="inlineStr">
        <is>
          <t>A 60801-2021</t>
        </is>
      </c>
      <c r="B4969" s="1" t="n">
        <v>44497</v>
      </c>
      <c r="C4969" s="1" t="n">
        <v>45363</v>
      </c>
      <c r="D4969" t="inlineStr">
        <is>
          <t>JÄMTLANDS LÄN</t>
        </is>
      </c>
      <c r="E4969" t="inlineStr">
        <is>
          <t>STRÖMSUND</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60841-2021</t>
        </is>
      </c>
      <c r="B4970" s="1" t="n">
        <v>44497</v>
      </c>
      <c r="C4970" s="1" t="n">
        <v>45363</v>
      </c>
      <c r="D4970" t="inlineStr">
        <is>
          <t>JÄMTLANDS LÄN</t>
        </is>
      </c>
      <c r="E4970" t="inlineStr">
        <is>
          <t>HÄRJEDALEN</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61230-2021</t>
        </is>
      </c>
      <c r="B4971" s="1" t="n">
        <v>44498</v>
      </c>
      <c r="C4971" s="1" t="n">
        <v>45363</v>
      </c>
      <c r="D4971" t="inlineStr">
        <is>
          <t>JÄMTLANDS LÄN</t>
        </is>
      </c>
      <c r="E4971" t="inlineStr">
        <is>
          <t>KROKOM</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61182-2021</t>
        </is>
      </c>
      <c r="B4972" s="1" t="n">
        <v>44498</v>
      </c>
      <c r="C4972" s="1" t="n">
        <v>45363</v>
      </c>
      <c r="D4972" t="inlineStr">
        <is>
          <t>JÄMTLANDS LÄN</t>
        </is>
      </c>
      <c r="E4972" t="inlineStr">
        <is>
          <t>KROKOM</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61331-2021</t>
        </is>
      </c>
      <c r="B4973" s="1" t="n">
        <v>44498</v>
      </c>
      <c r="C4973" s="1" t="n">
        <v>45363</v>
      </c>
      <c r="D4973" t="inlineStr">
        <is>
          <t>JÄMTLANDS LÄN</t>
        </is>
      </c>
      <c r="E4973" t="inlineStr">
        <is>
          <t>ÅRE</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61612-2021</t>
        </is>
      </c>
      <c r="B4974" s="1" t="n">
        <v>44498</v>
      </c>
      <c r="C4974" s="1" t="n">
        <v>45363</v>
      </c>
      <c r="D4974" t="inlineStr">
        <is>
          <t>JÄMTLANDS LÄN</t>
        </is>
      </c>
      <c r="E4974" t="inlineStr">
        <is>
          <t>STRÖMSUND</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61749-2021</t>
        </is>
      </c>
      <c r="B4975" s="1" t="n">
        <v>44498</v>
      </c>
      <c r="C4975" s="1" t="n">
        <v>45363</v>
      </c>
      <c r="D4975" t="inlineStr">
        <is>
          <t>JÄMTLANDS LÄN</t>
        </is>
      </c>
      <c r="E4975" t="inlineStr">
        <is>
          <t>KROKOM</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61732-2021</t>
        </is>
      </c>
      <c r="B4976" s="1" t="n">
        <v>44498</v>
      </c>
      <c r="C4976" s="1" t="n">
        <v>45363</v>
      </c>
      <c r="D4976" t="inlineStr">
        <is>
          <t>JÄMTLANDS LÄN</t>
        </is>
      </c>
      <c r="E4976" t="inlineStr">
        <is>
          <t>KROKOM</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61803-2021</t>
        </is>
      </c>
      <c r="B4977" s="1" t="n">
        <v>44498</v>
      </c>
      <c r="C4977" s="1" t="n">
        <v>45363</v>
      </c>
      <c r="D4977" t="inlineStr">
        <is>
          <t>JÄMTLANDS LÄN</t>
        </is>
      </c>
      <c r="E4977" t="inlineStr">
        <is>
          <t>ÅRE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61806-2021</t>
        </is>
      </c>
      <c r="B4978" s="1" t="n">
        <v>44498</v>
      </c>
      <c r="C4978" s="1" t="n">
        <v>45363</v>
      </c>
      <c r="D4978" t="inlineStr">
        <is>
          <t>JÄMTLANDS LÄN</t>
        </is>
      </c>
      <c r="E4978" t="inlineStr">
        <is>
          <t>ÅRE</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61815-2021</t>
        </is>
      </c>
      <c r="B4979" s="1" t="n">
        <v>44498</v>
      </c>
      <c r="C4979" s="1" t="n">
        <v>45363</v>
      </c>
      <c r="D4979" t="inlineStr">
        <is>
          <t>JÄMTLANDS LÄN</t>
        </is>
      </c>
      <c r="E4979" t="inlineStr">
        <is>
          <t>ÅRE</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61375-2021</t>
        </is>
      </c>
      <c r="B4980" s="1" t="n">
        <v>44499</v>
      </c>
      <c r="C4980" s="1" t="n">
        <v>45363</v>
      </c>
      <c r="D4980" t="inlineStr">
        <is>
          <t>JÄMTLANDS LÄN</t>
        </is>
      </c>
      <c r="E4980" t="inlineStr">
        <is>
          <t>ÅRE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61439-2021</t>
        </is>
      </c>
      <c r="B4981" s="1" t="n">
        <v>44500</v>
      </c>
      <c r="C4981" s="1" t="n">
        <v>45363</v>
      </c>
      <c r="D4981" t="inlineStr">
        <is>
          <t>JÄMTLANDS LÄN</t>
        </is>
      </c>
      <c r="E4981" t="inlineStr">
        <is>
          <t>STRÖMSUND</t>
        </is>
      </c>
      <c r="F4981" t="inlineStr">
        <is>
          <t>SCA</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61449-2021</t>
        </is>
      </c>
      <c r="B4982" s="1" t="n">
        <v>44500</v>
      </c>
      <c r="C4982" s="1" t="n">
        <v>45363</v>
      </c>
      <c r="D4982" t="inlineStr">
        <is>
          <t>JÄMTLANDS LÄN</t>
        </is>
      </c>
      <c r="E4982" t="inlineStr">
        <is>
          <t>STRÖMSUND</t>
        </is>
      </c>
      <c r="F4982" t="inlineStr">
        <is>
          <t>SCA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61420-2021</t>
        </is>
      </c>
      <c r="B4983" s="1" t="n">
        <v>44500</v>
      </c>
      <c r="C4983" s="1" t="n">
        <v>45363</v>
      </c>
      <c r="D4983" t="inlineStr">
        <is>
          <t>JÄMTLANDS LÄN</t>
        </is>
      </c>
      <c r="E4983" t="inlineStr">
        <is>
          <t>STRÖMSUND</t>
        </is>
      </c>
      <c r="F4983" t="inlineStr">
        <is>
          <t>SCA</t>
        </is>
      </c>
      <c r="G4983" t="n">
        <v>10.2</v>
      </c>
      <c r="H4983" t="n">
        <v>0</v>
      </c>
      <c r="I4983" t="n">
        <v>0</v>
      </c>
      <c r="J4983" t="n">
        <v>0</v>
      </c>
      <c r="K4983" t="n">
        <v>0</v>
      </c>
      <c r="L4983" t="n">
        <v>0</v>
      </c>
      <c r="M4983" t="n">
        <v>0</v>
      </c>
      <c r="N4983" t="n">
        <v>0</v>
      </c>
      <c r="O4983" t="n">
        <v>0</v>
      </c>
      <c r="P4983" t="n">
        <v>0</v>
      </c>
      <c r="Q4983" t="n">
        <v>0</v>
      </c>
      <c r="R4983" s="2" t="inlineStr"/>
    </row>
    <row r="4984" ht="15" customHeight="1">
      <c r="A4984" t="inlineStr">
        <is>
          <t>A 61434-2021</t>
        </is>
      </c>
      <c r="B4984" s="1" t="n">
        <v>44500</v>
      </c>
      <c r="C4984" s="1" t="n">
        <v>45363</v>
      </c>
      <c r="D4984" t="inlineStr">
        <is>
          <t>JÄMTLANDS LÄN</t>
        </is>
      </c>
      <c r="E4984" t="inlineStr">
        <is>
          <t>STRÖMSUND</t>
        </is>
      </c>
      <c r="F4984" t="inlineStr">
        <is>
          <t>SCA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61442-2021</t>
        </is>
      </c>
      <c r="B4985" s="1" t="n">
        <v>44500</v>
      </c>
      <c r="C4985" s="1" t="n">
        <v>45363</v>
      </c>
      <c r="D4985" t="inlineStr">
        <is>
          <t>JÄMTLANDS LÄN</t>
        </is>
      </c>
      <c r="E4985" t="inlineStr">
        <is>
          <t>RAGUNDA</t>
        </is>
      </c>
      <c r="F4985" t="inlineStr">
        <is>
          <t>SCA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61455-2021</t>
        </is>
      </c>
      <c r="B4986" s="1" t="n">
        <v>44500</v>
      </c>
      <c r="C4986" s="1" t="n">
        <v>45363</v>
      </c>
      <c r="D4986" t="inlineStr">
        <is>
          <t>JÄMTLANDS LÄN</t>
        </is>
      </c>
      <c r="E4986" t="inlineStr">
        <is>
          <t>STRÖMSUND</t>
        </is>
      </c>
      <c r="F4986" t="inlineStr">
        <is>
          <t>SCA</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61415-2021</t>
        </is>
      </c>
      <c r="B4987" s="1" t="n">
        <v>44500</v>
      </c>
      <c r="C4987" s="1" t="n">
        <v>45363</v>
      </c>
      <c r="D4987" t="inlineStr">
        <is>
          <t>JÄMTLANDS LÄN</t>
        </is>
      </c>
      <c r="E4987" t="inlineStr">
        <is>
          <t>BRÄCKE</t>
        </is>
      </c>
      <c r="F4987" t="inlineStr">
        <is>
          <t>SCA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61422-2021</t>
        </is>
      </c>
      <c r="B4988" s="1" t="n">
        <v>44500</v>
      </c>
      <c r="C4988" s="1" t="n">
        <v>45363</v>
      </c>
      <c r="D4988" t="inlineStr">
        <is>
          <t>JÄMTLANDS LÄN</t>
        </is>
      </c>
      <c r="E4988" t="inlineStr">
        <is>
          <t>STRÖMSUND</t>
        </is>
      </c>
      <c r="F4988" t="inlineStr">
        <is>
          <t>SCA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61419-2021</t>
        </is>
      </c>
      <c r="B4989" s="1" t="n">
        <v>44500</v>
      </c>
      <c r="C4989" s="1" t="n">
        <v>45363</v>
      </c>
      <c r="D4989" t="inlineStr">
        <is>
          <t>JÄMTLANDS LÄN</t>
        </is>
      </c>
      <c r="E4989" t="inlineStr">
        <is>
          <t>STRÖMSUND</t>
        </is>
      </c>
      <c r="F4989" t="inlineStr">
        <is>
          <t>SCA</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61433-2021</t>
        </is>
      </c>
      <c r="B4990" s="1" t="n">
        <v>44500</v>
      </c>
      <c r="C4990" s="1" t="n">
        <v>45363</v>
      </c>
      <c r="D4990" t="inlineStr">
        <is>
          <t>JÄMTLANDS LÄN</t>
        </is>
      </c>
      <c r="E4990" t="inlineStr">
        <is>
          <t>STRÖMSUND</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61450-2021</t>
        </is>
      </c>
      <c r="B4991" s="1" t="n">
        <v>44500</v>
      </c>
      <c r="C4991" s="1" t="n">
        <v>45363</v>
      </c>
      <c r="D4991" t="inlineStr">
        <is>
          <t>JÄMTLANDS LÄN</t>
        </is>
      </c>
      <c r="E4991" t="inlineStr">
        <is>
          <t>STRÖMSUND</t>
        </is>
      </c>
      <c r="F4991" t="inlineStr">
        <is>
          <t>SCA</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61561-2021</t>
        </is>
      </c>
      <c r="B4992" s="1" t="n">
        <v>44501</v>
      </c>
      <c r="C4992" s="1" t="n">
        <v>45363</v>
      </c>
      <c r="D4992" t="inlineStr">
        <is>
          <t>JÄMTLANDS LÄN</t>
        </is>
      </c>
      <c r="E4992" t="inlineStr">
        <is>
          <t>HÄRJEDALEN</t>
        </is>
      </c>
      <c r="F4992" t="inlineStr">
        <is>
          <t>Bergvik skog väst AB</t>
        </is>
      </c>
      <c r="G4992" t="n">
        <v>16.2</v>
      </c>
      <c r="H4992" t="n">
        <v>0</v>
      </c>
      <c r="I4992" t="n">
        <v>0</v>
      </c>
      <c r="J4992" t="n">
        <v>0</v>
      </c>
      <c r="K4992" t="n">
        <v>0</v>
      </c>
      <c r="L4992" t="n">
        <v>0</v>
      </c>
      <c r="M4992" t="n">
        <v>0</v>
      </c>
      <c r="N4992" t="n">
        <v>0</v>
      </c>
      <c r="O4992" t="n">
        <v>0</v>
      </c>
      <c r="P4992" t="n">
        <v>0</v>
      </c>
      <c r="Q4992" t="n">
        <v>0</v>
      </c>
      <c r="R4992" s="2" t="inlineStr"/>
    </row>
    <row r="4993" ht="15" customHeight="1">
      <c r="A4993" t="inlineStr">
        <is>
          <t>A 61631-2021</t>
        </is>
      </c>
      <c r="B4993" s="1" t="n">
        <v>44501</v>
      </c>
      <c r="C4993" s="1" t="n">
        <v>45363</v>
      </c>
      <c r="D4993" t="inlineStr">
        <is>
          <t>JÄMTLANDS LÄN</t>
        </is>
      </c>
      <c r="E4993" t="inlineStr">
        <is>
          <t>ÖSTERSUND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61547-2021</t>
        </is>
      </c>
      <c r="B4994" s="1" t="n">
        <v>44501</v>
      </c>
      <c r="C4994" s="1" t="n">
        <v>45363</v>
      </c>
      <c r="D4994" t="inlineStr">
        <is>
          <t>JÄMTLANDS LÄN</t>
        </is>
      </c>
      <c r="E4994" t="inlineStr">
        <is>
          <t>HÄRJEDALEN</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61731-2021</t>
        </is>
      </c>
      <c r="B4995" s="1" t="n">
        <v>44501</v>
      </c>
      <c r="C4995" s="1" t="n">
        <v>45363</v>
      </c>
      <c r="D4995" t="inlineStr">
        <is>
          <t>JÄMTLANDS LÄN</t>
        </is>
      </c>
      <c r="E4995" t="inlineStr">
        <is>
          <t>STRÖMSUND</t>
        </is>
      </c>
      <c r="F4995" t="inlineStr">
        <is>
          <t>Holmen skog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62183-2021</t>
        </is>
      </c>
      <c r="B4996" s="1" t="n">
        <v>44502</v>
      </c>
      <c r="C4996" s="1" t="n">
        <v>45363</v>
      </c>
      <c r="D4996" t="inlineStr">
        <is>
          <t>JÄMTLANDS LÄN</t>
        </is>
      </c>
      <c r="E4996" t="inlineStr">
        <is>
          <t>ÅRE</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62203-2021</t>
        </is>
      </c>
      <c r="B4997" s="1" t="n">
        <v>44502</v>
      </c>
      <c r="C4997" s="1" t="n">
        <v>45363</v>
      </c>
      <c r="D4997" t="inlineStr">
        <is>
          <t>JÄMTLANDS LÄN</t>
        </is>
      </c>
      <c r="E4997" t="inlineStr">
        <is>
          <t>STRÖMSUND</t>
        </is>
      </c>
      <c r="F4997" t="inlineStr">
        <is>
          <t>SCA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62352-2021</t>
        </is>
      </c>
      <c r="B4998" s="1" t="n">
        <v>44502</v>
      </c>
      <c r="C4998" s="1" t="n">
        <v>45363</v>
      </c>
      <c r="D4998" t="inlineStr">
        <is>
          <t>JÄMTLANDS LÄN</t>
        </is>
      </c>
      <c r="E4998" t="inlineStr">
        <is>
          <t>ÅRE</t>
        </is>
      </c>
      <c r="F4998" t="inlineStr">
        <is>
          <t>Övriga statliga verk och myndigheter</t>
        </is>
      </c>
      <c r="G4998" t="n">
        <v>64.90000000000001</v>
      </c>
      <c r="H4998" t="n">
        <v>0</v>
      </c>
      <c r="I4998" t="n">
        <v>0</v>
      </c>
      <c r="J4998" t="n">
        <v>0</v>
      </c>
      <c r="K4998" t="n">
        <v>0</v>
      </c>
      <c r="L4998" t="n">
        <v>0</v>
      </c>
      <c r="M4998" t="n">
        <v>0</v>
      </c>
      <c r="N4998" t="n">
        <v>0</v>
      </c>
      <c r="O4998" t="n">
        <v>0</v>
      </c>
      <c r="P4998" t="n">
        <v>0</v>
      </c>
      <c r="Q4998" t="n">
        <v>0</v>
      </c>
      <c r="R4998" s="2" t="inlineStr"/>
    </row>
    <row r="4999" ht="15" customHeight="1">
      <c r="A4999" t="inlineStr">
        <is>
          <t>A 62194-2021</t>
        </is>
      </c>
      <c r="B4999" s="1" t="n">
        <v>44502</v>
      </c>
      <c r="C4999" s="1" t="n">
        <v>45363</v>
      </c>
      <c r="D4999" t="inlineStr">
        <is>
          <t>JÄMTLANDS LÄN</t>
        </is>
      </c>
      <c r="E4999" t="inlineStr">
        <is>
          <t>STRÖMSUND</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62205-2021</t>
        </is>
      </c>
      <c r="B5000" s="1" t="n">
        <v>44502</v>
      </c>
      <c r="C5000" s="1" t="n">
        <v>45363</v>
      </c>
      <c r="D5000" t="inlineStr">
        <is>
          <t>JÄMTLANDS LÄN</t>
        </is>
      </c>
      <c r="E5000" t="inlineStr">
        <is>
          <t>KROKOM</t>
        </is>
      </c>
      <c r="F5000" t="inlineStr">
        <is>
          <t>SCA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62206-2021</t>
        </is>
      </c>
      <c r="B5001" s="1" t="n">
        <v>44502</v>
      </c>
      <c r="C5001" s="1" t="n">
        <v>45363</v>
      </c>
      <c r="D5001" t="inlineStr">
        <is>
          <t>JÄMTLANDS LÄN</t>
        </is>
      </c>
      <c r="E5001" t="inlineStr">
        <is>
          <t>KROKOM</t>
        </is>
      </c>
      <c r="F5001" t="inlineStr">
        <is>
          <t>SCA</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62201-2021</t>
        </is>
      </c>
      <c r="B5002" s="1" t="n">
        <v>44502</v>
      </c>
      <c r="C5002" s="1" t="n">
        <v>45363</v>
      </c>
      <c r="D5002" t="inlineStr">
        <is>
          <t>JÄMTLANDS LÄN</t>
        </is>
      </c>
      <c r="E5002" t="inlineStr">
        <is>
          <t>KROKOM</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62234-2021</t>
        </is>
      </c>
      <c r="B5003" s="1" t="n">
        <v>44503</v>
      </c>
      <c r="C5003" s="1" t="n">
        <v>45363</v>
      </c>
      <c r="D5003" t="inlineStr">
        <is>
          <t>JÄMTLANDS LÄN</t>
        </is>
      </c>
      <c r="E5003" t="inlineStr">
        <is>
          <t>STRÖMSUND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62431-2021</t>
        </is>
      </c>
      <c r="B5004" s="1" t="n">
        <v>44503</v>
      </c>
      <c r="C5004" s="1" t="n">
        <v>45363</v>
      </c>
      <c r="D5004" t="inlineStr">
        <is>
          <t>JÄMTLANDS LÄN</t>
        </is>
      </c>
      <c r="E5004" t="inlineStr">
        <is>
          <t>STRÖMSUND</t>
        </is>
      </c>
      <c r="G5004" t="n">
        <v>6.8</v>
      </c>
      <c r="H5004" t="n">
        <v>0</v>
      </c>
      <c r="I5004" t="n">
        <v>0</v>
      </c>
      <c r="J5004" t="n">
        <v>0</v>
      </c>
      <c r="K5004" t="n">
        <v>0</v>
      </c>
      <c r="L5004" t="n">
        <v>0</v>
      </c>
      <c r="M5004" t="n">
        <v>0</v>
      </c>
      <c r="N5004" t="n">
        <v>0</v>
      </c>
      <c r="O5004" t="n">
        <v>0</v>
      </c>
      <c r="P5004" t="n">
        <v>0</v>
      </c>
      <c r="Q5004" t="n">
        <v>0</v>
      </c>
      <c r="R5004" s="2" t="inlineStr"/>
    </row>
    <row r="5005" ht="15" customHeight="1">
      <c r="A5005" t="inlineStr">
        <is>
          <t>A 62270-2021</t>
        </is>
      </c>
      <c r="B5005" s="1" t="n">
        <v>44503</v>
      </c>
      <c r="C5005" s="1" t="n">
        <v>45363</v>
      </c>
      <c r="D5005" t="inlineStr">
        <is>
          <t>JÄMTLANDS LÄN</t>
        </is>
      </c>
      <c r="E5005" t="inlineStr">
        <is>
          <t>BRÄCKE</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62249-2021</t>
        </is>
      </c>
      <c r="B5006" s="1" t="n">
        <v>44503</v>
      </c>
      <c r="C5006" s="1" t="n">
        <v>45363</v>
      </c>
      <c r="D5006" t="inlineStr">
        <is>
          <t>JÄMTLANDS LÄN</t>
        </is>
      </c>
      <c r="E5006" t="inlineStr">
        <is>
          <t>BRÄCKE</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62661-2021</t>
        </is>
      </c>
      <c r="B5007" s="1" t="n">
        <v>44503</v>
      </c>
      <c r="C5007" s="1" t="n">
        <v>45363</v>
      </c>
      <c r="D5007" t="inlineStr">
        <is>
          <t>JÄMTLANDS LÄN</t>
        </is>
      </c>
      <c r="E5007" t="inlineStr">
        <is>
          <t>BERG</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62667-2021</t>
        </is>
      </c>
      <c r="B5008" s="1" t="n">
        <v>44503</v>
      </c>
      <c r="C5008" s="1" t="n">
        <v>45363</v>
      </c>
      <c r="D5008" t="inlineStr">
        <is>
          <t>JÄMTLANDS LÄN</t>
        </is>
      </c>
      <c r="E5008" t="inlineStr">
        <is>
          <t>STRÖMSUND</t>
        </is>
      </c>
      <c r="F5008" t="inlineStr">
        <is>
          <t>SCA</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62675-2021</t>
        </is>
      </c>
      <c r="B5009" s="1" t="n">
        <v>44503</v>
      </c>
      <c r="C5009" s="1" t="n">
        <v>45363</v>
      </c>
      <c r="D5009" t="inlineStr">
        <is>
          <t>JÄMTLANDS LÄN</t>
        </is>
      </c>
      <c r="E5009" t="inlineStr">
        <is>
          <t>BRÄCKE</t>
        </is>
      </c>
      <c r="F5009" t="inlineStr">
        <is>
          <t>SCA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62666-2021</t>
        </is>
      </c>
      <c r="B5010" s="1" t="n">
        <v>44503</v>
      </c>
      <c r="C5010" s="1" t="n">
        <v>45363</v>
      </c>
      <c r="D5010" t="inlineStr">
        <is>
          <t>JÄMTLANDS LÄN</t>
        </is>
      </c>
      <c r="E5010" t="inlineStr">
        <is>
          <t>STRÖMSUND</t>
        </is>
      </c>
      <c r="F5010" t="inlineStr">
        <is>
          <t>SCA</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62664-2021</t>
        </is>
      </c>
      <c r="B5011" s="1" t="n">
        <v>44503</v>
      </c>
      <c r="C5011" s="1" t="n">
        <v>45363</v>
      </c>
      <c r="D5011" t="inlineStr">
        <is>
          <t>JÄMTLANDS LÄN</t>
        </is>
      </c>
      <c r="E5011" t="inlineStr">
        <is>
          <t>BRÄCKE</t>
        </is>
      </c>
      <c r="F5011" t="inlineStr">
        <is>
          <t>SCA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62669-2021</t>
        </is>
      </c>
      <c r="B5012" s="1" t="n">
        <v>44503</v>
      </c>
      <c r="C5012" s="1" t="n">
        <v>45363</v>
      </c>
      <c r="D5012" t="inlineStr">
        <is>
          <t>JÄMTLANDS LÄN</t>
        </is>
      </c>
      <c r="E5012" t="inlineStr">
        <is>
          <t>STRÖMSUND</t>
        </is>
      </c>
      <c r="F5012" t="inlineStr">
        <is>
          <t>SCA</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62674-2021</t>
        </is>
      </c>
      <c r="B5013" s="1" t="n">
        <v>44503</v>
      </c>
      <c r="C5013" s="1" t="n">
        <v>45363</v>
      </c>
      <c r="D5013" t="inlineStr">
        <is>
          <t>JÄMTLANDS LÄN</t>
        </is>
      </c>
      <c r="E5013" t="inlineStr">
        <is>
          <t>BRÄCKE</t>
        </is>
      </c>
      <c r="F5013" t="inlineStr">
        <is>
          <t>SCA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62668-2021</t>
        </is>
      </c>
      <c r="B5014" s="1" t="n">
        <v>44503</v>
      </c>
      <c r="C5014" s="1" t="n">
        <v>45363</v>
      </c>
      <c r="D5014" t="inlineStr">
        <is>
          <t>JÄMTLANDS LÄN</t>
        </is>
      </c>
      <c r="E5014" t="inlineStr">
        <is>
          <t>STRÖMSUND</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64744-2021</t>
        </is>
      </c>
      <c r="B5015" s="1" t="n">
        <v>44503</v>
      </c>
      <c r="C5015" s="1" t="n">
        <v>45363</v>
      </c>
      <c r="D5015" t="inlineStr">
        <is>
          <t>JÄMTLANDS LÄN</t>
        </is>
      </c>
      <c r="E5015" t="inlineStr">
        <is>
          <t>STRÖMSUND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64760-2021</t>
        </is>
      </c>
      <c r="B5016" s="1" t="n">
        <v>44503</v>
      </c>
      <c r="C5016" s="1" t="n">
        <v>45363</v>
      </c>
      <c r="D5016" t="inlineStr">
        <is>
          <t>JÄMTLANDS LÄN</t>
        </is>
      </c>
      <c r="E5016" t="inlineStr">
        <is>
          <t>STRÖMSUND</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62739-2021</t>
        </is>
      </c>
      <c r="B5017" s="1" t="n">
        <v>44504</v>
      </c>
      <c r="C5017" s="1" t="n">
        <v>45363</v>
      </c>
      <c r="D5017" t="inlineStr">
        <is>
          <t>JÄMTLANDS LÄN</t>
        </is>
      </c>
      <c r="E5017" t="inlineStr">
        <is>
          <t>KROKOM</t>
        </is>
      </c>
      <c r="G5017" t="n">
        <v>8.300000000000001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62953-2021</t>
        </is>
      </c>
      <c r="B5018" s="1" t="n">
        <v>44504</v>
      </c>
      <c r="C5018" s="1" t="n">
        <v>45363</v>
      </c>
      <c r="D5018" t="inlineStr">
        <is>
          <t>JÄMTLANDS LÄN</t>
        </is>
      </c>
      <c r="E5018" t="inlineStr">
        <is>
          <t>BRÄCKE</t>
        </is>
      </c>
      <c r="F5018" t="inlineStr">
        <is>
          <t>SCA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62956-2021</t>
        </is>
      </c>
      <c r="B5019" s="1" t="n">
        <v>44504</v>
      </c>
      <c r="C5019" s="1" t="n">
        <v>45363</v>
      </c>
      <c r="D5019" t="inlineStr">
        <is>
          <t>JÄMTLANDS LÄN</t>
        </is>
      </c>
      <c r="E5019" t="inlineStr">
        <is>
          <t>RAGUNDA</t>
        </is>
      </c>
      <c r="F5019" t="inlineStr">
        <is>
          <t>SCA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62954-2021</t>
        </is>
      </c>
      <c r="B5020" s="1" t="n">
        <v>44504</v>
      </c>
      <c r="C5020" s="1" t="n">
        <v>45363</v>
      </c>
      <c r="D5020" t="inlineStr">
        <is>
          <t>JÄMTLANDS LÄN</t>
        </is>
      </c>
      <c r="E5020" t="inlineStr">
        <is>
          <t>BRÄCKE</t>
        </is>
      </c>
      <c r="F5020" t="inlineStr">
        <is>
          <t>SCA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63226-2021</t>
        </is>
      </c>
      <c r="B5021" s="1" t="n">
        <v>44504</v>
      </c>
      <c r="C5021" s="1" t="n">
        <v>45363</v>
      </c>
      <c r="D5021" t="inlineStr">
        <is>
          <t>JÄMTLANDS LÄN</t>
        </is>
      </c>
      <c r="E5021" t="inlineStr">
        <is>
          <t>ÅRE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63070-2021</t>
        </is>
      </c>
      <c r="B5022" s="1" t="n">
        <v>44505</v>
      </c>
      <c r="C5022" s="1" t="n">
        <v>45363</v>
      </c>
      <c r="D5022" t="inlineStr">
        <is>
          <t>JÄMTLANDS LÄN</t>
        </is>
      </c>
      <c r="E5022" t="inlineStr">
        <is>
          <t>STRÖMSUND</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63169-2021</t>
        </is>
      </c>
      <c r="B5023" s="1" t="n">
        <v>44505</v>
      </c>
      <c r="C5023" s="1" t="n">
        <v>45363</v>
      </c>
      <c r="D5023" t="inlineStr">
        <is>
          <t>JÄMTLANDS LÄN</t>
        </is>
      </c>
      <c r="E5023" t="inlineStr">
        <is>
          <t>RAGUNDA</t>
        </is>
      </c>
      <c r="F5023" t="inlineStr">
        <is>
          <t>SCA</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63168-2021</t>
        </is>
      </c>
      <c r="B5024" s="1" t="n">
        <v>44505</v>
      </c>
      <c r="C5024" s="1" t="n">
        <v>45363</v>
      </c>
      <c r="D5024" t="inlineStr">
        <is>
          <t>JÄMTLANDS LÄN</t>
        </is>
      </c>
      <c r="E5024" t="inlineStr">
        <is>
          <t>RAGUNDA</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63346-2021</t>
        </is>
      </c>
      <c r="B5025" s="1" t="n">
        <v>44508</v>
      </c>
      <c r="C5025" s="1" t="n">
        <v>45363</v>
      </c>
      <c r="D5025" t="inlineStr">
        <is>
          <t>JÄMTLANDS LÄN</t>
        </is>
      </c>
      <c r="E5025" t="inlineStr">
        <is>
          <t>BRÄCKE</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63600-2021</t>
        </is>
      </c>
      <c r="B5026" s="1" t="n">
        <v>44508</v>
      </c>
      <c r="C5026" s="1" t="n">
        <v>45363</v>
      </c>
      <c r="D5026" t="inlineStr">
        <is>
          <t>JÄMTLANDS LÄN</t>
        </is>
      </c>
      <c r="E5026" t="inlineStr">
        <is>
          <t>BRÄCKE</t>
        </is>
      </c>
      <c r="F5026" t="inlineStr">
        <is>
          <t>SCA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63579-2021</t>
        </is>
      </c>
      <c r="B5027" s="1" t="n">
        <v>44508</v>
      </c>
      <c r="C5027" s="1" t="n">
        <v>45363</v>
      </c>
      <c r="D5027" t="inlineStr">
        <is>
          <t>JÄMTLANDS LÄN</t>
        </is>
      </c>
      <c r="E5027" t="inlineStr">
        <is>
          <t>BRÄCKE</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63534-2021</t>
        </is>
      </c>
      <c r="B5028" s="1" t="n">
        <v>44508</v>
      </c>
      <c r="C5028" s="1" t="n">
        <v>45363</v>
      </c>
      <c r="D5028" t="inlineStr">
        <is>
          <t>JÄMTLANDS LÄN</t>
        </is>
      </c>
      <c r="E5028" t="inlineStr">
        <is>
          <t>BRÄCKE</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63498-2021</t>
        </is>
      </c>
      <c r="B5029" s="1" t="n">
        <v>44508</v>
      </c>
      <c r="C5029" s="1" t="n">
        <v>45363</v>
      </c>
      <c r="D5029" t="inlineStr">
        <is>
          <t>JÄMTLANDS LÄN</t>
        </is>
      </c>
      <c r="E5029" t="inlineStr">
        <is>
          <t>STRÖMSUND</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63590-2021</t>
        </is>
      </c>
      <c r="B5030" s="1" t="n">
        <v>44508</v>
      </c>
      <c r="C5030" s="1" t="n">
        <v>45363</v>
      </c>
      <c r="D5030" t="inlineStr">
        <is>
          <t>JÄMTLANDS LÄN</t>
        </is>
      </c>
      <c r="E5030" t="inlineStr">
        <is>
          <t>BRÄCKE</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63774-2021</t>
        </is>
      </c>
      <c r="B5031" s="1" t="n">
        <v>44508</v>
      </c>
      <c r="C5031" s="1" t="n">
        <v>45363</v>
      </c>
      <c r="D5031" t="inlineStr">
        <is>
          <t>JÄMTLANDS LÄN</t>
        </is>
      </c>
      <c r="E5031" t="inlineStr">
        <is>
          <t>HÄRJEDALEN</t>
        </is>
      </c>
      <c r="F5031" t="inlineStr">
        <is>
          <t>Holmen skog AB</t>
        </is>
      </c>
      <c r="G5031" t="n">
        <v>14.8</v>
      </c>
      <c r="H5031" t="n">
        <v>0</v>
      </c>
      <c r="I5031" t="n">
        <v>0</v>
      </c>
      <c r="J5031" t="n">
        <v>0</v>
      </c>
      <c r="K5031" t="n">
        <v>0</v>
      </c>
      <c r="L5031" t="n">
        <v>0</v>
      </c>
      <c r="M5031" t="n">
        <v>0</v>
      </c>
      <c r="N5031" t="n">
        <v>0</v>
      </c>
      <c r="O5031" t="n">
        <v>0</v>
      </c>
      <c r="P5031" t="n">
        <v>0</v>
      </c>
      <c r="Q5031" t="n">
        <v>0</v>
      </c>
      <c r="R5031" s="2" t="inlineStr"/>
    </row>
    <row r="5032" ht="15" customHeight="1">
      <c r="A5032" t="inlineStr">
        <is>
          <t>A 63875-2021</t>
        </is>
      </c>
      <c r="B5032" s="1" t="n">
        <v>44509</v>
      </c>
      <c r="C5032" s="1" t="n">
        <v>45363</v>
      </c>
      <c r="D5032" t="inlineStr">
        <is>
          <t>JÄMTLANDS LÄN</t>
        </is>
      </c>
      <c r="E5032" t="inlineStr">
        <is>
          <t>STRÖMSUND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64000-2021</t>
        </is>
      </c>
      <c r="B5033" s="1" t="n">
        <v>44510</v>
      </c>
      <c r="C5033" s="1" t="n">
        <v>45363</v>
      </c>
      <c r="D5033" t="inlineStr">
        <is>
          <t>JÄMTLANDS LÄN</t>
        </is>
      </c>
      <c r="E5033" t="inlineStr">
        <is>
          <t>STRÖMSUND</t>
        </is>
      </c>
      <c r="F5033" t="inlineStr">
        <is>
          <t>SCA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63995-2021</t>
        </is>
      </c>
      <c r="B5034" s="1" t="n">
        <v>44509</v>
      </c>
      <c r="C5034" s="1" t="n">
        <v>45363</v>
      </c>
      <c r="D5034" t="inlineStr">
        <is>
          <t>JÄMTLANDS LÄN</t>
        </is>
      </c>
      <c r="E5034" t="inlineStr">
        <is>
          <t>BRÄCKE</t>
        </is>
      </c>
      <c r="F5034" t="inlineStr">
        <is>
          <t>SCA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64002-2021</t>
        </is>
      </c>
      <c r="B5035" s="1" t="n">
        <v>44510</v>
      </c>
      <c r="C5035" s="1" t="n">
        <v>45363</v>
      </c>
      <c r="D5035" t="inlineStr">
        <is>
          <t>JÄMTLANDS LÄN</t>
        </is>
      </c>
      <c r="E5035" t="inlineStr">
        <is>
          <t>BRÄCKE</t>
        </is>
      </c>
      <c r="F5035" t="inlineStr">
        <is>
          <t>SCA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63999-2021</t>
        </is>
      </c>
      <c r="B5036" s="1" t="n">
        <v>44510</v>
      </c>
      <c r="C5036" s="1" t="n">
        <v>45363</v>
      </c>
      <c r="D5036" t="inlineStr">
        <is>
          <t>JÄMTLANDS LÄN</t>
        </is>
      </c>
      <c r="E5036" t="inlineStr">
        <is>
          <t>STRÖMSUND</t>
        </is>
      </c>
      <c r="F5036" t="inlineStr">
        <is>
          <t>SCA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63988-2021</t>
        </is>
      </c>
      <c r="B5037" s="1" t="n">
        <v>44509</v>
      </c>
      <c r="C5037" s="1" t="n">
        <v>45363</v>
      </c>
      <c r="D5037" t="inlineStr">
        <is>
          <t>JÄMTLANDS LÄN</t>
        </is>
      </c>
      <c r="E5037" t="inlineStr">
        <is>
          <t>STRÖMSUND</t>
        </is>
      </c>
      <c r="F5037" t="inlineStr">
        <is>
          <t>SCA</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64001-2021</t>
        </is>
      </c>
      <c r="B5038" s="1" t="n">
        <v>44509</v>
      </c>
      <c r="C5038" s="1" t="n">
        <v>45363</v>
      </c>
      <c r="D5038" t="inlineStr">
        <is>
          <t>JÄMTLANDS LÄN</t>
        </is>
      </c>
      <c r="E5038" t="inlineStr">
        <is>
          <t>STRÖMSUND</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64092-2021</t>
        </is>
      </c>
      <c r="B5039" s="1" t="n">
        <v>44510</v>
      </c>
      <c r="C5039" s="1" t="n">
        <v>45363</v>
      </c>
      <c r="D5039" t="inlineStr">
        <is>
          <t>JÄMTLANDS LÄN</t>
        </is>
      </c>
      <c r="E5039" t="inlineStr">
        <is>
          <t>ÖSTERSUND</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64200-2021</t>
        </is>
      </c>
      <c r="B5040" s="1" t="n">
        <v>44510</v>
      </c>
      <c r="C5040" s="1" t="n">
        <v>45363</v>
      </c>
      <c r="D5040" t="inlineStr">
        <is>
          <t>JÄMTLANDS LÄN</t>
        </is>
      </c>
      <c r="E5040" t="inlineStr">
        <is>
          <t>STRÖMSUND</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64196-2021</t>
        </is>
      </c>
      <c r="B5041" s="1" t="n">
        <v>44510</v>
      </c>
      <c r="C5041" s="1" t="n">
        <v>45363</v>
      </c>
      <c r="D5041" t="inlineStr">
        <is>
          <t>JÄMTLANDS LÄN</t>
        </is>
      </c>
      <c r="E5041" t="inlineStr">
        <is>
          <t>ÅRE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64186-2021</t>
        </is>
      </c>
      <c r="B5042" s="1" t="n">
        <v>44510</v>
      </c>
      <c r="C5042" s="1" t="n">
        <v>45363</v>
      </c>
      <c r="D5042" t="inlineStr">
        <is>
          <t>JÄMTLANDS LÄN</t>
        </is>
      </c>
      <c r="E5042" t="inlineStr">
        <is>
          <t>STRÖMSUND</t>
        </is>
      </c>
      <c r="G5042" t="n">
        <v>18.2</v>
      </c>
      <c r="H5042" t="n">
        <v>0</v>
      </c>
      <c r="I5042" t="n">
        <v>0</v>
      </c>
      <c r="J5042" t="n">
        <v>0</v>
      </c>
      <c r="K5042" t="n">
        <v>0</v>
      </c>
      <c r="L5042" t="n">
        <v>0</v>
      </c>
      <c r="M5042" t="n">
        <v>0</v>
      </c>
      <c r="N5042" t="n">
        <v>0</v>
      </c>
      <c r="O5042" t="n">
        <v>0</v>
      </c>
      <c r="P5042" t="n">
        <v>0</v>
      </c>
      <c r="Q5042" t="n">
        <v>0</v>
      </c>
      <c r="R5042" s="2" t="inlineStr"/>
    </row>
    <row r="5043" ht="15" customHeight="1">
      <c r="A5043" t="inlineStr">
        <is>
          <t>A 64237-2021</t>
        </is>
      </c>
      <c r="B5043" s="1" t="n">
        <v>44510</v>
      </c>
      <c r="C5043" s="1" t="n">
        <v>45363</v>
      </c>
      <c r="D5043" t="inlineStr">
        <is>
          <t>JÄMTLANDS LÄN</t>
        </is>
      </c>
      <c r="E5043" t="inlineStr">
        <is>
          <t>ÅRE</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64219-2021</t>
        </is>
      </c>
      <c r="B5044" s="1" t="n">
        <v>44510</v>
      </c>
      <c r="C5044" s="1" t="n">
        <v>45363</v>
      </c>
      <c r="D5044" t="inlineStr">
        <is>
          <t>JÄMTLANDS LÄN</t>
        </is>
      </c>
      <c r="E5044" t="inlineStr">
        <is>
          <t>ÅRE</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64245-2021</t>
        </is>
      </c>
      <c r="B5045" s="1" t="n">
        <v>44510</v>
      </c>
      <c r="C5045" s="1" t="n">
        <v>45363</v>
      </c>
      <c r="D5045" t="inlineStr">
        <is>
          <t>JÄMTLANDS LÄN</t>
        </is>
      </c>
      <c r="E5045" t="inlineStr">
        <is>
          <t>ÅRE</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64291-2021</t>
        </is>
      </c>
      <c r="B5046" s="1" t="n">
        <v>44510</v>
      </c>
      <c r="C5046" s="1" t="n">
        <v>45363</v>
      </c>
      <c r="D5046" t="inlineStr">
        <is>
          <t>JÄMTLANDS LÄN</t>
        </is>
      </c>
      <c r="E5046" t="inlineStr">
        <is>
          <t>STRÖMSUND</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64299-2021</t>
        </is>
      </c>
      <c r="B5047" s="1" t="n">
        <v>44510</v>
      </c>
      <c r="C5047" s="1" t="n">
        <v>45363</v>
      </c>
      <c r="D5047" t="inlineStr">
        <is>
          <t>JÄMTLANDS LÄN</t>
        </is>
      </c>
      <c r="E5047" t="inlineStr">
        <is>
          <t>KROKOM</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64298-2021</t>
        </is>
      </c>
      <c r="B5048" s="1" t="n">
        <v>44510</v>
      </c>
      <c r="C5048" s="1" t="n">
        <v>45363</v>
      </c>
      <c r="D5048" t="inlineStr">
        <is>
          <t>JÄMTLANDS LÄN</t>
        </is>
      </c>
      <c r="E5048" t="inlineStr">
        <is>
          <t>KROKOM</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64310-2021</t>
        </is>
      </c>
      <c r="B5049" s="1" t="n">
        <v>44510</v>
      </c>
      <c r="C5049" s="1" t="n">
        <v>45363</v>
      </c>
      <c r="D5049" t="inlineStr">
        <is>
          <t>JÄMTLANDS LÄN</t>
        </is>
      </c>
      <c r="E5049" t="inlineStr">
        <is>
          <t>STRÖMSUND</t>
        </is>
      </c>
      <c r="F5049" t="inlineStr">
        <is>
          <t>SCA</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64309-2021</t>
        </is>
      </c>
      <c r="B5050" s="1" t="n">
        <v>44510</v>
      </c>
      <c r="C5050" s="1" t="n">
        <v>45363</v>
      </c>
      <c r="D5050" t="inlineStr">
        <is>
          <t>JÄMTLANDS LÄN</t>
        </is>
      </c>
      <c r="E5050" t="inlineStr">
        <is>
          <t>STRÖMSUND</t>
        </is>
      </c>
      <c r="F5050" t="inlineStr">
        <is>
          <t>SCA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64505-2021</t>
        </is>
      </c>
      <c r="B5051" s="1" t="n">
        <v>44511</v>
      </c>
      <c r="C5051" s="1" t="n">
        <v>45363</v>
      </c>
      <c r="D5051" t="inlineStr">
        <is>
          <t>JÄMTLANDS LÄN</t>
        </is>
      </c>
      <c r="E5051" t="inlineStr">
        <is>
          <t>STRÖMSUND</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64511-2021</t>
        </is>
      </c>
      <c r="B5052" s="1" t="n">
        <v>44511</v>
      </c>
      <c r="C5052" s="1" t="n">
        <v>45363</v>
      </c>
      <c r="D5052" t="inlineStr">
        <is>
          <t>JÄMTLANDS LÄN</t>
        </is>
      </c>
      <c r="E5052" t="inlineStr">
        <is>
          <t>RAGUNDA</t>
        </is>
      </c>
      <c r="G5052" t="n">
        <v>19.4</v>
      </c>
      <c r="H5052" t="n">
        <v>0</v>
      </c>
      <c r="I5052" t="n">
        <v>0</v>
      </c>
      <c r="J5052" t="n">
        <v>0</v>
      </c>
      <c r="K5052" t="n">
        <v>0</v>
      </c>
      <c r="L5052" t="n">
        <v>0</v>
      </c>
      <c r="M5052" t="n">
        <v>0</v>
      </c>
      <c r="N5052" t="n">
        <v>0</v>
      </c>
      <c r="O5052" t="n">
        <v>0</v>
      </c>
      <c r="P5052" t="n">
        <v>0</v>
      </c>
      <c r="Q5052" t="n">
        <v>0</v>
      </c>
      <c r="R5052" s="2" t="inlineStr"/>
    </row>
    <row r="5053" ht="15" customHeight="1">
      <c r="A5053" t="inlineStr">
        <is>
          <t>A 64645-2021</t>
        </is>
      </c>
      <c r="B5053" s="1" t="n">
        <v>44511</v>
      </c>
      <c r="C5053" s="1" t="n">
        <v>45363</v>
      </c>
      <c r="D5053" t="inlineStr">
        <is>
          <t>JÄMTLANDS LÄN</t>
        </is>
      </c>
      <c r="E5053" t="inlineStr">
        <is>
          <t>ÖSTERSUND</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64655-2021</t>
        </is>
      </c>
      <c r="B5054" s="1" t="n">
        <v>44511</v>
      </c>
      <c r="C5054" s="1" t="n">
        <v>45363</v>
      </c>
      <c r="D5054" t="inlineStr">
        <is>
          <t>JÄMTLANDS LÄN</t>
        </is>
      </c>
      <c r="E5054" t="inlineStr">
        <is>
          <t>STRÖMSUND</t>
        </is>
      </c>
      <c r="F5054" t="inlineStr">
        <is>
          <t>SCA</t>
        </is>
      </c>
      <c r="G5054" t="n">
        <v>10.2</v>
      </c>
      <c r="H5054" t="n">
        <v>0</v>
      </c>
      <c r="I5054" t="n">
        <v>0</v>
      </c>
      <c r="J5054" t="n">
        <v>0</v>
      </c>
      <c r="K5054" t="n">
        <v>0</v>
      </c>
      <c r="L5054" t="n">
        <v>0</v>
      </c>
      <c r="M5054" t="n">
        <v>0</v>
      </c>
      <c r="N5054" t="n">
        <v>0</v>
      </c>
      <c r="O5054" t="n">
        <v>0</v>
      </c>
      <c r="P5054" t="n">
        <v>0</v>
      </c>
      <c r="Q5054" t="n">
        <v>0</v>
      </c>
      <c r="R5054" s="2" t="inlineStr"/>
    </row>
    <row r="5055" ht="15" customHeight="1">
      <c r="A5055" t="inlineStr">
        <is>
          <t>A 64629-2021</t>
        </is>
      </c>
      <c r="B5055" s="1" t="n">
        <v>44511</v>
      </c>
      <c r="C5055" s="1" t="n">
        <v>45363</v>
      </c>
      <c r="D5055" t="inlineStr">
        <is>
          <t>JÄMTLANDS LÄN</t>
        </is>
      </c>
      <c r="E5055" t="inlineStr">
        <is>
          <t>RAGUNDA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64656-2021</t>
        </is>
      </c>
      <c r="B5056" s="1" t="n">
        <v>44511</v>
      </c>
      <c r="C5056" s="1" t="n">
        <v>45363</v>
      </c>
      <c r="D5056" t="inlineStr">
        <is>
          <t>JÄMTLANDS LÄN</t>
        </is>
      </c>
      <c r="E5056" t="inlineStr">
        <is>
          <t>STRÖMSUND</t>
        </is>
      </c>
      <c r="F5056" t="inlineStr">
        <is>
          <t>SCA</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64660-2021</t>
        </is>
      </c>
      <c r="B5057" s="1" t="n">
        <v>44511</v>
      </c>
      <c r="C5057" s="1" t="n">
        <v>45363</v>
      </c>
      <c r="D5057" t="inlineStr">
        <is>
          <t>JÄMTLANDS LÄN</t>
        </is>
      </c>
      <c r="E5057" t="inlineStr">
        <is>
          <t>STRÖMSUND</t>
        </is>
      </c>
      <c r="F5057" t="inlineStr">
        <is>
          <t>SCA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64657-2021</t>
        </is>
      </c>
      <c r="B5058" s="1" t="n">
        <v>44511</v>
      </c>
      <c r="C5058" s="1" t="n">
        <v>45363</v>
      </c>
      <c r="D5058" t="inlineStr">
        <is>
          <t>JÄMTLANDS LÄN</t>
        </is>
      </c>
      <c r="E5058" t="inlineStr">
        <is>
          <t>STRÖMSUND</t>
        </is>
      </c>
      <c r="F5058" t="inlineStr">
        <is>
          <t>SCA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64721-2021</t>
        </is>
      </c>
      <c r="B5059" s="1" t="n">
        <v>44512</v>
      </c>
      <c r="C5059" s="1" t="n">
        <v>45363</v>
      </c>
      <c r="D5059" t="inlineStr">
        <is>
          <t>JÄMTLANDS LÄN</t>
        </is>
      </c>
      <c r="E5059" t="inlineStr">
        <is>
          <t>BRÄCKE</t>
        </is>
      </c>
      <c r="G5059" t="n">
        <v>8</v>
      </c>
      <c r="H5059" t="n">
        <v>0</v>
      </c>
      <c r="I5059" t="n">
        <v>0</v>
      </c>
      <c r="J5059" t="n">
        <v>0</v>
      </c>
      <c r="K5059" t="n">
        <v>0</v>
      </c>
      <c r="L5059" t="n">
        <v>0</v>
      </c>
      <c r="M5059" t="n">
        <v>0</v>
      </c>
      <c r="N5059" t="n">
        <v>0</v>
      </c>
      <c r="O5059" t="n">
        <v>0</v>
      </c>
      <c r="P5059" t="n">
        <v>0</v>
      </c>
      <c r="Q5059" t="n">
        <v>0</v>
      </c>
      <c r="R5059" s="2" t="inlineStr"/>
    </row>
    <row r="5060" ht="15" customHeight="1">
      <c r="A5060" t="inlineStr">
        <is>
          <t>A 64709-2021</t>
        </is>
      </c>
      <c r="B5060" s="1" t="n">
        <v>44512</v>
      </c>
      <c r="C5060" s="1" t="n">
        <v>45363</v>
      </c>
      <c r="D5060" t="inlineStr">
        <is>
          <t>JÄMTLANDS LÄN</t>
        </is>
      </c>
      <c r="E5060" t="inlineStr">
        <is>
          <t>BERG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64723-2021</t>
        </is>
      </c>
      <c r="B5061" s="1" t="n">
        <v>44512</v>
      </c>
      <c r="C5061" s="1" t="n">
        <v>45363</v>
      </c>
      <c r="D5061" t="inlineStr">
        <is>
          <t>JÄMTLANDS LÄN</t>
        </is>
      </c>
      <c r="E5061" t="inlineStr">
        <is>
          <t>STRÖMSUND</t>
        </is>
      </c>
      <c r="F5061" t="inlineStr">
        <is>
          <t>Holmen skog AB</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64913-2021</t>
        </is>
      </c>
      <c r="B5062" s="1" t="n">
        <v>44512</v>
      </c>
      <c r="C5062" s="1" t="n">
        <v>45363</v>
      </c>
      <c r="D5062" t="inlineStr">
        <is>
          <t>JÄMTLANDS LÄN</t>
        </is>
      </c>
      <c r="E5062" t="inlineStr">
        <is>
          <t>STRÖMSUND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64955-2021</t>
        </is>
      </c>
      <c r="B5063" s="1" t="n">
        <v>44512</v>
      </c>
      <c r="C5063" s="1" t="n">
        <v>45363</v>
      </c>
      <c r="D5063" t="inlineStr">
        <is>
          <t>JÄMTLANDS LÄN</t>
        </is>
      </c>
      <c r="E5063" t="inlineStr">
        <is>
          <t>STRÖMSUND</t>
        </is>
      </c>
      <c r="F5063" t="inlineStr">
        <is>
          <t>SCA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64937-2021</t>
        </is>
      </c>
      <c r="B5064" s="1" t="n">
        <v>44512</v>
      </c>
      <c r="C5064" s="1" t="n">
        <v>45363</v>
      </c>
      <c r="D5064" t="inlineStr">
        <is>
          <t>JÄMTLANDS LÄN</t>
        </is>
      </c>
      <c r="E5064" t="inlineStr">
        <is>
          <t>HÄRJEDALEN</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64959-2021</t>
        </is>
      </c>
      <c r="B5065" s="1" t="n">
        <v>44512</v>
      </c>
      <c r="C5065" s="1" t="n">
        <v>45363</v>
      </c>
      <c r="D5065" t="inlineStr">
        <is>
          <t>JÄMTLANDS LÄN</t>
        </is>
      </c>
      <c r="E5065" t="inlineStr">
        <is>
          <t>RAGUNDA</t>
        </is>
      </c>
      <c r="F5065" t="inlineStr">
        <is>
          <t>SCA</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65017-2021</t>
        </is>
      </c>
      <c r="B5066" s="1" t="n">
        <v>44512</v>
      </c>
      <c r="C5066" s="1" t="n">
        <v>45363</v>
      </c>
      <c r="D5066" t="inlineStr">
        <is>
          <t>JÄMTLANDS LÄN</t>
        </is>
      </c>
      <c r="E5066" t="inlineStr">
        <is>
          <t>RAGUNDA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64953-2021</t>
        </is>
      </c>
      <c r="B5067" s="1" t="n">
        <v>44512</v>
      </c>
      <c r="C5067" s="1" t="n">
        <v>45363</v>
      </c>
      <c r="D5067" t="inlineStr">
        <is>
          <t>JÄMTLANDS LÄN</t>
        </is>
      </c>
      <c r="E5067" t="inlineStr">
        <is>
          <t>KROKOM</t>
        </is>
      </c>
      <c r="F5067" t="inlineStr">
        <is>
          <t>SCA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64966-2021</t>
        </is>
      </c>
      <c r="B5068" s="1" t="n">
        <v>44512</v>
      </c>
      <c r="C5068" s="1" t="n">
        <v>45363</v>
      </c>
      <c r="D5068" t="inlineStr">
        <is>
          <t>JÄMTLANDS LÄN</t>
        </is>
      </c>
      <c r="E5068" t="inlineStr">
        <is>
          <t>KROKOM</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65125-2021</t>
        </is>
      </c>
      <c r="B5069" s="1" t="n">
        <v>44515</v>
      </c>
      <c r="C5069" s="1" t="n">
        <v>45363</v>
      </c>
      <c r="D5069" t="inlineStr">
        <is>
          <t>JÄMTLANDS LÄN</t>
        </is>
      </c>
      <c r="E5069" t="inlineStr">
        <is>
          <t>HÄRJEDALEN</t>
        </is>
      </c>
      <c r="F5069" t="inlineStr">
        <is>
          <t>Bergvik skog väst AB</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65239-2021</t>
        </is>
      </c>
      <c r="B5070" s="1" t="n">
        <v>44515</v>
      </c>
      <c r="C5070" s="1" t="n">
        <v>45363</v>
      </c>
      <c r="D5070" t="inlineStr">
        <is>
          <t>JÄMTLANDS LÄN</t>
        </is>
      </c>
      <c r="E5070" t="inlineStr">
        <is>
          <t>ÅRE</t>
        </is>
      </c>
      <c r="G5070" t="n">
        <v>0</v>
      </c>
      <c r="H5070" t="n">
        <v>0</v>
      </c>
      <c r="I5070" t="n">
        <v>0</v>
      </c>
      <c r="J5070" t="n">
        <v>0</v>
      </c>
      <c r="K5070" t="n">
        <v>0</v>
      </c>
      <c r="L5070" t="n">
        <v>0</v>
      </c>
      <c r="M5070" t="n">
        <v>0</v>
      </c>
      <c r="N5070" t="n">
        <v>0</v>
      </c>
      <c r="O5070" t="n">
        <v>0</v>
      </c>
      <c r="P5070" t="n">
        <v>0</v>
      </c>
      <c r="Q5070" t="n">
        <v>0</v>
      </c>
      <c r="R5070" s="2" t="inlineStr"/>
    </row>
    <row r="5071" ht="15" customHeight="1">
      <c r="A5071" t="inlineStr">
        <is>
          <t>A 65424-2021</t>
        </is>
      </c>
      <c r="B5071" s="1" t="n">
        <v>44515</v>
      </c>
      <c r="C5071" s="1" t="n">
        <v>45363</v>
      </c>
      <c r="D5071" t="inlineStr">
        <is>
          <t>JÄMTLANDS LÄN</t>
        </is>
      </c>
      <c r="E5071" t="inlineStr">
        <is>
          <t>RAGUNDA</t>
        </is>
      </c>
      <c r="F5071" t="inlineStr">
        <is>
          <t>SCA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65433-2021</t>
        </is>
      </c>
      <c r="B5072" s="1" t="n">
        <v>44515</v>
      </c>
      <c r="C5072" s="1" t="n">
        <v>45363</v>
      </c>
      <c r="D5072" t="inlineStr">
        <is>
          <t>JÄMTLANDS LÄN</t>
        </is>
      </c>
      <c r="E5072" t="inlineStr">
        <is>
          <t>BRÄCKE</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65415-2021</t>
        </is>
      </c>
      <c r="B5073" s="1" t="n">
        <v>44515</v>
      </c>
      <c r="C5073" s="1" t="n">
        <v>45363</v>
      </c>
      <c r="D5073" t="inlineStr">
        <is>
          <t>JÄMTLANDS LÄN</t>
        </is>
      </c>
      <c r="E5073" t="inlineStr">
        <is>
          <t>ÅRE</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65412-2021</t>
        </is>
      </c>
      <c r="B5074" s="1" t="n">
        <v>44515</v>
      </c>
      <c r="C5074" s="1" t="n">
        <v>45363</v>
      </c>
      <c r="D5074" t="inlineStr">
        <is>
          <t>JÄMTLANDS LÄN</t>
        </is>
      </c>
      <c r="E5074" t="inlineStr">
        <is>
          <t>STRÖMSUND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65430-2021</t>
        </is>
      </c>
      <c r="B5075" s="1" t="n">
        <v>44515</v>
      </c>
      <c r="C5075" s="1" t="n">
        <v>45363</v>
      </c>
      <c r="D5075" t="inlineStr">
        <is>
          <t>JÄMTLANDS LÄN</t>
        </is>
      </c>
      <c r="E5075" t="inlineStr">
        <is>
          <t>STRÖMSUND</t>
        </is>
      </c>
      <c r="F5075" t="inlineStr">
        <is>
          <t>SCA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65442-2021</t>
        </is>
      </c>
      <c r="B5076" s="1" t="n">
        <v>44515</v>
      </c>
      <c r="C5076" s="1" t="n">
        <v>45363</v>
      </c>
      <c r="D5076" t="inlineStr">
        <is>
          <t>JÄMTLANDS LÄN</t>
        </is>
      </c>
      <c r="E5076" t="inlineStr">
        <is>
          <t>STRÖMSUND</t>
        </is>
      </c>
      <c r="F5076" t="inlineStr">
        <is>
          <t>SCA</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65428-2021</t>
        </is>
      </c>
      <c r="B5077" s="1" t="n">
        <v>44515</v>
      </c>
      <c r="C5077" s="1" t="n">
        <v>45363</v>
      </c>
      <c r="D5077" t="inlineStr">
        <is>
          <t>JÄMTLANDS LÄN</t>
        </is>
      </c>
      <c r="E5077" t="inlineStr">
        <is>
          <t>ÖSTERSUND</t>
        </is>
      </c>
      <c r="F5077" t="inlineStr">
        <is>
          <t>SCA</t>
        </is>
      </c>
      <c r="G5077" t="n">
        <v>8.800000000000001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65549-2021</t>
        </is>
      </c>
      <c r="B5078" s="1" t="n">
        <v>44516</v>
      </c>
      <c r="C5078" s="1" t="n">
        <v>45363</v>
      </c>
      <c r="D5078" t="inlineStr">
        <is>
          <t>JÄMTLANDS LÄN</t>
        </is>
      </c>
      <c r="E5078" t="inlineStr">
        <is>
          <t>HÄRJEDALEN</t>
        </is>
      </c>
      <c r="F5078" t="inlineStr">
        <is>
          <t>Bergvik skog väst AB</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65508-2021</t>
        </is>
      </c>
      <c r="B5079" s="1" t="n">
        <v>44516</v>
      </c>
      <c r="C5079" s="1" t="n">
        <v>45363</v>
      </c>
      <c r="D5079" t="inlineStr">
        <is>
          <t>JÄMTLANDS LÄN</t>
        </is>
      </c>
      <c r="E5079" t="inlineStr">
        <is>
          <t>KROKOM</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65782-2021</t>
        </is>
      </c>
      <c r="B5080" s="1" t="n">
        <v>44516</v>
      </c>
      <c r="C5080" s="1" t="n">
        <v>45363</v>
      </c>
      <c r="D5080" t="inlineStr">
        <is>
          <t>JÄMTLANDS LÄN</t>
        </is>
      </c>
      <c r="E5080" t="inlineStr">
        <is>
          <t>ÅRE</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65866-2021</t>
        </is>
      </c>
      <c r="B5081" s="1" t="n">
        <v>44516</v>
      </c>
      <c r="C5081" s="1" t="n">
        <v>45363</v>
      </c>
      <c r="D5081" t="inlineStr">
        <is>
          <t>JÄMTLANDS LÄN</t>
        </is>
      </c>
      <c r="E5081" t="inlineStr">
        <is>
          <t>ÖSTERSUND</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65776-2021</t>
        </is>
      </c>
      <c r="B5082" s="1" t="n">
        <v>44516</v>
      </c>
      <c r="C5082" s="1" t="n">
        <v>45363</v>
      </c>
      <c r="D5082" t="inlineStr">
        <is>
          <t>JÄMTLANDS LÄN</t>
        </is>
      </c>
      <c r="E5082" t="inlineStr">
        <is>
          <t>STRÖMSUND</t>
        </is>
      </c>
      <c r="F5082" t="inlineStr">
        <is>
          <t>SCA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65787-2021</t>
        </is>
      </c>
      <c r="B5083" s="1" t="n">
        <v>44516</v>
      </c>
      <c r="C5083" s="1" t="n">
        <v>45363</v>
      </c>
      <c r="D5083" t="inlineStr">
        <is>
          <t>JÄMTLANDS LÄN</t>
        </is>
      </c>
      <c r="E5083" t="inlineStr">
        <is>
          <t>STRÖMSUND</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65784-2021</t>
        </is>
      </c>
      <c r="B5084" s="1" t="n">
        <v>44516</v>
      </c>
      <c r="C5084" s="1" t="n">
        <v>45363</v>
      </c>
      <c r="D5084" t="inlineStr">
        <is>
          <t>JÄMTLANDS LÄN</t>
        </is>
      </c>
      <c r="E5084" t="inlineStr">
        <is>
          <t>ÅRE</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65991-2021</t>
        </is>
      </c>
      <c r="B5085" s="1" t="n">
        <v>44517</v>
      </c>
      <c r="C5085" s="1" t="n">
        <v>45363</v>
      </c>
      <c r="D5085" t="inlineStr">
        <is>
          <t>JÄMTLANDS LÄN</t>
        </is>
      </c>
      <c r="E5085" t="inlineStr">
        <is>
          <t>ÖSTERSUND</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66088-2021</t>
        </is>
      </c>
      <c r="B5086" s="1" t="n">
        <v>44517</v>
      </c>
      <c r="C5086" s="1" t="n">
        <v>45363</v>
      </c>
      <c r="D5086" t="inlineStr">
        <is>
          <t>JÄMTLANDS LÄN</t>
        </is>
      </c>
      <c r="E5086" t="inlineStr">
        <is>
          <t>STRÖMSUND</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66147-2021</t>
        </is>
      </c>
      <c r="B5087" s="1" t="n">
        <v>44517</v>
      </c>
      <c r="C5087" s="1" t="n">
        <v>45363</v>
      </c>
      <c r="D5087" t="inlineStr">
        <is>
          <t>JÄMTLANDS LÄN</t>
        </is>
      </c>
      <c r="E5087" t="inlineStr">
        <is>
          <t>RAGUNDA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66166-2021</t>
        </is>
      </c>
      <c r="B5088" s="1" t="n">
        <v>44517</v>
      </c>
      <c r="C5088" s="1" t="n">
        <v>45363</v>
      </c>
      <c r="D5088" t="inlineStr">
        <is>
          <t>JÄMTLANDS LÄN</t>
        </is>
      </c>
      <c r="E5088" t="inlineStr">
        <is>
          <t>STRÖMSUND</t>
        </is>
      </c>
      <c r="F5088" t="inlineStr">
        <is>
          <t>SCA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66059-2021</t>
        </is>
      </c>
      <c r="B5089" s="1" t="n">
        <v>44517</v>
      </c>
      <c r="C5089" s="1" t="n">
        <v>45363</v>
      </c>
      <c r="D5089" t="inlineStr">
        <is>
          <t>JÄMTLANDS LÄN</t>
        </is>
      </c>
      <c r="E5089" t="inlineStr">
        <is>
          <t>RAGUNDA</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66177-2021</t>
        </is>
      </c>
      <c r="B5090" s="1" t="n">
        <v>44517</v>
      </c>
      <c r="C5090" s="1" t="n">
        <v>45363</v>
      </c>
      <c r="D5090" t="inlineStr">
        <is>
          <t>JÄMTLANDS LÄN</t>
        </is>
      </c>
      <c r="E5090" t="inlineStr">
        <is>
          <t>BRÄCKE</t>
        </is>
      </c>
      <c r="G5090" t="n">
        <v>24.8</v>
      </c>
      <c r="H5090" t="n">
        <v>0</v>
      </c>
      <c r="I5090" t="n">
        <v>0</v>
      </c>
      <c r="J5090" t="n">
        <v>0</v>
      </c>
      <c r="K5090" t="n">
        <v>0</v>
      </c>
      <c r="L5090" t="n">
        <v>0</v>
      </c>
      <c r="M5090" t="n">
        <v>0</v>
      </c>
      <c r="N5090" t="n">
        <v>0</v>
      </c>
      <c r="O5090" t="n">
        <v>0</v>
      </c>
      <c r="P5090" t="n">
        <v>0</v>
      </c>
      <c r="Q5090" t="n">
        <v>0</v>
      </c>
      <c r="R5090" s="2" t="inlineStr"/>
    </row>
    <row r="5091" ht="15" customHeight="1">
      <c r="A5091" t="inlineStr">
        <is>
          <t>A 66285-2021</t>
        </is>
      </c>
      <c r="B5091" s="1" t="n">
        <v>44518</v>
      </c>
      <c r="C5091" s="1" t="n">
        <v>45363</v>
      </c>
      <c r="D5091" t="inlineStr">
        <is>
          <t>JÄMTLANDS LÄN</t>
        </is>
      </c>
      <c r="E5091" t="inlineStr">
        <is>
          <t>BRÄCKE</t>
        </is>
      </c>
      <c r="G5091" t="n">
        <v>11.9</v>
      </c>
      <c r="H5091" t="n">
        <v>0</v>
      </c>
      <c r="I5091" t="n">
        <v>0</v>
      </c>
      <c r="J5091" t="n">
        <v>0</v>
      </c>
      <c r="K5091" t="n">
        <v>0</v>
      </c>
      <c r="L5091" t="n">
        <v>0</v>
      </c>
      <c r="M5091" t="n">
        <v>0</v>
      </c>
      <c r="N5091" t="n">
        <v>0</v>
      </c>
      <c r="O5091" t="n">
        <v>0</v>
      </c>
      <c r="P5091" t="n">
        <v>0</v>
      </c>
      <c r="Q5091" t="n">
        <v>0</v>
      </c>
      <c r="R5091" s="2" t="inlineStr"/>
    </row>
    <row r="5092" ht="15" customHeight="1">
      <c r="A5092" t="inlineStr">
        <is>
          <t>A 66472-2021</t>
        </is>
      </c>
      <c r="B5092" s="1" t="n">
        <v>44518</v>
      </c>
      <c r="C5092" s="1" t="n">
        <v>45363</v>
      </c>
      <c r="D5092" t="inlineStr">
        <is>
          <t>JÄMTLANDS LÄN</t>
        </is>
      </c>
      <c r="E5092" t="inlineStr">
        <is>
          <t>RAGUNDA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66475-2021</t>
        </is>
      </c>
      <c r="B5093" s="1" t="n">
        <v>44518</v>
      </c>
      <c r="C5093" s="1" t="n">
        <v>45363</v>
      </c>
      <c r="D5093" t="inlineStr">
        <is>
          <t>JÄMTLANDS LÄN</t>
        </is>
      </c>
      <c r="E5093" t="inlineStr">
        <is>
          <t>STRÖMSUND</t>
        </is>
      </c>
      <c r="F5093" t="inlineStr">
        <is>
          <t>SCA</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66471-2021</t>
        </is>
      </c>
      <c r="B5094" s="1" t="n">
        <v>44518</v>
      </c>
      <c r="C5094" s="1" t="n">
        <v>45363</v>
      </c>
      <c r="D5094" t="inlineStr">
        <is>
          <t>JÄMTLANDS LÄN</t>
        </is>
      </c>
      <c r="E5094" t="inlineStr">
        <is>
          <t>RAGUNDA</t>
        </is>
      </c>
      <c r="G5094" t="n">
        <v>13.4</v>
      </c>
      <c r="H5094" t="n">
        <v>0</v>
      </c>
      <c r="I5094" t="n">
        <v>0</v>
      </c>
      <c r="J5094" t="n">
        <v>0</v>
      </c>
      <c r="K5094" t="n">
        <v>0</v>
      </c>
      <c r="L5094" t="n">
        <v>0</v>
      </c>
      <c r="M5094" t="n">
        <v>0</v>
      </c>
      <c r="N5094" t="n">
        <v>0</v>
      </c>
      <c r="O5094" t="n">
        <v>0</v>
      </c>
      <c r="P5094" t="n">
        <v>0</v>
      </c>
      <c r="Q5094" t="n">
        <v>0</v>
      </c>
      <c r="R5094" s="2" t="inlineStr"/>
    </row>
    <row r="5095" ht="15" customHeight="1">
      <c r="A5095" t="inlineStr">
        <is>
          <t>A 66477-2021</t>
        </is>
      </c>
      <c r="B5095" s="1" t="n">
        <v>44518</v>
      </c>
      <c r="C5095" s="1" t="n">
        <v>45363</v>
      </c>
      <c r="D5095" t="inlineStr">
        <is>
          <t>JÄMTLANDS LÄN</t>
        </is>
      </c>
      <c r="E5095" t="inlineStr">
        <is>
          <t>KROKOM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66476-2021</t>
        </is>
      </c>
      <c r="B5096" s="1" t="n">
        <v>44518</v>
      </c>
      <c r="C5096" s="1" t="n">
        <v>45363</v>
      </c>
      <c r="D5096" t="inlineStr">
        <is>
          <t>JÄMTLANDS LÄN</t>
        </is>
      </c>
      <c r="E5096" t="inlineStr">
        <is>
          <t>KROKOM</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66485-2021</t>
        </is>
      </c>
      <c r="B5097" s="1" t="n">
        <v>44518</v>
      </c>
      <c r="C5097" s="1" t="n">
        <v>45363</v>
      </c>
      <c r="D5097" t="inlineStr">
        <is>
          <t>JÄMTLANDS LÄN</t>
        </is>
      </c>
      <c r="E5097" t="inlineStr">
        <is>
          <t>STRÖMSUND</t>
        </is>
      </c>
      <c r="F5097" t="inlineStr">
        <is>
          <t>SCA</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66489-2021</t>
        </is>
      </c>
      <c r="B5098" s="1" t="n">
        <v>44518</v>
      </c>
      <c r="C5098" s="1" t="n">
        <v>45363</v>
      </c>
      <c r="D5098" t="inlineStr">
        <is>
          <t>JÄMTLANDS LÄN</t>
        </is>
      </c>
      <c r="E5098" t="inlineStr">
        <is>
          <t>RAGUNDA</t>
        </is>
      </c>
      <c r="F5098" t="inlineStr">
        <is>
          <t>SCA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66488-2021</t>
        </is>
      </c>
      <c r="B5099" s="1" t="n">
        <v>44518</v>
      </c>
      <c r="C5099" s="1" t="n">
        <v>45363</v>
      </c>
      <c r="D5099" t="inlineStr">
        <is>
          <t>JÄMTLANDS LÄN</t>
        </is>
      </c>
      <c r="E5099" t="inlineStr">
        <is>
          <t>STRÖMSUND</t>
        </is>
      </c>
      <c r="F5099" t="inlineStr">
        <is>
          <t>SCA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66486-2021</t>
        </is>
      </c>
      <c r="B5100" s="1" t="n">
        <v>44518</v>
      </c>
      <c r="C5100" s="1" t="n">
        <v>45363</v>
      </c>
      <c r="D5100" t="inlineStr">
        <is>
          <t>JÄMTLANDS LÄN</t>
        </is>
      </c>
      <c r="E5100" t="inlineStr">
        <is>
          <t>STRÖMSUND</t>
        </is>
      </c>
      <c r="F5100" t="inlineStr">
        <is>
          <t>SCA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66487-2021</t>
        </is>
      </c>
      <c r="B5101" s="1" t="n">
        <v>44518</v>
      </c>
      <c r="C5101" s="1" t="n">
        <v>45363</v>
      </c>
      <c r="D5101" t="inlineStr">
        <is>
          <t>JÄMTLANDS LÄN</t>
        </is>
      </c>
      <c r="E5101" t="inlineStr">
        <is>
          <t>STRÖMSUND</t>
        </is>
      </c>
      <c r="F5101" t="inlineStr">
        <is>
          <t>SCA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66683-2021</t>
        </is>
      </c>
      <c r="B5102" s="1" t="n">
        <v>44519</v>
      </c>
      <c r="C5102" s="1" t="n">
        <v>45363</v>
      </c>
      <c r="D5102" t="inlineStr">
        <is>
          <t>JÄMTLANDS LÄN</t>
        </is>
      </c>
      <c r="E5102" t="inlineStr">
        <is>
          <t>KROKOM</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66707-2021</t>
        </is>
      </c>
      <c r="B5103" s="1" t="n">
        <v>44519</v>
      </c>
      <c r="C5103" s="1" t="n">
        <v>45363</v>
      </c>
      <c r="D5103" t="inlineStr">
        <is>
          <t>JÄMTLANDS LÄN</t>
        </is>
      </c>
      <c r="E5103" t="inlineStr">
        <is>
          <t>RAGUNDA</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66706-2021</t>
        </is>
      </c>
      <c r="B5104" s="1" t="n">
        <v>44519</v>
      </c>
      <c r="C5104" s="1" t="n">
        <v>45363</v>
      </c>
      <c r="D5104" t="inlineStr">
        <is>
          <t>JÄMTLANDS LÄN</t>
        </is>
      </c>
      <c r="E5104" t="inlineStr">
        <is>
          <t>RAGUNDA</t>
        </is>
      </c>
      <c r="F5104" t="inlineStr">
        <is>
          <t>SCA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66715-2021</t>
        </is>
      </c>
      <c r="B5105" s="1" t="n">
        <v>44519</v>
      </c>
      <c r="C5105" s="1" t="n">
        <v>45363</v>
      </c>
      <c r="D5105" t="inlineStr">
        <is>
          <t>JÄMTLANDS LÄN</t>
        </is>
      </c>
      <c r="E5105" t="inlineStr">
        <is>
          <t>RAGUNDA</t>
        </is>
      </c>
      <c r="F5105" t="inlineStr">
        <is>
          <t>SCA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66784-2021</t>
        </is>
      </c>
      <c r="B5106" s="1" t="n">
        <v>44519</v>
      </c>
      <c r="C5106" s="1" t="n">
        <v>45363</v>
      </c>
      <c r="D5106" t="inlineStr">
        <is>
          <t>JÄMTLANDS LÄN</t>
        </is>
      </c>
      <c r="E5106" t="inlineStr">
        <is>
          <t>STRÖMSUND</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66742-2021</t>
        </is>
      </c>
      <c r="B5107" s="1" t="n">
        <v>44520</v>
      </c>
      <c r="C5107" s="1" t="n">
        <v>45363</v>
      </c>
      <c r="D5107" t="inlineStr">
        <is>
          <t>JÄMTLANDS LÄN</t>
        </is>
      </c>
      <c r="E5107" t="inlineStr">
        <is>
          <t>STRÖMSUND</t>
        </is>
      </c>
      <c r="F5107" t="inlineStr">
        <is>
          <t>SCA</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66940-2021</t>
        </is>
      </c>
      <c r="B5108" s="1" t="n">
        <v>44522</v>
      </c>
      <c r="C5108" s="1" t="n">
        <v>45363</v>
      </c>
      <c r="D5108" t="inlineStr">
        <is>
          <t>JÄMTLANDS LÄN</t>
        </is>
      </c>
      <c r="E5108" t="inlineStr">
        <is>
          <t>ÖSTERSUND</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66880-2021</t>
        </is>
      </c>
      <c r="B5109" s="1" t="n">
        <v>44522</v>
      </c>
      <c r="C5109" s="1" t="n">
        <v>45363</v>
      </c>
      <c r="D5109" t="inlineStr">
        <is>
          <t>JÄMTLANDS LÄN</t>
        </is>
      </c>
      <c r="E5109" t="inlineStr">
        <is>
          <t>KROKOM</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67096-2021</t>
        </is>
      </c>
      <c r="B5110" s="1" t="n">
        <v>44522</v>
      </c>
      <c r="C5110" s="1" t="n">
        <v>45363</v>
      </c>
      <c r="D5110" t="inlineStr">
        <is>
          <t>JÄMTLANDS LÄN</t>
        </is>
      </c>
      <c r="E5110" t="inlineStr">
        <is>
          <t>STRÖMSUND</t>
        </is>
      </c>
      <c r="F5110" t="inlineStr">
        <is>
          <t>SCA</t>
        </is>
      </c>
      <c r="G5110" t="n">
        <v>9.300000000000001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67099-2021</t>
        </is>
      </c>
      <c r="B5111" s="1" t="n">
        <v>44522</v>
      </c>
      <c r="C5111" s="1" t="n">
        <v>45363</v>
      </c>
      <c r="D5111" t="inlineStr">
        <is>
          <t>JÄMTLANDS LÄN</t>
        </is>
      </c>
      <c r="E5111" t="inlineStr">
        <is>
          <t>STRÖMSUND</t>
        </is>
      </c>
      <c r="F5111" t="inlineStr">
        <is>
          <t>SCA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67097-2021</t>
        </is>
      </c>
      <c r="B5112" s="1" t="n">
        <v>44522</v>
      </c>
      <c r="C5112" s="1" t="n">
        <v>45363</v>
      </c>
      <c r="D5112" t="inlineStr">
        <is>
          <t>JÄMTLANDS LÄN</t>
        </is>
      </c>
      <c r="E5112" t="inlineStr">
        <is>
          <t>STRÖMSUND</t>
        </is>
      </c>
      <c r="F5112" t="inlineStr">
        <is>
          <t>SCA</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67114-2021</t>
        </is>
      </c>
      <c r="B5113" s="1" t="n">
        <v>44523</v>
      </c>
      <c r="C5113" s="1" t="n">
        <v>45363</v>
      </c>
      <c r="D5113" t="inlineStr">
        <is>
          <t>JÄMTLANDS LÄN</t>
        </is>
      </c>
      <c r="E5113" t="inlineStr">
        <is>
          <t>STRÖMSUND</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67343-2021</t>
        </is>
      </c>
      <c r="B5114" s="1" t="n">
        <v>44523</v>
      </c>
      <c r="C5114" s="1" t="n">
        <v>45363</v>
      </c>
      <c r="D5114" t="inlineStr">
        <is>
          <t>JÄMTLANDS LÄN</t>
        </is>
      </c>
      <c r="E5114" t="inlineStr">
        <is>
          <t>BRÄCKE</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67488-2021</t>
        </is>
      </c>
      <c r="B5115" s="1" t="n">
        <v>44524</v>
      </c>
      <c r="C5115" s="1" t="n">
        <v>45363</v>
      </c>
      <c r="D5115" t="inlineStr">
        <is>
          <t>JÄMTLANDS LÄN</t>
        </is>
      </c>
      <c r="E5115" t="inlineStr">
        <is>
          <t>KROKOM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67541-2021</t>
        </is>
      </c>
      <c r="B5116" s="1" t="n">
        <v>44524</v>
      </c>
      <c r="C5116" s="1" t="n">
        <v>45363</v>
      </c>
      <c r="D5116" t="inlineStr">
        <is>
          <t>JÄMTLANDS LÄN</t>
        </is>
      </c>
      <c r="E5116" t="inlineStr">
        <is>
          <t>ÅRE</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67687-2021</t>
        </is>
      </c>
      <c r="B5117" s="1" t="n">
        <v>44524</v>
      </c>
      <c r="C5117" s="1" t="n">
        <v>45363</v>
      </c>
      <c r="D5117" t="inlineStr">
        <is>
          <t>JÄMTLANDS LÄN</t>
        </is>
      </c>
      <c r="E5117" t="inlineStr">
        <is>
          <t>BRÄCKE</t>
        </is>
      </c>
      <c r="F5117" t="inlineStr">
        <is>
          <t>SCA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67695-2021</t>
        </is>
      </c>
      <c r="B5118" s="1" t="n">
        <v>44524</v>
      </c>
      <c r="C5118" s="1" t="n">
        <v>45363</v>
      </c>
      <c r="D5118" t="inlineStr">
        <is>
          <t>JÄMTLANDS LÄN</t>
        </is>
      </c>
      <c r="E5118" t="inlineStr">
        <is>
          <t>ÖSTERSUND</t>
        </is>
      </c>
      <c r="F5118" t="inlineStr">
        <is>
          <t>SCA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67740-2021</t>
        </is>
      </c>
      <c r="B5119" s="1" t="n">
        <v>44524</v>
      </c>
      <c r="C5119" s="1" t="n">
        <v>45363</v>
      </c>
      <c r="D5119" t="inlineStr">
        <is>
          <t>JÄMTLANDS LÄN</t>
        </is>
      </c>
      <c r="E5119" t="inlineStr">
        <is>
          <t>KROKOM</t>
        </is>
      </c>
      <c r="G5119" t="n">
        <v>12.3</v>
      </c>
      <c r="H5119" t="n">
        <v>0</v>
      </c>
      <c r="I5119" t="n">
        <v>0</v>
      </c>
      <c r="J5119" t="n">
        <v>0</v>
      </c>
      <c r="K5119" t="n">
        <v>0</v>
      </c>
      <c r="L5119" t="n">
        <v>0</v>
      </c>
      <c r="M5119" t="n">
        <v>0</v>
      </c>
      <c r="N5119" t="n">
        <v>0</v>
      </c>
      <c r="O5119" t="n">
        <v>0</v>
      </c>
      <c r="P5119" t="n">
        <v>0</v>
      </c>
      <c r="Q5119" t="n">
        <v>0</v>
      </c>
      <c r="R5119" s="2" t="inlineStr"/>
    </row>
    <row r="5120" ht="15" customHeight="1">
      <c r="A5120" t="inlineStr">
        <is>
          <t>A 67797-2021</t>
        </is>
      </c>
      <c r="B5120" s="1" t="n">
        <v>44524</v>
      </c>
      <c r="C5120" s="1" t="n">
        <v>45363</v>
      </c>
      <c r="D5120" t="inlineStr">
        <is>
          <t>JÄMTLANDS LÄN</t>
        </is>
      </c>
      <c r="E5120" t="inlineStr">
        <is>
          <t>KROKOM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67696-2021</t>
        </is>
      </c>
      <c r="B5121" s="1" t="n">
        <v>44524</v>
      </c>
      <c r="C5121" s="1" t="n">
        <v>45363</v>
      </c>
      <c r="D5121" t="inlineStr">
        <is>
          <t>JÄMTLANDS LÄN</t>
        </is>
      </c>
      <c r="E5121" t="inlineStr">
        <is>
          <t>STRÖMSUND</t>
        </is>
      </c>
      <c r="F5121" t="inlineStr">
        <is>
          <t>SCA</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67694-2021</t>
        </is>
      </c>
      <c r="B5122" s="1" t="n">
        <v>44524</v>
      </c>
      <c r="C5122" s="1" t="n">
        <v>45363</v>
      </c>
      <c r="D5122" t="inlineStr">
        <is>
          <t>JÄMTLANDS LÄN</t>
        </is>
      </c>
      <c r="E5122" t="inlineStr">
        <is>
          <t>ÖSTERSUND</t>
        </is>
      </c>
      <c r="F5122" t="inlineStr">
        <is>
          <t>SCA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67738-2021</t>
        </is>
      </c>
      <c r="B5123" s="1" t="n">
        <v>44524</v>
      </c>
      <c r="C5123" s="1" t="n">
        <v>45363</v>
      </c>
      <c r="D5123" t="inlineStr">
        <is>
          <t>JÄMTLANDS LÄN</t>
        </is>
      </c>
      <c r="E5123" t="inlineStr">
        <is>
          <t>KROKOM</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67903-2021</t>
        </is>
      </c>
      <c r="B5124" s="1" t="n">
        <v>44525</v>
      </c>
      <c r="C5124" s="1" t="n">
        <v>45363</v>
      </c>
      <c r="D5124" t="inlineStr">
        <is>
          <t>JÄMTLANDS LÄN</t>
        </is>
      </c>
      <c r="E5124" t="inlineStr">
        <is>
          <t>STRÖMSUND</t>
        </is>
      </c>
      <c r="G5124" t="n">
        <v>9.1</v>
      </c>
      <c r="H5124" t="n">
        <v>0</v>
      </c>
      <c r="I5124" t="n">
        <v>0</v>
      </c>
      <c r="J5124" t="n">
        <v>0</v>
      </c>
      <c r="K5124" t="n">
        <v>0</v>
      </c>
      <c r="L5124" t="n">
        <v>0</v>
      </c>
      <c r="M5124" t="n">
        <v>0</v>
      </c>
      <c r="N5124" t="n">
        <v>0</v>
      </c>
      <c r="O5124" t="n">
        <v>0</v>
      </c>
      <c r="P5124" t="n">
        <v>0</v>
      </c>
      <c r="Q5124" t="n">
        <v>0</v>
      </c>
      <c r="R5124" s="2" t="inlineStr"/>
    </row>
    <row r="5125" ht="15" customHeight="1">
      <c r="A5125" t="inlineStr">
        <is>
          <t>A 67722-2021</t>
        </is>
      </c>
      <c r="B5125" s="1" t="n">
        <v>44525</v>
      </c>
      <c r="C5125" s="1" t="n">
        <v>45363</v>
      </c>
      <c r="D5125" t="inlineStr">
        <is>
          <t>JÄMTLANDS LÄN</t>
        </is>
      </c>
      <c r="E5125" t="inlineStr">
        <is>
          <t>KROKOM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67906-2021</t>
        </is>
      </c>
      <c r="B5126" s="1" t="n">
        <v>44525</v>
      </c>
      <c r="C5126" s="1" t="n">
        <v>45363</v>
      </c>
      <c r="D5126" t="inlineStr">
        <is>
          <t>JÄMTLANDS LÄN</t>
        </is>
      </c>
      <c r="E5126" t="inlineStr">
        <is>
          <t>STRÖMSUND</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68319-2021</t>
        </is>
      </c>
      <c r="B5127" s="1" t="n">
        <v>44526</v>
      </c>
      <c r="C5127" s="1" t="n">
        <v>45363</v>
      </c>
      <c r="D5127" t="inlineStr">
        <is>
          <t>JÄMTLANDS LÄN</t>
        </is>
      </c>
      <c r="E5127" t="inlineStr">
        <is>
          <t>BRÄCKE</t>
        </is>
      </c>
      <c r="F5127" t="inlineStr">
        <is>
          <t>SCA</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68686-2021</t>
        </is>
      </c>
      <c r="B5128" s="1" t="n">
        <v>44526</v>
      </c>
      <c r="C5128" s="1" t="n">
        <v>45363</v>
      </c>
      <c r="D5128" t="inlineStr">
        <is>
          <t>JÄMTLANDS LÄN</t>
        </is>
      </c>
      <c r="E5128" t="inlineStr">
        <is>
          <t>KROKOM</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68901-2021</t>
        </is>
      </c>
      <c r="B5129" s="1" t="n">
        <v>44526</v>
      </c>
      <c r="C5129" s="1" t="n">
        <v>45363</v>
      </c>
      <c r="D5129" t="inlineStr">
        <is>
          <t>JÄMTLANDS LÄN</t>
        </is>
      </c>
      <c r="E5129" t="inlineStr">
        <is>
          <t>BRÄCKE</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68441-2021</t>
        </is>
      </c>
      <c r="B5130" s="1" t="n">
        <v>44529</v>
      </c>
      <c r="C5130" s="1" t="n">
        <v>45363</v>
      </c>
      <c r="D5130" t="inlineStr">
        <is>
          <t>JÄMTLANDS LÄN</t>
        </is>
      </c>
      <c r="E5130" t="inlineStr">
        <is>
          <t>BERG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68450-2021</t>
        </is>
      </c>
      <c r="B5131" s="1" t="n">
        <v>44529</v>
      </c>
      <c r="C5131" s="1" t="n">
        <v>45363</v>
      </c>
      <c r="D5131" t="inlineStr">
        <is>
          <t>JÄMTLANDS LÄN</t>
        </is>
      </c>
      <c r="E5131" t="inlineStr">
        <is>
          <t>BERG</t>
        </is>
      </c>
      <c r="G5131" t="n">
        <v>7.3</v>
      </c>
      <c r="H5131" t="n">
        <v>0</v>
      </c>
      <c r="I5131" t="n">
        <v>0</v>
      </c>
      <c r="J5131" t="n">
        <v>0</v>
      </c>
      <c r="K5131" t="n">
        <v>0</v>
      </c>
      <c r="L5131" t="n">
        <v>0</v>
      </c>
      <c r="M5131" t="n">
        <v>0</v>
      </c>
      <c r="N5131" t="n">
        <v>0</v>
      </c>
      <c r="O5131" t="n">
        <v>0</v>
      </c>
      <c r="P5131" t="n">
        <v>0</v>
      </c>
      <c r="Q5131" t="n">
        <v>0</v>
      </c>
      <c r="R5131" s="2" t="inlineStr"/>
    </row>
    <row r="5132" ht="15" customHeight="1">
      <c r="A5132" t="inlineStr">
        <is>
          <t>A 68468-2021</t>
        </is>
      </c>
      <c r="B5132" s="1" t="n">
        <v>44529</v>
      </c>
      <c r="C5132" s="1" t="n">
        <v>45363</v>
      </c>
      <c r="D5132" t="inlineStr">
        <is>
          <t>JÄMTLANDS LÄN</t>
        </is>
      </c>
      <c r="E5132" t="inlineStr">
        <is>
          <t>BERG</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68483-2021</t>
        </is>
      </c>
      <c r="B5133" s="1" t="n">
        <v>44529</v>
      </c>
      <c r="C5133" s="1" t="n">
        <v>45363</v>
      </c>
      <c r="D5133" t="inlineStr">
        <is>
          <t>JÄMTLANDS LÄN</t>
        </is>
      </c>
      <c r="E5133" t="inlineStr">
        <is>
          <t>BERG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68646-2021</t>
        </is>
      </c>
      <c r="B5134" s="1" t="n">
        <v>44529</v>
      </c>
      <c r="C5134" s="1" t="n">
        <v>45363</v>
      </c>
      <c r="D5134" t="inlineStr">
        <is>
          <t>JÄMTLANDS LÄN</t>
        </is>
      </c>
      <c r="E5134" t="inlineStr">
        <is>
          <t>STRÖMSUND</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68675-2021</t>
        </is>
      </c>
      <c r="B5135" s="1" t="n">
        <v>44529</v>
      </c>
      <c r="C5135" s="1" t="n">
        <v>45363</v>
      </c>
      <c r="D5135" t="inlineStr">
        <is>
          <t>JÄMTLANDS LÄN</t>
        </is>
      </c>
      <c r="E5135" t="inlineStr">
        <is>
          <t>STRÖMSUND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68424-2021</t>
        </is>
      </c>
      <c r="B5136" s="1" t="n">
        <v>44529</v>
      </c>
      <c r="C5136" s="1" t="n">
        <v>45363</v>
      </c>
      <c r="D5136" t="inlineStr">
        <is>
          <t>JÄMTLANDS LÄN</t>
        </is>
      </c>
      <c r="E5136" t="inlineStr">
        <is>
          <t>STRÖMSUND</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68442-2021</t>
        </is>
      </c>
      <c r="B5137" s="1" t="n">
        <v>44529</v>
      </c>
      <c r="C5137" s="1" t="n">
        <v>45363</v>
      </c>
      <c r="D5137" t="inlineStr">
        <is>
          <t>JÄMTLANDS LÄN</t>
        </is>
      </c>
      <c r="E5137" t="inlineStr">
        <is>
          <t>STRÖMSUND</t>
        </is>
      </c>
      <c r="G5137" t="n">
        <v>9</v>
      </c>
      <c r="H5137" t="n">
        <v>0</v>
      </c>
      <c r="I5137" t="n">
        <v>0</v>
      </c>
      <c r="J5137" t="n">
        <v>0</v>
      </c>
      <c r="K5137" t="n">
        <v>0</v>
      </c>
      <c r="L5137" t="n">
        <v>0</v>
      </c>
      <c r="M5137" t="n">
        <v>0</v>
      </c>
      <c r="N5137" t="n">
        <v>0</v>
      </c>
      <c r="O5137" t="n">
        <v>0</v>
      </c>
      <c r="P5137" t="n">
        <v>0</v>
      </c>
      <c r="Q5137" t="n">
        <v>0</v>
      </c>
      <c r="R5137" s="2" t="inlineStr"/>
    </row>
    <row r="5138" ht="15" customHeight="1">
      <c r="A5138" t="inlineStr">
        <is>
          <t>A 68769-2021</t>
        </is>
      </c>
      <c r="B5138" s="1" t="n">
        <v>44529</v>
      </c>
      <c r="C5138" s="1" t="n">
        <v>45363</v>
      </c>
      <c r="D5138" t="inlineStr">
        <is>
          <t>JÄMTLANDS LÄN</t>
        </is>
      </c>
      <c r="E5138" t="inlineStr">
        <is>
          <t>BRÄCKE</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69170-2021</t>
        </is>
      </c>
      <c r="B5139" s="1" t="n">
        <v>44529</v>
      </c>
      <c r="C5139" s="1" t="n">
        <v>45363</v>
      </c>
      <c r="D5139" t="inlineStr">
        <is>
          <t>JÄMTLANDS LÄN</t>
        </is>
      </c>
      <c r="E5139" t="inlineStr">
        <is>
          <t>ÅRE</t>
        </is>
      </c>
      <c r="G5139" t="n">
        <v>114.4</v>
      </c>
      <c r="H5139" t="n">
        <v>0</v>
      </c>
      <c r="I5139" t="n">
        <v>0</v>
      </c>
      <c r="J5139" t="n">
        <v>0</v>
      </c>
      <c r="K5139" t="n">
        <v>0</v>
      </c>
      <c r="L5139" t="n">
        <v>0</v>
      </c>
      <c r="M5139" t="n">
        <v>0</v>
      </c>
      <c r="N5139" t="n">
        <v>0</v>
      </c>
      <c r="O5139" t="n">
        <v>0</v>
      </c>
      <c r="P5139" t="n">
        <v>0</v>
      </c>
      <c r="Q5139" t="n">
        <v>0</v>
      </c>
      <c r="R5139" s="2" t="inlineStr"/>
    </row>
    <row r="5140" ht="15" customHeight="1">
      <c r="A5140" t="inlineStr">
        <is>
          <t>A 68776-2021</t>
        </is>
      </c>
      <c r="B5140" s="1" t="n">
        <v>44529</v>
      </c>
      <c r="C5140" s="1" t="n">
        <v>45363</v>
      </c>
      <c r="D5140" t="inlineStr">
        <is>
          <t>JÄMTLANDS LÄN</t>
        </is>
      </c>
      <c r="E5140" t="inlineStr">
        <is>
          <t>STRÖMSUND</t>
        </is>
      </c>
      <c r="F5140" t="inlineStr">
        <is>
          <t>SCA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68763-2021</t>
        </is>
      </c>
      <c r="B5141" s="1" t="n">
        <v>44529</v>
      </c>
      <c r="C5141" s="1" t="n">
        <v>45363</v>
      </c>
      <c r="D5141" t="inlineStr">
        <is>
          <t>JÄMTLANDS LÄN</t>
        </is>
      </c>
      <c r="E5141" t="inlineStr">
        <is>
          <t>BRÄCKE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68765-2021</t>
        </is>
      </c>
      <c r="B5142" s="1" t="n">
        <v>44529</v>
      </c>
      <c r="C5142" s="1" t="n">
        <v>45363</v>
      </c>
      <c r="D5142" t="inlineStr">
        <is>
          <t>JÄMTLANDS LÄN</t>
        </is>
      </c>
      <c r="E5142" t="inlineStr">
        <is>
          <t>BRÄCKE</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68777-2021</t>
        </is>
      </c>
      <c r="B5143" s="1" t="n">
        <v>44529</v>
      </c>
      <c r="C5143" s="1" t="n">
        <v>45363</v>
      </c>
      <c r="D5143" t="inlineStr">
        <is>
          <t>JÄMTLANDS LÄN</t>
        </is>
      </c>
      <c r="E5143" t="inlineStr">
        <is>
          <t>STRÖMSUND</t>
        </is>
      </c>
      <c r="F5143" t="inlineStr">
        <is>
          <t>SCA</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69190-2021</t>
        </is>
      </c>
      <c r="B5144" s="1" t="n">
        <v>44529</v>
      </c>
      <c r="C5144" s="1" t="n">
        <v>45363</v>
      </c>
      <c r="D5144" t="inlineStr">
        <is>
          <t>JÄMTLANDS LÄN</t>
        </is>
      </c>
      <c r="E5144" t="inlineStr">
        <is>
          <t>ÖSTERSUND</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68854-2021</t>
        </is>
      </c>
      <c r="B5145" s="1" t="n">
        <v>44530</v>
      </c>
      <c r="C5145" s="1" t="n">
        <v>45363</v>
      </c>
      <c r="D5145" t="inlineStr">
        <is>
          <t>JÄMTLANDS LÄN</t>
        </is>
      </c>
      <c r="E5145" t="inlineStr">
        <is>
          <t>BERG</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68858-2021</t>
        </is>
      </c>
      <c r="B5146" s="1" t="n">
        <v>44530</v>
      </c>
      <c r="C5146" s="1" t="n">
        <v>45363</v>
      </c>
      <c r="D5146" t="inlineStr">
        <is>
          <t>JÄMTLANDS LÄN</t>
        </is>
      </c>
      <c r="E5146" t="inlineStr">
        <is>
          <t>HÄRJEDALEN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69139-2021</t>
        </is>
      </c>
      <c r="B5147" s="1" t="n">
        <v>44530</v>
      </c>
      <c r="C5147" s="1" t="n">
        <v>45363</v>
      </c>
      <c r="D5147" t="inlineStr">
        <is>
          <t>JÄMTLANDS LÄN</t>
        </is>
      </c>
      <c r="E5147" t="inlineStr">
        <is>
          <t>STRÖMSUND</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69132-2021</t>
        </is>
      </c>
      <c r="B5148" s="1" t="n">
        <v>44530</v>
      </c>
      <c r="C5148" s="1" t="n">
        <v>45363</v>
      </c>
      <c r="D5148" t="inlineStr">
        <is>
          <t>JÄMTLANDS LÄN</t>
        </is>
      </c>
      <c r="E5148" t="inlineStr">
        <is>
          <t>STRÖMSUND</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69144-2021</t>
        </is>
      </c>
      <c r="B5149" s="1" t="n">
        <v>44530</v>
      </c>
      <c r="C5149" s="1" t="n">
        <v>45363</v>
      </c>
      <c r="D5149" t="inlineStr">
        <is>
          <t>JÄMTLANDS LÄN</t>
        </is>
      </c>
      <c r="E5149" t="inlineStr">
        <is>
          <t>STRÖMSUND</t>
        </is>
      </c>
      <c r="F5149" t="inlineStr">
        <is>
          <t>SCA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69164-2021</t>
        </is>
      </c>
      <c r="B5150" s="1" t="n">
        <v>44530</v>
      </c>
      <c r="C5150" s="1" t="n">
        <v>45363</v>
      </c>
      <c r="D5150" t="inlineStr">
        <is>
          <t>JÄMTLANDS LÄN</t>
        </is>
      </c>
      <c r="E5150" t="inlineStr">
        <is>
          <t>RAGUNDA</t>
        </is>
      </c>
      <c r="F5150" t="inlineStr">
        <is>
          <t>SCA</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69316-2021</t>
        </is>
      </c>
      <c r="B5151" s="1" t="n">
        <v>44530</v>
      </c>
      <c r="C5151" s="1" t="n">
        <v>45363</v>
      </c>
      <c r="D5151" t="inlineStr">
        <is>
          <t>JÄMTLANDS LÄN</t>
        </is>
      </c>
      <c r="E5151" t="inlineStr">
        <is>
          <t>RAGUNDA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69143-2021</t>
        </is>
      </c>
      <c r="B5152" s="1" t="n">
        <v>44530</v>
      </c>
      <c r="C5152" s="1" t="n">
        <v>45363</v>
      </c>
      <c r="D5152" t="inlineStr">
        <is>
          <t>JÄMTLANDS LÄN</t>
        </is>
      </c>
      <c r="E5152" t="inlineStr">
        <is>
          <t>STRÖMSUND</t>
        </is>
      </c>
      <c r="F5152" t="inlineStr">
        <is>
          <t>SCA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69155-2021</t>
        </is>
      </c>
      <c r="B5153" s="1" t="n">
        <v>44530</v>
      </c>
      <c r="C5153" s="1" t="n">
        <v>45363</v>
      </c>
      <c r="D5153" t="inlineStr">
        <is>
          <t>JÄMTLANDS LÄN</t>
        </is>
      </c>
      <c r="E5153" t="inlineStr">
        <is>
          <t>BRÄCKE</t>
        </is>
      </c>
      <c r="F5153" t="inlineStr">
        <is>
          <t>SCA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69153-2021</t>
        </is>
      </c>
      <c r="B5154" s="1" t="n">
        <v>44530</v>
      </c>
      <c r="C5154" s="1" t="n">
        <v>45363</v>
      </c>
      <c r="D5154" t="inlineStr">
        <is>
          <t>JÄMTLANDS LÄN</t>
        </is>
      </c>
      <c r="E5154" t="inlineStr">
        <is>
          <t>RAGUNDA</t>
        </is>
      </c>
      <c r="F5154" t="inlineStr">
        <is>
          <t>SCA</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69271-2021</t>
        </is>
      </c>
      <c r="B5155" s="1" t="n">
        <v>44531</v>
      </c>
      <c r="C5155" s="1" t="n">
        <v>45363</v>
      </c>
      <c r="D5155" t="inlineStr">
        <is>
          <t>JÄMTLANDS LÄN</t>
        </is>
      </c>
      <c r="E5155" t="inlineStr">
        <is>
          <t>HÄRJEDALEN</t>
        </is>
      </c>
      <c r="F5155" t="inlineStr">
        <is>
          <t>Bergvik skog väst AB</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69501-2021</t>
        </is>
      </c>
      <c r="B5156" s="1" t="n">
        <v>44531</v>
      </c>
      <c r="C5156" s="1" t="n">
        <v>45363</v>
      </c>
      <c r="D5156" t="inlineStr">
        <is>
          <t>JÄMTLANDS LÄN</t>
        </is>
      </c>
      <c r="E5156" t="inlineStr">
        <is>
          <t>HÄRJEDALEN</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69550-2021</t>
        </is>
      </c>
      <c r="B5157" s="1" t="n">
        <v>44531</v>
      </c>
      <c r="C5157" s="1" t="n">
        <v>45363</v>
      </c>
      <c r="D5157" t="inlineStr">
        <is>
          <t>JÄMTLANDS LÄN</t>
        </is>
      </c>
      <c r="E5157" t="inlineStr">
        <is>
          <t>BRÄCKE</t>
        </is>
      </c>
      <c r="F5157" t="inlineStr">
        <is>
          <t>SCA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69490-2021</t>
        </is>
      </c>
      <c r="B5158" s="1" t="n">
        <v>44531</v>
      </c>
      <c r="C5158" s="1" t="n">
        <v>45363</v>
      </c>
      <c r="D5158" t="inlineStr">
        <is>
          <t>JÄMTLANDS LÄN</t>
        </is>
      </c>
      <c r="E5158" t="inlineStr">
        <is>
          <t>HÄRJEDALEN</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69504-2021</t>
        </is>
      </c>
      <c r="B5159" s="1" t="n">
        <v>44531</v>
      </c>
      <c r="C5159" s="1" t="n">
        <v>45363</v>
      </c>
      <c r="D5159" t="inlineStr">
        <is>
          <t>JÄMTLANDS LÄN</t>
        </is>
      </c>
      <c r="E5159" t="inlineStr">
        <is>
          <t>HÄRJEDALEN</t>
        </is>
      </c>
      <c r="G5159" t="n">
        <v>11.5</v>
      </c>
      <c r="H5159" t="n">
        <v>0</v>
      </c>
      <c r="I5159" t="n">
        <v>0</v>
      </c>
      <c r="J5159" t="n">
        <v>0</v>
      </c>
      <c r="K5159" t="n">
        <v>0</v>
      </c>
      <c r="L5159" t="n">
        <v>0</v>
      </c>
      <c r="M5159" t="n">
        <v>0</v>
      </c>
      <c r="N5159" t="n">
        <v>0</v>
      </c>
      <c r="O5159" t="n">
        <v>0</v>
      </c>
      <c r="P5159" t="n">
        <v>0</v>
      </c>
      <c r="Q5159" t="n">
        <v>0</v>
      </c>
      <c r="R5159" s="2" t="inlineStr"/>
    </row>
    <row r="5160" ht="15" customHeight="1">
      <c r="A5160" t="inlineStr">
        <is>
          <t>A 69499-2021</t>
        </is>
      </c>
      <c r="B5160" s="1" t="n">
        <v>44531</v>
      </c>
      <c r="C5160" s="1" t="n">
        <v>45363</v>
      </c>
      <c r="D5160" t="inlineStr">
        <is>
          <t>JÄMTLANDS LÄN</t>
        </is>
      </c>
      <c r="E5160" t="inlineStr">
        <is>
          <t>HÄRJEDALEN</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69549-2021</t>
        </is>
      </c>
      <c r="B5161" s="1" t="n">
        <v>44531</v>
      </c>
      <c r="C5161" s="1" t="n">
        <v>45363</v>
      </c>
      <c r="D5161" t="inlineStr">
        <is>
          <t>JÄMTLANDS LÄN</t>
        </is>
      </c>
      <c r="E5161" t="inlineStr">
        <is>
          <t>BRÄCKE</t>
        </is>
      </c>
      <c r="F5161" t="inlineStr">
        <is>
          <t>SCA</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69568-2021</t>
        </is>
      </c>
      <c r="B5162" s="1" t="n">
        <v>44531</v>
      </c>
      <c r="C5162" s="1" t="n">
        <v>45363</v>
      </c>
      <c r="D5162" t="inlineStr">
        <is>
          <t>JÄMTLANDS LÄN</t>
        </is>
      </c>
      <c r="E5162" t="inlineStr">
        <is>
          <t>ÅRE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69592-2021</t>
        </is>
      </c>
      <c r="B5163" s="1" t="n">
        <v>44531</v>
      </c>
      <c r="C5163" s="1" t="n">
        <v>45363</v>
      </c>
      <c r="D5163" t="inlineStr">
        <is>
          <t>JÄMTLANDS LÄN</t>
        </is>
      </c>
      <c r="E5163" t="inlineStr">
        <is>
          <t>ÅRE</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69801-2021</t>
        </is>
      </c>
      <c r="B5164" s="1" t="n">
        <v>44532</v>
      </c>
      <c r="C5164" s="1" t="n">
        <v>45363</v>
      </c>
      <c r="D5164" t="inlineStr">
        <is>
          <t>JÄMTLANDS LÄN</t>
        </is>
      </c>
      <c r="E5164" t="inlineStr">
        <is>
          <t>ÅRE</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69751-2021</t>
        </is>
      </c>
      <c r="B5165" s="1" t="n">
        <v>44532</v>
      </c>
      <c r="C5165" s="1" t="n">
        <v>45363</v>
      </c>
      <c r="D5165" t="inlineStr">
        <is>
          <t>JÄMTLANDS LÄN</t>
        </is>
      </c>
      <c r="E5165" t="inlineStr">
        <is>
          <t>KROKOM</t>
        </is>
      </c>
      <c r="F5165" t="inlineStr">
        <is>
          <t>Övriga Aktiebolag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69949-2021</t>
        </is>
      </c>
      <c r="B5166" s="1" t="n">
        <v>44533</v>
      </c>
      <c r="C5166" s="1" t="n">
        <v>45363</v>
      </c>
      <c r="D5166" t="inlineStr">
        <is>
          <t>JÄMTLANDS LÄN</t>
        </is>
      </c>
      <c r="E5166" t="inlineStr">
        <is>
          <t>KROKOM</t>
        </is>
      </c>
      <c r="G5166" t="n">
        <v>15.8</v>
      </c>
      <c r="H5166" t="n">
        <v>0</v>
      </c>
      <c r="I5166" t="n">
        <v>0</v>
      </c>
      <c r="J5166" t="n">
        <v>0</v>
      </c>
      <c r="K5166" t="n">
        <v>0</v>
      </c>
      <c r="L5166" t="n">
        <v>0</v>
      </c>
      <c r="M5166" t="n">
        <v>0</v>
      </c>
      <c r="N5166" t="n">
        <v>0</v>
      </c>
      <c r="O5166" t="n">
        <v>0</v>
      </c>
      <c r="P5166" t="n">
        <v>0</v>
      </c>
      <c r="Q5166" t="n">
        <v>0</v>
      </c>
      <c r="R5166" s="2" t="inlineStr"/>
    </row>
    <row r="5167" ht="15" customHeight="1">
      <c r="A5167" t="inlineStr">
        <is>
          <t>A 70079-2021</t>
        </is>
      </c>
      <c r="B5167" s="1" t="n">
        <v>44533</v>
      </c>
      <c r="C5167" s="1" t="n">
        <v>45363</v>
      </c>
      <c r="D5167" t="inlineStr">
        <is>
          <t>JÄMTLANDS LÄN</t>
        </is>
      </c>
      <c r="E5167" t="inlineStr">
        <is>
          <t>STRÖMSUND</t>
        </is>
      </c>
      <c r="F5167" t="inlineStr">
        <is>
          <t>Holmen skog AB</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70256-2021</t>
        </is>
      </c>
      <c r="B5168" s="1" t="n">
        <v>44533</v>
      </c>
      <c r="C5168" s="1" t="n">
        <v>45363</v>
      </c>
      <c r="D5168" t="inlineStr">
        <is>
          <t>JÄMTLANDS LÄN</t>
        </is>
      </c>
      <c r="E5168" t="inlineStr">
        <is>
          <t>ÖSTERSUND</t>
        </is>
      </c>
      <c r="G5168" t="n">
        <v>8.199999999999999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69972-2021</t>
        </is>
      </c>
      <c r="B5169" s="1" t="n">
        <v>44533</v>
      </c>
      <c r="C5169" s="1" t="n">
        <v>45363</v>
      </c>
      <c r="D5169" t="inlineStr">
        <is>
          <t>JÄMTLANDS LÄN</t>
        </is>
      </c>
      <c r="E5169" t="inlineStr">
        <is>
          <t>KROKOM</t>
        </is>
      </c>
      <c r="G5169" t="n">
        <v>22.9</v>
      </c>
      <c r="H5169" t="n">
        <v>0</v>
      </c>
      <c r="I5169" t="n">
        <v>0</v>
      </c>
      <c r="J5169" t="n">
        <v>0</v>
      </c>
      <c r="K5169" t="n">
        <v>0</v>
      </c>
      <c r="L5169" t="n">
        <v>0</v>
      </c>
      <c r="M5169" t="n">
        <v>0</v>
      </c>
      <c r="N5169" t="n">
        <v>0</v>
      </c>
      <c r="O5169" t="n">
        <v>0</v>
      </c>
      <c r="P5169" t="n">
        <v>0</v>
      </c>
      <c r="Q5169" t="n">
        <v>0</v>
      </c>
      <c r="R5169" s="2" t="inlineStr"/>
    </row>
    <row r="5170" ht="15" customHeight="1">
      <c r="A5170" t="inlineStr">
        <is>
          <t>A 70222-2021</t>
        </is>
      </c>
      <c r="B5170" s="1" t="n">
        <v>44535</v>
      </c>
      <c r="C5170" s="1" t="n">
        <v>45363</v>
      </c>
      <c r="D5170" t="inlineStr">
        <is>
          <t>JÄMTLANDS LÄN</t>
        </is>
      </c>
      <c r="E5170" t="inlineStr">
        <is>
          <t>KROKOM</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70463-2021</t>
        </is>
      </c>
      <c r="B5171" s="1" t="n">
        <v>44536</v>
      </c>
      <c r="C5171" s="1" t="n">
        <v>45363</v>
      </c>
      <c r="D5171" t="inlineStr">
        <is>
          <t>JÄMTLANDS LÄN</t>
        </is>
      </c>
      <c r="E5171" t="inlineStr">
        <is>
          <t>BERG</t>
        </is>
      </c>
      <c r="G5171" t="n">
        <v>10.8</v>
      </c>
      <c r="H5171" t="n">
        <v>0</v>
      </c>
      <c r="I5171" t="n">
        <v>0</v>
      </c>
      <c r="J5171" t="n">
        <v>0</v>
      </c>
      <c r="K5171" t="n">
        <v>0</v>
      </c>
      <c r="L5171" t="n">
        <v>0</v>
      </c>
      <c r="M5171" t="n">
        <v>0</v>
      </c>
      <c r="N5171" t="n">
        <v>0</v>
      </c>
      <c r="O5171" t="n">
        <v>0</v>
      </c>
      <c r="P5171" t="n">
        <v>0</v>
      </c>
      <c r="Q5171" t="n">
        <v>0</v>
      </c>
      <c r="R5171" s="2" t="inlineStr"/>
    </row>
    <row r="5172" ht="15" customHeight="1">
      <c r="A5172" t="inlineStr">
        <is>
          <t>A 70530-2021</t>
        </is>
      </c>
      <c r="B5172" s="1" t="n">
        <v>44536</v>
      </c>
      <c r="C5172" s="1" t="n">
        <v>45363</v>
      </c>
      <c r="D5172" t="inlineStr">
        <is>
          <t>JÄMTLANDS LÄN</t>
        </is>
      </c>
      <c r="E5172" t="inlineStr">
        <is>
          <t>STRÖMSUND</t>
        </is>
      </c>
      <c r="F5172" t="inlineStr">
        <is>
          <t>SCA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70523-2021</t>
        </is>
      </c>
      <c r="B5173" s="1" t="n">
        <v>44536</v>
      </c>
      <c r="C5173" s="1" t="n">
        <v>45363</v>
      </c>
      <c r="D5173" t="inlineStr">
        <is>
          <t>JÄMTLANDS LÄN</t>
        </is>
      </c>
      <c r="E5173" t="inlineStr">
        <is>
          <t>ÅRE</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70522-2021</t>
        </is>
      </c>
      <c r="B5174" s="1" t="n">
        <v>44536</v>
      </c>
      <c r="C5174" s="1" t="n">
        <v>45363</v>
      </c>
      <c r="D5174" t="inlineStr">
        <is>
          <t>JÄMTLANDS LÄN</t>
        </is>
      </c>
      <c r="E5174" t="inlineStr">
        <is>
          <t>ÅRE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70531-2021</t>
        </is>
      </c>
      <c r="B5175" s="1" t="n">
        <v>44536</v>
      </c>
      <c r="C5175" s="1" t="n">
        <v>45363</v>
      </c>
      <c r="D5175" t="inlineStr">
        <is>
          <t>JÄMTLANDS LÄN</t>
        </is>
      </c>
      <c r="E5175" t="inlineStr">
        <is>
          <t>STRÖMSUND</t>
        </is>
      </c>
      <c r="F5175" t="inlineStr">
        <is>
          <t>SCA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70570-2021</t>
        </is>
      </c>
      <c r="B5176" s="1" t="n">
        <v>44536</v>
      </c>
      <c r="C5176" s="1" t="n">
        <v>45363</v>
      </c>
      <c r="D5176" t="inlineStr">
        <is>
          <t>JÄMTLANDS LÄN</t>
        </is>
      </c>
      <c r="E5176" t="inlineStr">
        <is>
          <t>BERG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70468-2021</t>
        </is>
      </c>
      <c r="B5177" s="1" t="n">
        <v>44536</v>
      </c>
      <c r="C5177" s="1" t="n">
        <v>45363</v>
      </c>
      <c r="D5177" t="inlineStr">
        <is>
          <t>JÄMTLANDS LÄN</t>
        </is>
      </c>
      <c r="E5177" t="inlineStr">
        <is>
          <t>BERG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70511-2021</t>
        </is>
      </c>
      <c r="B5178" s="1" t="n">
        <v>44536</v>
      </c>
      <c r="C5178" s="1" t="n">
        <v>45363</v>
      </c>
      <c r="D5178" t="inlineStr">
        <is>
          <t>JÄMTLANDS LÄN</t>
        </is>
      </c>
      <c r="E5178" t="inlineStr">
        <is>
          <t>STRÖMSUND</t>
        </is>
      </c>
      <c r="F5178" t="inlineStr">
        <is>
          <t>SCA</t>
        </is>
      </c>
      <c r="G5178" t="n">
        <v>401.6</v>
      </c>
      <c r="H5178" t="n">
        <v>0</v>
      </c>
      <c r="I5178" t="n">
        <v>0</v>
      </c>
      <c r="J5178" t="n">
        <v>0</v>
      </c>
      <c r="K5178" t="n">
        <v>0</v>
      </c>
      <c r="L5178" t="n">
        <v>0</v>
      </c>
      <c r="M5178" t="n">
        <v>0</v>
      </c>
      <c r="N5178" t="n">
        <v>0</v>
      </c>
      <c r="O5178" t="n">
        <v>0</v>
      </c>
      <c r="P5178" t="n">
        <v>0</v>
      </c>
      <c r="Q5178" t="n">
        <v>0</v>
      </c>
      <c r="R5178" s="2" t="inlineStr"/>
    </row>
    <row r="5179" ht="15" customHeight="1">
      <c r="A5179" t="inlineStr">
        <is>
          <t>A 70529-2021</t>
        </is>
      </c>
      <c r="B5179" s="1" t="n">
        <v>44536</v>
      </c>
      <c r="C5179" s="1" t="n">
        <v>45363</v>
      </c>
      <c r="D5179" t="inlineStr">
        <is>
          <t>JÄMTLANDS LÄN</t>
        </is>
      </c>
      <c r="E5179" t="inlineStr">
        <is>
          <t>STRÖMSUND</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70609-2021</t>
        </is>
      </c>
      <c r="B5180" s="1" t="n">
        <v>44537</v>
      </c>
      <c r="C5180" s="1" t="n">
        <v>45363</v>
      </c>
      <c r="D5180" t="inlineStr">
        <is>
          <t>JÄMTLANDS LÄN</t>
        </is>
      </c>
      <c r="E5180" t="inlineStr">
        <is>
          <t>RAGUNDA</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70678-2021</t>
        </is>
      </c>
      <c r="B5181" s="1" t="n">
        <v>44537</v>
      </c>
      <c r="C5181" s="1" t="n">
        <v>45363</v>
      </c>
      <c r="D5181" t="inlineStr">
        <is>
          <t>JÄMTLANDS LÄN</t>
        </is>
      </c>
      <c r="E5181" t="inlineStr">
        <is>
          <t>ÖSTERSUND</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70812-2021</t>
        </is>
      </c>
      <c r="B5182" s="1" t="n">
        <v>44537</v>
      </c>
      <c r="C5182" s="1" t="n">
        <v>45363</v>
      </c>
      <c r="D5182" t="inlineStr">
        <is>
          <t>JÄMTLANDS LÄN</t>
        </is>
      </c>
      <c r="E5182" t="inlineStr">
        <is>
          <t>BRÄCKE</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70816-2021</t>
        </is>
      </c>
      <c r="B5183" s="1" t="n">
        <v>44537</v>
      </c>
      <c r="C5183" s="1" t="n">
        <v>45363</v>
      </c>
      <c r="D5183" t="inlineStr">
        <is>
          <t>JÄMTLANDS LÄN</t>
        </is>
      </c>
      <c r="E5183" t="inlineStr">
        <is>
          <t>ÖSTERSUND</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70807-2021</t>
        </is>
      </c>
      <c r="B5184" s="1" t="n">
        <v>44537</v>
      </c>
      <c r="C5184" s="1" t="n">
        <v>45363</v>
      </c>
      <c r="D5184" t="inlineStr">
        <is>
          <t>JÄMTLANDS LÄN</t>
        </is>
      </c>
      <c r="E5184" t="inlineStr">
        <is>
          <t>BRÄCKE</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70813-2021</t>
        </is>
      </c>
      <c r="B5185" s="1" t="n">
        <v>44537</v>
      </c>
      <c r="C5185" s="1" t="n">
        <v>45363</v>
      </c>
      <c r="D5185" t="inlineStr">
        <is>
          <t>JÄMTLANDS LÄN</t>
        </is>
      </c>
      <c r="E5185" t="inlineStr">
        <is>
          <t>BRÄCKE</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71005-2021</t>
        </is>
      </c>
      <c r="B5186" s="1" t="n">
        <v>44538</v>
      </c>
      <c r="C5186" s="1" t="n">
        <v>45363</v>
      </c>
      <c r="D5186" t="inlineStr">
        <is>
          <t>JÄMTLANDS LÄN</t>
        </is>
      </c>
      <c r="E5186" t="inlineStr">
        <is>
          <t>ÅRE</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71043-2021</t>
        </is>
      </c>
      <c r="B5187" s="1" t="n">
        <v>44538</v>
      </c>
      <c r="C5187" s="1" t="n">
        <v>45363</v>
      </c>
      <c r="D5187" t="inlineStr">
        <is>
          <t>JÄMTLANDS LÄN</t>
        </is>
      </c>
      <c r="E5187" t="inlineStr">
        <is>
          <t>ÅRE</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71209-2021</t>
        </is>
      </c>
      <c r="B5188" s="1" t="n">
        <v>44538</v>
      </c>
      <c r="C5188" s="1" t="n">
        <v>45363</v>
      </c>
      <c r="D5188" t="inlineStr">
        <is>
          <t>JÄMTLANDS LÄN</t>
        </is>
      </c>
      <c r="E5188" t="inlineStr">
        <is>
          <t>RAGUNDA</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71649-2021</t>
        </is>
      </c>
      <c r="B5189" s="1" t="n">
        <v>44538</v>
      </c>
      <c r="C5189" s="1" t="n">
        <v>45363</v>
      </c>
      <c r="D5189" t="inlineStr">
        <is>
          <t>JÄMTLANDS LÄN</t>
        </is>
      </c>
      <c r="E5189" t="inlineStr">
        <is>
          <t>HÄRJEDALEN</t>
        </is>
      </c>
      <c r="F5189" t="inlineStr">
        <is>
          <t>Övriga statliga verk och myndigheter</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71668-2021</t>
        </is>
      </c>
      <c r="B5190" s="1" t="n">
        <v>44538</v>
      </c>
      <c r="C5190" s="1" t="n">
        <v>45363</v>
      </c>
      <c r="D5190" t="inlineStr">
        <is>
          <t>JÄMTLANDS LÄN</t>
        </is>
      </c>
      <c r="E5190" t="inlineStr">
        <is>
          <t>HÄRJEDALEN</t>
        </is>
      </c>
      <c r="F5190" t="inlineStr">
        <is>
          <t>Övriga statliga verk och myndigheter</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71638-2021</t>
        </is>
      </c>
      <c r="B5191" s="1" t="n">
        <v>44538</v>
      </c>
      <c r="C5191" s="1" t="n">
        <v>45363</v>
      </c>
      <c r="D5191" t="inlineStr">
        <is>
          <t>JÄMTLANDS LÄN</t>
        </is>
      </c>
      <c r="E5191" t="inlineStr">
        <is>
          <t>HÄRJEDALEN</t>
        </is>
      </c>
      <c r="F5191" t="inlineStr">
        <is>
          <t>Övriga statliga verk och myndigheter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71307-2021</t>
        </is>
      </c>
      <c r="B5192" s="1" t="n">
        <v>44539</v>
      </c>
      <c r="C5192" s="1" t="n">
        <v>45363</v>
      </c>
      <c r="D5192" t="inlineStr">
        <is>
          <t>JÄMTLANDS LÄN</t>
        </is>
      </c>
      <c r="E5192" t="inlineStr">
        <is>
          <t>KROKOM</t>
        </is>
      </c>
      <c r="G5192" t="n">
        <v>21.5</v>
      </c>
      <c r="H5192" t="n">
        <v>0</v>
      </c>
      <c r="I5192" t="n">
        <v>0</v>
      </c>
      <c r="J5192" t="n">
        <v>0</v>
      </c>
      <c r="K5192" t="n">
        <v>0</v>
      </c>
      <c r="L5192" t="n">
        <v>0</v>
      </c>
      <c r="M5192" t="n">
        <v>0</v>
      </c>
      <c r="N5192" t="n">
        <v>0</v>
      </c>
      <c r="O5192" t="n">
        <v>0</v>
      </c>
      <c r="P5192" t="n">
        <v>0</v>
      </c>
      <c r="Q5192" t="n">
        <v>0</v>
      </c>
      <c r="R5192" s="2" t="inlineStr"/>
    </row>
    <row r="5193" ht="15" customHeight="1">
      <c r="A5193" t="inlineStr">
        <is>
          <t>A 71246-2021</t>
        </is>
      </c>
      <c r="B5193" s="1" t="n">
        <v>44539</v>
      </c>
      <c r="C5193" s="1" t="n">
        <v>45363</v>
      </c>
      <c r="D5193" t="inlineStr">
        <is>
          <t>JÄMTLANDS LÄN</t>
        </is>
      </c>
      <c r="E5193" t="inlineStr">
        <is>
          <t>KROKOM</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71352-2021</t>
        </is>
      </c>
      <c r="B5194" s="1" t="n">
        <v>44539</v>
      </c>
      <c r="C5194" s="1" t="n">
        <v>45363</v>
      </c>
      <c r="D5194" t="inlineStr">
        <is>
          <t>JÄMTLANDS LÄN</t>
        </is>
      </c>
      <c r="E5194" t="inlineStr">
        <is>
          <t>STRÖMSUND</t>
        </is>
      </c>
      <c r="G5194" t="n">
        <v>0.2</v>
      </c>
      <c r="H5194" t="n">
        <v>0</v>
      </c>
      <c r="I5194" t="n">
        <v>0</v>
      </c>
      <c r="J5194" t="n">
        <v>0</v>
      </c>
      <c r="K5194" t="n">
        <v>0</v>
      </c>
      <c r="L5194" t="n">
        <v>0</v>
      </c>
      <c r="M5194" t="n">
        <v>0</v>
      </c>
      <c r="N5194" t="n">
        <v>0</v>
      </c>
      <c r="O5194" t="n">
        <v>0</v>
      </c>
      <c r="P5194" t="n">
        <v>0</v>
      </c>
      <c r="Q5194" t="n">
        <v>0</v>
      </c>
      <c r="R5194" s="2" t="inlineStr"/>
      <c r="U5194">
        <f>HYPERLINK("https://klasma.github.io/Logging_2313/knärot/A 71352-2021 karta knärot.png", "A 71352-2021")</f>
        <v/>
      </c>
      <c r="V5194">
        <f>HYPERLINK("https://klasma.github.io/Logging_2313/klagomål/A 71352-2021 FSC-klagomål.docx", "A 71352-2021")</f>
        <v/>
      </c>
      <c r="W5194">
        <f>HYPERLINK("https://klasma.github.io/Logging_2313/klagomålsmail/A 71352-2021 FSC-klagomål mail.docx", "A 71352-2021")</f>
        <v/>
      </c>
      <c r="X5194">
        <f>HYPERLINK("https://klasma.github.io/Logging_2313/tillsyn/A 71352-2021 tillsynsbegäran.docx", "A 71352-2021")</f>
        <v/>
      </c>
      <c r="Y5194">
        <f>HYPERLINK("https://klasma.github.io/Logging_2313/tillsynsmail/A 71352-2021 tillsynsbegäran mail.docx", "A 71352-2021")</f>
        <v/>
      </c>
    </row>
    <row r="5195" ht="15" customHeight="1">
      <c r="A5195" t="inlineStr">
        <is>
          <t>A 71353-2021</t>
        </is>
      </c>
      <c r="B5195" s="1" t="n">
        <v>44539</v>
      </c>
      <c r="C5195" s="1" t="n">
        <v>45363</v>
      </c>
      <c r="D5195" t="inlineStr">
        <is>
          <t>JÄMTLANDS LÄN</t>
        </is>
      </c>
      <c r="E5195" t="inlineStr">
        <is>
          <t>STRÖMSUND</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71376-2021</t>
        </is>
      </c>
      <c r="B5196" s="1" t="n">
        <v>44539</v>
      </c>
      <c r="C5196" s="1" t="n">
        <v>45363</v>
      </c>
      <c r="D5196" t="inlineStr">
        <is>
          <t>JÄMTLANDS LÄN</t>
        </is>
      </c>
      <c r="E5196" t="inlineStr">
        <is>
          <t>STRÖMSUND</t>
        </is>
      </c>
      <c r="F5196" t="inlineStr">
        <is>
          <t>SCA</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71377-2021</t>
        </is>
      </c>
      <c r="B5197" s="1" t="n">
        <v>44539</v>
      </c>
      <c r="C5197" s="1" t="n">
        <v>45363</v>
      </c>
      <c r="D5197" t="inlineStr">
        <is>
          <t>JÄMTLANDS LÄN</t>
        </is>
      </c>
      <c r="E5197" t="inlineStr">
        <is>
          <t>STRÖMSUND</t>
        </is>
      </c>
      <c r="F5197" t="inlineStr">
        <is>
          <t>SCA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71823-2021</t>
        </is>
      </c>
      <c r="B5198" s="1" t="n">
        <v>44539</v>
      </c>
      <c r="C5198" s="1" t="n">
        <v>45363</v>
      </c>
      <c r="D5198" t="inlineStr">
        <is>
          <t>JÄMTLANDS LÄN</t>
        </is>
      </c>
      <c r="E5198" t="inlineStr">
        <is>
          <t>ÖSTERSUND</t>
        </is>
      </c>
      <c r="G5198" t="n">
        <v>10.5</v>
      </c>
      <c r="H5198" t="n">
        <v>0</v>
      </c>
      <c r="I5198" t="n">
        <v>0</v>
      </c>
      <c r="J5198" t="n">
        <v>0</v>
      </c>
      <c r="K5198" t="n">
        <v>0</v>
      </c>
      <c r="L5198" t="n">
        <v>0</v>
      </c>
      <c r="M5198" t="n">
        <v>0</v>
      </c>
      <c r="N5198" t="n">
        <v>0</v>
      </c>
      <c r="O5198" t="n">
        <v>0</v>
      </c>
      <c r="P5198" t="n">
        <v>0</v>
      </c>
      <c r="Q5198" t="n">
        <v>0</v>
      </c>
      <c r="R5198" s="2" t="inlineStr"/>
    </row>
    <row r="5199" ht="15" customHeight="1">
      <c r="A5199" t="inlineStr">
        <is>
          <t>A 71493-2021</t>
        </is>
      </c>
      <c r="B5199" s="1" t="n">
        <v>44540</v>
      </c>
      <c r="C5199" s="1" t="n">
        <v>45363</v>
      </c>
      <c r="D5199" t="inlineStr">
        <is>
          <t>JÄMTLANDS LÄN</t>
        </is>
      </c>
      <c r="E5199" t="inlineStr">
        <is>
          <t>HÄRJEDALEN</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71525-2021</t>
        </is>
      </c>
      <c r="B5200" s="1" t="n">
        <v>44540</v>
      </c>
      <c r="C5200" s="1" t="n">
        <v>45363</v>
      </c>
      <c r="D5200" t="inlineStr">
        <is>
          <t>JÄMTLANDS LÄN</t>
        </is>
      </c>
      <c r="E5200" t="inlineStr">
        <is>
          <t>BERG</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71467-2021</t>
        </is>
      </c>
      <c r="B5201" s="1" t="n">
        <v>44540</v>
      </c>
      <c r="C5201" s="1" t="n">
        <v>45363</v>
      </c>
      <c r="D5201" t="inlineStr">
        <is>
          <t>JÄMTLANDS LÄN</t>
        </is>
      </c>
      <c r="E5201" t="inlineStr">
        <is>
          <t>HÄRJEDALEN</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71572-2021</t>
        </is>
      </c>
      <c r="B5202" s="1" t="n">
        <v>44540</v>
      </c>
      <c r="C5202" s="1" t="n">
        <v>45363</v>
      </c>
      <c r="D5202" t="inlineStr">
        <is>
          <t>JÄMTLANDS LÄN</t>
        </is>
      </c>
      <c r="E5202" t="inlineStr">
        <is>
          <t>KROKOM</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72025-2021</t>
        </is>
      </c>
      <c r="B5203" s="1" t="n">
        <v>44540</v>
      </c>
      <c r="C5203" s="1" t="n">
        <v>45363</v>
      </c>
      <c r="D5203" t="inlineStr">
        <is>
          <t>JÄMTLANDS LÄN</t>
        </is>
      </c>
      <c r="E5203" t="inlineStr">
        <is>
          <t>BRÄCKE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72044-2021</t>
        </is>
      </c>
      <c r="B5204" s="1" t="n">
        <v>44540</v>
      </c>
      <c r="C5204" s="1" t="n">
        <v>45363</v>
      </c>
      <c r="D5204" t="inlineStr">
        <is>
          <t>JÄMTLANDS LÄN</t>
        </is>
      </c>
      <c r="E5204" t="inlineStr">
        <is>
          <t>BRÄCKE</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72089-2021</t>
        </is>
      </c>
      <c r="B5205" s="1" t="n">
        <v>44540</v>
      </c>
      <c r="C5205" s="1" t="n">
        <v>45363</v>
      </c>
      <c r="D5205" t="inlineStr">
        <is>
          <t>JÄMTLANDS LÄN</t>
        </is>
      </c>
      <c r="E5205" t="inlineStr">
        <is>
          <t>ÖSTERSUND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71501-2021</t>
        </is>
      </c>
      <c r="B5206" s="1" t="n">
        <v>44540</v>
      </c>
      <c r="C5206" s="1" t="n">
        <v>45363</v>
      </c>
      <c r="D5206" t="inlineStr">
        <is>
          <t>JÄMTLANDS LÄN</t>
        </is>
      </c>
      <c r="E5206" t="inlineStr">
        <is>
          <t>HÄRJEDALEN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71968-2021</t>
        </is>
      </c>
      <c r="B5207" s="1" t="n">
        <v>44540</v>
      </c>
      <c r="C5207" s="1" t="n">
        <v>45363</v>
      </c>
      <c r="D5207" t="inlineStr">
        <is>
          <t>JÄMTLANDS LÄN</t>
        </is>
      </c>
      <c r="E5207" t="inlineStr">
        <is>
          <t>ÅRE</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72041-2021</t>
        </is>
      </c>
      <c r="B5208" s="1" t="n">
        <v>44540</v>
      </c>
      <c r="C5208" s="1" t="n">
        <v>45363</v>
      </c>
      <c r="D5208" t="inlineStr">
        <is>
          <t>JÄMTLANDS LÄN</t>
        </is>
      </c>
      <c r="E5208" t="inlineStr">
        <is>
          <t>ÖSTERSUND</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72258-2021</t>
        </is>
      </c>
      <c r="B5209" s="1" t="n">
        <v>44540</v>
      </c>
      <c r="C5209" s="1" t="n">
        <v>45363</v>
      </c>
      <c r="D5209" t="inlineStr">
        <is>
          <t>JÄMTLANDS LÄN</t>
        </is>
      </c>
      <c r="E5209" t="inlineStr">
        <is>
          <t>ÖSTERSUND</t>
        </is>
      </c>
      <c r="G5209" t="n">
        <v>8.300000000000001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72061-2021</t>
        </is>
      </c>
      <c r="B5210" s="1" t="n">
        <v>44540</v>
      </c>
      <c r="C5210" s="1" t="n">
        <v>45363</v>
      </c>
      <c r="D5210" t="inlineStr">
        <is>
          <t>JÄMTLANDS LÄN</t>
        </is>
      </c>
      <c r="E5210" t="inlineStr">
        <is>
          <t>ÖSTERSUND</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71864-2021</t>
        </is>
      </c>
      <c r="B5211" s="1" t="n">
        <v>44543</v>
      </c>
      <c r="C5211" s="1" t="n">
        <v>45363</v>
      </c>
      <c r="D5211" t="inlineStr">
        <is>
          <t>JÄMTLANDS LÄN</t>
        </is>
      </c>
      <c r="E5211" t="inlineStr">
        <is>
          <t>HÄRJEDALEN</t>
        </is>
      </c>
      <c r="F5211" t="inlineStr">
        <is>
          <t>Holmen skog AB</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71654-2021</t>
        </is>
      </c>
      <c r="B5212" s="1" t="n">
        <v>44543</v>
      </c>
      <c r="C5212" s="1" t="n">
        <v>45363</v>
      </c>
      <c r="D5212" t="inlineStr">
        <is>
          <t>JÄMTLANDS LÄN</t>
        </is>
      </c>
      <c r="E5212" t="inlineStr">
        <is>
          <t>KROKOM</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71912-2021</t>
        </is>
      </c>
      <c r="B5213" s="1" t="n">
        <v>44543</v>
      </c>
      <c r="C5213" s="1" t="n">
        <v>45363</v>
      </c>
      <c r="D5213" t="inlineStr">
        <is>
          <t>JÄMTLANDS LÄN</t>
        </is>
      </c>
      <c r="E5213" t="inlineStr">
        <is>
          <t>STRÖMSUND</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71900-2021</t>
        </is>
      </c>
      <c r="B5214" s="1" t="n">
        <v>44543</v>
      </c>
      <c r="C5214" s="1" t="n">
        <v>45363</v>
      </c>
      <c r="D5214" t="inlineStr">
        <is>
          <t>JÄMTLANDS LÄN</t>
        </is>
      </c>
      <c r="E5214" t="inlineStr">
        <is>
          <t>ÅRE</t>
        </is>
      </c>
      <c r="G5214" t="n">
        <v>7.7</v>
      </c>
      <c r="H5214" t="n">
        <v>0</v>
      </c>
      <c r="I5214" t="n">
        <v>0</v>
      </c>
      <c r="J5214" t="n">
        <v>0</v>
      </c>
      <c r="K5214" t="n">
        <v>0</v>
      </c>
      <c r="L5214" t="n">
        <v>0</v>
      </c>
      <c r="M5214" t="n">
        <v>0</v>
      </c>
      <c r="N5214" t="n">
        <v>0</v>
      </c>
      <c r="O5214" t="n">
        <v>0</v>
      </c>
      <c r="P5214" t="n">
        <v>0</v>
      </c>
      <c r="Q5214" t="n">
        <v>0</v>
      </c>
      <c r="R5214" s="2" t="inlineStr"/>
    </row>
    <row r="5215" ht="15" customHeight="1">
      <c r="A5215" t="inlineStr">
        <is>
          <t>A 71911-2021</t>
        </is>
      </c>
      <c r="B5215" s="1" t="n">
        <v>44543</v>
      </c>
      <c r="C5215" s="1" t="n">
        <v>45363</v>
      </c>
      <c r="D5215" t="inlineStr">
        <is>
          <t>JÄMTLANDS LÄN</t>
        </is>
      </c>
      <c r="E5215" t="inlineStr">
        <is>
          <t>STRÖMSUND</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72265-2021</t>
        </is>
      </c>
      <c r="B5216" s="1" t="n">
        <v>44543</v>
      </c>
      <c r="C5216" s="1" t="n">
        <v>45363</v>
      </c>
      <c r="D5216" t="inlineStr">
        <is>
          <t>JÄMTLANDS LÄN</t>
        </is>
      </c>
      <c r="E5216" t="inlineStr">
        <is>
          <t>BERG</t>
        </is>
      </c>
      <c r="G5216" t="n">
        <v>9.9</v>
      </c>
      <c r="H5216" t="n">
        <v>0</v>
      </c>
      <c r="I5216" t="n">
        <v>0</v>
      </c>
      <c r="J5216" t="n">
        <v>0</v>
      </c>
      <c r="K5216" t="n">
        <v>0</v>
      </c>
      <c r="L5216" t="n">
        <v>0</v>
      </c>
      <c r="M5216" t="n">
        <v>0</v>
      </c>
      <c r="N5216" t="n">
        <v>0</v>
      </c>
      <c r="O5216" t="n">
        <v>0</v>
      </c>
      <c r="P5216" t="n">
        <v>0</v>
      </c>
      <c r="Q5216" t="n">
        <v>0</v>
      </c>
      <c r="R5216" s="2" t="inlineStr"/>
    </row>
    <row r="5217" ht="15" customHeight="1">
      <c r="A5217" t="inlineStr">
        <is>
          <t>A 72286-2021</t>
        </is>
      </c>
      <c r="B5217" s="1" t="n">
        <v>44543</v>
      </c>
      <c r="C5217" s="1" t="n">
        <v>45363</v>
      </c>
      <c r="D5217" t="inlineStr">
        <is>
          <t>JÄMTLANDS LÄN</t>
        </is>
      </c>
      <c r="E5217" t="inlineStr">
        <is>
          <t>KROKOM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72264-2021</t>
        </is>
      </c>
      <c r="B5218" s="1" t="n">
        <v>44543</v>
      </c>
      <c r="C5218" s="1" t="n">
        <v>45363</v>
      </c>
      <c r="D5218" t="inlineStr">
        <is>
          <t>JÄMTLANDS LÄN</t>
        </is>
      </c>
      <c r="E5218" t="inlineStr">
        <is>
          <t>BERG</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71756-2021</t>
        </is>
      </c>
      <c r="B5219" s="1" t="n">
        <v>44543</v>
      </c>
      <c r="C5219" s="1" t="n">
        <v>45363</v>
      </c>
      <c r="D5219" t="inlineStr">
        <is>
          <t>JÄMTLANDS LÄN</t>
        </is>
      </c>
      <c r="E5219" t="inlineStr">
        <is>
          <t>HÄRJEDALEN</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71956-2021</t>
        </is>
      </c>
      <c r="B5220" s="1" t="n">
        <v>44544</v>
      </c>
      <c r="C5220" s="1" t="n">
        <v>45363</v>
      </c>
      <c r="D5220" t="inlineStr">
        <is>
          <t>JÄMTLANDS LÄN</t>
        </is>
      </c>
      <c r="E5220" t="inlineStr">
        <is>
          <t>ÖSTERSUND</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71989-2021</t>
        </is>
      </c>
      <c r="B5221" s="1" t="n">
        <v>44544</v>
      </c>
      <c r="C5221" s="1" t="n">
        <v>45363</v>
      </c>
      <c r="D5221" t="inlineStr">
        <is>
          <t>JÄMTLANDS LÄN</t>
        </is>
      </c>
      <c r="E5221" t="inlineStr">
        <is>
          <t>HÄRJEDALEN</t>
        </is>
      </c>
      <c r="F5221" t="inlineStr">
        <is>
          <t>Holmen skog AB</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72064-2021</t>
        </is>
      </c>
      <c r="B5222" s="1" t="n">
        <v>44544</v>
      </c>
      <c r="C5222" s="1" t="n">
        <v>45363</v>
      </c>
      <c r="D5222" t="inlineStr">
        <is>
          <t>JÄMTLANDS LÄN</t>
        </is>
      </c>
      <c r="E5222" t="inlineStr">
        <is>
          <t>KROKOM</t>
        </is>
      </c>
      <c r="G5222" t="n">
        <v>18.7</v>
      </c>
      <c r="H5222" t="n">
        <v>0</v>
      </c>
      <c r="I5222" t="n">
        <v>0</v>
      </c>
      <c r="J5222" t="n">
        <v>0</v>
      </c>
      <c r="K5222" t="n">
        <v>0</v>
      </c>
      <c r="L5222" t="n">
        <v>0</v>
      </c>
      <c r="M5222" t="n">
        <v>0</v>
      </c>
      <c r="N5222" t="n">
        <v>0</v>
      </c>
      <c r="O5222" t="n">
        <v>0</v>
      </c>
      <c r="P5222" t="n">
        <v>0</v>
      </c>
      <c r="Q5222" t="n">
        <v>0</v>
      </c>
      <c r="R5222" s="2" t="inlineStr"/>
    </row>
    <row r="5223" ht="15" customHeight="1">
      <c r="A5223" t="inlineStr">
        <is>
          <t>A 72214-2021</t>
        </is>
      </c>
      <c r="B5223" s="1" t="n">
        <v>44544</v>
      </c>
      <c r="C5223" s="1" t="n">
        <v>45363</v>
      </c>
      <c r="D5223" t="inlineStr">
        <is>
          <t>JÄMTLANDS LÄN</t>
        </is>
      </c>
      <c r="E5223" t="inlineStr">
        <is>
          <t>ÅRE</t>
        </is>
      </c>
      <c r="G5223" t="n">
        <v>14.1</v>
      </c>
      <c r="H5223" t="n">
        <v>0</v>
      </c>
      <c r="I5223" t="n">
        <v>0</v>
      </c>
      <c r="J5223" t="n">
        <v>0</v>
      </c>
      <c r="K5223" t="n">
        <v>0</v>
      </c>
      <c r="L5223" t="n">
        <v>0</v>
      </c>
      <c r="M5223" t="n">
        <v>0</v>
      </c>
      <c r="N5223" t="n">
        <v>0</v>
      </c>
      <c r="O5223" t="n">
        <v>0</v>
      </c>
      <c r="P5223" t="n">
        <v>0</v>
      </c>
      <c r="Q5223" t="n">
        <v>0</v>
      </c>
      <c r="R5223" s="2" t="inlineStr"/>
    </row>
    <row r="5224" ht="15" customHeight="1">
      <c r="A5224" t="inlineStr">
        <is>
          <t>A 72599-2021</t>
        </is>
      </c>
      <c r="B5224" s="1" t="n">
        <v>44544</v>
      </c>
      <c r="C5224" s="1" t="n">
        <v>45363</v>
      </c>
      <c r="D5224" t="inlineStr">
        <is>
          <t>JÄMTLANDS LÄN</t>
        </is>
      </c>
      <c r="E5224" t="inlineStr">
        <is>
          <t>KROKOM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72215-2021</t>
        </is>
      </c>
      <c r="B5225" s="1" t="n">
        <v>44544</v>
      </c>
      <c r="C5225" s="1" t="n">
        <v>45363</v>
      </c>
      <c r="D5225" t="inlineStr">
        <is>
          <t>JÄMTLANDS LÄN</t>
        </is>
      </c>
      <c r="E5225" t="inlineStr">
        <is>
          <t>ÅRE</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72591-2021</t>
        </is>
      </c>
      <c r="B5226" s="1" t="n">
        <v>44544</v>
      </c>
      <c r="C5226" s="1" t="n">
        <v>45363</v>
      </c>
      <c r="D5226" t="inlineStr">
        <is>
          <t>JÄMTLANDS LÄN</t>
        </is>
      </c>
      <c r="E5226" t="inlineStr">
        <is>
          <t>KROKOM</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72374-2021</t>
        </is>
      </c>
      <c r="B5227" s="1" t="n">
        <v>44545</v>
      </c>
      <c r="C5227" s="1" t="n">
        <v>45363</v>
      </c>
      <c r="D5227" t="inlineStr">
        <is>
          <t>JÄMTLANDS LÄN</t>
        </is>
      </c>
      <c r="E5227" t="inlineStr">
        <is>
          <t>HÄRJEDALEN</t>
        </is>
      </c>
      <c r="F5227" t="inlineStr">
        <is>
          <t>Sveaskog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72482-2021</t>
        </is>
      </c>
      <c r="B5228" s="1" t="n">
        <v>44545</v>
      </c>
      <c r="C5228" s="1" t="n">
        <v>45363</v>
      </c>
      <c r="D5228" t="inlineStr">
        <is>
          <t>JÄMTLANDS LÄN</t>
        </is>
      </c>
      <c r="E5228" t="inlineStr">
        <is>
          <t>KROKOM</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72629-2021</t>
        </is>
      </c>
      <c r="B5229" s="1" t="n">
        <v>44545</v>
      </c>
      <c r="C5229" s="1" t="n">
        <v>45363</v>
      </c>
      <c r="D5229" t="inlineStr">
        <is>
          <t>JÄMTLANDS LÄN</t>
        </is>
      </c>
      <c r="E5229" t="inlineStr">
        <is>
          <t>STRÖMSUND</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72497-2021</t>
        </is>
      </c>
      <c r="B5230" s="1" t="n">
        <v>44545</v>
      </c>
      <c r="C5230" s="1" t="n">
        <v>45363</v>
      </c>
      <c r="D5230" t="inlineStr">
        <is>
          <t>JÄMTLANDS LÄN</t>
        </is>
      </c>
      <c r="E5230" t="inlineStr">
        <is>
          <t>STRÖMSUND</t>
        </is>
      </c>
      <c r="F5230" t="inlineStr">
        <is>
          <t>SCA</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72498-2021</t>
        </is>
      </c>
      <c r="B5231" s="1" t="n">
        <v>44545</v>
      </c>
      <c r="C5231" s="1" t="n">
        <v>45363</v>
      </c>
      <c r="D5231" t="inlineStr">
        <is>
          <t>JÄMTLANDS LÄN</t>
        </is>
      </c>
      <c r="E5231" t="inlineStr">
        <is>
          <t>BERG</t>
        </is>
      </c>
      <c r="F5231" t="inlineStr">
        <is>
          <t>SCA</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72538-2021</t>
        </is>
      </c>
      <c r="B5232" s="1" t="n">
        <v>44546</v>
      </c>
      <c r="C5232" s="1" t="n">
        <v>45363</v>
      </c>
      <c r="D5232" t="inlineStr">
        <is>
          <t>JÄMTLANDS LÄN</t>
        </is>
      </c>
      <c r="E5232" t="inlineStr">
        <is>
          <t>KROKOM</t>
        </is>
      </c>
      <c r="F5232" t="inlineStr">
        <is>
          <t>Övriga Aktiebolag</t>
        </is>
      </c>
      <c r="G5232" t="n">
        <v>23.4</v>
      </c>
      <c r="H5232" t="n">
        <v>0</v>
      </c>
      <c r="I5232" t="n">
        <v>0</v>
      </c>
      <c r="J5232" t="n">
        <v>0</v>
      </c>
      <c r="K5232" t="n">
        <v>0</v>
      </c>
      <c r="L5232" t="n">
        <v>0</v>
      </c>
      <c r="M5232" t="n">
        <v>0</v>
      </c>
      <c r="N5232" t="n">
        <v>0</v>
      </c>
      <c r="O5232" t="n">
        <v>0</v>
      </c>
      <c r="P5232" t="n">
        <v>0</v>
      </c>
      <c r="Q5232" t="n">
        <v>0</v>
      </c>
      <c r="R5232" s="2" t="inlineStr"/>
    </row>
    <row r="5233" ht="15" customHeight="1">
      <c r="A5233" t="inlineStr">
        <is>
          <t>A 72543-2021</t>
        </is>
      </c>
      <c r="B5233" s="1" t="n">
        <v>44546</v>
      </c>
      <c r="C5233" s="1" t="n">
        <v>45363</v>
      </c>
      <c r="D5233" t="inlineStr">
        <is>
          <t>JÄMTLANDS LÄN</t>
        </is>
      </c>
      <c r="E5233" t="inlineStr">
        <is>
          <t>STRÖMSUND</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72757-2021</t>
        </is>
      </c>
      <c r="B5234" s="1" t="n">
        <v>44546</v>
      </c>
      <c r="C5234" s="1" t="n">
        <v>45363</v>
      </c>
      <c r="D5234" t="inlineStr">
        <is>
          <t>JÄMTLANDS LÄN</t>
        </is>
      </c>
      <c r="E5234" t="inlineStr">
        <is>
          <t>BRÄCKE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72750-2021</t>
        </is>
      </c>
      <c r="B5235" s="1" t="n">
        <v>44546</v>
      </c>
      <c r="C5235" s="1" t="n">
        <v>45363</v>
      </c>
      <c r="D5235" t="inlineStr">
        <is>
          <t>JÄMTLANDS LÄN</t>
        </is>
      </c>
      <c r="E5235" t="inlineStr">
        <is>
          <t>BRÄCKE</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72749-2021</t>
        </is>
      </c>
      <c r="B5236" s="1" t="n">
        <v>44546</v>
      </c>
      <c r="C5236" s="1" t="n">
        <v>45363</v>
      </c>
      <c r="D5236" t="inlineStr">
        <is>
          <t>JÄMTLANDS LÄN</t>
        </is>
      </c>
      <c r="E5236" t="inlineStr">
        <is>
          <t>STRÖMSUND</t>
        </is>
      </c>
      <c r="G5236" t="n">
        <v>35.6</v>
      </c>
      <c r="H5236" t="n">
        <v>0</v>
      </c>
      <c r="I5236" t="n">
        <v>0</v>
      </c>
      <c r="J5236" t="n">
        <v>0</v>
      </c>
      <c r="K5236" t="n">
        <v>0</v>
      </c>
      <c r="L5236" t="n">
        <v>0</v>
      </c>
      <c r="M5236" t="n">
        <v>0</v>
      </c>
      <c r="N5236" t="n">
        <v>0</v>
      </c>
      <c r="O5236" t="n">
        <v>0</v>
      </c>
      <c r="P5236" t="n">
        <v>0</v>
      </c>
      <c r="Q5236" t="n">
        <v>0</v>
      </c>
      <c r="R5236" s="2" t="inlineStr"/>
    </row>
    <row r="5237" ht="15" customHeight="1">
      <c r="A5237" t="inlineStr">
        <is>
          <t>A 72754-2021</t>
        </is>
      </c>
      <c r="B5237" s="1" t="n">
        <v>44546</v>
      </c>
      <c r="C5237" s="1" t="n">
        <v>45363</v>
      </c>
      <c r="D5237" t="inlineStr">
        <is>
          <t>JÄMTLANDS LÄN</t>
        </is>
      </c>
      <c r="E5237" t="inlineStr">
        <is>
          <t>BRÄCKE</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72753-2021</t>
        </is>
      </c>
      <c r="B5238" s="1" t="n">
        <v>44546</v>
      </c>
      <c r="C5238" s="1" t="n">
        <v>45363</v>
      </c>
      <c r="D5238" t="inlineStr">
        <is>
          <t>JÄMTLANDS LÄN</t>
        </is>
      </c>
      <c r="E5238" t="inlineStr">
        <is>
          <t>STRÖMSUND</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72758-2021</t>
        </is>
      </c>
      <c r="B5239" s="1" t="n">
        <v>44546</v>
      </c>
      <c r="C5239" s="1" t="n">
        <v>45363</v>
      </c>
      <c r="D5239" t="inlineStr">
        <is>
          <t>JÄMTLANDS LÄN</t>
        </is>
      </c>
      <c r="E5239" t="inlineStr">
        <is>
          <t>BRÄCKE</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72926-2021</t>
        </is>
      </c>
      <c r="B5240" s="1" t="n">
        <v>44546</v>
      </c>
      <c r="C5240" s="1" t="n">
        <v>45363</v>
      </c>
      <c r="D5240" t="inlineStr">
        <is>
          <t>JÄMTLANDS LÄN</t>
        </is>
      </c>
      <c r="E5240" t="inlineStr">
        <is>
          <t>BERG</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72790-2021</t>
        </is>
      </c>
      <c r="B5241" s="1" t="n">
        <v>44547</v>
      </c>
      <c r="C5241" s="1" t="n">
        <v>45363</v>
      </c>
      <c r="D5241" t="inlineStr">
        <is>
          <t>JÄMTLANDS LÄN</t>
        </is>
      </c>
      <c r="E5241" t="inlineStr">
        <is>
          <t>HÄRJEDALEN</t>
        </is>
      </c>
      <c r="F5241" t="inlineStr">
        <is>
          <t>Holmen skog AB</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72827-2021</t>
        </is>
      </c>
      <c r="B5242" s="1" t="n">
        <v>44547</v>
      </c>
      <c r="C5242" s="1" t="n">
        <v>45363</v>
      </c>
      <c r="D5242" t="inlineStr">
        <is>
          <t>JÄMTLANDS LÄN</t>
        </is>
      </c>
      <c r="E5242" t="inlineStr">
        <is>
          <t>STRÖMSUND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72938-2021</t>
        </is>
      </c>
      <c r="B5243" s="1" t="n">
        <v>44547</v>
      </c>
      <c r="C5243" s="1" t="n">
        <v>45363</v>
      </c>
      <c r="D5243" t="inlineStr">
        <is>
          <t>JÄMTLANDS LÄN</t>
        </is>
      </c>
      <c r="E5243" t="inlineStr">
        <is>
          <t>ÖSTERSUND</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72957-2021</t>
        </is>
      </c>
      <c r="B5244" s="1" t="n">
        <v>44547</v>
      </c>
      <c r="C5244" s="1" t="n">
        <v>45363</v>
      </c>
      <c r="D5244" t="inlineStr">
        <is>
          <t>JÄMTLANDS LÄN</t>
        </is>
      </c>
      <c r="E5244" t="inlineStr">
        <is>
          <t>STRÖMSUND</t>
        </is>
      </c>
      <c r="F5244" t="inlineStr">
        <is>
          <t>SCA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72956-2021</t>
        </is>
      </c>
      <c r="B5245" s="1" t="n">
        <v>44547</v>
      </c>
      <c r="C5245" s="1" t="n">
        <v>45363</v>
      </c>
      <c r="D5245" t="inlineStr">
        <is>
          <t>JÄMTLANDS LÄN</t>
        </is>
      </c>
      <c r="E5245" t="inlineStr">
        <is>
          <t>STRÖMSUND</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73051-2021</t>
        </is>
      </c>
      <c r="B5246" s="1" t="n">
        <v>44550</v>
      </c>
      <c r="C5246" s="1" t="n">
        <v>45363</v>
      </c>
      <c r="D5246" t="inlineStr">
        <is>
          <t>JÄMTLANDS LÄN</t>
        </is>
      </c>
      <c r="E5246" t="inlineStr">
        <is>
          <t>HÄRJEDALEN</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73078-2021</t>
        </is>
      </c>
      <c r="B5247" s="1" t="n">
        <v>44550</v>
      </c>
      <c r="C5247" s="1" t="n">
        <v>45363</v>
      </c>
      <c r="D5247" t="inlineStr">
        <is>
          <t>JÄMTLANDS LÄN</t>
        </is>
      </c>
      <c r="E5247" t="inlineStr">
        <is>
          <t>ÖSTERSUND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73086-2021</t>
        </is>
      </c>
      <c r="B5248" s="1" t="n">
        <v>44550</v>
      </c>
      <c r="C5248" s="1" t="n">
        <v>45363</v>
      </c>
      <c r="D5248" t="inlineStr">
        <is>
          <t>JÄMTLANDS LÄN</t>
        </is>
      </c>
      <c r="E5248" t="inlineStr">
        <is>
          <t>ÅRE</t>
        </is>
      </c>
      <c r="G5248" t="n">
        <v>8.800000000000001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73106-2021</t>
        </is>
      </c>
      <c r="B5249" s="1" t="n">
        <v>44550</v>
      </c>
      <c r="C5249" s="1" t="n">
        <v>45363</v>
      </c>
      <c r="D5249" t="inlineStr">
        <is>
          <t>JÄMTLANDS LÄN</t>
        </is>
      </c>
      <c r="E5249" t="inlineStr">
        <is>
          <t>BRÄCKE</t>
        </is>
      </c>
      <c r="F5249" t="inlineStr">
        <is>
          <t>Sveaskog</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73066-2021</t>
        </is>
      </c>
      <c r="B5250" s="1" t="n">
        <v>44550</v>
      </c>
      <c r="C5250" s="1" t="n">
        <v>45363</v>
      </c>
      <c r="D5250" t="inlineStr">
        <is>
          <t>JÄMTLANDS LÄN</t>
        </is>
      </c>
      <c r="E5250" t="inlineStr">
        <is>
          <t>ÖSTERSUND</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73109-2021</t>
        </is>
      </c>
      <c r="B5251" s="1" t="n">
        <v>44550</v>
      </c>
      <c r="C5251" s="1" t="n">
        <v>45363</v>
      </c>
      <c r="D5251" t="inlineStr">
        <is>
          <t>JÄMTLANDS LÄN</t>
        </is>
      </c>
      <c r="E5251" t="inlineStr">
        <is>
          <t>BRÄCKE</t>
        </is>
      </c>
      <c r="F5251" t="inlineStr">
        <is>
          <t>Sveaskog</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73102-2021</t>
        </is>
      </c>
      <c r="B5252" s="1" t="n">
        <v>44550</v>
      </c>
      <c r="C5252" s="1" t="n">
        <v>45363</v>
      </c>
      <c r="D5252" t="inlineStr">
        <is>
          <t>JÄMTLANDS LÄN</t>
        </is>
      </c>
      <c r="E5252" t="inlineStr">
        <is>
          <t>BRÄCKE</t>
        </is>
      </c>
      <c r="F5252" t="inlineStr">
        <is>
          <t>Sveaskog</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73211-2021</t>
        </is>
      </c>
      <c r="B5253" s="1" t="n">
        <v>44550</v>
      </c>
      <c r="C5253" s="1" t="n">
        <v>45363</v>
      </c>
      <c r="D5253" t="inlineStr">
        <is>
          <t>JÄMTLANDS LÄN</t>
        </is>
      </c>
      <c r="E5253" t="inlineStr">
        <is>
          <t>HÄRJEDALEN</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73174-2021</t>
        </is>
      </c>
      <c r="B5254" s="1" t="n">
        <v>44550</v>
      </c>
      <c r="C5254" s="1" t="n">
        <v>45363</v>
      </c>
      <c r="D5254" t="inlineStr">
        <is>
          <t>JÄMTLANDS LÄN</t>
        </is>
      </c>
      <c r="E5254" t="inlineStr">
        <is>
          <t>KROKOM</t>
        </is>
      </c>
      <c r="G5254" t="n">
        <v>152.9</v>
      </c>
      <c r="H5254" t="n">
        <v>0</v>
      </c>
      <c r="I5254" t="n">
        <v>0</v>
      </c>
      <c r="J5254" t="n">
        <v>0</v>
      </c>
      <c r="K5254" t="n">
        <v>0</v>
      </c>
      <c r="L5254" t="n">
        <v>0</v>
      </c>
      <c r="M5254" t="n">
        <v>0</v>
      </c>
      <c r="N5254" t="n">
        <v>0</v>
      </c>
      <c r="O5254" t="n">
        <v>0</v>
      </c>
      <c r="P5254" t="n">
        <v>0</v>
      </c>
      <c r="Q5254" t="n">
        <v>0</v>
      </c>
      <c r="R5254" s="2" t="inlineStr"/>
    </row>
    <row r="5255" ht="15" customHeight="1">
      <c r="A5255" t="inlineStr">
        <is>
          <t>A 73281-2021</t>
        </is>
      </c>
      <c r="B5255" s="1" t="n">
        <v>44550</v>
      </c>
      <c r="C5255" s="1" t="n">
        <v>45363</v>
      </c>
      <c r="D5255" t="inlineStr">
        <is>
          <t>JÄMTLANDS LÄN</t>
        </is>
      </c>
      <c r="E5255" t="inlineStr">
        <is>
          <t>BRÄCKE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73278-2021</t>
        </is>
      </c>
      <c r="B5256" s="1" t="n">
        <v>44550</v>
      </c>
      <c r="C5256" s="1" t="n">
        <v>45363</v>
      </c>
      <c r="D5256" t="inlineStr">
        <is>
          <t>JÄMTLANDS LÄN</t>
        </is>
      </c>
      <c r="E5256" t="inlineStr">
        <is>
          <t>RAGUNDA</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73288-2021</t>
        </is>
      </c>
      <c r="B5257" s="1" t="n">
        <v>44550</v>
      </c>
      <c r="C5257" s="1" t="n">
        <v>45363</v>
      </c>
      <c r="D5257" t="inlineStr">
        <is>
          <t>JÄMTLANDS LÄN</t>
        </is>
      </c>
      <c r="E5257" t="inlineStr">
        <is>
          <t>STRÖMSUND</t>
        </is>
      </c>
      <c r="F5257" t="inlineStr">
        <is>
          <t>SCA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73291-2021</t>
        </is>
      </c>
      <c r="B5258" s="1" t="n">
        <v>44550</v>
      </c>
      <c r="C5258" s="1" t="n">
        <v>45363</v>
      </c>
      <c r="D5258" t="inlineStr">
        <is>
          <t>JÄMTLANDS LÄN</t>
        </is>
      </c>
      <c r="E5258" t="inlineStr">
        <is>
          <t>STRÖMSUND</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73280-2021</t>
        </is>
      </c>
      <c r="B5259" s="1" t="n">
        <v>44550</v>
      </c>
      <c r="C5259" s="1" t="n">
        <v>45363</v>
      </c>
      <c r="D5259" t="inlineStr">
        <is>
          <t>JÄMTLANDS LÄN</t>
        </is>
      </c>
      <c r="E5259" t="inlineStr">
        <is>
          <t>BRÄCKE</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73289-2021</t>
        </is>
      </c>
      <c r="B5260" s="1" t="n">
        <v>44550</v>
      </c>
      <c r="C5260" s="1" t="n">
        <v>45363</v>
      </c>
      <c r="D5260" t="inlineStr">
        <is>
          <t>JÄMTLANDS LÄN</t>
        </is>
      </c>
      <c r="E5260" t="inlineStr">
        <is>
          <t>STRÖMSUND</t>
        </is>
      </c>
      <c r="F5260" t="inlineStr">
        <is>
          <t>SCA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73586-2021</t>
        </is>
      </c>
      <c r="B5261" s="1" t="n">
        <v>44551</v>
      </c>
      <c r="C5261" s="1" t="n">
        <v>45363</v>
      </c>
      <c r="D5261" t="inlineStr">
        <is>
          <t>JÄMTLANDS LÄN</t>
        </is>
      </c>
      <c r="E5261" t="inlineStr">
        <is>
          <t>BERG</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73738-2021</t>
        </is>
      </c>
      <c r="B5262" s="1" t="n">
        <v>44551</v>
      </c>
      <c r="C5262" s="1" t="n">
        <v>45363</v>
      </c>
      <c r="D5262" t="inlineStr">
        <is>
          <t>JÄMTLANDS LÄN</t>
        </is>
      </c>
      <c r="E5262" t="inlineStr">
        <is>
          <t>ÅRE</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73573-2021</t>
        </is>
      </c>
      <c r="B5263" s="1" t="n">
        <v>44552</v>
      </c>
      <c r="C5263" s="1" t="n">
        <v>45363</v>
      </c>
      <c r="D5263" t="inlineStr">
        <is>
          <t>JÄMTLANDS LÄN</t>
        </is>
      </c>
      <c r="E5263" t="inlineStr">
        <is>
          <t>HÄRJEDALEN</t>
        </is>
      </c>
      <c r="F5263" t="inlineStr">
        <is>
          <t>Holmen skog AB</t>
        </is>
      </c>
      <c r="G5263" t="n">
        <v>10.5</v>
      </c>
      <c r="H5263" t="n">
        <v>0</v>
      </c>
      <c r="I5263" t="n">
        <v>0</v>
      </c>
      <c r="J5263" t="n">
        <v>0</v>
      </c>
      <c r="K5263" t="n">
        <v>0</v>
      </c>
      <c r="L5263" t="n">
        <v>0</v>
      </c>
      <c r="M5263" t="n">
        <v>0</v>
      </c>
      <c r="N5263" t="n">
        <v>0</v>
      </c>
      <c r="O5263" t="n">
        <v>0</v>
      </c>
      <c r="P5263" t="n">
        <v>0</v>
      </c>
      <c r="Q5263" t="n">
        <v>0</v>
      </c>
      <c r="R5263" s="2" t="inlineStr"/>
    </row>
    <row r="5264" ht="15" customHeight="1">
      <c r="A5264" t="inlineStr">
        <is>
          <t>A 73629-2021</t>
        </is>
      </c>
      <c r="B5264" s="1" t="n">
        <v>44552</v>
      </c>
      <c r="C5264" s="1" t="n">
        <v>45363</v>
      </c>
      <c r="D5264" t="inlineStr">
        <is>
          <t>JÄMTLANDS LÄN</t>
        </is>
      </c>
      <c r="E5264" t="inlineStr">
        <is>
          <t>ÅRE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73800-2021</t>
        </is>
      </c>
      <c r="B5265" s="1" t="n">
        <v>44552</v>
      </c>
      <c r="C5265" s="1" t="n">
        <v>45363</v>
      </c>
      <c r="D5265" t="inlineStr">
        <is>
          <t>JÄMTLANDS LÄN</t>
        </is>
      </c>
      <c r="E5265" t="inlineStr">
        <is>
          <t>ÅRE</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73798-2021</t>
        </is>
      </c>
      <c r="B5266" s="1" t="n">
        <v>44552</v>
      </c>
      <c r="C5266" s="1" t="n">
        <v>45363</v>
      </c>
      <c r="D5266" t="inlineStr">
        <is>
          <t>JÄMTLANDS LÄN</t>
        </is>
      </c>
      <c r="E5266" t="inlineStr">
        <is>
          <t>ÅRE</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73875-2021</t>
        </is>
      </c>
      <c r="B5267" s="1" t="n">
        <v>44553</v>
      </c>
      <c r="C5267" s="1" t="n">
        <v>45363</v>
      </c>
      <c r="D5267" t="inlineStr">
        <is>
          <t>JÄMTLANDS LÄN</t>
        </is>
      </c>
      <c r="E5267" t="inlineStr">
        <is>
          <t>ÖSTERSUND</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73870-2021</t>
        </is>
      </c>
      <c r="B5268" s="1" t="n">
        <v>44553</v>
      </c>
      <c r="C5268" s="1" t="n">
        <v>45363</v>
      </c>
      <c r="D5268" t="inlineStr">
        <is>
          <t>JÄMTLANDS LÄN</t>
        </is>
      </c>
      <c r="E5268" t="inlineStr">
        <is>
          <t>ÖSTERSUND</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74046-2021</t>
        </is>
      </c>
      <c r="B5269" s="1" t="n">
        <v>44553</v>
      </c>
      <c r="C5269" s="1" t="n">
        <v>45363</v>
      </c>
      <c r="D5269" t="inlineStr">
        <is>
          <t>JÄMTLANDS LÄN</t>
        </is>
      </c>
      <c r="E5269" t="inlineStr">
        <is>
          <t>ÅRE</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74011-2021</t>
        </is>
      </c>
      <c r="B5270" s="1" t="n">
        <v>44557</v>
      </c>
      <c r="C5270" s="1" t="n">
        <v>45363</v>
      </c>
      <c r="D5270" t="inlineStr">
        <is>
          <t>JÄMTLANDS LÄN</t>
        </is>
      </c>
      <c r="E5270" t="inlineStr">
        <is>
          <t>KROKOM</t>
        </is>
      </c>
      <c r="G5270" t="n">
        <v>33.2</v>
      </c>
      <c r="H5270" t="n">
        <v>0</v>
      </c>
      <c r="I5270" t="n">
        <v>0</v>
      </c>
      <c r="J5270" t="n">
        <v>0</v>
      </c>
      <c r="K5270" t="n">
        <v>0</v>
      </c>
      <c r="L5270" t="n">
        <v>0</v>
      </c>
      <c r="M5270" t="n">
        <v>0</v>
      </c>
      <c r="N5270" t="n">
        <v>0</v>
      </c>
      <c r="O5270" t="n">
        <v>0</v>
      </c>
      <c r="P5270" t="n">
        <v>0</v>
      </c>
      <c r="Q5270" t="n">
        <v>0</v>
      </c>
      <c r="R5270" s="2" t="inlineStr"/>
    </row>
    <row r="5271" ht="15" customHeight="1">
      <c r="A5271" t="inlineStr">
        <is>
          <t>A 154-2022</t>
        </is>
      </c>
      <c r="B5271" s="1" t="n">
        <v>44561</v>
      </c>
      <c r="C5271" s="1" t="n">
        <v>45363</v>
      </c>
      <c r="D5271" t="inlineStr">
        <is>
          <t>JÄMTLANDS LÄN</t>
        </is>
      </c>
      <c r="E5271" t="inlineStr">
        <is>
          <t>ÖSTERSUND</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164-2022</t>
        </is>
      </c>
      <c r="B5272" s="1" t="n">
        <v>44564</v>
      </c>
      <c r="C5272" s="1" t="n">
        <v>45363</v>
      </c>
      <c r="D5272" t="inlineStr">
        <is>
          <t>JÄMTLANDS LÄN</t>
        </is>
      </c>
      <c r="E5272" t="inlineStr">
        <is>
          <t>BERG</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197-2022</t>
        </is>
      </c>
      <c r="B5273" s="1" t="n">
        <v>44564</v>
      </c>
      <c r="C5273" s="1" t="n">
        <v>45363</v>
      </c>
      <c r="D5273" t="inlineStr">
        <is>
          <t>JÄMTLANDS LÄN</t>
        </is>
      </c>
      <c r="E5273" t="inlineStr">
        <is>
          <t>HÄRJEDALEN</t>
        </is>
      </c>
      <c r="F5273" t="inlineStr">
        <is>
          <t>Övriga Aktiebolag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171-2022</t>
        </is>
      </c>
      <c r="B5274" s="1" t="n">
        <v>44564</v>
      </c>
      <c r="C5274" s="1" t="n">
        <v>45363</v>
      </c>
      <c r="D5274" t="inlineStr">
        <is>
          <t>JÄMTLANDS LÄN</t>
        </is>
      </c>
      <c r="E5274" t="inlineStr">
        <is>
          <t>BERG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231-2022</t>
        </is>
      </c>
      <c r="B5275" s="1" t="n">
        <v>44564</v>
      </c>
      <c r="C5275" s="1" t="n">
        <v>45363</v>
      </c>
      <c r="D5275" t="inlineStr">
        <is>
          <t>JÄMTLANDS LÄN</t>
        </is>
      </c>
      <c r="E5275" t="inlineStr">
        <is>
          <t>ÖSTERSUND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241-2022</t>
        </is>
      </c>
      <c r="B5276" s="1" t="n">
        <v>44565</v>
      </c>
      <c r="C5276" s="1" t="n">
        <v>45363</v>
      </c>
      <c r="D5276" t="inlineStr">
        <is>
          <t>JÄMTLANDS LÄN</t>
        </is>
      </c>
      <c r="E5276" t="inlineStr">
        <is>
          <t>HÄRJEDALEN</t>
        </is>
      </c>
      <c r="F5276" t="inlineStr">
        <is>
          <t>Övriga Aktiebolag</t>
        </is>
      </c>
      <c r="G5276" t="n">
        <v>16.5</v>
      </c>
      <c r="H5276" t="n">
        <v>0</v>
      </c>
      <c r="I5276" t="n">
        <v>0</v>
      </c>
      <c r="J5276" t="n">
        <v>0</v>
      </c>
      <c r="K5276" t="n">
        <v>0</v>
      </c>
      <c r="L5276" t="n">
        <v>0</v>
      </c>
      <c r="M5276" t="n">
        <v>0</v>
      </c>
      <c r="N5276" t="n">
        <v>0</v>
      </c>
      <c r="O5276" t="n">
        <v>0</v>
      </c>
      <c r="P5276" t="n">
        <v>0</v>
      </c>
      <c r="Q5276" t="n">
        <v>0</v>
      </c>
      <c r="R5276" s="2" t="inlineStr"/>
    </row>
    <row r="5277" ht="15" customHeight="1">
      <c r="A5277" t="inlineStr">
        <is>
          <t>A 239-2022</t>
        </is>
      </c>
      <c r="B5277" s="1" t="n">
        <v>44565</v>
      </c>
      <c r="C5277" s="1" t="n">
        <v>45363</v>
      </c>
      <c r="D5277" t="inlineStr">
        <is>
          <t>JÄMTLANDS LÄN</t>
        </is>
      </c>
      <c r="E5277" t="inlineStr">
        <is>
          <t>HÄRJEDALEN</t>
        </is>
      </c>
      <c r="F5277" t="inlineStr">
        <is>
          <t>Övriga Aktiebolag</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364-2022</t>
        </is>
      </c>
      <c r="B5278" s="1" t="n">
        <v>44565</v>
      </c>
      <c r="C5278" s="1" t="n">
        <v>45363</v>
      </c>
      <c r="D5278" t="inlineStr">
        <is>
          <t>JÄMTLANDS LÄN</t>
        </is>
      </c>
      <c r="E5278" t="inlineStr">
        <is>
          <t>STRÖMSUND</t>
        </is>
      </c>
      <c r="G5278" t="n">
        <v>9</v>
      </c>
      <c r="H5278" t="n">
        <v>0</v>
      </c>
      <c r="I5278" t="n">
        <v>0</v>
      </c>
      <c r="J5278" t="n">
        <v>0</v>
      </c>
      <c r="K5278" t="n">
        <v>0</v>
      </c>
      <c r="L5278" t="n">
        <v>0</v>
      </c>
      <c r="M5278" t="n">
        <v>0</v>
      </c>
      <c r="N5278" t="n">
        <v>0</v>
      </c>
      <c r="O5278" t="n">
        <v>0</v>
      </c>
      <c r="P5278" t="n">
        <v>0</v>
      </c>
      <c r="Q5278" t="n">
        <v>0</v>
      </c>
      <c r="R5278" s="2" t="inlineStr"/>
    </row>
    <row r="5279" ht="15" customHeight="1">
      <c r="A5279" t="inlineStr">
        <is>
          <t>A 240-2022</t>
        </is>
      </c>
      <c r="B5279" s="1" t="n">
        <v>44565</v>
      </c>
      <c r="C5279" s="1" t="n">
        <v>45363</v>
      </c>
      <c r="D5279" t="inlineStr">
        <is>
          <t>JÄMTLANDS LÄN</t>
        </is>
      </c>
      <c r="E5279" t="inlineStr">
        <is>
          <t>HÄRJEDALEN</t>
        </is>
      </c>
      <c r="F5279" t="inlineStr">
        <is>
          <t>Övriga Aktiebolag</t>
        </is>
      </c>
      <c r="G5279" t="n">
        <v>53.9</v>
      </c>
      <c r="H5279" t="n">
        <v>0</v>
      </c>
      <c r="I5279" t="n">
        <v>0</v>
      </c>
      <c r="J5279" t="n">
        <v>0</v>
      </c>
      <c r="K5279" t="n">
        <v>0</v>
      </c>
      <c r="L5279" t="n">
        <v>0</v>
      </c>
      <c r="M5279" t="n">
        <v>0</v>
      </c>
      <c r="N5279" t="n">
        <v>0</v>
      </c>
      <c r="O5279" t="n">
        <v>0</v>
      </c>
      <c r="P5279" t="n">
        <v>0</v>
      </c>
      <c r="Q5279" t="n">
        <v>0</v>
      </c>
      <c r="R5279" s="2" t="inlineStr"/>
    </row>
    <row r="5280" ht="15" customHeight="1">
      <c r="A5280" t="inlineStr">
        <is>
          <t>A 537-2022</t>
        </is>
      </c>
      <c r="B5280" s="1" t="n">
        <v>44566</v>
      </c>
      <c r="C5280" s="1" t="n">
        <v>45363</v>
      </c>
      <c r="D5280" t="inlineStr">
        <is>
          <t>JÄMTLANDS LÄN</t>
        </is>
      </c>
      <c r="E5280" t="inlineStr">
        <is>
          <t>HÄRJEDALEN</t>
        </is>
      </c>
      <c r="F5280" t="inlineStr">
        <is>
          <t>Sveaskog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585-2022</t>
        </is>
      </c>
      <c r="B5281" s="1" t="n">
        <v>44566</v>
      </c>
      <c r="C5281" s="1" t="n">
        <v>45363</v>
      </c>
      <c r="D5281" t="inlineStr">
        <is>
          <t>JÄMTLANDS LÄN</t>
        </is>
      </c>
      <c r="E5281" t="inlineStr">
        <is>
          <t>STRÖMSUND</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681-2022</t>
        </is>
      </c>
      <c r="B5282" s="1" t="n">
        <v>44566</v>
      </c>
      <c r="C5282" s="1" t="n">
        <v>45363</v>
      </c>
      <c r="D5282" t="inlineStr">
        <is>
          <t>JÄMTLANDS LÄN</t>
        </is>
      </c>
      <c r="E5282" t="inlineStr">
        <is>
          <t>ÖSTERSUND</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695-2022</t>
        </is>
      </c>
      <c r="B5283" s="1" t="n">
        <v>44566</v>
      </c>
      <c r="C5283" s="1" t="n">
        <v>45363</v>
      </c>
      <c r="D5283" t="inlineStr">
        <is>
          <t>JÄMTLANDS LÄN</t>
        </is>
      </c>
      <c r="E5283" t="inlineStr">
        <is>
          <t>ÖSTERSUND</t>
        </is>
      </c>
      <c r="G5283" t="n">
        <v>14.9</v>
      </c>
      <c r="H5283" t="n">
        <v>0</v>
      </c>
      <c r="I5283" t="n">
        <v>0</v>
      </c>
      <c r="J5283" t="n">
        <v>0</v>
      </c>
      <c r="K5283" t="n">
        <v>0</v>
      </c>
      <c r="L5283" t="n">
        <v>0</v>
      </c>
      <c r="M5283" t="n">
        <v>0</v>
      </c>
      <c r="N5283" t="n">
        <v>0</v>
      </c>
      <c r="O5283" t="n">
        <v>0</v>
      </c>
      <c r="P5283" t="n">
        <v>0</v>
      </c>
      <c r="Q5283" t="n">
        <v>0</v>
      </c>
      <c r="R5283" s="2" t="inlineStr"/>
    </row>
    <row r="5284" ht="15" customHeight="1">
      <c r="A5284" t="inlineStr">
        <is>
          <t>A 583-2022</t>
        </is>
      </c>
      <c r="B5284" s="1" t="n">
        <v>44566</v>
      </c>
      <c r="C5284" s="1" t="n">
        <v>45363</v>
      </c>
      <c r="D5284" t="inlineStr">
        <is>
          <t>JÄMTLANDS LÄN</t>
        </is>
      </c>
      <c r="E5284" t="inlineStr">
        <is>
          <t>STRÖMSUND</t>
        </is>
      </c>
      <c r="F5284" t="inlineStr">
        <is>
          <t>SCA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804-2022</t>
        </is>
      </c>
      <c r="B5285" s="1" t="n">
        <v>44568</v>
      </c>
      <c r="C5285" s="1" t="n">
        <v>45363</v>
      </c>
      <c r="D5285" t="inlineStr">
        <is>
          <t>JÄMTLANDS LÄN</t>
        </is>
      </c>
      <c r="E5285" t="inlineStr">
        <is>
          <t>KROKOM</t>
        </is>
      </c>
      <c r="G5285" t="n">
        <v>20</v>
      </c>
      <c r="H5285" t="n">
        <v>0</v>
      </c>
      <c r="I5285" t="n">
        <v>0</v>
      </c>
      <c r="J5285" t="n">
        <v>0</v>
      </c>
      <c r="K5285" t="n">
        <v>0</v>
      </c>
      <c r="L5285" t="n">
        <v>0</v>
      </c>
      <c r="M5285" t="n">
        <v>0</v>
      </c>
      <c r="N5285" t="n">
        <v>0</v>
      </c>
      <c r="O5285" t="n">
        <v>0</v>
      </c>
      <c r="P5285" t="n">
        <v>0</v>
      </c>
      <c r="Q5285" t="n">
        <v>0</v>
      </c>
      <c r="R5285" s="2" t="inlineStr"/>
    </row>
    <row r="5286" ht="15" customHeight="1">
      <c r="A5286" t="inlineStr">
        <is>
          <t>A 829-2022</t>
        </is>
      </c>
      <c r="B5286" s="1" t="n">
        <v>44568</v>
      </c>
      <c r="C5286" s="1" t="n">
        <v>45363</v>
      </c>
      <c r="D5286" t="inlineStr">
        <is>
          <t>JÄMTLANDS LÄN</t>
        </is>
      </c>
      <c r="E5286" t="inlineStr">
        <is>
          <t>STRÖMSUND</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911-2022</t>
        </is>
      </c>
      <c r="B5287" s="1" t="n">
        <v>44570</v>
      </c>
      <c r="C5287" s="1" t="n">
        <v>45363</v>
      </c>
      <c r="D5287" t="inlineStr">
        <is>
          <t>JÄMTLANDS LÄN</t>
        </is>
      </c>
      <c r="E5287" t="inlineStr">
        <is>
          <t>ÅRE</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891-2022</t>
        </is>
      </c>
      <c r="B5288" s="1" t="n">
        <v>44571</v>
      </c>
      <c r="C5288" s="1" t="n">
        <v>45363</v>
      </c>
      <c r="D5288" t="inlineStr">
        <is>
          <t>JÄMTLANDS LÄN</t>
        </is>
      </c>
      <c r="E5288" t="inlineStr">
        <is>
          <t>RAGUNDA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859-2022</t>
        </is>
      </c>
      <c r="B5289" s="1" t="n">
        <v>44571</v>
      </c>
      <c r="C5289" s="1" t="n">
        <v>45363</v>
      </c>
      <c r="D5289" t="inlineStr">
        <is>
          <t>JÄMTLANDS LÄN</t>
        </is>
      </c>
      <c r="E5289" t="inlineStr">
        <is>
          <t>HÄRJEDALEN</t>
        </is>
      </c>
      <c r="G5289" t="n">
        <v>16.9</v>
      </c>
      <c r="H5289" t="n">
        <v>0</v>
      </c>
      <c r="I5289" t="n">
        <v>0</v>
      </c>
      <c r="J5289" t="n">
        <v>0</v>
      </c>
      <c r="K5289" t="n">
        <v>0</v>
      </c>
      <c r="L5289" t="n">
        <v>0</v>
      </c>
      <c r="M5289" t="n">
        <v>0</v>
      </c>
      <c r="N5289" t="n">
        <v>0</v>
      </c>
      <c r="O5289" t="n">
        <v>0</v>
      </c>
      <c r="P5289" t="n">
        <v>0</v>
      </c>
      <c r="Q5289" t="n">
        <v>0</v>
      </c>
      <c r="R5289" s="2" t="inlineStr"/>
    </row>
    <row r="5290" ht="15" customHeight="1">
      <c r="A5290" t="inlineStr">
        <is>
          <t>A 1083-2022</t>
        </is>
      </c>
      <c r="B5290" s="1" t="n">
        <v>44571</v>
      </c>
      <c r="C5290" s="1" t="n">
        <v>45363</v>
      </c>
      <c r="D5290" t="inlineStr">
        <is>
          <t>JÄMTLANDS LÄN</t>
        </is>
      </c>
      <c r="E5290" t="inlineStr">
        <is>
          <t>STRÖMSUND</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1107-2022</t>
        </is>
      </c>
      <c r="B5291" s="1" t="n">
        <v>44571</v>
      </c>
      <c r="C5291" s="1" t="n">
        <v>45363</v>
      </c>
      <c r="D5291" t="inlineStr">
        <is>
          <t>JÄMTLANDS LÄN</t>
        </is>
      </c>
      <c r="E5291" t="inlineStr">
        <is>
          <t>STRÖMSUND</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1087-2022</t>
        </is>
      </c>
      <c r="B5292" s="1" t="n">
        <v>44571</v>
      </c>
      <c r="C5292" s="1" t="n">
        <v>45363</v>
      </c>
      <c r="D5292" t="inlineStr">
        <is>
          <t>JÄMTLANDS LÄN</t>
        </is>
      </c>
      <c r="E5292" t="inlineStr">
        <is>
          <t>BRÄCKE</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1201-2022</t>
        </is>
      </c>
      <c r="B5293" s="1" t="n">
        <v>44572</v>
      </c>
      <c r="C5293" s="1" t="n">
        <v>45363</v>
      </c>
      <c r="D5293" t="inlineStr">
        <is>
          <t>JÄMTLANDS LÄN</t>
        </is>
      </c>
      <c r="E5293" t="inlineStr">
        <is>
          <t>BRÄCKE</t>
        </is>
      </c>
      <c r="G5293" t="n">
        <v>13.7</v>
      </c>
      <c r="H5293" t="n">
        <v>0</v>
      </c>
      <c r="I5293" t="n">
        <v>0</v>
      </c>
      <c r="J5293" t="n">
        <v>0</v>
      </c>
      <c r="K5293" t="n">
        <v>0</v>
      </c>
      <c r="L5293" t="n">
        <v>0</v>
      </c>
      <c r="M5293" t="n">
        <v>0</v>
      </c>
      <c r="N5293" t="n">
        <v>0</v>
      </c>
      <c r="O5293" t="n">
        <v>0</v>
      </c>
      <c r="P5293" t="n">
        <v>0</v>
      </c>
      <c r="Q5293" t="n">
        <v>0</v>
      </c>
      <c r="R5293" s="2" t="inlineStr"/>
    </row>
    <row r="5294" ht="15" customHeight="1">
      <c r="A5294" t="inlineStr">
        <is>
          <t>A 1344-2022</t>
        </is>
      </c>
      <c r="B5294" s="1" t="n">
        <v>44572</v>
      </c>
      <c r="C5294" s="1" t="n">
        <v>45363</v>
      </c>
      <c r="D5294" t="inlineStr">
        <is>
          <t>JÄMTLANDS LÄN</t>
        </is>
      </c>
      <c r="E5294" t="inlineStr">
        <is>
          <t>BERG</t>
        </is>
      </c>
      <c r="F5294" t="inlineStr">
        <is>
          <t>SCA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1339-2022</t>
        </is>
      </c>
      <c r="B5295" s="1" t="n">
        <v>44572</v>
      </c>
      <c r="C5295" s="1" t="n">
        <v>45363</v>
      </c>
      <c r="D5295" t="inlineStr">
        <is>
          <t>JÄMTLANDS LÄN</t>
        </is>
      </c>
      <c r="E5295" t="inlineStr">
        <is>
          <t>STRÖMSUND</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1520-2022</t>
        </is>
      </c>
      <c r="B5296" s="1" t="n">
        <v>44572</v>
      </c>
      <c r="C5296" s="1" t="n">
        <v>45363</v>
      </c>
      <c r="D5296" t="inlineStr">
        <is>
          <t>JÄMTLANDS LÄN</t>
        </is>
      </c>
      <c r="E5296" t="inlineStr">
        <is>
          <t>BERG</t>
        </is>
      </c>
      <c r="G5296" t="n">
        <v>7.7</v>
      </c>
      <c r="H5296" t="n">
        <v>0</v>
      </c>
      <c r="I5296" t="n">
        <v>0</v>
      </c>
      <c r="J5296" t="n">
        <v>0</v>
      </c>
      <c r="K5296" t="n">
        <v>0</v>
      </c>
      <c r="L5296" t="n">
        <v>0</v>
      </c>
      <c r="M5296" t="n">
        <v>0</v>
      </c>
      <c r="N5296" t="n">
        <v>0</v>
      </c>
      <c r="O5296" t="n">
        <v>0</v>
      </c>
      <c r="P5296" t="n">
        <v>0</v>
      </c>
      <c r="Q5296" t="n">
        <v>0</v>
      </c>
      <c r="R5296" s="2" t="inlineStr"/>
    </row>
    <row r="5297" ht="15" customHeight="1">
      <c r="A5297" t="inlineStr">
        <is>
          <t>A 1340-2022</t>
        </is>
      </c>
      <c r="B5297" s="1" t="n">
        <v>44572</v>
      </c>
      <c r="C5297" s="1" t="n">
        <v>45363</v>
      </c>
      <c r="D5297" t="inlineStr">
        <is>
          <t>JÄMTLANDS LÄN</t>
        </is>
      </c>
      <c r="E5297" t="inlineStr">
        <is>
          <t>BRÄCKE</t>
        </is>
      </c>
      <c r="F5297" t="inlineStr">
        <is>
          <t>SCA</t>
        </is>
      </c>
      <c r="G5297" t="n">
        <v>23.7</v>
      </c>
      <c r="H5297" t="n">
        <v>0</v>
      </c>
      <c r="I5297" t="n">
        <v>0</v>
      </c>
      <c r="J5297" t="n">
        <v>0</v>
      </c>
      <c r="K5297" t="n">
        <v>0</v>
      </c>
      <c r="L5297" t="n">
        <v>0</v>
      </c>
      <c r="M5297" t="n">
        <v>0</v>
      </c>
      <c r="N5297" t="n">
        <v>0</v>
      </c>
      <c r="O5297" t="n">
        <v>0</v>
      </c>
      <c r="P5297" t="n">
        <v>0</v>
      </c>
      <c r="Q5297" t="n">
        <v>0</v>
      </c>
      <c r="R5297" s="2" t="inlineStr"/>
    </row>
    <row r="5298" ht="15" customHeight="1">
      <c r="A5298" t="inlineStr">
        <is>
          <t>A 1540-2022</t>
        </is>
      </c>
      <c r="B5298" s="1" t="n">
        <v>44573</v>
      </c>
      <c r="C5298" s="1" t="n">
        <v>45363</v>
      </c>
      <c r="D5298" t="inlineStr">
        <is>
          <t>JÄMTLANDS LÄN</t>
        </is>
      </c>
      <c r="E5298" t="inlineStr">
        <is>
          <t>RAGUNDA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1559-2022</t>
        </is>
      </c>
      <c r="B5299" s="1" t="n">
        <v>44573</v>
      </c>
      <c r="C5299" s="1" t="n">
        <v>45363</v>
      </c>
      <c r="D5299" t="inlineStr">
        <is>
          <t>JÄMTLANDS LÄN</t>
        </is>
      </c>
      <c r="E5299" t="inlineStr">
        <is>
          <t>BERG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1625-2022</t>
        </is>
      </c>
      <c r="B5300" s="1" t="n">
        <v>44573</v>
      </c>
      <c r="C5300" s="1" t="n">
        <v>45363</v>
      </c>
      <c r="D5300" t="inlineStr">
        <is>
          <t>JÄMTLANDS LÄN</t>
        </is>
      </c>
      <c r="E5300" t="inlineStr">
        <is>
          <t>KROKOM</t>
        </is>
      </c>
      <c r="F5300" t="inlineStr">
        <is>
          <t>Övriga Aktiebolag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1782-2022</t>
        </is>
      </c>
      <c r="B5301" s="1" t="n">
        <v>44574</v>
      </c>
      <c r="C5301" s="1" t="n">
        <v>45363</v>
      </c>
      <c r="D5301" t="inlineStr">
        <is>
          <t>JÄMTLANDS LÄN</t>
        </is>
      </c>
      <c r="E5301" t="inlineStr">
        <is>
          <t>RAGUNDA</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1858-2022</t>
        </is>
      </c>
      <c r="B5302" s="1" t="n">
        <v>44574</v>
      </c>
      <c r="C5302" s="1" t="n">
        <v>45363</v>
      </c>
      <c r="D5302" t="inlineStr">
        <is>
          <t>JÄMTLANDS LÄN</t>
        </is>
      </c>
      <c r="E5302" t="inlineStr">
        <is>
          <t>RAGUNDA</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1865-2022</t>
        </is>
      </c>
      <c r="B5303" s="1" t="n">
        <v>44574</v>
      </c>
      <c r="C5303" s="1" t="n">
        <v>45363</v>
      </c>
      <c r="D5303" t="inlineStr">
        <is>
          <t>JÄMTLANDS LÄN</t>
        </is>
      </c>
      <c r="E5303" t="inlineStr">
        <is>
          <t>BRÄCKE</t>
        </is>
      </c>
      <c r="F5303" t="inlineStr">
        <is>
          <t>SCA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1863-2022</t>
        </is>
      </c>
      <c r="B5304" s="1" t="n">
        <v>44574</v>
      </c>
      <c r="C5304" s="1" t="n">
        <v>45363</v>
      </c>
      <c r="D5304" t="inlineStr">
        <is>
          <t>JÄMTLANDS LÄN</t>
        </is>
      </c>
      <c r="E5304" t="inlineStr">
        <is>
          <t>BRÄCKE</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1866-2022</t>
        </is>
      </c>
      <c r="B5305" s="1" t="n">
        <v>44574</v>
      </c>
      <c r="C5305" s="1" t="n">
        <v>45363</v>
      </c>
      <c r="D5305" t="inlineStr">
        <is>
          <t>JÄMTLANDS LÄN</t>
        </is>
      </c>
      <c r="E5305" t="inlineStr">
        <is>
          <t>BRÄCKE</t>
        </is>
      </c>
      <c r="F5305" t="inlineStr">
        <is>
          <t>SCA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1864-2022</t>
        </is>
      </c>
      <c r="B5306" s="1" t="n">
        <v>44574</v>
      </c>
      <c r="C5306" s="1" t="n">
        <v>45363</v>
      </c>
      <c r="D5306" t="inlineStr">
        <is>
          <t>JÄMTLANDS LÄN</t>
        </is>
      </c>
      <c r="E5306" t="inlineStr">
        <is>
          <t>BRÄCKE</t>
        </is>
      </c>
      <c r="F5306" t="inlineStr">
        <is>
          <t>SCA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1955-2022</t>
        </is>
      </c>
      <c r="B5307" s="1" t="n">
        <v>44575</v>
      </c>
      <c r="C5307" s="1" t="n">
        <v>45363</v>
      </c>
      <c r="D5307" t="inlineStr">
        <is>
          <t>JÄMTLANDS LÄN</t>
        </is>
      </c>
      <c r="E5307" t="inlineStr">
        <is>
          <t>KROKOM</t>
        </is>
      </c>
      <c r="G5307" t="n">
        <v>16.1</v>
      </c>
      <c r="H5307" t="n">
        <v>0</v>
      </c>
      <c r="I5307" t="n">
        <v>0</v>
      </c>
      <c r="J5307" t="n">
        <v>0</v>
      </c>
      <c r="K5307" t="n">
        <v>0</v>
      </c>
      <c r="L5307" t="n">
        <v>0</v>
      </c>
      <c r="M5307" t="n">
        <v>0</v>
      </c>
      <c r="N5307" t="n">
        <v>0</v>
      </c>
      <c r="O5307" t="n">
        <v>0</v>
      </c>
      <c r="P5307" t="n">
        <v>0</v>
      </c>
      <c r="Q5307" t="n">
        <v>0</v>
      </c>
      <c r="R5307" s="2" t="inlineStr"/>
    </row>
    <row r="5308" ht="15" customHeight="1">
      <c r="A5308" t="inlineStr">
        <is>
          <t>A 1959-2022</t>
        </is>
      </c>
      <c r="B5308" s="1" t="n">
        <v>44575</v>
      </c>
      <c r="C5308" s="1" t="n">
        <v>45363</v>
      </c>
      <c r="D5308" t="inlineStr">
        <is>
          <t>JÄMTLANDS LÄN</t>
        </is>
      </c>
      <c r="E5308" t="inlineStr">
        <is>
          <t>KROKOM</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1983-2022</t>
        </is>
      </c>
      <c r="B5309" s="1" t="n">
        <v>44575</v>
      </c>
      <c r="C5309" s="1" t="n">
        <v>45363</v>
      </c>
      <c r="D5309" t="inlineStr">
        <is>
          <t>JÄMTLANDS LÄN</t>
        </is>
      </c>
      <c r="E5309" t="inlineStr">
        <is>
          <t>BERG</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2002-2022</t>
        </is>
      </c>
      <c r="B5310" s="1" t="n">
        <v>44575</v>
      </c>
      <c r="C5310" s="1" t="n">
        <v>45363</v>
      </c>
      <c r="D5310" t="inlineStr">
        <is>
          <t>JÄMTLANDS LÄN</t>
        </is>
      </c>
      <c r="E5310" t="inlineStr">
        <is>
          <t>BERG</t>
        </is>
      </c>
      <c r="G5310" t="n">
        <v>11.3</v>
      </c>
      <c r="H5310" t="n">
        <v>0</v>
      </c>
      <c r="I5310" t="n">
        <v>0</v>
      </c>
      <c r="J5310" t="n">
        <v>0</v>
      </c>
      <c r="K5310" t="n">
        <v>0</v>
      </c>
      <c r="L5310" t="n">
        <v>0</v>
      </c>
      <c r="M5310" t="n">
        <v>0</v>
      </c>
      <c r="N5310" t="n">
        <v>0</v>
      </c>
      <c r="O5310" t="n">
        <v>0</v>
      </c>
      <c r="P5310" t="n">
        <v>0</v>
      </c>
      <c r="Q5310" t="n">
        <v>0</v>
      </c>
      <c r="R5310" s="2" t="inlineStr"/>
    </row>
    <row r="5311" ht="15" customHeight="1">
      <c r="A5311" t="inlineStr">
        <is>
          <t>A 2009-2022</t>
        </is>
      </c>
      <c r="B5311" s="1" t="n">
        <v>44575</v>
      </c>
      <c r="C5311" s="1" t="n">
        <v>45363</v>
      </c>
      <c r="D5311" t="inlineStr">
        <is>
          <t>JÄMTLANDS LÄN</t>
        </is>
      </c>
      <c r="E5311" t="inlineStr">
        <is>
          <t>BERG</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2010-2022</t>
        </is>
      </c>
      <c r="B5312" s="1" t="n">
        <v>44575</v>
      </c>
      <c r="C5312" s="1" t="n">
        <v>45363</v>
      </c>
      <c r="D5312" t="inlineStr">
        <is>
          <t>JÄMTLANDS LÄN</t>
        </is>
      </c>
      <c r="E5312" t="inlineStr">
        <is>
          <t>BERG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2035-2022</t>
        </is>
      </c>
      <c r="B5313" s="1" t="n">
        <v>44575</v>
      </c>
      <c r="C5313" s="1" t="n">
        <v>45363</v>
      </c>
      <c r="D5313" t="inlineStr">
        <is>
          <t>JÄMTLANDS LÄN</t>
        </is>
      </c>
      <c r="E5313" t="inlineStr">
        <is>
          <t>BRÄCKE</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1982-2022</t>
        </is>
      </c>
      <c r="B5314" s="1" t="n">
        <v>44575</v>
      </c>
      <c r="C5314" s="1" t="n">
        <v>45363</v>
      </c>
      <c r="D5314" t="inlineStr">
        <is>
          <t>JÄMTLANDS LÄN</t>
        </is>
      </c>
      <c r="E5314" t="inlineStr">
        <is>
          <t>BERG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2076-2022</t>
        </is>
      </c>
      <c r="B5315" s="1" t="n">
        <v>44575</v>
      </c>
      <c r="C5315" s="1" t="n">
        <v>45363</v>
      </c>
      <c r="D5315" t="inlineStr">
        <is>
          <t>JÄMTLANDS LÄN</t>
        </is>
      </c>
      <c r="E5315" t="inlineStr">
        <is>
          <t>BERG</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2093-2022</t>
        </is>
      </c>
      <c r="B5316" s="1" t="n">
        <v>44577</v>
      </c>
      <c r="C5316" s="1" t="n">
        <v>45363</v>
      </c>
      <c r="D5316" t="inlineStr">
        <is>
          <t>JÄMTLANDS LÄN</t>
        </is>
      </c>
      <c r="E5316" t="inlineStr">
        <is>
          <t>KROKOM</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2230-2022</t>
        </is>
      </c>
      <c r="B5317" s="1" t="n">
        <v>44578</v>
      </c>
      <c r="C5317" s="1" t="n">
        <v>45363</v>
      </c>
      <c r="D5317" t="inlineStr">
        <is>
          <t>JÄMTLANDS LÄN</t>
        </is>
      </c>
      <c r="E5317" t="inlineStr">
        <is>
          <t>ÅRE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2336-2022</t>
        </is>
      </c>
      <c r="B5318" s="1" t="n">
        <v>44578</v>
      </c>
      <c r="C5318" s="1" t="n">
        <v>45363</v>
      </c>
      <c r="D5318" t="inlineStr">
        <is>
          <t>JÄMTLANDS LÄN</t>
        </is>
      </c>
      <c r="E5318" t="inlineStr">
        <is>
          <t>RAGUNDA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2337-2022</t>
        </is>
      </c>
      <c r="B5319" s="1" t="n">
        <v>44578</v>
      </c>
      <c r="C5319" s="1" t="n">
        <v>45363</v>
      </c>
      <c r="D5319" t="inlineStr">
        <is>
          <t>JÄMTLANDS LÄN</t>
        </is>
      </c>
      <c r="E5319" t="inlineStr">
        <is>
          <t>RAGUNDA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2338-2022</t>
        </is>
      </c>
      <c r="B5320" s="1" t="n">
        <v>44578</v>
      </c>
      <c r="C5320" s="1" t="n">
        <v>45363</v>
      </c>
      <c r="D5320" t="inlineStr">
        <is>
          <t>JÄMTLANDS LÄN</t>
        </is>
      </c>
      <c r="E5320" t="inlineStr">
        <is>
          <t>RAGUNDA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2485-2022</t>
        </is>
      </c>
      <c r="B5321" s="1" t="n">
        <v>44579</v>
      </c>
      <c r="C5321" s="1" t="n">
        <v>45363</v>
      </c>
      <c r="D5321" t="inlineStr">
        <is>
          <t>JÄMTLANDS LÄN</t>
        </is>
      </c>
      <c r="E5321" t="inlineStr">
        <is>
          <t>STRÖMSUND</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2431-2022</t>
        </is>
      </c>
      <c r="B5322" s="1" t="n">
        <v>44579</v>
      </c>
      <c r="C5322" s="1" t="n">
        <v>45363</v>
      </c>
      <c r="D5322" t="inlineStr">
        <is>
          <t>JÄMTLANDS LÄN</t>
        </is>
      </c>
      <c r="E5322" t="inlineStr">
        <is>
          <t>ÖSTERSUND</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2539-2022</t>
        </is>
      </c>
      <c r="B5323" s="1" t="n">
        <v>44580</v>
      </c>
      <c r="C5323" s="1" t="n">
        <v>45363</v>
      </c>
      <c r="D5323" t="inlineStr">
        <is>
          <t>JÄMTLANDS LÄN</t>
        </is>
      </c>
      <c r="E5323" t="inlineStr">
        <is>
          <t>BERG</t>
        </is>
      </c>
      <c r="G5323" t="n">
        <v>6.3</v>
      </c>
      <c r="H5323" t="n">
        <v>0</v>
      </c>
      <c r="I5323" t="n">
        <v>0</v>
      </c>
      <c r="J5323" t="n">
        <v>0</v>
      </c>
      <c r="K5323" t="n">
        <v>0</v>
      </c>
      <c r="L5323" t="n">
        <v>0</v>
      </c>
      <c r="M5323" t="n">
        <v>0</v>
      </c>
      <c r="N5323" t="n">
        <v>0</v>
      </c>
      <c r="O5323" t="n">
        <v>0</v>
      </c>
      <c r="P5323" t="n">
        <v>0</v>
      </c>
      <c r="Q5323" t="n">
        <v>0</v>
      </c>
      <c r="R5323" s="2" t="inlineStr"/>
    </row>
    <row r="5324" ht="15" customHeight="1">
      <c r="A5324" t="inlineStr">
        <is>
          <t>A 2544-2022</t>
        </is>
      </c>
      <c r="B5324" s="1" t="n">
        <v>44580</v>
      </c>
      <c r="C5324" s="1" t="n">
        <v>45363</v>
      </c>
      <c r="D5324" t="inlineStr">
        <is>
          <t>JÄMTLANDS LÄN</t>
        </is>
      </c>
      <c r="E5324" t="inlineStr">
        <is>
          <t>BERG</t>
        </is>
      </c>
      <c r="F5324" t="inlineStr">
        <is>
          <t>SCA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2494-2022</t>
        </is>
      </c>
      <c r="B5325" s="1" t="n">
        <v>44579</v>
      </c>
      <c r="C5325" s="1" t="n">
        <v>45363</v>
      </c>
      <c r="D5325" t="inlineStr">
        <is>
          <t>JÄMTLANDS LÄN</t>
        </is>
      </c>
      <c r="E5325" t="inlineStr">
        <is>
          <t>RAGUNDA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2554-2022</t>
        </is>
      </c>
      <c r="B5326" s="1" t="n">
        <v>44579</v>
      </c>
      <c r="C5326" s="1" t="n">
        <v>45363</v>
      </c>
      <c r="D5326" t="inlineStr">
        <is>
          <t>JÄMTLANDS LÄN</t>
        </is>
      </c>
      <c r="E5326" t="inlineStr">
        <is>
          <t>STRÖMSUND</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2645-2022</t>
        </is>
      </c>
      <c r="B5327" s="1" t="n">
        <v>44580</v>
      </c>
      <c r="C5327" s="1" t="n">
        <v>45363</v>
      </c>
      <c r="D5327" t="inlineStr">
        <is>
          <t>JÄMTLANDS LÄN</t>
        </is>
      </c>
      <c r="E5327" t="inlineStr">
        <is>
          <t>BRÄCKE</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2571-2022</t>
        </is>
      </c>
      <c r="B5328" s="1" t="n">
        <v>44580</v>
      </c>
      <c r="C5328" s="1" t="n">
        <v>45363</v>
      </c>
      <c r="D5328" t="inlineStr">
        <is>
          <t>JÄMTLANDS LÄN</t>
        </is>
      </c>
      <c r="E5328" t="inlineStr">
        <is>
          <t>ÅRE</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2760-2022</t>
        </is>
      </c>
      <c r="B5329" s="1" t="n">
        <v>44580</v>
      </c>
      <c r="C5329" s="1" t="n">
        <v>45363</v>
      </c>
      <c r="D5329" t="inlineStr">
        <is>
          <t>JÄMTLANDS LÄN</t>
        </is>
      </c>
      <c r="E5329" t="inlineStr">
        <is>
          <t>STRÖMSUND</t>
        </is>
      </c>
      <c r="F5329" t="inlineStr">
        <is>
          <t>SCA</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2763-2022</t>
        </is>
      </c>
      <c r="B5330" s="1" t="n">
        <v>44580</v>
      </c>
      <c r="C5330" s="1" t="n">
        <v>45363</v>
      </c>
      <c r="D5330" t="inlineStr">
        <is>
          <t>JÄMTLANDS LÄN</t>
        </is>
      </c>
      <c r="E5330" t="inlineStr">
        <is>
          <t>ÖSTERSUND</t>
        </is>
      </c>
      <c r="F5330" t="inlineStr">
        <is>
          <t>SCA</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2759-2022</t>
        </is>
      </c>
      <c r="B5331" s="1" t="n">
        <v>44580</v>
      </c>
      <c r="C5331" s="1" t="n">
        <v>45363</v>
      </c>
      <c r="D5331" t="inlineStr">
        <is>
          <t>JÄMTLANDS LÄN</t>
        </is>
      </c>
      <c r="E5331" t="inlineStr">
        <is>
          <t>STRÖMSUND</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2880-2022</t>
        </is>
      </c>
      <c r="B5332" s="1" t="n">
        <v>44581</v>
      </c>
      <c r="C5332" s="1" t="n">
        <v>45363</v>
      </c>
      <c r="D5332" t="inlineStr">
        <is>
          <t>JÄMTLANDS LÄN</t>
        </is>
      </c>
      <c r="E5332" t="inlineStr">
        <is>
          <t>ÖSTERSUND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2846-2022</t>
        </is>
      </c>
      <c r="B5333" s="1" t="n">
        <v>44581</v>
      </c>
      <c r="C5333" s="1" t="n">
        <v>45363</v>
      </c>
      <c r="D5333" t="inlineStr">
        <is>
          <t>JÄMTLANDS LÄN</t>
        </is>
      </c>
      <c r="E5333" t="inlineStr">
        <is>
          <t>HÄRJEDALEN</t>
        </is>
      </c>
      <c r="G5333" t="n">
        <v>15.2</v>
      </c>
      <c r="H5333" t="n">
        <v>0</v>
      </c>
      <c r="I5333" t="n">
        <v>0</v>
      </c>
      <c r="J5333" t="n">
        <v>0</v>
      </c>
      <c r="K5333" t="n">
        <v>0</v>
      </c>
      <c r="L5333" t="n">
        <v>0</v>
      </c>
      <c r="M5333" t="n">
        <v>0</v>
      </c>
      <c r="N5333" t="n">
        <v>0</v>
      </c>
      <c r="O5333" t="n">
        <v>0</v>
      </c>
      <c r="P5333" t="n">
        <v>0</v>
      </c>
      <c r="Q5333" t="n">
        <v>0</v>
      </c>
      <c r="R5333" s="2" t="inlineStr"/>
    </row>
    <row r="5334" ht="15" customHeight="1">
      <c r="A5334" t="inlineStr">
        <is>
          <t>A 3016-2022</t>
        </is>
      </c>
      <c r="B5334" s="1" t="n">
        <v>44581</v>
      </c>
      <c r="C5334" s="1" t="n">
        <v>45363</v>
      </c>
      <c r="D5334" t="inlineStr">
        <is>
          <t>JÄMTLANDS LÄN</t>
        </is>
      </c>
      <c r="E5334" t="inlineStr">
        <is>
          <t>ÖSTERSUND</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3114-2022</t>
        </is>
      </c>
      <c r="B5335" s="1" t="n">
        <v>44582</v>
      </c>
      <c r="C5335" s="1" t="n">
        <v>45363</v>
      </c>
      <c r="D5335" t="inlineStr">
        <is>
          <t>JÄMTLANDS LÄN</t>
        </is>
      </c>
      <c r="E5335" t="inlineStr">
        <is>
          <t>STRÖMSUND</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3165-2022</t>
        </is>
      </c>
      <c r="B5336" s="1" t="n">
        <v>44582</v>
      </c>
      <c r="C5336" s="1" t="n">
        <v>45363</v>
      </c>
      <c r="D5336" t="inlineStr">
        <is>
          <t>JÄMTLANDS LÄN</t>
        </is>
      </c>
      <c r="E5336" t="inlineStr">
        <is>
          <t>STRÖMSUND</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3231-2022</t>
        </is>
      </c>
      <c r="B5337" s="1" t="n">
        <v>44582</v>
      </c>
      <c r="C5337" s="1" t="n">
        <v>45363</v>
      </c>
      <c r="D5337" t="inlineStr">
        <is>
          <t>JÄMTLANDS LÄN</t>
        </is>
      </c>
      <c r="E5337" t="inlineStr">
        <is>
          <t>KROKOM</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3163-2022</t>
        </is>
      </c>
      <c r="B5338" s="1" t="n">
        <v>44582</v>
      </c>
      <c r="C5338" s="1" t="n">
        <v>45363</v>
      </c>
      <c r="D5338" t="inlineStr">
        <is>
          <t>JÄMTLANDS LÄN</t>
        </is>
      </c>
      <c r="E5338" t="inlineStr">
        <is>
          <t>HÄRJEDALEN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3230-2022</t>
        </is>
      </c>
      <c r="B5339" s="1" t="n">
        <v>44582</v>
      </c>
      <c r="C5339" s="1" t="n">
        <v>45363</v>
      </c>
      <c r="D5339" t="inlineStr">
        <is>
          <t>JÄMTLANDS LÄN</t>
        </is>
      </c>
      <c r="E5339" t="inlineStr">
        <is>
          <t>STRÖMSUND</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3239-2022</t>
        </is>
      </c>
      <c r="B5340" s="1" t="n">
        <v>44582</v>
      </c>
      <c r="C5340" s="1" t="n">
        <v>45363</v>
      </c>
      <c r="D5340" t="inlineStr">
        <is>
          <t>JÄMTLANDS LÄN</t>
        </is>
      </c>
      <c r="E5340" t="inlineStr">
        <is>
          <t>BRÄCKE</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3224-2022</t>
        </is>
      </c>
      <c r="B5341" s="1" t="n">
        <v>44582</v>
      </c>
      <c r="C5341" s="1" t="n">
        <v>45363</v>
      </c>
      <c r="D5341" t="inlineStr">
        <is>
          <t>JÄMTLANDS LÄN</t>
        </is>
      </c>
      <c r="E5341" t="inlineStr">
        <is>
          <t>BRÄCKE</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3269-2022</t>
        </is>
      </c>
      <c r="B5342" s="1" t="n">
        <v>44583</v>
      </c>
      <c r="C5342" s="1" t="n">
        <v>45363</v>
      </c>
      <c r="D5342" t="inlineStr">
        <is>
          <t>JÄMTLANDS LÄN</t>
        </is>
      </c>
      <c r="E5342" t="inlineStr">
        <is>
          <t>STRÖMSUND</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3373-2022</t>
        </is>
      </c>
      <c r="B5343" s="1" t="n">
        <v>44585</v>
      </c>
      <c r="C5343" s="1" t="n">
        <v>45363</v>
      </c>
      <c r="D5343" t="inlineStr">
        <is>
          <t>JÄMTLANDS LÄN</t>
        </is>
      </c>
      <c r="E5343" t="inlineStr">
        <is>
          <t>HÄRJEDALEN</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3538-2022</t>
        </is>
      </c>
      <c r="B5344" s="1" t="n">
        <v>44585</v>
      </c>
      <c r="C5344" s="1" t="n">
        <v>45363</v>
      </c>
      <c r="D5344" t="inlineStr">
        <is>
          <t>JÄMTLANDS LÄN</t>
        </is>
      </c>
      <c r="E5344" t="inlineStr">
        <is>
          <t>STRÖMSUND</t>
        </is>
      </c>
      <c r="F5344" t="inlineStr">
        <is>
          <t>SCA</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3543-2022</t>
        </is>
      </c>
      <c r="B5345" s="1" t="n">
        <v>44585</v>
      </c>
      <c r="C5345" s="1" t="n">
        <v>45363</v>
      </c>
      <c r="D5345" t="inlineStr">
        <is>
          <t>JÄMTLANDS LÄN</t>
        </is>
      </c>
      <c r="E5345" t="inlineStr">
        <is>
          <t>BERG</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3539-2022</t>
        </is>
      </c>
      <c r="B5346" s="1" t="n">
        <v>44585</v>
      </c>
      <c r="C5346" s="1" t="n">
        <v>45363</v>
      </c>
      <c r="D5346" t="inlineStr">
        <is>
          <t>JÄMTLANDS LÄN</t>
        </is>
      </c>
      <c r="E5346" t="inlineStr">
        <is>
          <t>STRÖMSUND</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3694-2022</t>
        </is>
      </c>
      <c r="B5347" s="1" t="n">
        <v>44586</v>
      </c>
      <c r="C5347" s="1" t="n">
        <v>45363</v>
      </c>
      <c r="D5347" t="inlineStr">
        <is>
          <t>JÄMTLANDS LÄN</t>
        </is>
      </c>
      <c r="E5347" t="inlineStr">
        <is>
          <t>BRÄCKE</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3719-2022</t>
        </is>
      </c>
      <c r="B5348" s="1" t="n">
        <v>44586</v>
      </c>
      <c r="C5348" s="1" t="n">
        <v>45363</v>
      </c>
      <c r="D5348" t="inlineStr">
        <is>
          <t>JÄMTLANDS LÄN</t>
        </is>
      </c>
      <c r="E5348" t="inlineStr">
        <is>
          <t>STRÖMSUND</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3721-2022</t>
        </is>
      </c>
      <c r="B5349" s="1" t="n">
        <v>44586</v>
      </c>
      <c r="C5349" s="1" t="n">
        <v>45363</v>
      </c>
      <c r="D5349" t="inlineStr">
        <is>
          <t>JÄMTLANDS LÄN</t>
        </is>
      </c>
      <c r="E5349" t="inlineStr">
        <is>
          <t>STRÖMSUND</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3796-2022</t>
        </is>
      </c>
      <c r="B5350" s="1" t="n">
        <v>44586</v>
      </c>
      <c r="C5350" s="1" t="n">
        <v>45363</v>
      </c>
      <c r="D5350" t="inlineStr">
        <is>
          <t>JÄMTLANDS LÄN</t>
        </is>
      </c>
      <c r="E5350" t="inlineStr">
        <is>
          <t>RAGUNDA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3801-2022</t>
        </is>
      </c>
      <c r="B5351" s="1" t="n">
        <v>44586</v>
      </c>
      <c r="C5351" s="1" t="n">
        <v>45363</v>
      </c>
      <c r="D5351" t="inlineStr">
        <is>
          <t>JÄMTLANDS LÄN</t>
        </is>
      </c>
      <c r="E5351" t="inlineStr">
        <is>
          <t>BERG</t>
        </is>
      </c>
      <c r="F5351" t="inlineStr">
        <is>
          <t>SCA</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3798-2022</t>
        </is>
      </c>
      <c r="B5352" s="1" t="n">
        <v>44586</v>
      </c>
      <c r="C5352" s="1" t="n">
        <v>45363</v>
      </c>
      <c r="D5352" t="inlineStr">
        <is>
          <t>JÄMTLANDS LÄN</t>
        </is>
      </c>
      <c r="E5352" t="inlineStr">
        <is>
          <t>BERG</t>
        </is>
      </c>
      <c r="G5352" t="n">
        <v>0.1</v>
      </c>
      <c r="H5352" t="n">
        <v>0</v>
      </c>
      <c r="I5352" t="n">
        <v>0</v>
      </c>
      <c r="J5352" t="n">
        <v>0</v>
      </c>
      <c r="K5352" t="n">
        <v>0</v>
      </c>
      <c r="L5352" t="n">
        <v>0</v>
      </c>
      <c r="M5352" t="n">
        <v>0</v>
      </c>
      <c r="N5352" t="n">
        <v>0</v>
      </c>
      <c r="O5352" t="n">
        <v>0</v>
      </c>
      <c r="P5352" t="n">
        <v>0</v>
      </c>
      <c r="Q5352" t="n">
        <v>0</v>
      </c>
      <c r="R5352" s="2" t="inlineStr"/>
    </row>
    <row r="5353" ht="15" customHeight="1">
      <c r="A5353" t="inlineStr">
        <is>
          <t>A 3891-2022</t>
        </is>
      </c>
      <c r="B5353" s="1" t="n">
        <v>44587</v>
      </c>
      <c r="C5353" s="1" t="n">
        <v>45363</v>
      </c>
      <c r="D5353" t="inlineStr">
        <is>
          <t>JÄMTLANDS LÄN</t>
        </is>
      </c>
      <c r="E5353" t="inlineStr">
        <is>
          <t>BERG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3870-2022</t>
        </is>
      </c>
      <c r="B5354" s="1" t="n">
        <v>44587</v>
      </c>
      <c r="C5354" s="1" t="n">
        <v>45363</v>
      </c>
      <c r="D5354" t="inlineStr">
        <is>
          <t>JÄMTLANDS LÄN</t>
        </is>
      </c>
      <c r="E5354" t="inlineStr">
        <is>
          <t>BERG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3875-2022</t>
        </is>
      </c>
      <c r="B5355" s="1" t="n">
        <v>44587</v>
      </c>
      <c r="C5355" s="1" t="n">
        <v>45363</v>
      </c>
      <c r="D5355" t="inlineStr">
        <is>
          <t>JÄMTLANDS LÄN</t>
        </is>
      </c>
      <c r="E5355" t="inlineStr">
        <is>
          <t>STRÖMSUND</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3947-2022</t>
        </is>
      </c>
      <c r="B5356" s="1" t="n">
        <v>44587</v>
      </c>
      <c r="C5356" s="1" t="n">
        <v>45363</v>
      </c>
      <c r="D5356" t="inlineStr">
        <is>
          <t>JÄMTLANDS LÄN</t>
        </is>
      </c>
      <c r="E5356" t="inlineStr">
        <is>
          <t>BRÄCKE</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3983-2022</t>
        </is>
      </c>
      <c r="B5357" s="1" t="n">
        <v>44587</v>
      </c>
      <c r="C5357" s="1" t="n">
        <v>45363</v>
      </c>
      <c r="D5357" t="inlineStr">
        <is>
          <t>JÄMTLANDS LÄN</t>
        </is>
      </c>
      <c r="E5357" t="inlineStr">
        <is>
          <t>BERG</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4014-2022</t>
        </is>
      </c>
      <c r="B5358" s="1" t="n">
        <v>44587</v>
      </c>
      <c r="C5358" s="1" t="n">
        <v>45363</v>
      </c>
      <c r="D5358" t="inlineStr">
        <is>
          <t>JÄMTLANDS LÄN</t>
        </is>
      </c>
      <c r="E5358" t="inlineStr">
        <is>
          <t>RAGUNDA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4024-2022</t>
        </is>
      </c>
      <c r="B5359" s="1" t="n">
        <v>44587</v>
      </c>
      <c r="C5359" s="1" t="n">
        <v>45363</v>
      </c>
      <c r="D5359" t="inlineStr">
        <is>
          <t>JÄMTLANDS LÄN</t>
        </is>
      </c>
      <c r="E5359" t="inlineStr">
        <is>
          <t>STRÖMSUND</t>
        </is>
      </c>
      <c r="F5359" t="inlineStr">
        <is>
          <t>SCA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4015-2022</t>
        </is>
      </c>
      <c r="B5360" s="1" t="n">
        <v>44587</v>
      </c>
      <c r="C5360" s="1" t="n">
        <v>45363</v>
      </c>
      <c r="D5360" t="inlineStr">
        <is>
          <t>JÄMTLANDS LÄN</t>
        </is>
      </c>
      <c r="E5360" t="inlineStr">
        <is>
          <t>RAGUNDA</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4338-2022</t>
        </is>
      </c>
      <c r="B5361" s="1" t="n">
        <v>44588</v>
      </c>
      <c r="C5361" s="1" t="n">
        <v>45363</v>
      </c>
      <c r="D5361" t="inlineStr">
        <is>
          <t>JÄMTLANDS LÄN</t>
        </is>
      </c>
      <c r="E5361" t="inlineStr">
        <is>
          <t>BRÄCKE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4460-2022</t>
        </is>
      </c>
      <c r="B5362" s="1" t="n">
        <v>44589</v>
      </c>
      <c r="C5362" s="1" t="n">
        <v>45363</v>
      </c>
      <c r="D5362" t="inlineStr">
        <is>
          <t>JÄMTLANDS LÄN</t>
        </is>
      </c>
      <c r="E5362" t="inlineStr">
        <is>
          <t>STRÖMSUND</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4487-2022</t>
        </is>
      </c>
      <c r="B5363" s="1" t="n">
        <v>44589</v>
      </c>
      <c r="C5363" s="1" t="n">
        <v>45363</v>
      </c>
      <c r="D5363" t="inlineStr">
        <is>
          <t>JÄMTLANDS LÄN</t>
        </is>
      </c>
      <c r="E5363" t="inlineStr">
        <is>
          <t>HÄRJEDALEN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4455-2022</t>
        </is>
      </c>
      <c r="B5364" s="1" t="n">
        <v>44589</v>
      </c>
      <c r="C5364" s="1" t="n">
        <v>45363</v>
      </c>
      <c r="D5364" t="inlineStr">
        <is>
          <t>JÄMTLANDS LÄN</t>
        </is>
      </c>
      <c r="E5364" t="inlineStr">
        <is>
          <t>STRÖMSUND</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4464-2022</t>
        </is>
      </c>
      <c r="B5365" s="1" t="n">
        <v>44589</v>
      </c>
      <c r="C5365" s="1" t="n">
        <v>45363</v>
      </c>
      <c r="D5365" t="inlineStr">
        <is>
          <t>JÄMTLANDS LÄN</t>
        </is>
      </c>
      <c r="E5365" t="inlineStr">
        <is>
          <t>STRÖMSUND</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4602-2022</t>
        </is>
      </c>
      <c r="B5366" s="1" t="n">
        <v>44589</v>
      </c>
      <c r="C5366" s="1" t="n">
        <v>45363</v>
      </c>
      <c r="D5366" t="inlineStr">
        <is>
          <t>JÄMTLANDS LÄN</t>
        </is>
      </c>
      <c r="E5366" t="inlineStr">
        <is>
          <t>STRÖMSUND</t>
        </is>
      </c>
      <c r="G5366" t="n">
        <v>9.5</v>
      </c>
      <c r="H5366" t="n">
        <v>0</v>
      </c>
      <c r="I5366" t="n">
        <v>0</v>
      </c>
      <c r="J5366" t="n">
        <v>0</v>
      </c>
      <c r="K5366" t="n">
        <v>0</v>
      </c>
      <c r="L5366" t="n">
        <v>0</v>
      </c>
      <c r="M5366" t="n">
        <v>0</v>
      </c>
      <c r="N5366" t="n">
        <v>0</v>
      </c>
      <c r="O5366" t="n">
        <v>0</v>
      </c>
      <c r="P5366" t="n">
        <v>0</v>
      </c>
      <c r="Q5366" t="n">
        <v>0</v>
      </c>
      <c r="R5366" s="2" t="inlineStr"/>
    </row>
    <row r="5367" ht="15" customHeight="1">
      <c r="A5367" t="inlineStr">
        <is>
          <t>A 4542-2022</t>
        </is>
      </c>
      <c r="B5367" s="1" t="n">
        <v>44590</v>
      </c>
      <c r="C5367" s="1" t="n">
        <v>45363</v>
      </c>
      <c r="D5367" t="inlineStr">
        <is>
          <t>JÄMTLANDS LÄN</t>
        </is>
      </c>
      <c r="E5367" t="inlineStr">
        <is>
          <t>BRÄCKE</t>
        </is>
      </c>
      <c r="G5367" t="n">
        <v>18.5</v>
      </c>
      <c r="H5367" t="n">
        <v>0</v>
      </c>
      <c r="I5367" t="n">
        <v>0</v>
      </c>
      <c r="J5367" t="n">
        <v>0</v>
      </c>
      <c r="K5367" t="n">
        <v>0</v>
      </c>
      <c r="L5367" t="n">
        <v>0</v>
      </c>
      <c r="M5367" t="n">
        <v>0</v>
      </c>
      <c r="N5367" t="n">
        <v>0</v>
      </c>
      <c r="O5367" t="n">
        <v>0</v>
      </c>
      <c r="P5367" t="n">
        <v>0</v>
      </c>
      <c r="Q5367" t="n">
        <v>0</v>
      </c>
      <c r="R5367" s="2" t="inlineStr"/>
    </row>
    <row r="5368" ht="15" customHeight="1">
      <c r="A5368" t="inlineStr">
        <is>
          <t>A 4569-2022</t>
        </is>
      </c>
      <c r="B5368" s="1" t="n">
        <v>44591</v>
      </c>
      <c r="C5368" s="1" t="n">
        <v>45363</v>
      </c>
      <c r="D5368" t="inlineStr">
        <is>
          <t>JÄMTLANDS LÄN</t>
        </is>
      </c>
      <c r="E5368" t="inlineStr">
        <is>
          <t>KROKOM</t>
        </is>
      </c>
      <c r="G5368" t="n">
        <v>20.3</v>
      </c>
      <c r="H5368" t="n">
        <v>0</v>
      </c>
      <c r="I5368" t="n">
        <v>0</v>
      </c>
      <c r="J5368" t="n">
        <v>0</v>
      </c>
      <c r="K5368" t="n">
        <v>0</v>
      </c>
      <c r="L5368" t="n">
        <v>0</v>
      </c>
      <c r="M5368" t="n">
        <v>0</v>
      </c>
      <c r="N5368" t="n">
        <v>0</v>
      </c>
      <c r="O5368" t="n">
        <v>0</v>
      </c>
      <c r="P5368" t="n">
        <v>0</v>
      </c>
      <c r="Q5368" t="n">
        <v>0</v>
      </c>
      <c r="R5368" s="2" t="inlineStr"/>
    </row>
    <row r="5369" ht="15" customHeight="1">
      <c r="A5369" t="inlineStr">
        <is>
          <t>A 4635-2022</t>
        </is>
      </c>
      <c r="B5369" s="1" t="n">
        <v>44592</v>
      </c>
      <c r="C5369" s="1" t="n">
        <v>45363</v>
      </c>
      <c r="D5369" t="inlineStr">
        <is>
          <t>JÄMTLANDS LÄN</t>
        </is>
      </c>
      <c r="E5369" t="inlineStr">
        <is>
          <t>BRÄCKE</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4741-2022</t>
        </is>
      </c>
      <c r="B5370" s="1" t="n">
        <v>44592</v>
      </c>
      <c r="C5370" s="1" t="n">
        <v>45363</v>
      </c>
      <c r="D5370" t="inlineStr">
        <is>
          <t>JÄMTLANDS LÄN</t>
        </is>
      </c>
      <c r="E5370" t="inlineStr">
        <is>
          <t>KROKOM</t>
        </is>
      </c>
      <c r="G5370" t="n">
        <v>54.2</v>
      </c>
      <c r="H5370" t="n">
        <v>0</v>
      </c>
      <c r="I5370" t="n">
        <v>0</v>
      </c>
      <c r="J5370" t="n">
        <v>0</v>
      </c>
      <c r="K5370" t="n">
        <v>0</v>
      </c>
      <c r="L5370" t="n">
        <v>0</v>
      </c>
      <c r="M5370" t="n">
        <v>0</v>
      </c>
      <c r="N5370" t="n">
        <v>0</v>
      </c>
      <c r="O5370" t="n">
        <v>0</v>
      </c>
      <c r="P5370" t="n">
        <v>0</v>
      </c>
      <c r="Q5370" t="n">
        <v>0</v>
      </c>
      <c r="R5370" s="2" t="inlineStr"/>
    </row>
    <row r="5371" ht="15" customHeight="1">
      <c r="A5371" t="inlineStr">
        <is>
          <t>A 4850-2022</t>
        </is>
      </c>
      <c r="B5371" s="1" t="n">
        <v>44592</v>
      </c>
      <c r="C5371" s="1" t="n">
        <v>45363</v>
      </c>
      <c r="D5371" t="inlineStr">
        <is>
          <t>JÄMTLANDS LÄN</t>
        </is>
      </c>
      <c r="E5371" t="inlineStr">
        <is>
          <t>BRÄCKE</t>
        </is>
      </c>
      <c r="G5371" t="n">
        <v>7.6</v>
      </c>
      <c r="H5371" t="n">
        <v>0</v>
      </c>
      <c r="I5371" t="n">
        <v>0</v>
      </c>
      <c r="J5371" t="n">
        <v>0</v>
      </c>
      <c r="K5371" t="n">
        <v>0</v>
      </c>
      <c r="L5371" t="n">
        <v>0</v>
      </c>
      <c r="M5371" t="n">
        <v>0</v>
      </c>
      <c r="N5371" t="n">
        <v>0</v>
      </c>
      <c r="O5371" t="n">
        <v>0</v>
      </c>
      <c r="P5371" t="n">
        <v>0</v>
      </c>
      <c r="Q5371" t="n">
        <v>0</v>
      </c>
      <c r="R5371" s="2" t="inlineStr"/>
    </row>
    <row r="5372" ht="15" customHeight="1">
      <c r="A5372" t="inlineStr">
        <is>
          <t>A 4858-2022</t>
        </is>
      </c>
      <c r="B5372" s="1" t="n">
        <v>44592</v>
      </c>
      <c r="C5372" s="1" t="n">
        <v>45363</v>
      </c>
      <c r="D5372" t="inlineStr">
        <is>
          <t>JÄMTLANDS LÄN</t>
        </is>
      </c>
      <c r="E5372" t="inlineStr">
        <is>
          <t>STRÖMSUND</t>
        </is>
      </c>
      <c r="F5372" t="inlineStr">
        <is>
          <t>SCA</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4878-2022</t>
        </is>
      </c>
      <c r="B5373" s="1" t="n">
        <v>44593</v>
      </c>
      <c r="C5373" s="1" t="n">
        <v>45363</v>
      </c>
      <c r="D5373" t="inlineStr">
        <is>
          <t>JÄMTLANDS LÄN</t>
        </is>
      </c>
      <c r="E5373" t="inlineStr">
        <is>
          <t>RAGUNDA</t>
        </is>
      </c>
      <c r="G5373" t="n">
        <v>21.7</v>
      </c>
      <c r="H5373" t="n">
        <v>0</v>
      </c>
      <c r="I5373" t="n">
        <v>0</v>
      </c>
      <c r="J5373" t="n">
        <v>0</v>
      </c>
      <c r="K5373" t="n">
        <v>0</v>
      </c>
      <c r="L5373" t="n">
        <v>0</v>
      </c>
      <c r="M5373" t="n">
        <v>0</v>
      </c>
      <c r="N5373" t="n">
        <v>0</v>
      </c>
      <c r="O5373" t="n">
        <v>0</v>
      </c>
      <c r="P5373" t="n">
        <v>0</v>
      </c>
      <c r="Q5373" t="n">
        <v>0</v>
      </c>
      <c r="R5373" s="2" t="inlineStr"/>
    </row>
    <row r="5374" ht="15" customHeight="1">
      <c r="A5374" t="inlineStr">
        <is>
          <t>A 4914-2022</t>
        </is>
      </c>
      <c r="B5374" s="1" t="n">
        <v>44593</v>
      </c>
      <c r="C5374" s="1" t="n">
        <v>45363</v>
      </c>
      <c r="D5374" t="inlineStr">
        <is>
          <t>JÄMTLANDS LÄN</t>
        </is>
      </c>
      <c r="E5374" t="inlineStr">
        <is>
          <t>HÄRJEDALEN</t>
        </is>
      </c>
      <c r="F5374" t="inlineStr">
        <is>
          <t>Sveaskog</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4931-2022</t>
        </is>
      </c>
      <c r="B5375" s="1" t="n">
        <v>44593</v>
      </c>
      <c r="C5375" s="1" t="n">
        <v>45363</v>
      </c>
      <c r="D5375" t="inlineStr">
        <is>
          <t>JÄMTLANDS LÄN</t>
        </is>
      </c>
      <c r="E5375" t="inlineStr">
        <is>
          <t>STRÖMSUND</t>
        </is>
      </c>
      <c r="G5375" t="n">
        <v>41.9</v>
      </c>
      <c r="H5375" t="n">
        <v>0</v>
      </c>
      <c r="I5375" t="n">
        <v>0</v>
      </c>
      <c r="J5375" t="n">
        <v>0</v>
      </c>
      <c r="K5375" t="n">
        <v>0</v>
      </c>
      <c r="L5375" t="n">
        <v>0</v>
      </c>
      <c r="M5375" t="n">
        <v>0</v>
      </c>
      <c r="N5375" t="n">
        <v>0</v>
      </c>
      <c r="O5375" t="n">
        <v>0</v>
      </c>
      <c r="P5375" t="n">
        <v>0</v>
      </c>
      <c r="Q5375" t="n">
        <v>0</v>
      </c>
      <c r="R5375" s="2" t="inlineStr"/>
    </row>
    <row r="5376" ht="15" customHeight="1">
      <c r="A5376" t="inlineStr">
        <is>
          <t>A 5117-2022</t>
        </is>
      </c>
      <c r="B5376" s="1" t="n">
        <v>44593</v>
      </c>
      <c r="C5376" s="1" t="n">
        <v>45363</v>
      </c>
      <c r="D5376" t="inlineStr">
        <is>
          <t>JÄMTLANDS LÄN</t>
        </is>
      </c>
      <c r="E5376" t="inlineStr">
        <is>
          <t>STRÖMSUND</t>
        </is>
      </c>
      <c r="F5376" t="inlineStr">
        <is>
          <t>SCA</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5116-2022</t>
        </is>
      </c>
      <c r="B5377" s="1" t="n">
        <v>44593</v>
      </c>
      <c r="C5377" s="1" t="n">
        <v>45363</v>
      </c>
      <c r="D5377" t="inlineStr">
        <is>
          <t>JÄMTLANDS LÄN</t>
        </is>
      </c>
      <c r="E5377" t="inlineStr">
        <is>
          <t>STRÖMSUND</t>
        </is>
      </c>
      <c r="F5377" t="inlineStr">
        <is>
          <t>SCA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5160-2022</t>
        </is>
      </c>
      <c r="B5378" s="1" t="n">
        <v>44593</v>
      </c>
      <c r="C5378" s="1" t="n">
        <v>45363</v>
      </c>
      <c r="D5378" t="inlineStr">
        <is>
          <t>JÄMTLANDS LÄN</t>
        </is>
      </c>
      <c r="E5378" t="inlineStr">
        <is>
          <t>ÅRE</t>
        </is>
      </c>
      <c r="G5378" t="n">
        <v>11.4</v>
      </c>
      <c r="H5378" t="n">
        <v>0</v>
      </c>
      <c r="I5378" t="n">
        <v>0</v>
      </c>
      <c r="J5378" t="n">
        <v>0</v>
      </c>
      <c r="K5378" t="n">
        <v>0</v>
      </c>
      <c r="L5378" t="n">
        <v>0</v>
      </c>
      <c r="M5378" t="n">
        <v>0</v>
      </c>
      <c r="N5378" t="n">
        <v>0</v>
      </c>
      <c r="O5378" t="n">
        <v>0</v>
      </c>
      <c r="P5378" t="n">
        <v>0</v>
      </c>
      <c r="Q5378" t="n">
        <v>0</v>
      </c>
      <c r="R5378" s="2" t="inlineStr"/>
    </row>
    <row r="5379" ht="15" customHeight="1">
      <c r="A5379" t="inlineStr">
        <is>
          <t>A 5221-2022</t>
        </is>
      </c>
      <c r="B5379" s="1" t="n">
        <v>44594</v>
      </c>
      <c r="C5379" s="1" t="n">
        <v>45363</v>
      </c>
      <c r="D5379" t="inlineStr">
        <is>
          <t>JÄMTLANDS LÄN</t>
        </is>
      </c>
      <c r="E5379" t="inlineStr">
        <is>
          <t>BERG</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5145-2022</t>
        </is>
      </c>
      <c r="B5380" s="1" t="n">
        <v>44594</v>
      </c>
      <c r="C5380" s="1" t="n">
        <v>45363</v>
      </c>
      <c r="D5380" t="inlineStr">
        <is>
          <t>JÄMTLANDS LÄN</t>
        </is>
      </c>
      <c r="E5380" t="inlineStr">
        <is>
          <t>ÖSTERSUND</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5219-2022</t>
        </is>
      </c>
      <c r="B5381" s="1" t="n">
        <v>44594</v>
      </c>
      <c r="C5381" s="1" t="n">
        <v>45363</v>
      </c>
      <c r="D5381" t="inlineStr">
        <is>
          <t>JÄMTLANDS LÄN</t>
        </is>
      </c>
      <c r="E5381" t="inlineStr">
        <is>
          <t>BERG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5222-2022</t>
        </is>
      </c>
      <c r="B5382" s="1" t="n">
        <v>44594</v>
      </c>
      <c r="C5382" s="1" t="n">
        <v>45363</v>
      </c>
      <c r="D5382" t="inlineStr">
        <is>
          <t>JÄMTLANDS LÄN</t>
        </is>
      </c>
      <c r="E5382" t="inlineStr">
        <is>
          <t>BERG</t>
        </is>
      </c>
      <c r="G5382" t="n">
        <v>12.3</v>
      </c>
      <c r="H5382" t="n">
        <v>0</v>
      </c>
      <c r="I5382" t="n">
        <v>0</v>
      </c>
      <c r="J5382" t="n">
        <v>0</v>
      </c>
      <c r="K5382" t="n">
        <v>0</v>
      </c>
      <c r="L5382" t="n">
        <v>0</v>
      </c>
      <c r="M5382" t="n">
        <v>0</v>
      </c>
      <c r="N5382" t="n">
        <v>0</v>
      </c>
      <c r="O5382" t="n">
        <v>0</v>
      </c>
      <c r="P5382" t="n">
        <v>0</v>
      </c>
      <c r="Q5382" t="n">
        <v>0</v>
      </c>
      <c r="R5382" s="2" t="inlineStr"/>
    </row>
    <row r="5383" ht="15" customHeight="1">
      <c r="A5383" t="inlineStr">
        <is>
          <t>A 5218-2022</t>
        </is>
      </c>
      <c r="B5383" s="1" t="n">
        <v>44594</v>
      </c>
      <c r="C5383" s="1" t="n">
        <v>45363</v>
      </c>
      <c r="D5383" t="inlineStr">
        <is>
          <t>JÄMTLANDS LÄN</t>
        </is>
      </c>
      <c r="E5383" t="inlineStr">
        <is>
          <t>BERG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5377-2022</t>
        </is>
      </c>
      <c r="B5384" s="1" t="n">
        <v>44594</v>
      </c>
      <c r="C5384" s="1" t="n">
        <v>45363</v>
      </c>
      <c r="D5384" t="inlineStr">
        <is>
          <t>JÄMTLANDS LÄN</t>
        </is>
      </c>
      <c r="E5384" t="inlineStr">
        <is>
          <t>BRÄCKE</t>
        </is>
      </c>
      <c r="G5384" t="n">
        <v>40.3</v>
      </c>
      <c r="H5384" t="n">
        <v>0</v>
      </c>
      <c r="I5384" t="n">
        <v>0</v>
      </c>
      <c r="J5384" t="n">
        <v>0</v>
      </c>
      <c r="K5384" t="n">
        <v>0</v>
      </c>
      <c r="L5384" t="n">
        <v>0</v>
      </c>
      <c r="M5384" t="n">
        <v>0</v>
      </c>
      <c r="N5384" t="n">
        <v>0</v>
      </c>
      <c r="O5384" t="n">
        <v>0</v>
      </c>
      <c r="P5384" t="n">
        <v>0</v>
      </c>
      <c r="Q5384" t="n">
        <v>0</v>
      </c>
      <c r="R5384" s="2" t="inlineStr"/>
    </row>
    <row r="5385" ht="15" customHeight="1">
      <c r="A5385" t="inlineStr">
        <is>
          <t>A 5380-2022</t>
        </is>
      </c>
      <c r="B5385" s="1" t="n">
        <v>44594</v>
      </c>
      <c r="C5385" s="1" t="n">
        <v>45363</v>
      </c>
      <c r="D5385" t="inlineStr">
        <is>
          <t>JÄMTLANDS LÄN</t>
        </is>
      </c>
      <c r="E5385" t="inlineStr">
        <is>
          <t>BRÄCKE</t>
        </is>
      </c>
      <c r="F5385" t="inlineStr">
        <is>
          <t>SCA</t>
        </is>
      </c>
      <c r="G5385" t="n">
        <v>18.3</v>
      </c>
      <c r="H5385" t="n">
        <v>0</v>
      </c>
      <c r="I5385" t="n">
        <v>0</v>
      </c>
      <c r="J5385" t="n">
        <v>0</v>
      </c>
      <c r="K5385" t="n">
        <v>0</v>
      </c>
      <c r="L5385" t="n">
        <v>0</v>
      </c>
      <c r="M5385" t="n">
        <v>0</v>
      </c>
      <c r="N5385" t="n">
        <v>0</v>
      </c>
      <c r="O5385" t="n">
        <v>0</v>
      </c>
      <c r="P5385" t="n">
        <v>0</v>
      </c>
      <c r="Q5385" t="n">
        <v>0</v>
      </c>
      <c r="R5385" s="2" t="inlineStr"/>
      <c r="U5385">
        <f>HYPERLINK("https://klasma.github.io/Logging_2305/knärot/A 5380-2022 karta knärot.png", "A 5380-2022")</f>
        <v/>
      </c>
      <c r="V5385">
        <f>HYPERLINK("https://klasma.github.io/Logging_2305/klagomål/A 5380-2022 FSC-klagomål.docx", "A 5380-2022")</f>
        <v/>
      </c>
      <c r="W5385">
        <f>HYPERLINK("https://klasma.github.io/Logging_2305/klagomålsmail/A 5380-2022 FSC-klagomål mail.docx", "A 5380-2022")</f>
        <v/>
      </c>
      <c r="X5385">
        <f>HYPERLINK("https://klasma.github.io/Logging_2305/tillsyn/A 5380-2022 tillsynsbegäran.docx", "A 5380-2022")</f>
        <v/>
      </c>
      <c r="Y5385">
        <f>HYPERLINK("https://klasma.github.io/Logging_2305/tillsynsmail/A 5380-2022 tillsynsbegäran mail.docx", "A 5380-2022")</f>
        <v/>
      </c>
    </row>
    <row r="5386" ht="15" customHeight="1">
      <c r="A5386" t="inlineStr">
        <is>
          <t>A 5378-2022</t>
        </is>
      </c>
      <c r="B5386" s="1" t="n">
        <v>44594</v>
      </c>
      <c r="C5386" s="1" t="n">
        <v>45363</v>
      </c>
      <c r="D5386" t="inlineStr">
        <is>
          <t>JÄMTLANDS LÄN</t>
        </is>
      </c>
      <c r="E5386" t="inlineStr">
        <is>
          <t>BRÄCKE</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5250-2022</t>
        </is>
      </c>
      <c r="B5387" s="1" t="n">
        <v>44594</v>
      </c>
      <c r="C5387" s="1" t="n">
        <v>45363</v>
      </c>
      <c r="D5387" t="inlineStr">
        <is>
          <t>JÄMTLANDS LÄN</t>
        </is>
      </c>
      <c r="E5387" t="inlineStr">
        <is>
          <t>ÅRE</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5416-2022</t>
        </is>
      </c>
      <c r="B5388" s="1" t="n">
        <v>44595</v>
      </c>
      <c r="C5388" s="1" t="n">
        <v>45363</v>
      </c>
      <c r="D5388" t="inlineStr">
        <is>
          <t>JÄMTLANDS LÄN</t>
        </is>
      </c>
      <c r="E5388" t="inlineStr">
        <is>
          <t>STRÖMSUND</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5515-2022</t>
        </is>
      </c>
      <c r="B5389" s="1" t="n">
        <v>44595</v>
      </c>
      <c r="C5389" s="1" t="n">
        <v>45363</v>
      </c>
      <c r="D5389" t="inlineStr">
        <is>
          <t>JÄMTLANDS LÄN</t>
        </is>
      </c>
      <c r="E5389" t="inlineStr">
        <is>
          <t>RAGUNDA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5642-2022</t>
        </is>
      </c>
      <c r="B5390" s="1" t="n">
        <v>44595</v>
      </c>
      <c r="C5390" s="1" t="n">
        <v>45363</v>
      </c>
      <c r="D5390" t="inlineStr">
        <is>
          <t>JÄMTLANDS LÄN</t>
        </is>
      </c>
      <c r="E5390" t="inlineStr">
        <is>
          <t>STRÖMSUND</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5670-2022</t>
        </is>
      </c>
      <c r="B5391" s="1" t="n">
        <v>44595</v>
      </c>
      <c r="C5391" s="1" t="n">
        <v>45363</v>
      </c>
      <c r="D5391" t="inlineStr">
        <is>
          <t>JÄMTLANDS LÄN</t>
        </is>
      </c>
      <c r="E5391" t="inlineStr">
        <is>
          <t>ÖSTERSUND</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5644-2022</t>
        </is>
      </c>
      <c r="B5392" s="1" t="n">
        <v>44595</v>
      </c>
      <c r="C5392" s="1" t="n">
        <v>45363</v>
      </c>
      <c r="D5392" t="inlineStr">
        <is>
          <t>JÄMTLANDS LÄN</t>
        </is>
      </c>
      <c r="E5392" t="inlineStr">
        <is>
          <t>RAGUNDA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5652-2022</t>
        </is>
      </c>
      <c r="B5393" s="1" t="n">
        <v>44595</v>
      </c>
      <c r="C5393" s="1" t="n">
        <v>45363</v>
      </c>
      <c r="D5393" t="inlineStr">
        <is>
          <t>JÄMTLANDS LÄN</t>
        </is>
      </c>
      <c r="E5393" t="inlineStr">
        <is>
          <t>RAGUNDA</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5693-2022</t>
        </is>
      </c>
      <c r="B5394" s="1" t="n">
        <v>44596</v>
      </c>
      <c r="C5394" s="1" t="n">
        <v>45363</v>
      </c>
      <c r="D5394" t="inlineStr">
        <is>
          <t>JÄMTLANDS LÄN</t>
        </is>
      </c>
      <c r="E5394" t="inlineStr">
        <is>
          <t>KROKOM</t>
        </is>
      </c>
      <c r="G5394" t="n">
        <v>40.8</v>
      </c>
      <c r="H5394" t="n">
        <v>0</v>
      </c>
      <c r="I5394" t="n">
        <v>0</v>
      </c>
      <c r="J5394" t="n">
        <v>0</v>
      </c>
      <c r="K5394" t="n">
        <v>0</v>
      </c>
      <c r="L5394" t="n">
        <v>0</v>
      </c>
      <c r="M5394" t="n">
        <v>0</v>
      </c>
      <c r="N5394" t="n">
        <v>0</v>
      </c>
      <c r="O5394" t="n">
        <v>0</v>
      </c>
      <c r="P5394" t="n">
        <v>0</v>
      </c>
      <c r="Q5394" t="n">
        <v>0</v>
      </c>
      <c r="R5394" s="2" t="inlineStr"/>
    </row>
    <row r="5395" ht="15" customHeight="1">
      <c r="A5395" t="inlineStr">
        <is>
          <t>A 5923-2022</t>
        </is>
      </c>
      <c r="B5395" s="1" t="n">
        <v>44598</v>
      </c>
      <c r="C5395" s="1" t="n">
        <v>45363</v>
      </c>
      <c r="D5395" t="inlineStr">
        <is>
          <t>JÄMTLANDS LÄN</t>
        </is>
      </c>
      <c r="E5395" t="inlineStr">
        <is>
          <t>ÅRE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6090-2022</t>
        </is>
      </c>
      <c r="B5396" s="1" t="n">
        <v>44599</v>
      </c>
      <c r="C5396" s="1" t="n">
        <v>45363</v>
      </c>
      <c r="D5396" t="inlineStr">
        <is>
          <t>JÄMTLANDS LÄN</t>
        </is>
      </c>
      <c r="E5396" t="inlineStr">
        <is>
          <t>BERG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6013-2022</t>
        </is>
      </c>
      <c r="B5397" s="1" t="n">
        <v>44599</v>
      </c>
      <c r="C5397" s="1" t="n">
        <v>45363</v>
      </c>
      <c r="D5397" t="inlineStr">
        <is>
          <t>JÄMTLANDS LÄN</t>
        </is>
      </c>
      <c r="E5397" t="inlineStr">
        <is>
          <t>ÖSTERSUND</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6055-2022</t>
        </is>
      </c>
      <c r="B5398" s="1" t="n">
        <v>44599</v>
      </c>
      <c r="C5398" s="1" t="n">
        <v>45363</v>
      </c>
      <c r="D5398" t="inlineStr">
        <is>
          <t>JÄMTLANDS LÄN</t>
        </is>
      </c>
      <c r="E5398" t="inlineStr">
        <is>
          <t>STRÖMSUND</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6150-2022</t>
        </is>
      </c>
      <c r="B5399" s="1" t="n">
        <v>44599</v>
      </c>
      <c r="C5399" s="1" t="n">
        <v>45363</v>
      </c>
      <c r="D5399" t="inlineStr">
        <is>
          <t>JÄMTLANDS LÄN</t>
        </is>
      </c>
      <c r="E5399" t="inlineStr">
        <is>
          <t>STRÖMSUND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6177-2022</t>
        </is>
      </c>
      <c r="B5400" s="1" t="n">
        <v>44600</v>
      </c>
      <c r="C5400" s="1" t="n">
        <v>45363</v>
      </c>
      <c r="D5400" t="inlineStr">
        <is>
          <t>JÄMTLANDS LÄN</t>
        </is>
      </c>
      <c r="E5400" t="inlineStr">
        <is>
          <t>RAGUNDA</t>
        </is>
      </c>
      <c r="F5400" t="inlineStr">
        <is>
          <t>SCA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6202-2022</t>
        </is>
      </c>
      <c r="B5401" s="1" t="n">
        <v>44600</v>
      </c>
      <c r="C5401" s="1" t="n">
        <v>45363</v>
      </c>
      <c r="D5401" t="inlineStr">
        <is>
          <t>JÄMTLANDS LÄN</t>
        </is>
      </c>
      <c r="E5401" t="inlineStr">
        <is>
          <t>STRÖMSUND</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6309-2022</t>
        </is>
      </c>
      <c r="B5402" s="1" t="n">
        <v>44600</v>
      </c>
      <c r="C5402" s="1" t="n">
        <v>45363</v>
      </c>
      <c r="D5402" t="inlineStr">
        <is>
          <t>JÄMTLANDS LÄN</t>
        </is>
      </c>
      <c r="E5402" t="inlineStr">
        <is>
          <t>HÄRJEDALEN</t>
        </is>
      </c>
      <c r="G5402" t="n">
        <v>38.2</v>
      </c>
      <c r="H5402" t="n">
        <v>0</v>
      </c>
      <c r="I5402" t="n">
        <v>0</v>
      </c>
      <c r="J5402" t="n">
        <v>0</v>
      </c>
      <c r="K5402" t="n">
        <v>0</v>
      </c>
      <c r="L5402" t="n">
        <v>0</v>
      </c>
      <c r="M5402" t="n">
        <v>0</v>
      </c>
      <c r="N5402" t="n">
        <v>0</v>
      </c>
      <c r="O5402" t="n">
        <v>0</v>
      </c>
      <c r="P5402" t="n">
        <v>0</v>
      </c>
      <c r="Q5402" t="n">
        <v>0</v>
      </c>
      <c r="R5402" s="2" t="inlineStr"/>
    </row>
    <row r="5403" ht="15" customHeight="1">
      <c r="A5403" t="inlineStr">
        <is>
          <t>A 6214-2022</t>
        </is>
      </c>
      <c r="B5403" s="1" t="n">
        <v>44600</v>
      </c>
      <c r="C5403" s="1" t="n">
        <v>45363</v>
      </c>
      <c r="D5403" t="inlineStr">
        <is>
          <t>JÄMTLANDS LÄN</t>
        </is>
      </c>
      <c r="E5403" t="inlineStr">
        <is>
          <t>KROKOM</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6208-2022</t>
        </is>
      </c>
      <c r="B5404" s="1" t="n">
        <v>44600</v>
      </c>
      <c r="C5404" s="1" t="n">
        <v>45363</v>
      </c>
      <c r="D5404" t="inlineStr">
        <is>
          <t>JÄMTLANDS LÄN</t>
        </is>
      </c>
      <c r="E5404" t="inlineStr">
        <is>
          <t>HÄRJEDALEN</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6312-2022</t>
        </is>
      </c>
      <c r="B5405" s="1" t="n">
        <v>44600</v>
      </c>
      <c r="C5405" s="1" t="n">
        <v>45363</v>
      </c>
      <c r="D5405" t="inlineStr">
        <is>
          <t>JÄMTLANDS LÄN</t>
        </is>
      </c>
      <c r="E5405" t="inlineStr">
        <is>
          <t>HÄRJEDALEN</t>
        </is>
      </c>
      <c r="G5405" t="n">
        <v>18.4</v>
      </c>
      <c r="H5405" t="n">
        <v>0</v>
      </c>
      <c r="I5405" t="n">
        <v>0</v>
      </c>
      <c r="J5405" t="n">
        <v>0</v>
      </c>
      <c r="K5405" t="n">
        <v>0</v>
      </c>
      <c r="L5405" t="n">
        <v>0</v>
      </c>
      <c r="M5405" t="n">
        <v>0</v>
      </c>
      <c r="N5405" t="n">
        <v>0</v>
      </c>
      <c r="O5405" t="n">
        <v>0</v>
      </c>
      <c r="P5405" t="n">
        <v>0</v>
      </c>
      <c r="Q5405" t="n">
        <v>0</v>
      </c>
      <c r="R5405" s="2" t="inlineStr"/>
    </row>
    <row r="5406" ht="15" customHeight="1">
      <c r="A5406" t="inlineStr">
        <is>
          <t>A 6458-2022</t>
        </is>
      </c>
      <c r="B5406" s="1" t="n">
        <v>44601</v>
      </c>
      <c r="C5406" s="1" t="n">
        <v>45363</v>
      </c>
      <c r="D5406" t="inlineStr">
        <is>
          <t>JÄMTLANDS LÄN</t>
        </is>
      </c>
      <c r="E5406" t="inlineStr">
        <is>
          <t>ÖSTERSUND</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6451-2022</t>
        </is>
      </c>
      <c r="B5407" s="1" t="n">
        <v>44601</v>
      </c>
      <c r="C5407" s="1" t="n">
        <v>45363</v>
      </c>
      <c r="D5407" t="inlineStr">
        <is>
          <t>JÄMTLANDS LÄN</t>
        </is>
      </c>
      <c r="E5407" t="inlineStr">
        <is>
          <t>KROKOM</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6460-2022</t>
        </is>
      </c>
      <c r="B5408" s="1" t="n">
        <v>44601</v>
      </c>
      <c r="C5408" s="1" t="n">
        <v>45363</v>
      </c>
      <c r="D5408" t="inlineStr">
        <is>
          <t>JÄMTLANDS LÄN</t>
        </is>
      </c>
      <c r="E5408" t="inlineStr">
        <is>
          <t>BRÄCKE</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6492-2022</t>
        </is>
      </c>
      <c r="B5409" s="1" t="n">
        <v>44601</v>
      </c>
      <c r="C5409" s="1" t="n">
        <v>45363</v>
      </c>
      <c r="D5409" t="inlineStr">
        <is>
          <t>JÄMTLANDS LÄN</t>
        </is>
      </c>
      <c r="E5409" t="inlineStr">
        <is>
          <t>RAGUNDA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6444-2022</t>
        </is>
      </c>
      <c r="B5410" s="1" t="n">
        <v>44601</v>
      </c>
      <c r="C5410" s="1" t="n">
        <v>45363</v>
      </c>
      <c r="D5410" t="inlineStr">
        <is>
          <t>JÄMTLANDS LÄN</t>
        </is>
      </c>
      <c r="E5410" t="inlineStr">
        <is>
          <t>HÄRJEDALEN</t>
        </is>
      </c>
      <c r="F5410" t="inlineStr">
        <is>
          <t>Holmen skog AB</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6461-2022</t>
        </is>
      </c>
      <c r="B5411" s="1" t="n">
        <v>44601</v>
      </c>
      <c r="C5411" s="1" t="n">
        <v>45363</v>
      </c>
      <c r="D5411" t="inlineStr">
        <is>
          <t>JÄMTLANDS LÄN</t>
        </is>
      </c>
      <c r="E5411" t="inlineStr">
        <is>
          <t>BRÄCKE</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6490-2022</t>
        </is>
      </c>
      <c r="B5412" s="1" t="n">
        <v>44601</v>
      </c>
      <c r="C5412" s="1" t="n">
        <v>45363</v>
      </c>
      <c r="D5412" t="inlineStr">
        <is>
          <t>JÄMTLANDS LÄN</t>
        </is>
      </c>
      <c r="E5412" t="inlineStr">
        <is>
          <t>RAGUNDA</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6648-2022</t>
        </is>
      </c>
      <c r="B5413" s="1" t="n">
        <v>44601</v>
      </c>
      <c r="C5413" s="1" t="n">
        <v>45363</v>
      </c>
      <c r="D5413" t="inlineStr">
        <is>
          <t>JÄMTLANDS LÄN</t>
        </is>
      </c>
      <c r="E5413" t="inlineStr">
        <is>
          <t>BRÄCKE</t>
        </is>
      </c>
      <c r="F5413" t="inlineStr">
        <is>
          <t>SCA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6919-2022</t>
        </is>
      </c>
      <c r="B5414" s="1" t="n">
        <v>44602</v>
      </c>
      <c r="C5414" s="1" t="n">
        <v>45363</v>
      </c>
      <c r="D5414" t="inlineStr">
        <is>
          <t>JÄMTLANDS LÄN</t>
        </is>
      </c>
      <c r="E5414" t="inlineStr">
        <is>
          <t>BERG</t>
        </is>
      </c>
      <c r="F5414" t="inlineStr">
        <is>
          <t>SCA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6933-2022</t>
        </is>
      </c>
      <c r="B5415" s="1" t="n">
        <v>44603</v>
      </c>
      <c r="C5415" s="1" t="n">
        <v>45363</v>
      </c>
      <c r="D5415" t="inlineStr">
        <is>
          <t>JÄMTLANDS LÄN</t>
        </is>
      </c>
      <c r="E5415" t="inlineStr">
        <is>
          <t>HÄRJEDALEN</t>
        </is>
      </c>
      <c r="F5415" t="inlineStr">
        <is>
          <t>Holmen skog AB</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7023-2022</t>
        </is>
      </c>
      <c r="B5416" s="1" t="n">
        <v>44603</v>
      </c>
      <c r="C5416" s="1" t="n">
        <v>45363</v>
      </c>
      <c r="D5416" t="inlineStr">
        <is>
          <t>JÄMTLANDS LÄN</t>
        </is>
      </c>
      <c r="E5416" t="inlineStr">
        <is>
          <t>STRÖMSUND</t>
        </is>
      </c>
      <c r="G5416" t="n">
        <v>11.6</v>
      </c>
      <c r="H5416" t="n">
        <v>0</v>
      </c>
      <c r="I5416" t="n">
        <v>0</v>
      </c>
      <c r="J5416" t="n">
        <v>0</v>
      </c>
      <c r="K5416" t="n">
        <v>0</v>
      </c>
      <c r="L5416" t="n">
        <v>0</v>
      </c>
      <c r="M5416" t="n">
        <v>0</v>
      </c>
      <c r="N5416" t="n">
        <v>0</v>
      </c>
      <c r="O5416" t="n">
        <v>0</v>
      </c>
      <c r="P5416" t="n">
        <v>0</v>
      </c>
      <c r="Q5416" t="n">
        <v>0</v>
      </c>
      <c r="R5416" s="2" t="inlineStr"/>
    </row>
    <row r="5417" ht="15" customHeight="1">
      <c r="A5417" t="inlineStr">
        <is>
          <t>A 6938-2022</t>
        </is>
      </c>
      <c r="B5417" s="1" t="n">
        <v>44603</v>
      </c>
      <c r="C5417" s="1" t="n">
        <v>45363</v>
      </c>
      <c r="D5417" t="inlineStr">
        <is>
          <t>JÄMTLANDS LÄN</t>
        </is>
      </c>
      <c r="E5417" t="inlineStr">
        <is>
          <t>HÄRJEDALEN</t>
        </is>
      </c>
      <c r="F5417" t="inlineStr">
        <is>
          <t>Holmen skog AB</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6935-2022</t>
        </is>
      </c>
      <c r="B5418" s="1" t="n">
        <v>44603</v>
      </c>
      <c r="C5418" s="1" t="n">
        <v>45363</v>
      </c>
      <c r="D5418" t="inlineStr">
        <is>
          <t>JÄMTLANDS LÄN</t>
        </is>
      </c>
      <c r="E5418" t="inlineStr">
        <is>
          <t>HÄRJEDALEN</t>
        </is>
      </c>
      <c r="F5418" t="inlineStr">
        <is>
          <t>Holmen skog AB</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6943-2022</t>
        </is>
      </c>
      <c r="B5419" s="1" t="n">
        <v>44603</v>
      </c>
      <c r="C5419" s="1" t="n">
        <v>45363</v>
      </c>
      <c r="D5419" t="inlineStr">
        <is>
          <t>JÄMTLANDS LÄN</t>
        </is>
      </c>
      <c r="E5419" t="inlineStr">
        <is>
          <t>BERG</t>
        </is>
      </c>
      <c r="F5419" t="inlineStr">
        <is>
          <t>Holmen skog AB</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7027-2022</t>
        </is>
      </c>
      <c r="B5420" s="1" t="n">
        <v>44603</v>
      </c>
      <c r="C5420" s="1" t="n">
        <v>45363</v>
      </c>
      <c r="D5420" t="inlineStr">
        <is>
          <t>JÄMTLANDS LÄN</t>
        </is>
      </c>
      <c r="E5420" t="inlineStr">
        <is>
          <t>BRÄCKE</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6941-2022</t>
        </is>
      </c>
      <c r="B5421" s="1" t="n">
        <v>44603</v>
      </c>
      <c r="C5421" s="1" t="n">
        <v>45363</v>
      </c>
      <c r="D5421" t="inlineStr">
        <is>
          <t>JÄMTLANDS LÄN</t>
        </is>
      </c>
      <c r="E5421" t="inlineStr">
        <is>
          <t>HÄRJEDALEN</t>
        </is>
      </c>
      <c r="F5421" t="inlineStr">
        <is>
          <t>Holmen skog AB</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7157-2022</t>
        </is>
      </c>
      <c r="B5422" s="1" t="n">
        <v>44604</v>
      </c>
      <c r="C5422" s="1" t="n">
        <v>45363</v>
      </c>
      <c r="D5422" t="inlineStr">
        <is>
          <t>JÄMTLANDS LÄN</t>
        </is>
      </c>
      <c r="E5422" t="inlineStr">
        <is>
          <t>STRÖMSUND</t>
        </is>
      </c>
      <c r="F5422" t="inlineStr">
        <is>
          <t>SCA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7180-2022</t>
        </is>
      </c>
      <c r="B5423" s="1" t="n">
        <v>44605</v>
      </c>
      <c r="C5423" s="1" t="n">
        <v>45363</v>
      </c>
      <c r="D5423" t="inlineStr">
        <is>
          <t>JÄMTLANDS LÄN</t>
        </is>
      </c>
      <c r="E5423" t="inlineStr">
        <is>
          <t>KROKOM</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7260-2022</t>
        </is>
      </c>
      <c r="B5424" s="1" t="n">
        <v>44606</v>
      </c>
      <c r="C5424" s="1" t="n">
        <v>45363</v>
      </c>
      <c r="D5424" t="inlineStr">
        <is>
          <t>JÄMTLANDS LÄN</t>
        </is>
      </c>
      <c r="E5424" t="inlineStr">
        <is>
          <t>STRÖMSUND</t>
        </is>
      </c>
      <c r="F5424" t="inlineStr">
        <is>
          <t>SCA</t>
        </is>
      </c>
      <c r="G5424" t="n">
        <v>76.40000000000001</v>
      </c>
      <c r="H5424" t="n">
        <v>0</v>
      </c>
      <c r="I5424" t="n">
        <v>0</v>
      </c>
      <c r="J5424" t="n">
        <v>0</v>
      </c>
      <c r="K5424" t="n">
        <v>0</v>
      </c>
      <c r="L5424" t="n">
        <v>0</v>
      </c>
      <c r="M5424" t="n">
        <v>0</v>
      </c>
      <c r="N5424" t="n">
        <v>0</v>
      </c>
      <c r="O5424" t="n">
        <v>0</v>
      </c>
      <c r="P5424" t="n">
        <v>0</v>
      </c>
      <c r="Q5424" t="n">
        <v>0</v>
      </c>
      <c r="R5424" s="2" t="inlineStr"/>
    </row>
    <row r="5425" ht="15" customHeight="1">
      <c r="A5425" t="inlineStr">
        <is>
          <t>A 7448-2022</t>
        </is>
      </c>
      <c r="B5425" s="1" t="n">
        <v>44606</v>
      </c>
      <c r="C5425" s="1" t="n">
        <v>45363</v>
      </c>
      <c r="D5425" t="inlineStr">
        <is>
          <t>JÄMTLANDS LÄN</t>
        </is>
      </c>
      <c r="E5425" t="inlineStr">
        <is>
          <t>RAGUNDA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7482-2022</t>
        </is>
      </c>
      <c r="B5426" s="1" t="n">
        <v>44606</v>
      </c>
      <c r="C5426" s="1" t="n">
        <v>45363</v>
      </c>
      <c r="D5426" t="inlineStr">
        <is>
          <t>JÄMTLANDS LÄN</t>
        </is>
      </c>
      <c r="E5426" t="inlineStr">
        <is>
          <t>BERG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7447-2022</t>
        </is>
      </c>
      <c r="B5427" s="1" t="n">
        <v>44606</v>
      </c>
      <c r="C5427" s="1" t="n">
        <v>45363</v>
      </c>
      <c r="D5427" t="inlineStr">
        <is>
          <t>JÄMTLANDS LÄN</t>
        </is>
      </c>
      <c r="E5427" t="inlineStr">
        <is>
          <t>BERG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7668-2022</t>
        </is>
      </c>
      <c r="B5428" s="1" t="n">
        <v>44607</v>
      </c>
      <c r="C5428" s="1" t="n">
        <v>45363</v>
      </c>
      <c r="D5428" t="inlineStr">
        <is>
          <t>JÄMTLANDS LÄN</t>
        </is>
      </c>
      <c r="E5428" t="inlineStr">
        <is>
          <t>RAGUNDA</t>
        </is>
      </c>
      <c r="F5428" t="inlineStr">
        <is>
          <t>SCA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7573-2022</t>
        </is>
      </c>
      <c r="B5429" s="1" t="n">
        <v>44607</v>
      </c>
      <c r="C5429" s="1" t="n">
        <v>45363</v>
      </c>
      <c r="D5429" t="inlineStr">
        <is>
          <t>JÄMTLANDS LÄN</t>
        </is>
      </c>
      <c r="E5429" t="inlineStr">
        <is>
          <t>ÖSTERSUND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7695-2022</t>
        </is>
      </c>
      <c r="B5430" s="1" t="n">
        <v>44607</v>
      </c>
      <c r="C5430" s="1" t="n">
        <v>45363</v>
      </c>
      <c r="D5430" t="inlineStr">
        <is>
          <t>JÄMTLANDS LÄN</t>
        </is>
      </c>
      <c r="E5430" t="inlineStr">
        <is>
          <t>RAGUNDA</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8027-2022</t>
        </is>
      </c>
      <c r="B5431" s="1" t="n">
        <v>44609</v>
      </c>
      <c r="C5431" s="1" t="n">
        <v>45363</v>
      </c>
      <c r="D5431" t="inlineStr">
        <is>
          <t>JÄMTLANDS LÄN</t>
        </is>
      </c>
      <c r="E5431" t="inlineStr">
        <is>
          <t>ÖSTERSUND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8066-2022</t>
        </is>
      </c>
      <c r="B5432" s="1" t="n">
        <v>44609</v>
      </c>
      <c r="C5432" s="1" t="n">
        <v>45363</v>
      </c>
      <c r="D5432" t="inlineStr">
        <is>
          <t>JÄMTLANDS LÄN</t>
        </is>
      </c>
      <c r="E5432" t="inlineStr">
        <is>
          <t>STRÖMSUND</t>
        </is>
      </c>
      <c r="G5432" t="n">
        <v>11.9</v>
      </c>
      <c r="H5432" t="n">
        <v>0</v>
      </c>
      <c r="I5432" t="n">
        <v>0</v>
      </c>
      <c r="J5432" t="n">
        <v>0</v>
      </c>
      <c r="K5432" t="n">
        <v>0</v>
      </c>
      <c r="L5432" t="n">
        <v>0</v>
      </c>
      <c r="M5432" t="n">
        <v>0</v>
      </c>
      <c r="N5432" t="n">
        <v>0</v>
      </c>
      <c r="O5432" t="n">
        <v>0</v>
      </c>
      <c r="P5432" t="n">
        <v>0</v>
      </c>
      <c r="Q5432" t="n">
        <v>0</v>
      </c>
      <c r="R5432" s="2" t="inlineStr"/>
    </row>
    <row r="5433" ht="15" customHeight="1">
      <c r="A5433" t="inlineStr">
        <is>
          <t>A 8052-2022</t>
        </is>
      </c>
      <c r="B5433" s="1" t="n">
        <v>44609</v>
      </c>
      <c r="C5433" s="1" t="n">
        <v>45363</v>
      </c>
      <c r="D5433" t="inlineStr">
        <is>
          <t>JÄMTLANDS LÄN</t>
        </is>
      </c>
      <c r="E5433" t="inlineStr">
        <is>
          <t>BRÄCKE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8231-2022</t>
        </is>
      </c>
      <c r="B5434" s="1" t="n">
        <v>44609</v>
      </c>
      <c r="C5434" s="1" t="n">
        <v>45363</v>
      </c>
      <c r="D5434" t="inlineStr">
        <is>
          <t>JÄMTLANDS LÄN</t>
        </is>
      </c>
      <c r="E5434" t="inlineStr">
        <is>
          <t>RAGUNDA</t>
        </is>
      </c>
      <c r="F5434" t="inlineStr">
        <is>
          <t>SCA</t>
        </is>
      </c>
      <c r="G5434" t="n">
        <v>24.1</v>
      </c>
      <c r="H5434" t="n">
        <v>0</v>
      </c>
      <c r="I5434" t="n">
        <v>0</v>
      </c>
      <c r="J5434" t="n">
        <v>0</v>
      </c>
      <c r="K5434" t="n">
        <v>0</v>
      </c>
      <c r="L5434" t="n">
        <v>0</v>
      </c>
      <c r="M5434" t="n">
        <v>0</v>
      </c>
      <c r="N5434" t="n">
        <v>0</v>
      </c>
      <c r="O5434" t="n">
        <v>0</v>
      </c>
      <c r="P5434" t="n">
        <v>0</v>
      </c>
      <c r="Q5434" t="n">
        <v>0</v>
      </c>
      <c r="R5434" s="2" t="inlineStr"/>
    </row>
    <row r="5435" ht="15" customHeight="1">
      <c r="A5435" t="inlineStr">
        <is>
          <t>A 8237-2022</t>
        </is>
      </c>
      <c r="B5435" s="1" t="n">
        <v>44609</v>
      </c>
      <c r="C5435" s="1" t="n">
        <v>45363</v>
      </c>
      <c r="D5435" t="inlineStr">
        <is>
          <t>JÄMTLANDS LÄN</t>
        </is>
      </c>
      <c r="E5435" t="inlineStr">
        <is>
          <t>RAGUNDA</t>
        </is>
      </c>
      <c r="F5435" t="inlineStr">
        <is>
          <t>SCA</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8227-2022</t>
        </is>
      </c>
      <c r="B5436" s="1" t="n">
        <v>44609</v>
      </c>
      <c r="C5436" s="1" t="n">
        <v>45363</v>
      </c>
      <c r="D5436" t="inlineStr">
        <is>
          <t>JÄMTLANDS LÄN</t>
        </is>
      </c>
      <c r="E5436" t="inlineStr">
        <is>
          <t>ÖSTERSUND</t>
        </is>
      </c>
      <c r="G5436" t="n">
        <v>6.6</v>
      </c>
      <c r="H5436" t="n">
        <v>0</v>
      </c>
      <c r="I5436" t="n">
        <v>0</v>
      </c>
      <c r="J5436" t="n">
        <v>0</v>
      </c>
      <c r="K5436" t="n">
        <v>0</v>
      </c>
      <c r="L5436" t="n">
        <v>0</v>
      </c>
      <c r="M5436" t="n">
        <v>0</v>
      </c>
      <c r="N5436" t="n">
        <v>0</v>
      </c>
      <c r="O5436" t="n">
        <v>0</v>
      </c>
      <c r="P5436" t="n">
        <v>0</v>
      </c>
      <c r="Q5436" t="n">
        <v>0</v>
      </c>
      <c r="R5436" s="2" t="inlineStr"/>
    </row>
    <row r="5437" ht="15" customHeight="1">
      <c r="A5437" t="inlineStr">
        <is>
          <t>A 8239-2022</t>
        </is>
      </c>
      <c r="B5437" s="1" t="n">
        <v>44609</v>
      </c>
      <c r="C5437" s="1" t="n">
        <v>45363</v>
      </c>
      <c r="D5437" t="inlineStr">
        <is>
          <t>JÄMTLANDS LÄN</t>
        </is>
      </c>
      <c r="E5437" t="inlineStr">
        <is>
          <t>STRÖMSUND</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8230-2022</t>
        </is>
      </c>
      <c r="B5438" s="1" t="n">
        <v>44609</v>
      </c>
      <c r="C5438" s="1" t="n">
        <v>45363</v>
      </c>
      <c r="D5438" t="inlineStr">
        <is>
          <t>JÄMTLANDS LÄN</t>
        </is>
      </c>
      <c r="E5438" t="inlineStr">
        <is>
          <t>KROKOM</t>
        </is>
      </c>
      <c r="F5438" t="inlineStr">
        <is>
          <t>SCA</t>
        </is>
      </c>
      <c r="G5438" t="n">
        <v>11.3</v>
      </c>
      <c r="H5438" t="n">
        <v>0</v>
      </c>
      <c r="I5438" t="n">
        <v>0</v>
      </c>
      <c r="J5438" t="n">
        <v>0</v>
      </c>
      <c r="K5438" t="n">
        <v>0</v>
      </c>
      <c r="L5438" t="n">
        <v>0</v>
      </c>
      <c r="M5438" t="n">
        <v>0</v>
      </c>
      <c r="N5438" t="n">
        <v>0</v>
      </c>
      <c r="O5438" t="n">
        <v>0</v>
      </c>
      <c r="P5438" t="n">
        <v>0</v>
      </c>
      <c r="Q5438" t="n">
        <v>0</v>
      </c>
      <c r="R5438" s="2" t="inlineStr"/>
    </row>
    <row r="5439" ht="15" customHeight="1">
      <c r="A5439" t="inlineStr">
        <is>
          <t>A 8368-2022</t>
        </is>
      </c>
      <c r="B5439" s="1" t="n">
        <v>44610</v>
      </c>
      <c r="C5439" s="1" t="n">
        <v>45363</v>
      </c>
      <c r="D5439" t="inlineStr">
        <is>
          <t>JÄMTLANDS LÄN</t>
        </is>
      </c>
      <c r="E5439" t="inlineStr">
        <is>
          <t>HÄRJEDALEN</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8388-2022</t>
        </is>
      </c>
      <c r="B5440" s="1" t="n">
        <v>44610</v>
      </c>
      <c r="C5440" s="1" t="n">
        <v>45363</v>
      </c>
      <c r="D5440" t="inlineStr">
        <is>
          <t>JÄMTLANDS LÄN</t>
        </is>
      </c>
      <c r="E5440" t="inlineStr">
        <is>
          <t>BERG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8421-2022</t>
        </is>
      </c>
      <c r="B5441" s="1" t="n">
        <v>44610</v>
      </c>
      <c r="C5441" s="1" t="n">
        <v>45363</v>
      </c>
      <c r="D5441" t="inlineStr">
        <is>
          <t>JÄMTLANDS LÄN</t>
        </is>
      </c>
      <c r="E5441" t="inlineStr">
        <is>
          <t>STRÖMSUND</t>
        </is>
      </c>
      <c r="F5441" t="inlineStr">
        <is>
          <t>SCA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8422-2022</t>
        </is>
      </c>
      <c r="B5442" s="1" t="n">
        <v>44610</v>
      </c>
      <c r="C5442" s="1" t="n">
        <v>45363</v>
      </c>
      <c r="D5442" t="inlineStr">
        <is>
          <t>JÄMTLANDS LÄN</t>
        </is>
      </c>
      <c r="E5442" t="inlineStr">
        <is>
          <t>BRÄCKE</t>
        </is>
      </c>
      <c r="F5442" t="inlineStr">
        <is>
          <t>SCA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8569-2022</t>
        </is>
      </c>
      <c r="B5443" s="1" t="n">
        <v>44610</v>
      </c>
      <c r="C5443" s="1" t="n">
        <v>45363</v>
      </c>
      <c r="D5443" t="inlineStr">
        <is>
          <t>JÄMTLANDS LÄN</t>
        </is>
      </c>
      <c r="E5443" t="inlineStr">
        <is>
          <t>KROKOM</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8559-2022</t>
        </is>
      </c>
      <c r="B5444" s="1" t="n">
        <v>44610</v>
      </c>
      <c r="C5444" s="1" t="n">
        <v>45363</v>
      </c>
      <c r="D5444" t="inlineStr">
        <is>
          <t>JÄMTLANDS LÄN</t>
        </is>
      </c>
      <c r="E5444" t="inlineStr">
        <is>
          <t>KROKOM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8594-2022</t>
        </is>
      </c>
      <c r="B5445" s="1" t="n">
        <v>44613</v>
      </c>
      <c r="C5445" s="1" t="n">
        <v>45363</v>
      </c>
      <c r="D5445" t="inlineStr">
        <is>
          <t>JÄMTLANDS LÄN</t>
        </is>
      </c>
      <c r="E5445" t="inlineStr">
        <is>
          <t>BERG</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8647-2022</t>
        </is>
      </c>
      <c r="B5446" s="1" t="n">
        <v>44613</v>
      </c>
      <c r="C5446" s="1" t="n">
        <v>45363</v>
      </c>
      <c r="D5446" t="inlineStr">
        <is>
          <t>JÄMTLANDS LÄN</t>
        </is>
      </c>
      <c r="E5446" t="inlineStr">
        <is>
          <t>ÖSTERSUND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8538-2022</t>
        </is>
      </c>
      <c r="B5447" s="1" t="n">
        <v>44613</v>
      </c>
      <c r="C5447" s="1" t="n">
        <v>45363</v>
      </c>
      <c r="D5447" t="inlineStr">
        <is>
          <t>JÄMTLANDS LÄN</t>
        </is>
      </c>
      <c r="E5447" t="inlineStr">
        <is>
          <t>HÄRJEDALEN</t>
        </is>
      </c>
      <c r="F5447" t="inlineStr">
        <is>
          <t>Naturvårdsverket</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8795-2022</t>
        </is>
      </c>
      <c r="B5448" s="1" t="n">
        <v>44614</v>
      </c>
      <c r="C5448" s="1" t="n">
        <v>45363</v>
      </c>
      <c r="D5448" t="inlineStr">
        <is>
          <t>JÄMTLANDS LÄN</t>
        </is>
      </c>
      <c r="E5448" t="inlineStr">
        <is>
          <t>RAGUNDA</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8808-2022</t>
        </is>
      </c>
      <c r="B5449" s="1" t="n">
        <v>44614</v>
      </c>
      <c r="C5449" s="1" t="n">
        <v>45363</v>
      </c>
      <c r="D5449" t="inlineStr">
        <is>
          <t>JÄMTLANDS LÄN</t>
        </is>
      </c>
      <c r="E5449" t="inlineStr">
        <is>
          <t>RAGUNDA</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8802-2022</t>
        </is>
      </c>
      <c r="B5450" s="1" t="n">
        <v>44614</v>
      </c>
      <c r="C5450" s="1" t="n">
        <v>45363</v>
      </c>
      <c r="D5450" t="inlineStr">
        <is>
          <t>JÄMTLANDS LÄN</t>
        </is>
      </c>
      <c r="E5450" t="inlineStr">
        <is>
          <t>RAGUNDA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8811-2022</t>
        </is>
      </c>
      <c r="B5451" s="1" t="n">
        <v>44614</v>
      </c>
      <c r="C5451" s="1" t="n">
        <v>45363</v>
      </c>
      <c r="D5451" t="inlineStr">
        <is>
          <t>JÄMTLANDS LÄN</t>
        </is>
      </c>
      <c r="E5451" t="inlineStr">
        <is>
          <t>RAGUNDA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8823-2022</t>
        </is>
      </c>
      <c r="B5452" s="1" t="n">
        <v>44614</v>
      </c>
      <c r="C5452" s="1" t="n">
        <v>45363</v>
      </c>
      <c r="D5452" t="inlineStr">
        <is>
          <t>JÄMTLANDS LÄN</t>
        </is>
      </c>
      <c r="E5452" t="inlineStr">
        <is>
          <t>HÄRJEDALEN</t>
        </is>
      </c>
      <c r="F5452" t="inlineStr">
        <is>
          <t>Naturvårdsverket</t>
        </is>
      </c>
      <c r="G5452" t="n">
        <v>23.7</v>
      </c>
      <c r="H5452" t="n">
        <v>0</v>
      </c>
      <c r="I5452" t="n">
        <v>0</v>
      </c>
      <c r="J5452" t="n">
        <v>0</v>
      </c>
      <c r="K5452" t="n">
        <v>0</v>
      </c>
      <c r="L5452" t="n">
        <v>0</v>
      </c>
      <c r="M5452" t="n">
        <v>0</v>
      </c>
      <c r="N5452" t="n">
        <v>0</v>
      </c>
      <c r="O5452" t="n">
        <v>0</v>
      </c>
      <c r="P5452" t="n">
        <v>0</v>
      </c>
      <c r="Q5452" t="n">
        <v>0</v>
      </c>
      <c r="R5452" s="2" t="inlineStr"/>
    </row>
    <row r="5453" ht="15" customHeight="1">
      <c r="A5453" t="inlineStr">
        <is>
          <t>A 8787-2022</t>
        </is>
      </c>
      <c r="B5453" s="1" t="n">
        <v>44614</v>
      </c>
      <c r="C5453" s="1" t="n">
        <v>45363</v>
      </c>
      <c r="D5453" t="inlineStr">
        <is>
          <t>JÄMTLANDS LÄN</t>
        </is>
      </c>
      <c r="E5453" t="inlineStr">
        <is>
          <t>RAGUNDA</t>
        </is>
      </c>
      <c r="G5453" t="n">
        <v>6.4</v>
      </c>
      <c r="H5453" t="n">
        <v>0</v>
      </c>
      <c r="I5453" t="n">
        <v>0</v>
      </c>
      <c r="J5453" t="n">
        <v>0</v>
      </c>
      <c r="K5453" t="n">
        <v>0</v>
      </c>
      <c r="L5453" t="n">
        <v>0</v>
      </c>
      <c r="M5453" t="n">
        <v>0</v>
      </c>
      <c r="N5453" t="n">
        <v>0</v>
      </c>
      <c r="O5453" t="n">
        <v>0</v>
      </c>
      <c r="P5453" t="n">
        <v>0</v>
      </c>
      <c r="Q5453" t="n">
        <v>0</v>
      </c>
      <c r="R5453" s="2" t="inlineStr"/>
    </row>
    <row r="5454" ht="15" customHeight="1">
      <c r="A5454" t="inlineStr">
        <is>
          <t>A 8972-2022</t>
        </is>
      </c>
      <c r="B5454" s="1" t="n">
        <v>44614</v>
      </c>
      <c r="C5454" s="1" t="n">
        <v>45363</v>
      </c>
      <c r="D5454" t="inlineStr">
        <is>
          <t>JÄMTLANDS LÄN</t>
        </is>
      </c>
      <c r="E5454" t="inlineStr">
        <is>
          <t>ÖSTERSUND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9095-2022</t>
        </is>
      </c>
      <c r="B5455" s="1" t="n">
        <v>44615</v>
      </c>
      <c r="C5455" s="1" t="n">
        <v>45363</v>
      </c>
      <c r="D5455" t="inlineStr">
        <is>
          <t>JÄMTLANDS LÄN</t>
        </is>
      </c>
      <c r="E5455" t="inlineStr">
        <is>
          <t>HÄRJEDALEN</t>
        </is>
      </c>
      <c r="F5455" t="inlineStr">
        <is>
          <t>Kyrkan</t>
        </is>
      </c>
      <c r="G5455" t="n">
        <v>15.9</v>
      </c>
      <c r="H5455" t="n">
        <v>0</v>
      </c>
      <c r="I5455" t="n">
        <v>0</v>
      </c>
      <c r="J5455" t="n">
        <v>0</v>
      </c>
      <c r="K5455" t="n">
        <v>0</v>
      </c>
      <c r="L5455" t="n">
        <v>0</v>
      </c>
      <c r="M5455" t="n">
        <v>0</v>
      </c>
      <c r="N5455" t="n">
        <v>0</v>
      </c>
      <c r="O5455" t="n">
        <v>0</v>
      </c>
      <c r="P5455" t="n">
        <v>0</v>
      </c>
      <c r="Q5455" t="n">
        <v>0</v>
      </c>
      <c r="R5455" s="2" t="inlineStr"/>
    </row>
    <row r="5456" ht="15" customHeight="1">
      <c r="A5456" t="inlineStr">
        <is>
          <t>A 9114-2022</t>
        </is>
      </c>
      <c r="B5456" s="1" t="n">
        <v>44615</v>
      </c>
      <c r="C5456" s="1" t="n">
        <v>45363</v>
      </c>
      <c r="D5456" t="inlineStr">
        <is>
          <t>JÄMTLANDS LÄN</t>
        </is>
      </c>
      <c r="E5456" t="inlineStr">
        <is>
          <t>BERG</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9187-2022</t>
        </is>
      </c>
      <c r="B5457" s="1" t="n">
        <v>44615</v>
      </c>
      <c r="C5457" s="1" t="n">
        <v>45363</v>
      </c>
      <c r="D5457" t="inlineStr">
        <is>
          <t>JÄMTLANDS LÄN</t>
        </is>
      </c>
      <c r="E5457" t="inlineStr">
        <is>
          <t>RAGUNDA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9199-2022</t>
        </is>
      </c>
      <c r="B5458" s="1" t="n">
        <v>44615</v>
      </c>
      <c r="C5458" s="1" t="n">
        <v>45363</v>
      </c>
      <c r="D5458" t="inlineStr">
        <is>
          <t>JÄMTLANDS LÄN</t>
        </is>
      </c>
      <c r="E5458" t="inlineStr">
        <is>
          <t>RAGUNDA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9185-2022</t>
        </is>
      </c>
      <c r="B5459" s="1" t="n">
        <v>44615</v>
      </c>
      <c r="C5459" s="1" t="n">
        <v>45363</v>
      </c>
      <c r="D5459" t="inlineStr">
        <is>
          <t>JÄMTLANDS LÄN</t>
        </is>
      </c>
      <c r="E5459" t="inlineStr">
        <is>
          <t>RAGUNDA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9370-2022</t>
        </is>
      </c>
      <c r="B5460" s="1" t="n">
        <v>44616</v>
      </c>
      <c r="C5460" s="1" t="n">
        <v>45363</v>
      </c>
      <c r="D5460" t="inlineStr">
        <is>
          <t>JÄMTLANDS LÄN</t>
        </is>
      </c>
      <c r="E5460" t="inlineStr">
        <is>
          <t>STRÖMSUND</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9379-2022</t>
        </is>
      </c>
      <c r="B5461" s="1" t="n">
        <v>44616</v>
      </c>
      <c r="C5461" s="1" t="n">
        <v>45363</v>
      </c>
      <c r="D5461" t="inlineStr">
        <is>
          <t>JÄMTLANDS LÄN</t>
        </is>
      </c>
      <c r="E5461" t="inlineStr">
        <is>
          <t>STRÖMSUND</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9934-2022</t>
        </is>
      </c>
      <c r="B5462" s="1" t="n">
        <v>44620</v>
      </c>
      <c r="C5462" s="1" t="n">
        <v>45363</v>
      </c>
      <c r="D5462" t="inlineStr">
        <is>
          <t>JÄMTLANDS LÄN</t>
        </is>
      </c>
      <c r="E5462" t="inlineStr">
        <is>
          <t>STRÖMSUND</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9957-2022</t>
        </is>
      </c>
      <c r="B5463" s="1" t="n">
        <v>44620</v>
      </c>
      <c r="C5463" s="1" t="n">
        <v>45363</v>
      </c>
      <c r="D5463" t="inlineStr">
        <is>
          <t>JÄMTLANDS LÄN</t>
        </is>
      </c>
      <c r="E5463" t="inlineStr">
        <is>
          <t>STRÖMSUND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10077-2022</t>
        </is>
      </c>
      <c r="B5464" s="1" t="n">
        <v>44621</v>
      </c>
      <c r="C5464" s="1" t="n">
        <v>45363</v>
      </c>
      <c r="D5464" t="inlineStr">
        <is>
          <t>JÄMTLANDS LÄN</t>
        </is>
      </c>
      <c r="E5464" t="inlineStr">
        <is>
          <t>STRÖMSUND</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10130-2022</t>
        </is>
      </c>
      <c r="B5465" s="1" t="n">
        <v>44621</v>
      </c>
      <c r="C5465" s="1" t="n">
        <v>45363</v>
      </c>
      <c r="D5465" t="inlineStr">
        <is>
          <t>JÄMTLANDS LÄN</t>
        </is>
      </c>
      <c r="E5465" t="inlineStr">
        <is>
          <t>BRÄCKE</t>
        </is>
      </c>
      <c r="F5465" t="inlineStr">
        <is>
          <t>SCA</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10120-2022</t>
        </is>
      </c>
      <c r="B5466" s="1" t="n">
        <v>44621</v>
      </c>
      <c r="C5466" s="1" t="n">
        <v>45363</v>
      </c>
      <c r="D5466" t="inlineStr">
        <is>
          <t>JÄMTLANDS LÄN</t>
        </is>
      </c>
      <c r="E5466" t="inlineStr">
        <is>
          <t>RAGUNDA</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10144-2022</t>
        </is>
      </c>
      <c r="B5467" s="1" t="n">
        <v>44621</v>
      </c>
      <c r="C5467" s="1" t="n">
        <v>45363</v>
      </c>
      <c r="D5467" t="inlineStr">
        <is>
          <t>JÄMTLANDS LÄN</t>
        </is>
      </c>
      <c r="E5467" t="inlineStr">
        <is>
          <t>STRÖMSUND</t>
        </is>
      </c>
      <c r="F5467" t="inlineStr">
        <is>
          <t>SCA</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10129-2022</t>
        </is>
      </c>
      <c r="B5468" s="1" t="n">
        <v>44621</v>
      </c>
      <c r="C5468" s="1" t="n">
        <v>45363</v>
      </c>
      <c r="D5468" t="inlineStr">
        <is>
          <t>JÄMTLANDS LÄN</t>
        </is>
      </c>
      <c r="E5468" t="inlineStr">
        <is>
          <t>BRÄCKE</t>
        </is>
      </c>
      <c r="F5468" t="inlineStr">
        <is>
          <t>SCA</t>
        </is>
      </c>
      <c r="G5468" t="n">
        <v>15.6</v>
      </c>
      <c r="H5468" t="n">
        <v>0</v>
      </c>
      <c r="I5468" t="n">
        <v>0</v>
      </c>
      <c r="J5468" t="n">
        <v>0</v>
      </c>
      <c r="K5468" t="n">
        <v>0</v>
      </c>
      <c r="L5468" t="n">
        <v>0</v>
      </c>
      <c r="M5468" t="n">
        <v>0</v>
      </c>
      <c r="N5468" t="n">
        <v>0</v>
      </c>
      <c r="O5468" t="n">
        <v>0</v>
      </c>
      <c r="P5468" t="n">
        <v>0</v>
      </c>
      <c r="Q5468" t="n">
        <v>0</v>
      </c>
      <c r="R5468" s="2" t="inlineStr"/>
    </row>
    <row r="5469" ht="15" customHeight="1">
      <c r="A5469" t="inlineStr">
        <is>
          <t>A 10136-2022</t>
        </is>
      </c>
      <c r="B5469" s="1" t="n">
        <v>44621</v>
      </c>
      <c r="C5469" s="1" t="n">
        <v>45363</v>
      </c>
      <c r="D5469" t="inlineStr">
        <is>
          <t>JÄMTLANDS LÄN</t>
        </is>
      </c>
      <c r="E5469" t="inlineStr">
        <is>
          <t>STRÖMSUND</t>
        </is>
      </c>
      <c r="F5469" t="inlineStr">
        <is>
          <t>SCA</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10249-2022</t>
        </is>
      </c>
      <c r="B5470" s="1" t="n">
        <v>44622</v>
      </c>
      <c r="C5470" s="1" t="n">
        <v>45363</v>
      </c>
      <c r="D5470" t="inlineStr">
        <is>
          <t>JÄMTLANDS LÄN</t>
        </is>
      </c>
      <c r="E5470" t="inlineStr">
        <is>
          <t>STRÖMSUND</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10322-2022</t>
        </is>
      </c>
      <c r="B5471" s="1" t="n">
        <v>44622</v>
      </c>
      <c r="C5471" s="1" t="n">
        <v>45363</v>
      </c>
      <c r="D5471" t="inlineStr">
        <is>
          <t>JÄMTLANDS LÄN</t>
        </is>
      </c>
      <c r="E5471" t="inlineStr">
        <is>
          <t>STRÖMSUND</t>
        </is>
      </c>
      <c r="F5471" t="inlineStr">
        <is>
          <t>SCA</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10323-2022</t>
        </is>
      </c>
      <c r="B5472" s="1" t="n">
        <v>44622</v>
      </c>
      <c r="C5472" s="1" t="n">
        <v>45363</v>
      </c>
      <c r="D5472" t="inlineStr">
        <is>
          <t>JÄMTLANDS LÄN</t>
        </is>
      </c>
      <c r="E5472" t="inlineStr">
        <is>
          <t>STRÖMSUND</t>
        </is>
      </c>
      <c r="F5472" t="inlineStr">
        <is>
          <t>SCA</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10319-2022</t>
        </is>
      </c>
      <c r="B5473" s="1" t="n">
        <v>44622</v>
      </c>
      <c r="C5473" s="1" t="n">
        <v>45363</v>
      </c>
      <c r="D5473" t="inlineStr">
        <is>
          <t>JÄMTLANDS LÄN</t>
        </is>
      </c>
      <c r="E5473" t="inlineStr">
        <is>
          <t>STRÖMSUND</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10476-2022</t>
        </is>
      </c>
      <c r="B5474" s="1" t="n">
        <v>44623</v>
      </c>
      <c r="C5474" s="1" t="n">
        <v>45363</v>
      </c>
      <c r="D5474" t="inlineStr">
        <is>
          <t>JÄMTLANDS LÄN</t>
        </is>
      </c>
      <c r="E5474" t="inlineStr">
        <is>
          <t>BRÄCKE</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10532-2022</t>
        </is>
      </c>
      <c r="B5475" s="1" t="n">
        <v>44623</v>
      </c>
      <c r="C5475" s="1" t="n">
        <v>45363</v>
      </c>
      <c r="D5475" t="inlineStr">
        <is>
          <t>JÄMTLANDS LÄN</t>
        </is>
      </c>
      <c r="E5475" t="inlineStr">
        <is>
          <t>BRÄCKE</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10536-2022</t>
        </is>
      </c>
      <c r="B5476" s="1" t="n">
        <v>44623</v>
      </c>
      <c r="C5476" s="1" t="n">
        <v>45363</v>
      </c>
      <c r="D5476" t="inlineStr">
        <is>
          <t>JÄMTLANDS LÄN</t>
        </is>
      </c>
      <c r="E5476" t="inlineStr">
        <is>
          <t>BRÄCKE</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10540-2022</t>
        </is>
      </c>
      <c r="B5477" s="1" t="n">
        <v>44623</v>
      </c>
      <c r="C5477" s="1" t="n">
        <v>45363</v>
      </c>
      <c r="D5477" t="inlineStr">
        <is>
          <t>JÄMTLANDS LÄN</t>
        </is>
      </c>
      <c r="E5477" t="inlineStr">
        <is>
          <t>BRÄCKE</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10535-2022</t>
        </is>
      </c>
      <c r="B5478" s="1" t="n">
        <v>44623</v>
      </c>
      <c r="C5478" s="1" t="n">
        <v>45363</v>
      </c>
      <c r="D5478" t="inlineStr">
        <is>
          <t>JÄMTLANDS LÄN</t>
        </is>
      </c>
      <c r="E5478" t="inlineStr">
        <is>
          <t>BRÄCKE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10539-2022</t>
        </is>
      </c>
      <c r="B5479" s="1" t="n">
        <v>44623</v>
      </c>
      <c r="C5479" s="1" t="n">
        <v>45363</v>
      </c>
      <c r="D5479" t="inlineStr">
        <is>
          <t>JÄMTLANDS LÄN</t>
        </is>
      </c>
      <c r="E5479" t="inlineStr">
        <is>
          <t>BRÄCKE</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10543-2022</t>
        </is>
      </c>
      <c r="B5480" s="1" t="n">
        <v>44623</v>
      </c>
      <c r="C5480" s="1" t="n">
        <v>45363</v>
      </c>
      <c r="D5480" t="inlineStr">
        <is>
          <t>JÄMTLANDS LÄN</t>
        </is>
      </c>
      <c r="E5480" t="inlineStr">
        <is>
          <t>BRÄCKE</t>
        </is>
      </c>
      <c r="G5480" t="n">
        <v>9.199999999999999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10527-2022</t>
        </is>
      </c>
      <c r="B5481" s="1" t="n">
        <v>44623</v>
      </c>
      <c r="C5481" s="1" t="n">
        <v>45363</v>
      </c>
      <c r="D5481" t="inlineStr">
        <is>
          <t>JÄMTLANDS LÄN</t>
        </is>
      </c>
      <c r="E5481" t="inlineStr">
        <is>
          <t>STRÖMSUND</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10534-2022</t>
        </is>
      </c>
      <c r="B5482" s="1" t="n">
        <v>44623</v>
      </c>
      <c r="C5482" s="1" t="n">
        <v>45363</v>
      </c>
      <c r="D5482" t="inlineStr">
        <is>
          <t>JÄMTLANDS LÄN</t>
        </is>
      </c>
      <c r="E5482" t="inlineStr">
        <is>
          <t>BRÄCKE</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10538-2022</t>
        </is>
      </c>
      <c r="B5483" s="1" t="n">
        <v>44623</v>
      </c>
      <c r="C5483" s="1" t="n">
        <v>45363</v>
      </c>
      <c r="D5483" t="inlineStr">
        <is>
          <t>JÄMTLANDS LÄN</t>
        </is>
      </c>
      <c r="E5483" t="inlineStr">
        <is>
          <t>BRÄCKE</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10542-2022</t>
        </is>
      </c>
      <c r="B5484" s="1" t="n">
        <v>44623</v>
      </c>
      <c r="C5484" s="1" t="n">
        <v>45363</v>
      </c>
      <c r="D5484" t="inlineStr">
        <is>
          <t>JÄMTLANDS LÄN</t>
        </is>
      </c>
      <c r="E5484" t="inlineStr">
        <is>
          <t>BRÄCKE</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10504-2022</t>
        </is>
      </c>
      <c r="B5485" s="1" t="n">
        <v>44623</v>
      </c>
      <c r="C5485" s="1" t="n">
        <v>45363</v>
      </c>
      <c r="D5485" t="inlineStr">
        <is>
          <t>JÄMTLANDS LÄN</t>
        </is>
      </c>
      <c r="E5485" t="inlineStr">
        <is>
          <t>HÄRJEDALEN</t>
        </is>
      </c>
      <c r="F5485" t="inlineStr">
        <is>
          <t>Holmen skog AB</t>
        </is>
      </c>
      <c r="G5485" t="n">
        <v>11.6</v>
      </c>
      <c r="H5485" t="n">
        <v>0</v>
      </c>
      <c r="I5485" t="n">
        <v>0</v>
      </c>
      <c r="J5485" t="n">
        <v>0</v>
      </c>
      <c r="K5485" t="n">
        <v>0</v>
      </c>
      <c r="L5485" t="n">
        <v>0</v>
      </c>
      <c r="M5485" t="n">
        <v>0</v>
      </c>
      <c r="N5485" t="n">
        <v>0</v>
      </c>
      <c r="O5485" t="n">
        <v>0</v>
      </c>
      <c r="P5485" t="n">
        <v>0</v>
      </c>
      <c r="Q5485" t="n">
        <v>0</v>
      </c>
      <c r="R5485" s="2" t="inlineStr"/>
    </row>
    <row r="5486" ht="15" customHeight="1">
      <c r="A5486" t="inlineStr">
        <is>
          <t>A 10533-2022</t>
        </is>
      </c>
      <c r="B5486" s="1" t="n">
        <v>44623</v>
      </c>
      <c r="C5486" s="1" t="n">
        <v>45363</v>
      </c>
      <c r="D5486" t="inlineStr">
        <is>
          <t>JÄMTLANDS LÄN</t>
        </is>
      </c>
      <c r="E5486" t="inlineStr">
        <is>
          <t>BRÄCKE</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10537-2022</t>
        </is>
      </c>
      <c r="B5487" s="1" t="n">
        <v>44623</v>
      </c>
      <c r="C5487" s="1" t="n">
        <v>45363</v>
      </c>
      <c r="D5487" t="inlineStr">
        <is>
          <t>JÄMTLANDS LÄN</t>
        </is>
      </c>
      <c r="E5487" t="inlineStr">
        <is>
          <t>BRÄCKE</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10647-2022</t>
        </is>
      </c>
      <c r="B5488" s="1" t="n">
        <v>44624</v>
      </c>
      <c r="C5488" s="1" t="n">
        <v>45363</v>
      </c>
      <c r="D5488" t="inlineStr">
        <is>
          <t>JÄMTLANDS LÄN</t>
        </is>
      </c>
      <c r="E5488" t="inlineStr">
        <is>
          <t>STRÖMSUND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10656-2022</t>
        </is>
      </c>
      <c r="B5489" s="1" t="n">
        <v>44624</v>
      </c>
      <c r="C5489" s="1" t="n">
        <v>45363</v>
      </c>
      <c r="D5489" t="inlineStr">
        <is>
          <t>JÄMTLANDS LÄN</t>
        </is>
      </c>
      <c r="E5489" t="inlineStr">
        <is>
          <t>STRÖMSUND</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10698-2022</t>
        </is>
      </c>
      <c r="B5490" s="1" t="n">
        <v>44624</v>
      </c>
      <c r="C5490" s="1" t="n">
        <v>45363</v>
      </c>
      <c r="D5490" t="inlineStr">
        <is>
          <t>JÄMTLANDS LÄN</t>
        </is>
      </c>
      <c r="E5490" t="inlineStr">
        <is>
          <t>STRÖMSUND</t>
        </is>
      </c>
      <c r="F5490" t="inlineStr">
        <is>
          <t>SCA</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10727-2022</t>
        </is>
      </c>
      <c r="B5491" s="1" t="n">
        <v>44627</v>
      </c>
      <c r="C5491" s="1" t="n">
        <v>45363</v>
      </c>
      <c r="D5491" t="inlineStr">
        <is>
          <t>JÄMTLANDS LÄN</t>
        </is>
      </c>
      <c r="E5491" t="inlineStr">
        <is>
          <t>HÄRJEDALEN</t>
        </is>
      </c>
      <c r="F5491" t="inlineStr">
        <is>
          <t>Holmen skog AB</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10741-2022</t>
        </is>
      </c>
      <c r="B5492" s="1" t="n">
        <v>44627</v>
      </c>
      <c r="C5492" s="1" t="n">
        <v>45363</v>
      </c>
      <c r="D5492" t="inlineStr">
        <is>
          <t>JÄMTLANDS LÄN</t>
        </is>
      </c>
      <c r="E5492" t="inlineStr">
        <is>
          <t>HÄRJEDALEN</t>
        </is>
      </c>
      <c r="F5492" t="inlineStr">
        <is>
          <t>Holmen skog AB</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10815-2022</t>
        </is>
      </c>
      <c r="B5493" s="1" t="n">
        <v>44627</v>
      </c>
      <c r="C5493" s="1" t="n">
        <v>45363</v>
      </c>
      <c r="D5493" t="inlineStr">
        <is>
          <t>JÄMTLANDS LÄN</t>
        </is>
      </c>
      <c r="E5493" t="inlineStr">
        <is>
          <t>BRÄCKE</t>
        </is>
      </c>
      <c r="G5493" t="n">
        <v>9</v>
      </c>
      <c r="H5493" t="n">
        <v>0</v>
      </c>
      <c r="I5493" t="n">
        <v>0</v>
      </c>
      <c r="J5493" t="n">
        <v>0</v>
      </c>
      <c r="K5493" t="n">
        <v>0</v>
      </c>
      <c r="L5493" t="n">
        <v>0</v>
      </c>
      <c r="M5493" t="n">
        <v>0</v>
      </c>
      <c r="N5493" t="n">
        <v>0</v>
      </c>
      <c r="O5493" t="n">
        <v>0</v>
      </c>
      <c r="P5493" t="n">
        <v>0</v>
      </c>
      <c r="Q5493" t="n">
        <v>0</v>
      </c>
      <c r="R5493" s="2" t="inlineStr"/>
    </row>
    <row r="5494" ht="15" customHeight="1">
      <c r="A5494" t="inlineStr">
        <is>
          <t>A 10905-2022</t>
        </is>
      </c>
      <c r="B5494" s="1" t="n">
        <v>44627</v>
      </c>
      <c r="C5494" s="1" t="n">
        <v>45363</v>
      </c>
      <c r="D5494" t="inlineStr">
        <is>
          <t>JÄMTLANDS LÄN</t>
        </is>
      </c>
      <c r="E5494" t="inlineStr">
        <is>
          <t>RAGUNDA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10904-2022</t>
        </is>
      </c>
      <c r="B5495" s="1" t="n">
        <v>44627</v>
      </c>
      <c r="C5495" s="1" t="n">
        <v>45363</v>
      </c>
      <c r="D5495" t="inlineStr">
        <is>
          <t>JÄMTLANDS LÄN</t>
        </is>
      </c>
      <c r="E5495" t="inlineStr">
        <is>
          <t>STRÖMSUND</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10956-2022</t>
        </is>
      </c>
      <c r="B5496" s="1" t="n">
        <v>44628</v>
      </c>
      <c r="C5496" s="1" t="n">
        <v>45363</v>
      </c>
      <c r="D5496" t="inlineStr">
        <is>
          <t>JÄMTLANDS LÄN</t>
        </is>
      </c>
      <c r="E5496" t="inlineStr">
        <is>
          <t>HÄRJEDALEN</t>
        </is>
      </c>
      <c r="F5496" t="inlineStr">
        <is>
          <t>Holmen skog AB</t>
        </is>
      </c>
      <c r="G5496" t="n">
        <v>21.8</v>
      </c>
      <c r="H5496" t="n">
        <v>0</v>
      </c>
      <c r="I5496" t="n">
        <v>0</v>
      </c>
      <c r="J5496" t="n">
        <v>0</v>
      </c>
      <c r="K5496" t="n">
        <v>0</v>
      </c>
      <c r="L5496" t="n">
        <v>0</v>
      </c>
      <c r="M5496" t="n">
        <v>0</v>
      </c>
      <c r="N5496" t="n">
        <v>0</v>
      </c>
      <c r="O5496" t="n">
        <v>0</v>
      </c>
      <c r="P5496" t="n">
        <v>0</v>
      </c>
      <c r="Q5496" t="n">
        <v>0</v>
      </c>
      <c r="R5496" s="2" t="inlineStr"/>
    </row>
    <row r="5497" ht="15" customHeight="1">
      <c r="A5497" t="inlineStr">
        <is>
          <t>A 10959-2022</t>
        </is>
      </c>
      <c r="B5497" s="1" t="n">
        <v>44628</v>
      </c>
      <c r="C5497" s="1" t="n">
        <v>45363</v>
      </c>
      <c r="D5497" t="inlineStr">
        <is>
          <t>JÄMTLANDS LÄN</t>
        </is>
      </c>
      <c r="E5497" t="inlineStr">
        <is>
          <t>HÄRJEDALEN</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10972-2022</t>
        </is>
      </c>
      <c r="B5498" s="1" t="n">
        <v>44628</v>
      </c>
      <c r="C5498" s="1" t="n">
        <v>45363</v>
      </c>
      <c r="D5498" t="inlineStr">
        <is>
          <t>JÄMTLANDS LÄN</t>
        </is>
      </c>
      <c r="E5498" t="inlineStr">
        <is>
          <t>RAGUNDA</t>
        </is>
      </c>
      <c r="G5498" t="n">
        <v>9.5</v>
      </c>
      <c r="H5498" t="n">
        <v>0</v>
      </c>
      <c r="I5498" t="n">
        <v>0</v>
      </c>
      <c r="J5498" t="n">
        <v>0</v>
      </c>
      <c r="K5498" t="n">
        <v>0</v>
      </c>
      <c r="L5498" t="n">
        <v>0</v>
      </c>
      <c r="M5498" t="n">
        <v>0</v>
      </c>
      <c r="N5498" t="n">
        <v>0</v>
      </c>
      <c r="O5498" t="n">
        <v>0</v>
      </c>
      <c r="P5498" t="n">
        <v>0</v>
      </c>
      <c r="Q5498" t="n">
        <v>0</v>
      </c>
      <c r="R5498" s="2" t="inlineStr"/>
    </row>
    <row r="5499" ht="15" customHeight="1">
      <c r="A5499" t="inlineStr">
        <is>
          <t>A 11093-2022</t>
        </is>
      </c>
      <c r="B5499" s="1" t="n">
        <v>44628</v>
      </c>
      <c r="C5499" s="1" t="n">
        <v>45363</v>
      </c>
      <c r="D5499" t="inlineStr">
        <is>
          <t>JÄMTLANDS LÄN</t>
        </is>
      </c>
      <c r="E5499" t="inlineStr">
        <is>
          <t>BRÄCKE</t>
        </is>
      </c>
      <c r="G5499" t="n">
        <v>16.4</v>
      </c>
      <c r="H5499" t="n">
        <v>0</v>
      </c>
      <c r="I5499" t="n">
        <v>0</v>
      </c>
      <c r="J5499" t="n">
        <v>0</v>
      </c>
      <c r="K5499" t="n">
        <v>0</v>
      </c>
      <c r="L5499" t="n">
        <v>0</v>
      </c>
      <c r="M5499" t="n">
        <v>0</v>
      </c>
      <c r="N5499" t="n">
        <v>0</v>
      </c>
      <c r="O5499" t="n">
        <v>0</v>
      </c>
      <c r="P5499" t="n">
        <v>0</v>
      </c>
      <c r="Q5499" t="n">
        <v>0</v>
      </c>
      <c r="R5499" s="2" t="inlineStr"/>
    </row>
    <row r="5500" ht="15" customHeight="1">
      <c r="A5500" t="inlineStr">
        <is>
          <t>A 11112-2022</t>
        </is>
      </c>
      <c r="B5500" s="1" t="n">
        <v>44628</v>
      </c>
      <c r="C5500" s="1" t="n">
        <v>45363</v>
      </c>
      <c r="D5500" t="inlineStr">
        <is>
          <t>JÄMTLANDS LÄN</t>
        </is>
      </c>
      <c r="E5500" t="inlineStr">
        <is>
          <t>ÅRE</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11113-2022</t>
        </is>
      </c>
      <c r="B5501" s="1" t="n">
        <v>44628</v>
      </c>
      <c r="C5501" s="1" t="n">
        <v>45363</v>
      </c>
      <c r="D5501" t="inlineStr">
        <is>
          <t>JÄMTLANDS LÄN</t>
        </is>
      </c>
      <c r="E5501" t="inlineStr">
        <is>
          <t>KROKOM</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11217-2022</t>
        </is>
      </c>
      <c r="B5502" s="1" t="n">
        <v>44629</v>
      </c>
      <c r="C5502" s="1" t="n">
        <v>45363</v>
      </c>
      <c r="D5502" t="inlineStr">
        <is>
          <t>JÄMTLANDS LÄN</t>
        </is>
      </c>
      <c r="E5502" t="inlineStr">
        <is>
          <t>RAGUNDA</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11158-2022</t>
        </is>
      </c>
      <c r="B5503" s="1" t="n">
        <v>44629</v>
      </c>
      <c r="C5503" s="1" t="n">
        <v>45363</v>
      </c>
      <c r="D5503" t="inlineStr">
        <is>
          <t>JÄMTLANDS LÄN</t>
        </is>
      </c>
      <c r="E5503" t="inlineStr">
        <is>
          <t>STRÖMSUND</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11313-2022</t>
        </is>
      </c>
      <c r="B5504" s="1" t="n">
        <v>44629</v>
      </c>
      <c r="C5504" s="1" t="n">
        <v>45363</v>
      </c>
      <c r="D5504" t="inlineStr">
        <is>
          <t>JÄMTLANDS LÄN</t>
        </is>
      </c>
      <c r="E5504" t="inlineStr">
        <is>
          <t>BRÄCKE</t>
        </is>
      </c>
      <c r="F5504" t="inlineStr">
        <is>
          <t>SCA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11288-2022</t>
        </is>
      </c>
      <c r="B5505" s="1" t="n">
        <v>44629</v>
      </c>
      <c r="C5505" s="1" t="n">
        <v>45363</v>
      </c>
      <c r="D5505" t="inlineStr">
        <is>
          <t>JÄMTLANDS LÄN</t>
        </is>
      </c>
      <c r="E5505" t="inlineStr">
        <is>
          <t>RAGUNDA</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11334-2022</t>
        </is>
      </c>
      <c r="B5506" s="1" t="n">
        <v>44630</v>
      </c>
      <c r="C5506" s="1" t="n">
        <v>45363</v>
      </c>
      <c r="D5506" t="inlineStr">
        <is>
          <t>JÄMTLANDS LÄN</t>
        </is>
      </c>
      <c r="E5506" t="inlineStr">
        <is>
          <t>HÄRJEDALEN</t>
        </is>
      </c>
      <c r="F5506" t="inlineStr">
        <is>
          <t>Holmen skog AB</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11487-2022</t>
        </is>
      </c>
      <c r="B5507" s="1" t="n">
        <v>44630</v>
      </c>
      <c r="C5507" s="1" t="n">
        <v>45363</v>
      </c>
      <c r="D5507" t="inlineStr">
        <is>
          <t>JÄMTLANDS LÄN</t>
        </is>
      </c>
      <c r="E5507" t="inlineStr">
        <is>
          <t>RAGUNDA</t>
        </is>
      </c>
      <c r="F5507" t="inlineStr">
        <is>
          <t>SCA</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11512-2022</t>
        </is>
      </c>
      <c r="B5508" s="1" t="n">
        <v>44631</v>
      </c>
      <c r="C5508" s="1" t="n">
        <v>45363</v>
      </c>
      <c r="D5508" t="inlineStr">
        <is>
          <t>JÄMTLANDS LÄN</t>
        </is>
      </c>
      <c r="E5508" t="inlineStr">
        <is>
          <t>HÄRJEDALEN</t>
        </is>
      </c>
      <c r="F5508" t="inlineStr">
        <is>
          <t>Holmen skog AB</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11528-2022</t>
        </is>
      </c>
      <c r="B5509" s="1" t="n">
        <v>44631</v>
      </c>
      <c r="C5509" s="1" t="n">
        <v>45363</v>
      </c>
      <c r="D5509" t="inlineStr">
        <is>
          <t>JÄMTLANDS LÄN</t>
        </is>
      </c>
      <c r="E5509" t="inlineStr">
        <is>
          <t>HÄRJEDALEN</t>
        </is>
      </c>
      <c r="F5509" t="inlineStr">
        <is>
          <t>Holmen skog AB</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11553-2022</t>
        </is>
      </c>
      <c r="B5510" s="1" t="n">
        <v>44631</v>
      </c>
      <c r="C5510" s="1" t="n">
        <v>45363</v>
      </c>
      <c r="D5510" t="inlineStr">
        <is>
          <t>JÄMTLANDS LÄN</t>
        </is>
      </c>
      <c r="E5510" t="inlineStr">
        <is>
          <t>HÄRJEDALEN</t>
        </is>
      </c>
      <c r="F5510" t="inlineStr">
        <is>
          <t>Holmen skog AB</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11525-2022</t>
        </is>
      </c>
      <c r="B5511" s="1" t="n">
        <v>44631</v>
      </c>
      <c r="C5511" s="1" t="n">
        <v>45363</v>
      </c>
      <c r="D5511" t="inlineStr">
        <is>
          <t>JÄMTLANDS LÄN</t>
        </is>
      </c>
      <c r="E5511" t="inlineStr">
        <is>
          <t>HÄRJEDALEN</t>
        </is>
      </c>
      <c r="F5511" t="inlineStr">
        <is>
          <t>Holmen skog AB</t>
        </is>
      </c>
      <c r="G5511" t="n">
        <v>9.699999999999999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11545-2022</t>
        </is>
      </c>
      <c r="B5512" s="1" t="n">
        <v>44631</v>
      </c>
      <c r="C5512" s="1" t="n">
        <v>45363</v>
      </c>
      <c r="D5512" t="inlineStr">
        <is>
          <t>JÄMTLANDS LÄN</t>
        </is>
      </c>
      <c r="E5512" t="inlineStr">
        <is>
          <t>HÄRJEDALEN</t>
        </is>
      </c>
      <c r="F5512" t="inlineStr">
        <is>
          <t>Holmen skog AB</t>
        </is>
      </c>
      <c r="G5512" t="n">
        <v>9.300000000000001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11522-2022</t>
        </is>
      </c>
      <c r="B5513" s="1" t="n">
        <v>44631</v>
      </c>
      <c r="C5513" s="1" t="n">
        <v>45363</v>
      </c>
      <c r="D5513" t="inlineStr">
        <is>
          <t>JÄMTLANDS LÄN</t>
        </is>
      </c>
      <c r="E5513" t="inlineStr">
        <is>
          <t>HÄRJEDALEN</t>
        </is>
      </c>
      <c r="F5513" t="inlineStr">
        <is>
          <t>Holmen skog AB</t>
        </is>
      </c>
      <c r="G5513" t="n">
        <v>9.699999999999999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11527-2022</t>
        </is>
      </c>
      <c r="B5514" s="1" t="n">
        <v>44631</v>
      </c>
      <c r="C5514" s="1" t="n">
        <v>45363</v>
      </c>
      <c r="D5514" t="inlineStr">
        <is>
          <t>JÄMTLANDS LÄN</t>
        </is>
      </c>
      <c r="E5514" t="inlineStr">
        <is>
          <t>HÄRJEDALEN</t>
        </is>
      </c>
      <c r="F5514" t="inlineStr">
        <is>
          <t>Holmen skog AB</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11557-2022</t>
        </is>
      </c>
      <c r="B5515" s="1" t="n">
        <v>44631</v>
      </c>
      <c r="C5515" s="1" t="n">
        <v>45363</v>
      </c>
      <c r="D5515" t="inlineStr">
        <is>
          <t>JÄMTLANDS LÄN</t>
        </is>
      </c>
      <c r="E5515" t="inlineStr">
        <is>
          <t>HÄRJEDALEN</t>
        </is>
      </c>
      <c r="F5515" t="inlineStr">
        <is>
          <t>Holmen skog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11578-2022</t>
        </is>
      </c>
      <c r="B5516" s="1" t="n">
        <v>44631</v>
      </c>
      <c r="C5516" s="1" t="n">
        <v>45363</v>
      </c>
      <c r="D5516" t="inlineStr">
        <is>
          <t>JÄMTLANDS LÄN</t>
        </is>
      </c>
      <c r="E5516" t="inlineStr">
        <is>
          <t>STRÖMSUND</t>
        </is>
      </c>
      <c r="G5516" t="n">
        <v>9.9</v>
      </c>
      <c r="H5516" t="n">
        <v>0</v>
      </c>
      <c r="I5516" t="n">
        <v>0</v>
      </c>
      <c r="J5516" t="n">
        <v>0</v>
      </c>
      <c r="K5516" t="n">
        <v>0</v>
      </c>
      <c r="L5516" t="n">
        <v>0</v>
      </c>
      <c r="M5516" t="n">
        <v>0</v>
      </c>
      <c r="N5516" t="n">
        <v>0</v>
      </c>
      <c r="O5516" t="n">
        <v>0</v>
      </c>
      <c r="P5516" t="n">
        <v>0</v>
      </c>
      <c r="Q5516" t="n">
        <v>0</v>
      </c>
      <c r="R5516" s="2" t="inlineStr"/>
    </row>
    <row r="5517" ht="15" customHeight="1">
      <c r="A5517" t="inlineStr">
        <is>
          <t>A 11541-2022</t>
        </is>
      </c>
      <c r="B5517" s="1" t="n">
        <v>44631</v>
      </c>
      <c r="C5517" s="1" t="n">
        <v>45363</v>
      </c>
      <c r="D5517" t="inlineStr">
        <is>
          <t>JÄMTLANDS LÄN</t>
        </is>
      </c>
      <c r="E5517" t="inlineStr">
        <is>
          <t>HÄRJEDALEN</t>
        </is>
      </c>
      <c r="F5517" t="inlineStr">
        <is>
          <t>Holmen skog AB</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11551-2022</t>
        </is>
      </c>
      <c r="B5518" s="1" t="n">
        <v>44631</v>
      </c>
      <c r="C5518" s="1" t="n">
        <v>45363</v>
      </c>
      <c r="D5518" t="inlineStr">
        <is>
          <t>JÄMTLANDS LÄN</t>
        </is>
      </c>
      <c r="E5518" t="inlineStr">
        <is>
          <t>HÄRJEDALEN</t>
        </is>
      </c>
      <c r="F5518" t="inlineStr">
        <is>
          <t>Holmen skog AB</t>
        </is>
      </c>
      <c r="G5518" t="n">
        <v>17.6</v>
      </c>
      <c r="H5518" t="n">
        <v>0</v>
      </c>
      <c r="I5518" t="n">
        <v>0</v>
      </c>
      <c r="J5518" t="n">
        <v>0</v>
      </c>
      <c r="K5518" t="n">
        <v>0</v>
      </c>
      <c r="L5518" t="n">
        <v>0</v>
      </c>
      <c r="M5518" t="n">
        <v>0</v>
      </c>
      <c r="N5518" t="n">
        <v>0</v>
      </c>
      <c r="O5518" t="n">
        <v>0</v>
      </c>
      <c r="P5518" t="n">
        <v>0</v>
      </c>
      <c r="Q5518" t="n">
        <v>0</v>
      </c>
      <c r="R5518" s="2" t="inlineStr"/>
    </row>
    <row r="5519" ht="15" customHeight="1">
      <c r="A5519" t="inlineStr">
        <is>
          <t>A 11591-2022</t>
        </is>
      </c>
      <c r="B5519" s="1" t="n">
        <v>44631</v>
      </c>
      <c r="C5519" s="1" t="n">
        <v>45363</v>
      </c>
      <c r="D5519" t="inlineStr">
        <is>
          <t>JÄMTLANDS LÄN</t>
        </is>
      </c>
      <c r="E5519" t="inlineStr">
        <is>
          <t>KROKOM</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11500-2022</t>
        </is>
      </c>
      <c r="B5520" s="1" t="n">
        <v>44631</v>
      </c>
      <c r="C5520" s="1" t="n">
        <v>45363</v>
      </c>
      <c r="D5520" t="inlineStr">
        <is>
          <t>JÄMTLANDS LÄN</t>
        </is>
      </c>
      <c r="E5520" t="inlineStr">
        <is>
          <t>ÅRE</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11740-2022</t>
        </is>
      </c>
      <c r="B5521" s="1" t="n">
        <v>44634</v>
      </c>
      <c r="C5521" s="1" t="n">
        <v>45363</v>
      </c>
      <c r="D5521" t="inlineStr">
        <is>
          <t>JÄMTLANDS LÄN</t>
        </is>
      </c>
      <c r="E5521" t="inlineStr">
        <is>
          <t>ÖSTERSUND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11856-2022</t>
        </is>
      </c>
      <c r="B5522" s="1" t="n">
        <v>44635</v>
      </c>
      <c r="C5522" s="1" t="n">
        <v>45363</v>
      </c>
      <c r="D5522" t="inlineStr">
        <is>
          <t>JÄMTLANDS LÄN</t>
        </is>
      </c>
      <c r="E5522" t="inlineStr">
        <is>
          <t>STRÖMSUND</t>
        </is>
      </c>
      <c r="G5522" t="n">
        <v>7.4</v>
      </c>
      <c r="H5522" t="n">
        <v>0</v>
      </c>
      <c r="I5522" t="n">
        <v>0</v>
      </c>
      <c r="J5522" t="n">
        <v>0</v>
      </c>
      <c r="K5522" t="n">
        <v>0</v>
      </c>
      <c r="L5522" t="n">
        <v>0</v>
      </c>
      <c r="M5522" t="n">
        <v>0</v>
      </c>
      <c r="N5522" t="n">
        <v>0</v>
      </c>
      <c r="O5522" t="n">
        <v>0</v>
      </c>
      <c r="P5522" t="n">
        <v>0</v>
      </c>
      <c r="Q5522" t="n">
        <v>0</v>
      </c>
      <c r="R5522" s="2" t="inlineStr"/>
    </row>
    <row r="5523" ht="15" customHeight="1">
      <c r="A5523" t="inlineStr">
        <is>
          <t>A 11933-2022</t>
        </is>
      </c>
      <c r="B5523" s="1" t="n">
        <v>44635</v>
      </c>
      <c r="C5523" s="1" t="n">
        <v>45363</v>
      </c>
      <c r="D5523" t="inlineStr">
        <is>
          <t>JÄMTLANDS LÄN</t>
        </is>
      </c>
      <c r="E5523" t="inlineStr">
        <is>
          <t>ÖSTERSUND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12018-2022</t>
        </is>
      </c>
      <c r="B5524" s="1" t="n">
        <v>44635</v>
      </c>
      <c r="C5524" s="1" t="n">
        <v>45363</v>
      </c>
      <c r="D5524" t="inlineStr">
        <is>
          <t>JÄMTLANDS LÄN</t>
        </is>
      </c>
      <c r="E5524" t="inlineStr">
        <is>
          <t>STRÖMSUND</t>
        </is>
      </c>
      <c r="F5524" t="inlineStr">
        <is>
          <t>SCA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12024-2022</t>
        </is>
      </c>
      <c r="B5525" s="1" t="n">
        <v>44635</v>
      </c>
      <c r="C5525" s="1" t="n">
        <v>45363</v>
      </c>
      <c r="D5525" t="inlineStr">
        <is>
          <t>JÄMTLANDS LÄN</t>
        </is>
      </c>
      <c r="E5525" t="inlineStr">
        <is>
          <t>RAGUNDA</t>
        </is>
      </c>
      <c r="F5525" t="inlineStr">
        <is>
          <t>SCA</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12198-2022</t>
        </is>
      </c>
      <c r="B5526" s="1" t="n">
        <v>44636</v>
      </c>
      <c r="C5526" s="1" t="n">
        <v>45363</v>
      </c>
      <c r="D5526" t="inlineStr">
        <is>
          <t>JÄMTLANDS LÄN</t>
        </is>
      </c>
      <c r="E5526" t="inlineStr">
        <is>
          <t>STRÖMSUND</t>
        </is>
      </c>
      <c r="F5526" t="inlineStr">
        <is>
          <t>SCA</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12301-2022</t>
        </is>
      </c>
      <c r="B5527" s="1" t="n">
        <v>44637</v>
      </c>
      <c r="C5527" s="1" t="n">
        <v>45363</v>
      </c>
      <c r="D5527" t="inlineStr">
        <is>
          <t>JÄMTLANDS LÄN</t>
        </is>
      </c>
      <c r="E5527" t="inlineStr">
        <is>
          <t>ÖSTERSUND</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12285-2022</t>
        </is>
      </c>
      <c r="B5528" s="1" t="n">
        <v>44637</v>
      </c>
      <c r="C5528" s="1" t="n">
        <v>45363</v>
      </c>
      <c r="D5528" t="inlineStr">
        <is>
          <t>JÄMTLANDS LÄN</t>
        </is>
      </c>
      <c r="E5528" t="inlineStr">
        <is>
          <t>ÖSTERSUND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12405-2022</t>
        </is>
      </c>
      <c r="B5529" s="1" t="n">
        <v>44637</v>
      </c>
      <c r="C5529" s="1" t="n">
        <v>45363</v>
      </c>
      <c r="D5529" t="inlineStr">
        <is>
          <t>JÄMTLANDS LÄN</t>
        </is>
      </c>
      <c r="E5529" t="inlineStr">
        <is>
          <t>STRÖMSUND</t>
        </is>
      </c>
      <c r="F5529" t="inlineStr">
        <is>
          <t>SCA</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13383-2022</t>
        </is>
      </c>
      <c r="B5530" s="1" t="n">
        <v>44637</v>
      </c>
      <c r="C5530" s="1" t="n">
        <v>45363</v>
      </c>
      <c r="D5530" t="inlineStr">
        <is>
          <t>JÄMTLANDS LÄN</t>
        </is>
      </c>
      <c r="E5530" t="inlineStr">
        <is>
          <t>ÅRE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12388-2022</t>
        </is>
      </c>
      <c r="B5531" s="1" t="n">
        <v>44637</v>
      </c>
      <c r="C5531" s="1" t="n">
        <v>45363</v>
      </c>
      <c r="D5531" t="inlineStr">
        <is>
          <t>JÄMTLANDS LÄN</t>
        </is>
      </c>
      <c r="E5531" t="inlineStr">
        <is>
          <t>BRÄCKE</t>
        </is>
      </c>
      <c r="G5531" t="n">
        <v>27.6</v>
      </c>
      <c r="H5531" t="n">
        <v>0</v>
      </c>
      <c r="I5531" t="n">
        <v>0</v>
      </c>
      <c r="J5531" t="n">
        <v>0</v>
      </c>
      <c r="K5531" t="n">
        <v>0</v>
      </c>
      <c r="L5531" t="n">
        <v>0</v>
      </c>
      <c r="M5531" t="n">
        <v>0</v>
      </c>
      <c r="N5531" t="n">
        <v>0</v>
      </c>
      <c r="O5531" t="n">
        <v>0</v>
      </c>
      <c r="P5531" t="n">
        <v>0</v>
      </c>
      <c r="Q5531" t="n">
        <v>0</v>
      </c>
      <c r="R5531" s="2" t="inlineStr"/>
    </row>
    <row r="5532" ht="15" customHeight="1">
      <c r="A5532" t="inlineStr">
        <is>
          <t>A 12404-2022</t>
        </is>
      </c>
      <c r="B5532" s="1" t="n">
        <v>44637</v>
      </c>
      <c r="C5532" s="1" t="n">
        <v>45363</v>
      </c>
      <c r="D5532" t="inlineStr">
        <is>
          <t>JÄMTLANDS LÄN</t>
        </is>
      </c>
      <c r="E5532" t="inlineStr">
        <is>
          <t>STRÖMSUND</t>
        </is>
      </c>
      <c r="F5532" t="inlineStr">
        <is>
          <t>SCA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12457-2022</t>
        </is>
      </c>
      <c r="B5533" s="1" t="n">
        <v>44638</v>
      </c>
      <c r="C5533" s="1" t="n">
        <v>45363</v>
      </c>
      <c r="D5533" t="inlineStr">
        <is>
          <t>JÄMTLANDS LÄN</t>
        </is>
      </c>
      <c r="E5533" t="inlineStr">
        <is>
          <t>BERG</t>
        </is>
      </c>
      <c r="G5533" t="n">
        <v>11.7</v>
      </c>
      <c r="H5533" t="n">
        <v>0</v>
      </c>
      <c r="I5533" t="n">
        <v>0</v>
      </c>
      <c r="J5533" t="n">
        <v>0</v>
      </c>
      <c r="K5533" t="n">
        <v>0</v>
      </c>
      <c r="L5533" t="n">
        <v>0</v>
      </c>
      <c r="M5533" t="n">
        <v>0</v>
      </c>
      <c r="N5533" t="n">
        <v>0</v>
      </c>
      <c r="O5533" t="n">
        <v>0</v>
      </c>
      <c r="P5533" t="n">
        <v>0</v>
      </c>
      <c r="Q5533" t="n">
        <v>0</v>
      </c>
      <c r="R5533" s="2" t="inlineStr"/>
    </row>
    <row r="5534" ht="15" customHeight="1">
      <c r="A5534" t="inlineStr">
        <is>
          <t>A 12468-2022</t>
        </is>
      </c>
      <c r="B5534" s="1" t="n">
        <v>44638</v>
      </c>
      <c r="C5534" s="1" t="n">
        <v>45363</v>
      </c>
      <c r="D5534" t="inlineStr">
        <is>
          <t>JÄMTLANDS LÄN</t>
        </is>
      </c>
      <c r="E5534" t="inlineStr">
        <is>
          <t>HÄRJEDALEN</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12543-2022</t>
        </is>
      </c>
      <c r="B5535" s="1" t="n">
        <v>44638</v>
      </c>
      <c r="C5535" s="1" t="n">
        <v>45363</v>
      </c>
      <c r="D5535" t="inlineStr">
        <is>
          <t>JÄMTLANDS LÄN</t>
        </is>
      </c>
      <c r="E5535" t="inlineStr">
        <is>
          <t>KROKOM</t>
        </is>
      </c>
      <c r="G5535" t="n">
        <v>7.9</v>
      </c>
      <c r="H5535" t="n">
        <v>0</v>
      </c>
      <c r="I5535" t="n">
        <v>0</v>
      </c>
      <c r="J5535" t="n">
        <v>0</v>
      </c>
      <c r="K5535" t="n">
        <v>0</v>
      </c>
      <c r="L5535" t="n">
        <v>0</v>
      </c>
      <c r="M5535" t="n">
        <v>0</v>
      </c>
      <c r="N5535" t="n">
        <v>0</v>
      </c>
      <c r="O5535" t="n">
        <v>0</v>
      </c>
      <c r="P5535" t="n">
        <v>0</v>
      </c>
      <c r="Q5535" t="n">
        <v>0</v>
      </c>
      <c r="R5535" s="2" t="inlineStr"/>
    </row>
    <row r="5536" ht="15" customHeight="1">
      <c r="A5536" t="inlineStr">
        <is>
          <t>A 12559-2022</t>
        </is>
      </c>
      <c r="B5536" s="1" t="n">
        <v>44638</v>
      </c>
      <c r="C5536" s="1" t="n">
        <v>45363</v>
      </c>
      <c r="D5536" t="inlineStr">
        <is>
          <t>JÄMTLANDS LÄN</t>
        </is>
      </c>
      <c r="E5536" t="inlineStr">
        <is>
          <t>RAGUNDA</t>
        </is>
      </c>
      <c r="F5536" t="inlineStr">
        <is>
          <t>SCA</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12610-2022</t>
        </is>
      </c>
      <c r="B5537" s="1" t="n">
        <v>44638</v>
      </c>
      <c r="C5537" s="1" t="n">
        <v>45363</v>
      </c>
      <c r="D5537" t="inlineStr">
        <is>
          <t>JÄMTLANDS LÄN</t>
        </is>
      </c>
      <c r="E5537" t="inlineStr">
        <is>
          <t>BRÄCKE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12601-2022</t>
        </is>
      </c>
      <c r="B5538" s="1" t="n">
        <v>44638</v>
      </c>
      <c r="C5538" s="1" t="n">
        <v>45363</v>
      </c>
      <c r="D5538" t="inlineStr">
        <is>
          <t>JÄMTLANDS LÄN</t>
        </is>
      </c>
      <c r="E5538" t="inlineStr">
        <is>
          <t>BRÄCKE</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12762-2022</t>
        </is>
      </c>
      <c r="B5539" s="1" t="n">
        <v>44641</v>
      </c>
      <c r="C5539" s="1" t="n">
        <v>45363</v>
      </c>
      <c r="D5539" t="inlineStr">
        <is>
          <t>JÄMTLANDS LÄN</t>
        </is>
      </c>
      <c r="E5539" t="inlineStr">
        <is>
          <t>STRÖMSUND</t>
        </is>
      </c>
      <c r="F5539" t="inlineStr">
        <is>
          <t>SCA</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12773-2022</t>
        </is>
      </c>
      <c r="B5540" s="1" t="n">
        <v>44641</v>
      </c>
      <c r="C5540" s="1" t="n">
        <v>45363</v>
      </c>
      <c r="D5540" t="inlineStr">
        <is>
          <t>JÄMTLANDS LÄN</t>
        </is>
      </c>
      <c r="E5540" t="inlineStr">
        <is>
          <t>RAGUNDA</t>
        </is>
      </c>
      <c r="F5540" t="inlineStr">
        <is>
          <t>SCA</t>
        </is>
      </c>
      <c r="G5540" t="n">
        <v>14.7</v>
      </c>
      <c r="H5540" t="n">
        <v>0</v>
      </c>
      <c r="I5540" t="n">
        <v>0</v>
      </c>
      <c r="J5540" t="n">
        <v>0</v>
      </c>
      <c r="K5540" t="n">
        <v>0</v>
      </c>
      <c r="L5540" t="n">
        <v>0</v>
      </c>
      <c r="M5540" t="n">
        <v>0</v>
      </c>
      <c r="N5540" t="n">
        <v>0</v>
      </c>
      <c r="O5540" t="n">
        <v>0</v>
      </c>
      <c r="P5540" t="n">
        <v>0</v>
      </c>
      <c r="Q5540" t="n">
        <v>0</v>
      </c>
      <c r="R5540" s="2" t="inlineStr"/>
    </row>
    <row r="5541" ht="15" customHeight="1">
      <c r="A5541" t="inlineStr">
        <is>
          <t>A 12768-2022</t>
        </is>
      </c>
      <c r="B5541" s="1" t="n">
        <v>44641</v>
      </c>
      <c r="C5541" s="1" t="n">
        <v>45363</v>
      </c>
      <c r="D5541" t="inlineStr">
        <is>
          <t>JÄMTLANDS LÄN</t>
        </is>
      </c>
      <c r="E5541" t="inlineStr">
        <is>
          <t>RAGUNDA</t>
        </is>
      </c>
      <c r="F5541" t="inlineStr">
        <is>
          <t>SCA</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12810-2022</t>
        </is>
      </c>
      <c r="B5542" s="1" t="n">
        <v>44642</v>
      </c>
      <c r="C5542" s="1" t="n">
        <v>45363</v>
      </c>
      <c r="D5542" t="inlineStr">
        <is>
          <t>JÄMTLANDS LÄN</t>
        </is>
      </c>
      <c r="E5542" t="inlineStr">
        <is>
          <t>HÄRJEDALEN</t>
        </is>
      </c>
      <c r="F5542" t="inlineStr">
        <is>
          <t>Holmen skog AB</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12822-2022</t>
        </is>
      </c>
      <c r="B5543" s="1" t="n">
        <v>44642</v>
      </c>
      <c r="C5543" s="1" t="n">
        <v>45363</v>
      </c>
      <c r="D5543" t="inlineStr">
        <is>
          <t>JÄMTLANDS LÄN</t>
        </is>
      </c>
      <c r="E5543" t="inlineStr">
        <is>
          <t>STRÖMSUND</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12946-2022</t>
        </is>
      </c>
      <c r="B5544" s="1" t="n">
        <v>44642</v>
      </c>
      <c r="C5544" s="1" t="n">
        <v>45363</v>
      </c>
      <c r="D5544" t="inlineStr">
        <is>
          <t>JÄMTLANDS LÄN</t>
        </is>
      </c>
      <c r="E5544" t="inlineStr">
        <is>
          <t>ÖSTERSUND</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13098-2022</t>
        </is>
      </c>
      <c r="B5545" s="1" t="n">
        <v>44643</v>
      </c>
      <c r="C5545" s="1" t="n">
        <v>45363</v>
      </c>
      <c r="D5545" t="inlineStr">
        <is>
          <t>JÄMTLANDS LÄN</t>
        </is>
      </c>
      <c r="E5545" t="inlineStr">
        <is>
          <t>STRÖMSUND</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13024-2022</t>
        </is>
      </c>
      <c r="B5546" s="1" t="n">
        <v>44643</v>
      </c>
      <c r="C5546" s="1" t="n">
        <v>45363</v>
      </c>
      <c r="D5546" t="inlineStr">
        <is>
          <t>JÄMTLANDS LÄN</t>
        </is>
      </c>
      <c r="E5546" t="inlineStr">
        <is>
          <t>ÖSTERSUND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13081-2022</t>
        </is>
      </c>
      <c r="B5547" s="1" t="n">
        <v>44643</v>
      </c>
      <c r="C5547" s="1" t="n">
        <v>45363</v>
      </c>
      <c r="D5547" t="inlineStr">
        <is>
          <t>JÄMTLANDS LÄN</t>
        </is>
      </c>
      <c r="E5547" t="inlineStr">
        <is>
          <t>HÄRJEDALEN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13099-2022</t>
        </is>
      </c>
      <c r="B5548" s="1" t="n">
        <v>44643</v>
      </c>
      <c r="C5548" s="1" t="n">
        <v>45363</v>
      </c>
      <c r="D5548" t="inlineStr">
        <is>
          <t>JÄMTLANDS LÄN</t>
        </is>
      </c>
      <c r="E5548" t="inlineStr">
        <is>
          <t>STRÖMSUND</t>
        </is>
      </c>
      <c r="F5548" t="inlineStr">
        <is>
          <t>SCA</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13302-2022</t>
        </is>
      </c>
      <c r="B5549" s="1" t="n">
        <v>44644</v>
      </c>
      <c r="C5549" s="1" t="n">
        <v>45363</v>
      </c>
      <c r="D5549" t="inlineStr">
        <is>
          <t>JÄMTLANDS LÄN</t>
        </is>
      </c>
      <c r="E5549" t="inlineStr">
        <is>
          <t>RAGUNDA</t>
        </is>
      </c>
      <c r="F5549" t="inlineStr">
        <is>
          <t>SCA</t>
        </is>
      </c>
      <c r="G5549" t="n">
        <v>35.6</v>
      </c>
      <c r="H5549" t="n">
        <v>0</v>
      </c>
      <c r="I5549" t="n">
        <v>0</v>
      </c>
      <c r="J5549" t="n">
        <v>0</v>
      </c>
      <c r="K5549" t="n">
        <v>0</v>
      </c>
      <c r="L5549" t="n">
        <v>0</v>
      </c>
      <c r="M5549" t="n">
        <v>0</v>
      </c>
      <c r="N5549" t="n">
        <v>0</v>
      </c>
      <c r="O5549" t="n">
        <v>0</v>
      </c>
      <c r="P5549" t="n">
        <v>0</v>
      </c>
      <c r="Q5549" t="n">
        <v>0</v>
      </c>
      <c r="R5549" s="2" t="inlineStr"/>
    </row>
    <row r="5550" ht="15" customHeight="1">
      <c r="A5550" t="inlineStr">
        <is>
          <t>A 13221-2022</t>
        </is>
      </c>
      <c r="B5550" s="1" t="n">
        <v>44644</v>
      </c>
      <c r="C5550" s="1" t="n">
        <v>45363</v>
      </c>
      <c r="D5550" t="inlineStr">
        <is>
          <t>JÄMTLANDS LÄN</t>
        </is>
      </c>
      <c r="E5550" t="inlineStr">
        <is>
          <t>ÅRE</t>
        </is>
      </c>
      <c r="F5550" t="inlineStr">
        <is>
          <t>Övriga Aktiebolag</t>
        </is>
      </c>
      <c r="G5550" t="n">
        <v>13.7</v>
      </c>
      <c r="H5550" t="n">
        <v>0</v>
      </c>
      <c r="I5550" t="n">
        <v>0</v>
      </c>
      <c r="J5550" t="n">
        <v>0</v>
      </c>
      <c r="K5550" t="n">
        <v>0</v>
      </c>
      <c r="L5550" t="n">
        <v>0</v>
      </c>
      <c r="M5550" t="n">
        <v>0</v>
      </c>
      <c r="N5550" t="n">
        <v>0</v>
      </c>
      <c r="O5550" t="n">
        <v>0</v>
      </c>
      <c r="P5550" t="n">
        <v>0</v>
      </c>
      <c r="Q5550" t="n">
        <v>0</v>
      </c>
      <c r="R5550" s="2" t="inlineStr"/>
    </row>
    <row r="5551" ht="15" customHeight="1">
      <c r="A5551" t="inlineStr">
        <is>
          <t>A 13303-2022</t>
        </is>
      </c>
      <c r="B5551" s="1" t="n">
        <v>44644</v>
      </c>
      <c r="C5551" s="1" t="n">
        <v>45363</v>
      </c>
      <c r="D5551" t="inlineStr">
        <is>
          <t>JÄMTLANDS LÄN</t>
        </is>
      </c>
      <c r="E5551" t="inlineStr">
        <is>
          <t>RAGUNDA</t>
        </is>
      </c>
      <c r="F5551" t="inlineStr">
        <is>
          <t>SCA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13324-2022</t>
        </is>
      </c>
      <c r="B5552" s="1" t="n">
        <v>44645</v>
      </c>
      <c r="C5552" s="1" t="n">
        <v>45363</v>
      </c>
      <c r="D5552" t="inlineStr">
        <is>
          <t>JÄMTLANDS LÄN</t>
        </is>
      </c>
      <c r="E5552" t="inlineStr">
        <is>
          <t>ÅRE</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13634-2022</t>
        </is>
      </c>
      <c r="B5553" s="1" t="n">
        <v>44648</v>
      </c>
      <c r="C5553" s="1" t="n">
        <v>45363</v>
      </c>
      <c r="D5553" t="inlineStr">
        <is>
          <t>JÄMTLANDS LÄN</t>
        </is>
      </c>
      <c r="E5553" t="inlineStr">
        <is>
          <t>BERG</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13513-2022</t>
        </is>
      </c>
      <c r="B5554" s="1" t="n">
        <v>44648</v>
      </c>
      <c r="C5554" s="1" t="n">
        <v>45363</v>
      </c>
      <c r="D5554" t="inlineStr">
        <is>
          <t>JÄMTLANDS LÄN</t>
        </is>
      </c>
      <c r="E5554" t="inlineStr">
        <is>
          <t>STRÖMSUND</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13525-2022</t>
        </is>
      </c>
      <c r="B5555" s="1" t="n">
        <v>44648</v>
      </c>
      <c r="C5555" s="1" t="n">
        <v>45363</v>
      </c>
      <c r="D5555" t="inlineStr">
        <is>
          <t>JÄMTLANDS LÄN</t>
        </is>
      </c>
      <c r="E5555" t="inlineStr">
        <is>
          <t>BRÄCKE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13636-2022</t>
        </is>
      </c>
      <c r="B5556" s="1" t="n">
        <v>44648</v>
      </c>
      <c r="C5556" s="1" t="n">
        <v>45363</v>
      </c>
      <c r="D5556" t="inlineStr">
        <is>
          <t>JÄMTLANDS LÄN</t>
        </is>
      </c>
      <c r="E5556" t="inlineStr">
        <is>
          <t>BERG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13769-2022</t>
        </is>
      </c>
      <c r="B5557" s="1" t="n">
        <v>44649</v>
      </c>
      <c r="C5557" s="1" t="n">
        <v>45363</v>
      </c>
      <c r="D5557" t="inlineStr">
        <is>
          <t>JÄMTLANDS LÄN</t>
        </is>
      </c>
      <c r="E5557" t="inlineStr">
        <is>
          <t>RAGUNDA</t>
        </is>
      </c>
      <c r="F5557" t="inlineStr">
        <is>
          <t>Kommuner</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13767-2022</t>
        </is>
      </c>
      <c r="B5558" s="1" t="n">
        <v>44649</v>
      </c>
      <c r="C5558" s="1" t="n">
        <v>45363</v>
      </c>
      <c r="D5558" t="inlineStr">
        <is>
          <t>JÄMTLANDS LÄN</t>
        </is>
      </c>
      <c r="E5558" t="inlineStr">
        <is>
          <t>RAGUNDA</t>
        </is>
      </c>
      <c r="F5558" t="inlineStr">
        <is>
          <t>Kommuner</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13768-2022</t>
        </is>
      </c>
      <c r="B5559" s="1" t="n">
        <v>44649</v>
      </c>
      <c r="C5559" s="1" t="n">
        <v>45363</v>
      </c>
      <c r="D5559" t="inlineStr">
        <is>
          <t>JÄMTLANDS LÄN</t>
        </is>
      </c>
      <c r="E5559" t="inlineStr">
        <is>
          <t>RAGUNDA</t>
        </is>
      </c>
      <c r="F5559" t="inlineStr">
        <is>
          <t>Kommuner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13964-2022</t>
        </is>
      </c>
      <c r="B5560" s="1" t="n">
        <v>44650</v>
      </c>
      <c r="C5560" s="1" t="n">
        <v>45363</v>
      </c>
      <c r="D5560" t="inlineStr">
        <is>
          <t>JÄMTLANDS LÄN</t>
        </is>
      </c>
      <c r="E5560" t="inlineStr">
        <is>
          <t>RAGUNDA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13911-2022</t>
        </is>
      </c>
      <c r="B5561" s="1" t="n">
        <v>44650</v>
      </c>
      <c r="C5561" s="1" t="n">
        <v>45363</v>
      </c>
      <c r="D5561" t="inlineStr">
        <is>
          <t>JÄMTLANDS LÄN</t>
        </is>
      </c>
      <c r="E5561" t="inlineStr">
        <is>
          <t>RAGUNDA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14043-2022</t>
        </is>
      </c>
      <c r="B5562" s="1" t="n">
        <v>44650</v>
      </c>
      <c r="C5562" s="1" t="n">
        <v>45363</v>
      </c>
      <c r="D5562" t="inlineStr">
        <is>
          <t>JÄMTLANDS LÄN</t>
        </is>
      </c>
      <c r="E5562" t="inlineStr">
        <is>
          <t>STRÖMSUND</t>
        </is>
      </c>
      <c r="G5562" t="n">
        <v>11.6</v>
      </c>
      <c r="H5562" t="n">
        <v>0</v>
      </c>
      <c r="I5562" t="n">
        <v>0</v>
      </c>
      <c r="J5562" t="n">
        <v>0</v>
      </c>
      <c r="K5562" t="n">
        <v>0</v>
      </c>
      <c r="L5562" t="n">
        <v>0</v>
      </c>
      <c r="M5562" t="n">
        <v>0</v>
      </c>
      <c r="N5562" t="n">
        <v>0</v>
      </c>
      <c r="O5562" t="n">
        <v>0</v>
      </c>
      <c r="P5562" t="n">
        <v>0</v>
      </c>
      <c r="Q5562" t="n">
        <v>0</v>
      </c>
      <c r="R5562" s="2" t="inlineStr"/>
    </row>
    <row r="5563" ht="15" customHeight="1">
      <c r="A5563" t="inlineStr">
        <is>
          <t>A 13991-2022</t>
        </is>
      </c>
      <c r="B5563" s="1" t="n">
        <v>44650</v>
      </c>
      <c r="C5563" s="1" t="n">
        <v>45363</v>
      </c>
      <c r="D5563" t="inlineStr">
        <is>
          <t>JÄMTLANDS LÄN</t>
        </is>
      </c>
      <c r="E5563" t="inlineStr">
        <is>
          <t>HÄRJEDALEN</t>
        </is>
      </c>
      <c r="F5563" t="inlineStr">
        <is>
          <t>Holmen skog AB</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14283-2022</t>
        </is>
      </c>
      <c r="B5564" s="1" t="n">
        <v>44651</v>
      </c>
      <c r="C5564" s="1" t="n">
        <v>45363</v>
      </c>
      <c r="D5564" t="inlineStr">
        <is>
          <t>JÄMTLANDS LÄN</t>
        </is>
      </c>
      <c r="E5564" t="inlineStr">
        <is>
          <t>STRÖMSUND</t>
        </is>
      </c>
      <c r="F5564" t="inlineStr">
        <is>
          <t>SCA</t>
        </is>
      </c>
      <c r="G5564" t="n">
        <v>10.6</v>
      </c>
      <c r="H5564" t="n">
        <v>0</v>
      </c>
      <c r="I5564" t="n">
        <v>0</v>
      </c>
      <c r="J5564" t="n">
        <v>0</v>
      </c>
      <c r="K5564" t="n">
        <v>0</v>
      </c>
      <c r="L5564" t="n">
        <v>0</v>
      </c>
      <c r="M5564" t="n">
        <v>0</v>
      </c>
      <c r="N5564" t="n">
        <v>0</v>
      </c>
      <c r="O5564" t="n">
        <v>0</v>
      </c>
      <c r="P5564" t="n">
        <v>0</v>
      </c>
      <c r="Q5564" t="n">
        <v>0</v>
      </c>
      <c r="R5564" s="2" t="inlineStr"/>
    </row>
    <row r="5565" ht="15" customHeight="1">
      <c r="A5565" t="inlineStr">
        <is>
          <t>A 14288-2022</t>
        </is>
      </c>
      <c r="B5565" s="1" t="n">
        <v>44651</v>
      </c>
      <c r="C5565" s="1" t="n">
        <v>45363</v>
      </c>
      <c r="D5565" t="inlineStr">
        <is>
          <t>JÄMTLANDS LÄN</t>
        </is>
      </c>
      <c r="E5565" t="inlineStr">
        <is>
          <t>STRÖMSUND</t>
        </is>
      </c>
      <c r="F5565" t="inlineStr">
        <is>
          <t>SCA</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14292-2022</t>
        </is>
      </c>
      <c r="B5566" s="1" t="n">
        <v>44651</v>
      </c>
      <c r="C5566" s="1" t="n">
        <v>45363</v>
      </c>
      <c r="D5566" t="inlineStr">
        <is>
          <t>JÄMTLANDS LÄN</t>
        </is>
      </c>
      <c r="E5566" t="inlineStr">
        <is>
          <t>STRÖMSUND</t>
        </is>
      </c>
      <c r="F5566" t="inlineStr">
        <is>
          <t>SCA</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14294-2022</t>
        </is>
      </c>
      <c r="B5567" s="1" t="n">
        <v>44652</v>
      </c>
      <c r="C5567" s="1" t="n">
        <v>45363</v>
      </c>
      <c r="D5567" t="inlineStr">
        <is>
          <t>JÄMTLANDS LÄN</t>
        </is>
      </c>
      <c r="E5567" t="inlineStr">
        <is>
          <t>STRÖMSUND</t>
        </is>
      </c>
      <c r="F5567" t="inlineStr">
        <is>
          <t>SCA</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14281-2022</t>
        </is>
      </c>
      <c r="B5568" s="1" t="n">
        <v>44651</v>
      </c>
      <c r="C5568" s="1" t="n">
        <v>45363</v>
      </c>
      <c r="D5568" t="inlineStr">
        <is>
          <t>JÄMTLANDS LÄN</t>
        </is>
      </c>
      <c r="E5568" t="inlineStr">
        <is>
          <t>STRÖMSUND</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14289-2022</t>
        </is>
      </c>
      <c r="B5569" s="1" t="n">
        <v>44651</v>
      </c>
      <c r="C5569" s="1" t="n">
        <v>45363</v>
      </c>
      <c r="D5569" t="inlineStr">
        <is>
          <t>JÄMTLANDS LÄN</t>
        </is>
      </c>
      <c r="E5569" t="inlineStr">
        <is>
          <t>STRÖMSUND</t>
        </is>
      </c>
      <c r="F5569" t="inlineStr">
        <is>
          <t>SCA</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14341-2022</t>
        </is>
      </c>
      <c r="B5570" s="1" t="n">
        <v>44652</v>
      </c>
      <c r="C5570" s="1" t="n">
        <v>45363</v>
      </c>
      <c r="D5570" t="inlineStr">
        <is>
          <t>JÄMTLANDS LÄN</t>
        </is>
      </c>
      <c r="E5570" t="inlineStr">
        <is>
          <t>KROKOM</t>
        </is>
      </c>
      <c r="G5570" t="n">
        <v>39.8</v>
      </c>
      <c r="H5570" t="n">
        <v>0</v>
      </c>
      <c r="I5570" t="n">
        <v>0</v>
      </c>
      <c r="J5570" t="n">
        <v>0</v>
      </c>
      <c r="K5570" t="n">
        <v>0</v>
      </c>
      <c r="L5570" t="n">
        <v>0</v>
      </c>
      <c r="M5570" t="n">
        <v>0</v>
      </c>
      <c r="N5570" t="n">
        <v>0</v>
      </c>
      <c r="O5570" t="n">
        <v>0</v>
      </c>
      <c r="P5570" t="n">
        <v>0</v>
      </c>
      <c r="Q5570" t="n">
        <v>0</v>
      </c>
      <c r="R5570" s="2" t="inlineStr"/>
    </row>
    <row r="5571" ht="15" customHeight="1">
      <c r="A5571" t="inlineStr">
        <is>
          <t>A 14441-2022</t>
        </is>
      </c>
      <c r="B5571" s="1" t="n">
        <v>44652</v>
      </c>
      <c r="C5571" s="1" t="n">
        <v>45363</v>
      </c>
      <c r="D5571" t="inlineStr">
        <is>
          <t>JÄMTLANDS LÄN</t>
        </is>
      </c>
      <c r="E5571" t="inlineStr">
        <is>
          <t>STRÖMSUND</t>
        </is>
      </c>
      <c r="F5571" t="inlineStr">
        <is>
          <t>SCA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14443-2022</t>
        </is>
      </c>
      <c r="B5572" s="1" t="n">
        <v>44653</v>
      </c>
      <c r="C5572" s="1" t="n">
        <v>45363</v>
      </c>
      <c r="D5572" t="inlineStr">
        <is>
          <t>JÄMTLANDS LÄN</t>
        </is>
      </c>
      <c r="E5572" t="inlineStr">
        <is>
          <t>STRÖMSUND</t>
        </is>
      </c>
      <c r="F5572" t="inlineStr">
        <is>
          <t>SCA</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14435-2022</t>
        </is>
      </c>
      <c r="B5573" s="1" t="n">
        <v>44652</v>
      </c>
      <c r="C5573" s="1" t="n">
        <v>45363</v>
      </c>
      <c r="D5573" t="inlineStr">
        <is>
          <t>JÄMTLANDS LÄN</t>
        </is>
      </c>
      <c r="E5573" t="inlineStr">
        <is>
          <t>RAGUNDA</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14445-2022</t>
        </is>
      </c>
      <c r="B5574" s="1" t="n">
        <v>44653</v>
      </c>
      <c r="C5574" s="1" t="n">
        <v>45363</v>
      </c>
      <c r="D5574" t="inlineStr">
        <is>
          <t>JÄMTLANDS LÄN</t>
        </is>
      </c>
      <c r="E5574" t="inlineStr">
        <is>
          <t>STRÖMSUND</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14442-2022</t>
        </is>
      </c>
      <c r="B5575" s="1" t="n">
        <v>44653</v>
      </c>
      <c r="C5575" s="1" t="n">
        <v>45363</v>
      </c>
      <c r="D5575" t="inlineStr">
        <is>
          <t>JÄMTLANDS LÄN</t>
        </is>
      </c>
      <c r="E5575" t="inlineStr">
        <is>
          <t>STRÖMSUND</t>
        </is>
      </c>
      <c r="F5575" t="inlineStr">
        <is>
          <t>SCA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14460-2022</t>
        </is>
      </c>
      <c r="B5576" s="1" t="n">
        <v>44654</v>
      </c>
      <c r="C5576" s="1" t="n">
        <v>45363</v>
      </c>
      <c r="D5576" t="inlineStr">
        <is>
          <t>JÄMTLANDS LÄN</t>
        </is>
      </c>
      <c r="E5576" t="inlineStr">
        <is>
          <t>STRÖMSUND</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14550-2022</t>
        </is>
      </c>
      <c r="B5577" s="1" t="n">
        <v>44655</v>
      </c>
      <c r="C5577" s="1" t="n">
        <v>45363</v>
      </c>
      <c r="D5577" t="inlineStr">
        <is>
          <t>JÄMTLANDS LÄN</t>
        </is>
      </c>
      <c r="E5577" t="inlineStr">
        <is>
          <t>STRÖMSUND</t>
        </is>
      </c>
      <c r="G5577" t="n">
        <v>8</v>
      </c>
      <c r="H5577" t="n">
        <v>0</v>
      </c>
      <c r="I5577" t="n">
        <v>0</v>
      </c>
      <c r="J5577" t="n">
        <v>0</v>
      </c>
      <c r="K5577" t="n">
        <v>0</v>
      </c>
      <c r="L5577" t="n">
        <v>0</v>
      </c>
      <c r="M5577" t="n">
        <v>0</v>
      </c>
      <c r="N5577" t="n">
        <v>0</v>
      </c>
      <c r="O5577" t="n">
        <v>0</v>
      </c>
      <c r="P5577" t="n">
        <v>0</v>
      </c>
      <c r="Q5577" t="n">
        <v>0</v>
      </c>
      <c r="R5577" s="2" t="inlineStr"/>
    </row>
    <row r="5578" ht="15" customHeight="1">
      <c r="A5578" t="inlineStr">
        <is>
          <t>A 14506-2022</t>
        </is>
      </c>
      <c r="B5578" s="1" t="n">
        <v>44655</v>
      </c>
      <c r="C5578" s="1" t="n">
        <v>45363</v>
      </c>
      <c r="D5578" t="inlineStr">
        <is>
          <t>JÄMTLANDS LÄN</t>
        </is>
      </c>
      <c r="E5578" t="inlineStr">
        <is>
          <t>BERG</t>
        </is>
      </c>
      <c r="G5578" t="n">
        <v>16.9</v>
      </c>
      <c r="H5578" t="n">
        <v>0</v>
      </c>
      <c r="I5578" t="n">
        <v>0</v>
      </c>
      <c r="J5578" t="n">
        <v>0</v>
      </c>
      <c r="K5578" t="n">
        <v>0</v>
      </c>
      <c r="L5578" t="n">
        <v>0</v>
      </c>
      <c r="M5578" t="n">
        <v>0</v>
      </c>
      <c r="N5578" t="n">
        <v>0</v>
      </c>
      <c r="O5578" t="n">
        <v>0</v>
      </c>
      <c r="P5578" t="n">
        <v>0</v>
      </c>
      <c r="Q5578" t="n">
        <v>0</v>
      </c>
      <c r="R5578" s="2" t="inlineStr"/>
    </row>
    <row r="5579" ht="15" customHeight="1">
      <c r="A5579" t="inlineStr">
        <is>
          <t>A 14557-2022</t>
        </is>
      </c>
      <c r="B5579" s="1" t="n">
        <v>44655</v>
      </c>
      <c r="C5579" s="1" t="n">
        <v>45363</v>
      </c>
      <c r="D5579" t="inlineStr">
        <is>
          <t>JÄMTLANDS LÄN</t>
        </is>
      </c>
      <c r="E5579" t="inlineStr">
        <is>
          <t>STRÖMSUND</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14653-2022</t>
        </is>
      </c>
      <c r="B5580" s="1" t="n">
        <v>44655</v>
      </c>
      <c r="C5580" s="1" t="n">
        <v>45363</v>
      </c>
      <c r="D5580" t="inlineStr">
        <is>
          <t>JÄMTLANDS LÄN</t>
        </is>
      </c>
      <c r="E5580" t="inlineStr">
        <is>
          <t>ÖSTERSUND</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14696-2022</t>
        </is>
      </c>
      <c r="B5581" s="1" t="n">
        <v>44655</v>
      </c>
      <c r="C5581" s="1" t="n">
        <v>45363</v>
      </c>
      <c r="D5581" t="inlineStr">
        <is>
          <t>JÄMTLANDS LÄN</t>
        </is>
      </c>
      <c r="E5581" t="inlineStr">
        <is>
          <t>RAGUNDA</t>
        </is>
      </c>
      <c r="F5581" t="inlineStr">
        <is>
          <t>SCA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14648-2022</t>
        </is>
      </c>
      <c r="B5582" s="1" t="n">
        <v>44655</v>
      </c>
      <c r="C5582" s="1" t="n">
        <v>45363</v>
      </c>
      <c r="D5582" t="inlineStr">
        <is>
          <t>JÄMTLANDS LÄN</t>
        </is>
      </c>
      <c r="E5582" t="inlineStr">
        <is>
          <t>HÄRJEDALEN</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14657-2022</t>
        </is>
      </c>
      <c r="B5583" s="1" t="n">
        <v>44655</v>
      </c>
      <c r="C5583" s="1" t="n">
        <v>45363</v>
      </c>
      <c r="D5583" t="inlineStr">
        <is>
          <t>JÄMTLANDS LÄN</t>
        </is>
      </c>
      <c r="E5583" t="inlineStr">
        <is>
          <t>ÖSTERSUND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14658-2022</t>
        </is>
      </c>
      <c r="B5584" s="1" t="n">
        <v>44655</v>
      </c>
      <c r="C5584" s="1" t="n">
        <v>45363</v>
      </c>
      <c r="D5584" t="inlineStr">
        <is>
          <t>JÄMTLANDS LÄN</t>
        </is>
      </c>
      <c r="E5584" t="inlineStr">
        <is>
          <t>ÖSTERSUND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14697-2022</t>
        </is>
      </c>
      <c r="B5585" s="1" t="n">
        <v>44655</v>
      </c>
      <c r="C5585" s="1" t="n">
        <v>45363</v>
      </c>
      <c r="D5585" t="inlineStr">
        <is>
          <t>JÄMTLANDS LÄN</t>
        </is>
      </c>
      <c r="E5585" t="inlineStr">
        <is>
          <t>RAGUNDA</t>
        </is>
      </c>
      <c r="F5585" t="inlineStr">
        <is>
          <t>SCA</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14703-2022</t>
        </is>
      </c>
      <c r="B5586" s="1" t="n">
        <v>44655</v>
      </c>
      <c r="C5586" s="1" t="n">
        <v>45363</v>
      </c>
      <c r="D5586" t="inlineStr">
        <is>
          <t>JÄMTLANDS LÄN</t>
        </is>
      </c>
      <c r="E5586" t="inlineStr">
        <is>
          <t>STRÖMSUND</t>
        </is>
      </c>
      <c r="F5586" t="inlineStr">
        <is>
          <t>SCA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14894-2022</t>
        </is>
      </c>
      <c r="B5587" s="1" t="n">
        <v>44657</v>
      </c>
      <c r="C5587" s="1" t="n">
        <v>45363</v>
      </c>
      <c r="D5587" t="inlineStr">
        <is>
          <t>JÄMTLANDS LÄN</t>
        </is>
      </c>
      <c r="E5587" t="inlineStr">
        <is>
          <t>STRÖMSUND</t>
        </is>
      </c>
      <c r="F5587" t="inlineStr">
        <is>
          <t>SCA</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14898-2022</t>
        </is>
      </c>
      <c r="B5588" s="1" t="n">
        <v>44656</v>
      </c>
      <c r="C5588" s="1" t="n">
        <v>45363</v>
      </c>
      <c r="D5588" t="inlineStr">
        <is>
          <t>JÄMTLANDS LÄN</t>
        </is>
      </c>
      <c r="E5588" t="inlineStr">
        <is>
          <t>RAGUNDA</t>
        </is>
      </c>
      <c r="F5588" t="inlineStr">
        <is>
          <t>SCA</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14907-2022</t>
        </is>
      </c>
      <c r="B5589" s="1" t="n">
        <v>44657</v>
      </c>
      <c r="C5589" s="1" t="n">
        <v>45363</v>
      </c>
      <c r="D5589" t="inlineStr">
        <is>
          <t>JÄMTLANDS LÄN</t>
        </is>
      </c>
      <c r="E5589" t="inlineStr">
        <is>
          <t>RAGUNDA</t>
        </is>
      </c>
      <c r="F5589" t="inlineStr">
        <is>
          <t>SCA</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14896-2022</t>
        </is>
      </c>
      <c r="B5590" s="1" t="n">
        <v>44656</v>
      </c>
      <c r="C5590" s="1" t="n">
        <v>45363</v>
      </c>
      <c r="D5590" t="inlineStr">
        <is>
          <t>JÄMTLANDS LÄN</t>
        </is>
      </c>
      <c r="E5590" t="inlineStr">
        <is>
          <t>RAGUNDA</t>
        </is>
      </c>
      <c r="F5590" t="inlineStr">
        <is>
          <t>SCA</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14906-2022</t>
        </is>
      </c>
      <c r="B5591" s="1" t="n">
        <v>44657</v>
      </c>
      <c r="C5591" s="1" t="n">
        <v>45363</v>
      </c>
      <c r="D5591" t="inlineStr">
        <is>
          <t>JÄMTLANDS LÄN</t>
        </is>
      </c>
      <c r="E5591" t="inlineStr">
        <is>
          <t>RAGUNDA</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14905-2022</t>
        </is>
      </c>
      <c r="B5592" s="1" t="n">
        <v>44657</v>
      </c>
      <c r="C5592" s="1" t="n">
        <v>45363</v>
      </c>
      <c r="D5592" t="inlineStr">
        <is>
          <t>JÄMTLANDS LÄN</t>
        </is>
      </c>
      <c r="E5592" t="inlineStr">
        <is>
          <t>RAGUNDA</t>
        </is>
      </c>
      <c r="F5592" t="inlineStr">
        <is>
          <t>SCA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15024-2022</t>
        </is>
      </c>
      <c r="B5593" s="1" t="n">
        <v>44657</v>
      </c>
      <c r="C5593" s="1" t="n">
        <v>45363</v>
      </c>
      <c r="D5593" t="inlineStr">
        <is>
          <t>JÄMTLANDS LÄN</t>
        </is>
      </c>
      <c r="E5593" t="inlineStr">
        <is>
          <t>RAGUNDA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15093-2022</t>
        </is>
      </c>
      <c r="B5594" s="1" t="n">
        <v>44657</v>
      </c>
      <c r="C5594" s="1" t="n">
        <v>45363</v>
      </c>
      <c r="D5594" t="inlineStr">
        <is>
          <t>JÄMTLANDS LÄN</t>
        </is>
      </c>
      <c r="E5594" t="inlineStr">
        <is>
          <t>BRÄCKE</t>
        </is>
      </c>
      <c r="F5594" t="inlineStr">
        <is>
          <t>SCA</t>
        </is>
      </c>
      <c r="G5594" t="n">
        <v>14.4</v>
      </c>
      <c r="H5594" t="n">
        <v>0</v>
      </c>
      <c r="I5594" t="n">
        <v>0</v>
      </c>
      <c r="J5594" t="n">
        <v>0</v>
      </c>
      <c r="K5594" t="n">
        <v>0</v>
      </c>
      <c r="L5594" t="n">
        <v>0</v>
      </c>
      <c r="M5594" t="n">
        <v>0</v>
      </c>
      <c r="N5594" t="n">
        <v>0</v>
      </c>
      <c r="O5594" t="n">
        <v>0</v>
      </c>
      <c r="P5594" t="n">
        <v>0</v>
      </c>
      <c r="Q5594" t="n">
        <v>0</v>
      </c>
      <c r="R5594" s="2" t="inlineStr"/>
    </row>
    <row r="5595" ht="15" customHeight="1">
      <c r="A5595" t="inlineStr">
        <is>
          <t>A 15231-2022</t>
        </is>
      </c>
      <c r="B5595" s="1" t="n">
        <v>44658</v>
      </c>
      <c r="C5595" s="1" t="n">
        <v>45363</v>
      </c>
      <c r="D5595" t="inlineStr">
        <is>
          <t>JÄMTLANDS LÄN</t>
        </is>
      </c>
      <c r="E5595" t="inlineStr">
        <is>
          <t>KROKOM</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15238-2022</t>
        </is>
      </c>
      <c r="B5596" s="1" t="n">
        <v>44659</v>
      </c>
      <c r="C5596" s="1" t="n">
        <v>45363</v>
      </c>
      <c r="D5596" t="inlineStr">
        <is>
          <t>JÄMTLANDS LÄN</t>
        </is>
      </c>
      <c r="E5596" t="inlineStr">
        <is>
          <t>STRÖMSUND</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15141-2022</t>
        </is>
      </c>
      <c r="B5597" s="1" t="n">
        <v>44658</v>
      </c>
      <c r="C5597" s="1" t="n">
        <v>45363</v>
      </c>
      <c r="D5597" t="inlineStr">
        <is>
          <t>JÄMTLANDS LÄN</t>
        </is>
      </c>
      <c r="E5597" t="inlineStr">
        <is>
          <t>STRÖMSUND</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15239-2022</t>
        </is>
      </c>
      <c r="B5598" s="1" t="n">
        <v>44659</v>
      </c>
      <c r="C5598" s="1" t="n">
        <v>45363</v>
      </c>
      <c r="D5598" t="inlineStr">
        <is>
          <t>JÄMTLANDS LÄN</t>
        </is>
      </c>
      <c r="E5598" t="inlineStr">
        <is>
          <t>STRÖMSUND</t>
        </is>
      </c>
      <c r="F5598" t="inlineStr">
        <is>
          <t>SCA</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15259-2022</t>
        </is>
      </c>
      <c r="B5599" s="1" t="n">
        <v>44659</v>
      </c>
      <c r="C5599" s="1" t="n">
        <v>45363</v>
      </c>
      <c r="D5599" t="inlineStr">
        <is>
          <t>JÄMTLANDS LÄN</t>
        </is>
      </c>
      <c r="E5599" t="inlineStr">
        <is>
          <t>STRÖMSUND</t>
        </is>
      </c>
      <c r="G5599" t="n">
        <v>52.4</v>
      </c>
      <c r="H5599" t="n">
        <v>0</v>
      </c>
      <c r="I5599" t="n">
        <v>0</v>
      </c>
      <c r="J5599" t="n">
        <v>0</v>
      </c>
      <c r="K5599" t="n">
        <v>0</v>
      </c>
      <c r="L5599" t="n">
        <v>0</v>
      </c>
      <c r="M5599" t="n">
        <v>0</v>
      </c>
      <c r="N5599" t="n">
        <v>0</v>
      </c>
      <c r="O5599" t="n">
        <v>0</v>
      </c>
      <c r="P5599" t="n">
        <v>0</v>
      </c>
      <c r="Q5599" t="n">
        <v>0</v>
      </c>
      <c r="R5599" s="2" t="inlineStr"/>
    </row>
    <row r="5600" ht="15" customHeight="1">
      <c r="A5600" t="inlineStr">
        <is>
          <t>A 15374-2022</t>
        </is>
      </c>
      <c r="B5600" s="1" t="n">
        <v>44659</v>
      </c>
      <c r="C5600" s="1" t="n">
        <v>45363</v>
      </c>
      <c r="D5600" t="inlineStr">
        <is>
          <t>JÄMTLANDS LÄN</t>
        </is>
      </c>
      <c r="E5600" t="inlineStr">
        <is>
          <t>HÄRJEDALEN</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15546-2022</t>
        </is>
      </c>
      <c r="B5601" s="1" t="n">
        <v>44662</v>
      </c>
      <c r="C5601" s="1" t="n">
        <v>45363</v>
      </c>
      <c r="D5601" t="inlineStr">
        <is>
          <t>JÄMTLANDS LÄN</t>
        </is>
      </c>
      <c r="E5601" t="inlineStr">
        <is>
          <t>STRÖMSUND</t>
        </is>
      </c>
      <c r="G5601" t="n">
        <v>12.3</v>
      </c>
      <c r="H5601" t="n">
        <v>0</v>
      </c>
      <c r="I5601" t="n">
        <v>0</v>
      </c>
      <c r="J5601" t="n">
        <v>0</v>
      </c>
      <c r="K5601" t="n">
        <v>0</v>
      </c>
      <c r="L5601" t="n">
        <v>0</v>
      </c>
      <c r="M5601" t="n">
        <v>0</v>
      </c>
      <c r="N5601" t="n">
        <v>0</v>
      </c>
      <c r="O5601" t="n">
        <v>0</v>
      </c>
      <c r="P5601" t="n">
        <v>0</v>
      </c>
      <c r="Q5601" t="n">
        <v>0</v>
      </c>
      <c r="R5601" s="2" t="inlineStr"/>
    </row>
    <row r="5602" ht="15" customHeight="1">
      <c r="A5602" t="inlineStr">
        <is>
          <t>A 15611-2022</t>
        </is>
      </c>
      <c r="B5602" s="1" t="n">
        <v>44662</v>
      </c>
      <c r="C5602" s="1" t="n">
        <v>45363</v>
      </c>
      <c r="D5602" t="inlineStr">
        <is>
          <t>JÄMTLANDS LÄN</t>
        </is>
      </c>
      <c r="E5602" t="inlineStr">
        <is>
          <t>HÄRJEDALEN</t>
        </is>
      </c>
      <c r="F5602" t="inlineStr">
        <is>
          <t>Kyrkan</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15522-2022</t>
        </is>
      </c>
      <c r="B5603" s="1" t="n">
        <v>44662</v>
      </c>
      <c r="C5603" s="1" t="n">
        <v>45363</v>
      </c>
      <c r="D5603" t="inlineStr">
        <is>
          <t>JÄMTLANDS LÄN</t>
        </is>
      </c>
      <c r="E5603" t="inlineStr">
        <is>
          <t>STRÖMSUND</t>
        </is>
      </c>
      <c r="G5603" t="n">
        <v>41.8</v>
      </c>
      <c r="H5603" t="n">
        <v>0</v>
      </c>
      <c r="I5603" t="n">
        <v>0</v>
      </c>
      <c r="J5603" t="n">
        <v>0</v>
      </c>
      <c r="K5603" t="n">
        <v>0</v>
      </c>
      <c r="L5603" t="n">
        <v>0</v>
      </c>
      <c r="M5603" t="n">
        <v>0</v>
      </c>
      <c r="N5603" t="n">
        <v>0</v>
      </c>
      <c r="O5603" t="n">
        <v>0</v>
      </c>
      <c r="P5603" t="n">
        <v>0</v>
      </c>
      <c r="Q5603" t="n">
        <v>0</v>
      </c>
      <c r="R5603" s="2" t="inlineStr"/>
    </row>
    <row r="5604" ht="15" customHeight="1">
      <c r="A5604" t="inlineStr">
        <is>
          <t>A 15407-2022</t>
        </is>
      </c>
      <c r="B5604" s="1" t="n">
        <v>44662</v>
      </c>
      <c r="C5604" s="1" t="n">
        <v>45363</v>
      </c>
      <c r="D5604" t="inlineStr">
        <is>
          <t>JÄMTLANDS LÄN</t>
        </is>
      </c>
      <c r="E5604" t="inlineStr">
        <is>
          <t>STRÖMSUND</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15668-2022</t>
        </is>
      </c>
      <c r="B5605" s="1" t="n">
        <v>44663</v>
      </c>
      <c r="C5605" s="1" t="n">
        <v>45363</v>
      </c>
      <c r="D5605" t="inlineStr">
        <is>
          <t>JÄMTLANDS LÄN</t>
        </is>
      </c>
      <c r="E5605" t="inlineStr">
        <is>
          <t>STRÖMSUND</t>
        </is>
      </c>
      <c r="F5605" t="inlineStr">
        <is>
          <t>SCA</t>
        </is>
      </c>
      <c r="G5605" t="n">
        <v>14.7</v>
      </c>
      <c r="H5605" t="n">
        <v>0</v>
      </c>
      <c r="I5605" t="n">
        <v>0</v>
      </c>
      <c r="J5605" t="n">
        <v>0</v>
      </c>
      <c r="K5605" t="n">
        <v>0</v>
      </c>
      <c r="L5605" t="n">
        <v>0</v>
      </c>
      <c r="M5605" t="n">
        <v>0</v>
      </c>
      <c r="N5605" t="n">
        <v>0</v>
      </c>
      <c r="O5605" t="n">
        <v>0</v>
      </c>
      <c r="P5605" t="n">
        <v>0</v>
      </c>
      <c r="Q5605" t="n">
        <v>0</v>
      </c>
      <c r="R5605" s="2" t="inlineStr"/>
    </row>
    <row r="5606" ht="15" customHeight="1">
      <c r="A5606" t="inlineStr">
        <is>
          <t>A 15664-2022</t>
        </is>
      </c>
      <c r="B5606" s="1" t="n">
        <v>44662</v>
      </c>
      <c r="C5606" s="1" t="n">
        <v>45363</v>
      </c>
      <c r="D5606" t="inlineStr">
        <is>
          <t>JÄMTLANDS LÄN</t>
        </is>
      </c>
      <c r="E5606" t="inlineStr">
        <is>
          <t>RAGUNDA</t>
        </is>
      </c>
      <c r="F5606" t="inlineStr">
        <is>
          <t>SCA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15763-2022</t>
        </is>
      </c>
      <c r="B5607" s="1" t="n">
        <v>44663</v>
      </c>
      <c r="C5607" s="1" t="n">
        <v>45363</v>
      </c>
      <c r="D5607" t="inlineStr">
        <is>
          <t>JÄMTLANDS LÄN</t>
        </is>
      </c>
      <c r="E5607" t="inlineStr">
        <is>
          <t>HÄRJEDALEN</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15808-2022</t>
        </is>
      </c>
      <c r="B5608" s="1" t="n">
        <v>44663</v>
      </c>
      <c r="C5608" s="1" t="n">
        <v>45363</v>
      </c>
      <c r="D5608" t="inlineStr">
        <is>
          <t>JÄMTLANDS LÄN</t>
        </is>
      </c>
      <c r="E5608" t="inlineStr">
        <is>
          <t>RAGUNDA</t>
        </is>
      </c>
      <c r="F5608" t="inlineStr">
        <is>
          <t>SCA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15865-2022</t>
        </is>
      </c>
      <c r="B5609" s="1" t="n">
        <v>44664</v>
      </c>
      <c r="C5609" s="1" t="n">
        <v>45363</v>
      </c>
      <c r="D5609" t="inlineStr">
        <is>
          <t>JÄMTLANDS LÄN</t>
        </is>
      </c>
      <c r="E5609" t="inlineStr">
        <is>
          <t>STRÖMSUND</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15971-2022</t>
        </is>
      </c>
      <c r="B5610" s="1" t="n">
        <v>44664</v>
      </c>
      <c r="C5610" s="1" t="n">
        <v>45363</v>
      </c>
      <c r="D5610" t="inlineStr">
        <is>
          <t>JÄMTLANDS LÄN</t>
        </is>
      </c>
      <c r="E5610" t="inlineStr">
        <is>
          <t>STRÖMSUND</t>
        </is>
      </c>
      <c r="F5610" t="inlineStr">
        <is>
          <t>SCA</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15969-2022</t>
        </is>
      </c>
      <c r="B5611" s="1" t="n">
        <v>44665</v>
      </c>
      <c r="C5611" s="1" t="n">
        <v>45363</v>
      </c>
      <c r="D5611" t="inlineStr">
        <is>
          <t>JÄMTLANDS LÄN</t>
        </is>
      </c>
      <c r="E5611" t="inlineStr">
        <is>
          <t>RAGUNDA</t>
        </is>
      </c>
      <c r="F5611" t="inlineStr">
        <is>
          <t>SCA</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16025-2022</t>
        </is>
      </c>
      <c r="B5612" s="1" t="n">
        <v>44665</v>
      </c>
      <c r="C5612" s="1" t="n">
        <v>45363</v>
      </c>
      <c r="D5612" t="inlineStr">
        <is>
          <t>JÄMTLANDS LÄN</t>
        </is>
      </c>
      <c r="E5612" t="inlineStr">
        <is>
          <t>ÖSTERSUND</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16037-2022</t>
        </is>
      </c>
      <c r="B5613" s="1" t="n">
        <v>44665</v>
      </c>
      <c r="C5613" s="1" t="n">
        <v>45363</v>
      </c>
      <c r="D5613" t="inlineStr">
        <is>
          <t>JÄMTLANDS LÄN</t>
        </is>
      </c>
      <c r="E5613" t="inlineStr">
        <is>
          <t>KROKOM</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16034-2022</t>
        </is>
      </c>
      <c r="B5614" s="1" t="n">
        <v>44665</v>
      </c>
      <c r="C5614" s="1" t="n">
        <v>45363</v>
      </c>
      <c r="D5614" t="inlineStr">
        <is>
          <t>JÄMTLANDS LÄN</t>
        </is>
      </c>
      <c r="E5614" t="inlineStr">
        <is>
          <t>ÖSTERSUND</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16014-2022</t>
        </is>
      </c>
      <c r="B5615" s="1" t="n">
        <v>44665</v>
      </c>
      <c r="C5615" s="1" t="n">
        <v>45363</v>
      </c>
      <c r="D5615" t="inlineStr">
        <is>
          <t>JÄMTLANDS LÄN</t>
        </is>
      </c>
      <c r="E5615" t="inlineStr">
        <is>
          <t>HÄRJEDALEN</t>
        </is>
      </c>
      <c r="G5615" t="n">
        <v>38.7</v>
      </c>
      <c r="H5615" t="n">
        <v>0</v>
      </c>
      <c r="I5615" t="n">
        <v>0</v>
      </c>
      <c r="J5615" t="n">
        <v>0</v>
      </c>
      <c r="K5615" t="n">
        <v>0</v>
      </c>
      <c r="L5615" t="n">
        <v>0</v>
      </c>
      <c r="M5615" t="n">
        <v>0</v>
      </c>
      <c r="N5615" t="n">
        <v>0</v>
      </c>
      <c r="O5615" t="n">
        <v>0</v>
      </c>
      <c r="P5615" t="n">
        <v>0</v>
      </c>
      <c r="Q5615" t="n">
        <v>0</v>
      </c>
      <c r="R5615" s="2" t="inlineStr"/>
    </row>
    <row r="5616" ht="15" customHeight="1">
      <c r="A5616" t="inlineStr">
        <is>
          <t>A 16246-2022</t>
        </is>
      </c>
      <c r="B5616" s="1" t="n">
        <v>44670</v>
      </c>
      <c r="C5616" s="1" t="n">
        <v>45363</v>
      </c>
      <c r="D5616" t="inlineStr">
        <is>
          <t>JÄMTLANDS LÄN</t>
        </is>
      </c>
      <c r="E5616" t="inlineStr">
        <is>
          <t>RAGUNDA</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16311-2022</t>
        </is>
      </c>
      <c r="B5617" s="1" t="n">
        <v>44670</v>
      </c>
      <c r="C5617" s="1" t="n">
        <v>45363</v>
      </c>
      <c r="D5617" t="inlineStr">
        <is>
          <t>JÄMTLANDS LÄN</t>
        </is>
      </c>
      <c r="E5617" t="inlineStr">
        <is>
          <t>STRÖMSUND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16250-2022</t>
        </is>
      </c>
      <c r="B5618" s="1" t="n">
        <v>44670</v>
      </c>
      <c r="C5618" s="1" t="n">
        <v>45363</v>
      </c>
      <c r="D5618" t="inlineStr">
        <is>
          <t>JÄMTLANDS LÄN</t>
        </is>
      </c>
      <c r="E5618" t="inlineStr">
        <is>
          <t>RAGUNDA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16361-2022</t>
        </is>
      </c>
      <c r="B5619" s="1" t="n">
        <v>44670</v>
      </c>
      <c r="C5619" s="1" t="n">
        <v>45363</v>
      </c>
      <c r="D5619" t="inlineStr">
        <is>
          <t>JÄMTLANDS LÄN</t>
        </is>
      </c>
      <c r="E5619" t="inlineStr">
        <is>
          <t>RAGUNDA</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16317-2022</t>
        </is>
      </c>
      <c r="B5620" s="1" t="n">
        <v>44670</v>
      </c>
      <c r="C5620" s="1" t="n">
        <v>45363</v>
      </c>
      <c r="D5620" t="inlineStr">
        <is>
          <t>JÄMTLANDS LÄN</t>
        </is>
      </c>
      <c r="E5620" t="inlineStr">
        <is>
          <t>STRÖMSUND</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16359-2022</t>
        </is>
      </c>
      <c r="B5621" s="1" t="n">
        <v>44671</v>
      </c>
      <c r="C5621" s="1" t="n">
        <v>45363</v>
      </c>
      <c r="D5621" t="inlineStr">
        <is>
          <t>JÄMTLANDS LÄN</t>
        </is>
      </c>
      <c r="E5621" t="inlineStr">
        <is>
          <t>STRÖMSUND</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16358-2022</t>
        </is>
      </c>
      <c r="B5622" s="1" t="n">
        <v>44671</v>
      </c>
      <c r="C5622" s="1" t="n">
        <v>45363</v>
      </c>
      <c r="D5622" t="inlineStr">
        <is>
          <t>JÄMTLANDS LÄN</t>
        </is>
      </c>
      <c r="E5622" t="inlineStr">
        <is>
          <t>STRÖMSUND</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16460-2022</t>
        </is>
      </c>
      <c r="B5623" s="1" t="n">
        <v>44671</v>
      </c>
      <c r="C5623" s="1" t="n">
        <v>45363</v>
      </c>
      <c r="D5623" t="inlineStr">
        <is>
          <t>JÄMTLANDS LÄN</t>
        </is>
      </c>
      <c r="E5623" t="inlineStr">
        <is>
          <t>RAGUNDA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16518-2022</t>
        </is>
      </c>
      <c r="B5624" s="1" t="n">
        <v>44672</v>
      </c>
      <c r="C5624" s="1" t="n">
        <v>45363</v>
      </c>
      <c r="D5624" t="inlineStr">
        <is>
          <t>JÄMTLANDS LÄN</t>
        </is>
      </c>
      <c r="E5624" t="inlineStr">
        <is>
          <t>STRÖMSUND</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16526-2022</t>
        </is>
      </c>
      <c r="B5625" s="1" t="n">
        <v>44672</v>
      </c>
      <c r="C5625" s="1" t="n">
        <v>45363</v>
      </c>
      <c r="D5625" t="inlineStr">
        <is>
          <t>JÄMTLANDS LÄN</t>
        </is>
      </c>
      <c r="E5625" t="inlineStr">
        <is>
          <t>BRÄCKE</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16516-2022</t>
        </is>
      </c>
      <c r="B5626" s="1" t="n">
        <v>44672</v>
      </c>
      <c r="C5626" s="1" t="n">
        <v>45363</v>
      </c>
      <c r="D5626" t="inlineStr">
        <is>
          <t>JÄMTLANDS LÄN</t>
        </is>
      </c>
      <c r="E5626" t="inlineStr">
        <is>
          <t>STRÖMSUND</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16529-2022</t>
        </is>
      </c>
      <c r="B5627" s="1" t="n">
        <v>44671</v>
      </c>
      <c r="C5627" s="1" t="n">
        <v>45363</v>
      </c>
      <c r="D5627" t="inlineStr">
        <is>
          <t>JÄMTLANDS LÄN</t>
        </is>
      </c>
      <c r="E5627" t="inlineStr">
        <is>
          <t>RAGUNDA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16676-2022</t>
        </is>
      </c>
      <c r="B5628" s="1" t="n">
        <v>44673</v>
      </c>
      <c r="C5628" s="1" t="n">
        <v>45363</v>
      </c>
      <c r="D5628" t="inlineStr">
        <is>
          <t>JÄMTLANDS LÄN</t>
        </is>
      </c>
      <c r="E5628" t="inlineStr">
        <is>
          <t>RAGUNDA</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16694-2022</t>
        </is>
      </c>
      <c r="B5629" s="1" t="n">
        <v>44672</v>
      </c>
      <c r="C5629" s="1" t="n">
        <v>45363</v>
      </c>
      <c r="D5629" t="inlineStr">
        <is>
          <t>JÄMTLANDS LÄN</t>
        </is>
      </c>
      <c r="E5629" t="inlineStr">
        <is>
          <t>KROKOM</t>
        </is>
      </c>
      <c r="G5629" t="n">
        <v>16.9</v>
      </c>
      <c r="H5629" t="n">
        <v>0</v>
      </c>
      <c r="I5629" t="n">
        <v>0</v>
      </c>
      <c r="J5629" t="n">
        <v>0</v>
      </c>
      <c r="K5629" t="n">
        <v>0</v>
      </c>
      <c r="L5629" t="n">
        <v>0</v>
      </c>
      <c r="M5629" t="n">
        <v>0</v>
      </c>
      <c r="N5629" t="n">
        <v>0</v>
      </c>
      <c r="O5629" t="n">
        <v>0</v>
      </c>
      <c r="P5629" t="n">
        <v>0</v>
      </c>
      <c r="Q5629" t="n">
        <v>0</v>
      </c>
      <c r="R5629" s="2" t="inlineStr"/>
    </row>
    <row r="5630" ht="15" customHeight="1">
      <c r="A5630" t="inlineStr">
        <is>
          <t>A 16848-2022</t>
        </is>
      </c>
      <c r="B5630" s="1" t="n">
        <v>44674</v>
      </c>
      <c r="C5630" s="1" t="n">
        <v>45363</v>
      </c>
      <c r="D5630" t="inlineStr">
        <is>
          <t>JÄMTLANDS LÄN</t>
        </is>
      </c>
      <c r="E5630" t="inlineStr">
        <is>
          <t>STRÖMSUND</t>
        </is>
      </c>
      <c r="F5630" t="inlineStr">
        <is>
          <t>SCA</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17058-2022</t>
        </is>
      </c>
      <c r="B5631" s="1" t="n">
        <v>44677</v>
      </c>
      <c r="C5631" s="1" t="n">
        <v>45363</v>
      </c>
      <c r="D5631" t="inlineStr">
        <is>
          <t>JÄMTLANDS LÄN</t>
        </is>
      </c>
      <c r="E5631" t="inlineStr">
        <is>
          <t>RAGUNDA</t>
        </is>
      </c>
      <c r="F5631" t="inlineStr">
        <is>
          <t>SCA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17051-2022</t>
        </is>
      </c>
      <c r="B5632" s="1" t="n">
        <v>44677</v>
      </c>
      <c r="C5632" s="1" t="n">
        <v>45363</v>
      </c>
      <c r="D5632" t="inlineStr">
        <is>
          <t>JÄMTLANDS LÄN</t>
        </is>
      </c>
      <c r="E5632" t="inlineStr">
        <is>
          <t>KROKOM</t>
        </is>
      </c>
      <c r="G5632" t="n">
        <v>14.3</v>
      </c>
      <c r="H5632" t="n">
        <v>0</v>
      </c>
      <c r="I5632" t="n">
        <v>0</v>
      </c>
      <c r="J5632" t="n">
        <v>0</v>
      </c>
      <c r="K5632" t="n">
        <v>0</v>
      </c>
      <c r="L5632" t="n">
        <v>0</v>
      </c>
      <c r="M5632" t="n">
        <v>0</v>
      </c>
      <c r="N5632" t="n">
        <v>0</v>
      </c>
      <c r="O5632" t="n">
        <v>0</v>
      </c>
      <c r="P5632" t="n">
        <v>0</v>
      </c>
      <c r="Q5632" t="n">
        <v>0</v>
      </c>
      <c r="R5632" s="2" t="inlineStr"/>
    </row>
    <row r="5633" ht="15" customHeight="1">
      <c r="A5633" t="inlineStr">
        <is>
          <t>A 21844-2022</t>
        </is>
      </c>
      <c r="B5633" s="1" t="n">
        <v>44678</v>
      </c>
      <c r="C5633" s="1" t="n">
        <v>45363</v>
      </c>
      <c r="D5633" t="inlineStr">
        <is>
          <t>JÄMTLANDS LÄN</t>
        </is>
      </c>
      <c r="E5633" t="inlineStr">
        <is>
          <t>STRÖMSUND</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17528-2022</t>
        </is>
      </c>
      <c r="B5634" s="1" t="n">
        <v>44679</v>
      </c>
      <c r="C5634" s="1" t="n">
        <v>45363</v>
      </c>
      <c r="D5634" t="inlineStr">
        <is>
          <t>JÄMTLANDS LÄN</t>
        </is>
      </c>
      <c r="E5634" t="inlineStr">
        <is>
          <t>KROKOM</t>
        </is>
      </c>
      <c r="F5634" t="inlineStr">
        <is>
          <t>Kyrkan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17573-2022</t>
        </is>
      </c>
      <c r="B5635" s="1" t="n">
        <v>44679</v>
      </c>
      <c r="C5635" s="1" t="n">
        <v>45363</v>
      </c>
      <c r="D5635" t="inlineStr">
        <is>
          <t>JÄMTLANDS LÄN</t>
        </is>
      </c>
      <c r="E5635" t="inlineStr">
        <is>
          <t>RAGUNDA</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17578-2022</t>
        </is>
      </c>
      <c r="B5636" s="1" t="n">
        <v>44679</v>
      </c>
      <c r="C5636" s="1" t="n">
        <v>45363</v>
      </c>
      <c r="D5636" t="inlineStr">
        <is>
          <t>JÄMTLANDS LÄN</t>
        </is>
      </c>
      <c r="E5636" t="inlineStr">
        <is>
          <t>BRÄCKE</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17574-2022</t>
        </is>
      </c>
      <c r="B5637" s="1" t="n">
        <v>44680</v>
      </c>
      <c r="C5637" s="1" t="n">
        <v>45363</v>
      </c>
      <c r="D5637" t="inlineStr">
        <is>
          <t>JÄMTLANDS LÄN</t>
        </is>
      </c>
      <c r="E5637" t="inlineStr">
        <is>
          <t>ÖSTERSUND</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17577-2022</t>
        </is>
      </c>
      <c r="B5638" s="1" t="n">
        <v>44679</v>
      </c>
      <c r="C5638" s="1" t="n">
        <v>45363</v>
      </c>
      <c r="D5638" t="inlineStr">
        <is>
          <t>JÄMTLANDS LÄN</t>
        </is>
      </c>
      <c r="E5638" t="inlineStr">
        <is>
          <t>BRÄCKE</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17732-2022</t>
        </is>
      </c>
      <c r="B5639" s="1" t="n">
        <v>44681</v>
      </c>
      <c r="C5639" s="1" t="n">
        <v>45363</v>
      </c>
      <c r="D5639" t="inlineStr">
        <is>
          <t>JÄMTLANDS LÄN</t>
        </is>
      </c>
      <c r="E5639" t="inlineStr">
        <is>
          <t>ÖSTERSUND</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17734-2022</t>
        </is>
      </c>
      <c r="B5640" s="1" t="n">
        <v>44680</v>
      </c>
      <c r="C5640" s="1" t="n">
        <v>45363</v>
      </c>
      <c r="D5640" t="inlineStr">
        <is>
          <t>JÄMTLANDS LÄN</t>
        </is>
      </c>
      <c r="E5640" t="inlineStr">
        <is>
          <t>ÖSTERSUND</t>
        </is>
      </c>
      <c r="G5640" t="n">
        <v>26.4</v>
      </c>
      <c r="H5640" t="n">
        <v>0</v>
      </c>
      <c r="I5640" t="n">
        <v>0</v>
      </c>
      <c r="J5640" t="n">
        <v>0</v>
      </c>
      <c r="K5640" t="n">
        <v>0</v>
      </c>
      <c r="L5640" t="n">
        <v>0</v>
      </c>
      <c r="M5640" t="n">
        <v>0</v>
      </c>
      <c r="N5640" t="n">
        <v>0</v>
      </c>
      <c r="O5640" t="n">
        <v>0</v>
      </c>
      <c r="P5640" t="n">
        <v>0</v>
      </c>
      <c r="Q5640" t="n">
        <v>0</v>
      </c>
      <c r="R5640" s="2" t="inlineStr"/>
    </row>
    <row r="5641" ht="15" customHeight="1">
      <c r="A5641" t="inlineStr">
        <is>
          <t>A 17753-2022</t>
        </is>
      </c>
      <c r="B5641" s="1" t="n">
        <v>44681</v>
      </c>
      <c r="C5641" s="1" t="n">
        <v>45363</v>
      </c>
      <c r="D5641" t="inlineStr">
        <is>
          <t>JÄMTLANDS LÄN</t>
        </is>
      </c>
      <c r="E5641" t="inlineStr">
        <is>
          <t>STRÖMSUND</t>
        </is>
      </c>
      <c r="F5641" t="inlineStr">
        <is>
          <t>SCA</t>
        </is>
      </c>
      <c r="G5641" t="n">
        <v>9</v>
      </c>
      <c r="H5641" t="n">
        <v>0</v>
      </c>
      <c r="I5641" t="n">
        <v>0</v>
      </c>
      <c r="J5641" t="n">
        <v>0</v>
      </c>
      <c r="K5641" t="n">
        <v>0</v>
      </c>
      <c r="L5641" t="n">
        <v>0</v>
      </c>
      <c r="M5641" t="n">
        <v>0</v>
      </c>
      <c r="N5641" t="n">
        <v>0</v>
      </c>
      <c r="O5641" t="n">
        <v>0</v>
      </c>
      <c r="P5641" t="n">
        <v>0</v>
      </c>
      <c r="Q5641" t="n">
        <v>0</v>
      </c>
      <c r="R5641" s="2" t="inlineStr"/>
    </row>
    <row r="5642" ht="15" customHeight="1">
      <c r="A5642" t="inlineStr">
        <is>
          <t>A 17730-2022</t>
        </is>
      </c>
      <c r="B5642" s="1" t="n">
        <v>44680</v>
      </c>
      <c r="C5642" s="1" t="n">
        <v>45363</v>
      </c>
      <c r="D5642" t="inlineStr">
        <is>
          <t>JÄMTLANDS LÄN</t>
        </is>
      </c>
      <c r="E5642" t="inlineStr">
        <is>
          <t>RAGUNDA</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17742-2022</t>
        </is>
      </c>
      <c r="B5643" s="1" t="n">
        <v>44681</v>
      </c>
      <c r="C5643" s="1" t="n">
        <v>45363</v>
      </c>
      <c r="D5643" t="inlineStr">
        <is>
          <t>JÄMTLANDS LÄN</t>
        </is>
      </c>
      <c r="E5643" t="inlineStr">
        <is>
          <t>RAGUNDA</t>
        </is>
      </c>
      <c r="F5643" t="inlineStr">
        <is>
          <t>SCA</t>
        </is>
      </c>
      <c r="G5643" t="n">
        <v>7.2</v>
      </c>
      <c r="H5643" t="n">
        <v>0</v>
      </c>
      <c r="I5643" t="n">
        <v>0</v>
      </c>
      <c r="J5643" t="n">
        <v>0</v>
      </c>
      <c r="K5643" t="n">
        <v>0</v>
      </c>
      <c r="L5643" t="n">
        <v>0</v>
      </c>
      <c r="M5643" t="n">
        <v>0</v>
      </c>
      <c r="N5643" t="n">
        <v>0</v>
      </c>
      <c r="O5643" t="n">
        <v>0</v>
      </c>
      <c r="P5643" t="n">
        <v>0</v>
      </c>
      <c r="Q5643" t="n">
        <v>0</v>
      </c>
      <c r="R5643" s="2" t="inlineStr"/>
    </row>
    <row r="5644" ht="15" customHeight="1">
      <c r="A5644" t="inlineStr">
        <is>
          <t>A 17750-2022</t>
        </is>
      </c>
      <c r="B5644" s="1" t="n">
        <v>44680</v>
      </c>
      <c r="C5644" s="1" t="n">
        <v>45363</v>
      </c>
      <c r="D5644" t="inlineStr">
        <is>
          <t>JÄMTLANDS LÄN</t>
        </is>
      </c>
      <c r="E5644" t="inlineStr">
        <is>
          <t>BERG</t>
        </is>
      </c>
      <c r="F5644" t="inlineStr">
        <is>
          <t>SCA</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17754-2022</t>
        </is>
      </c>
      <c r="B5645" s="1" t="n">
        <v>44680</v>
      </c>
      <c r="C5645" s="1" t="n">
        <v>45363</v>
      </c>
      <c r="D5645" t="inlineStr">
        <is>
          <t>JÄMTLANDS LÄN</t>
        </is>
      </c>
      <c r="E5645" t="inlineStr">
        <is>
          <t>STRÖMSUND</t>
        </is>
      </c>
      <c r="F5645" t="inlineStr">
        <is>
          <t>SCA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17738-2022</t>
        </is>
      </c>
      <c r="B5646" s="1" t="n">
        <v>44681</v>
      </c>
      <c r="C5646" s="1" t="n">
        <v>45363</v>
      </c>
      <c r="D5646" t="inlineStr">
        <is>
          <t>JÄMTLANDS LÄN</t>
        </is>
      </c>
      <c r="E5646" t="inlineStr">
        <is>
          <t>BRÄCKE</t>
        </is>
      </c>
      <c r="F5646" t="inlineStr">
        <is>
          <t>SCA</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17746-2022</t>
        </is>
      </c>
      <c r="B5647" s="1" t="n">
        <v>44681</v>
      </c>
      <c r="C5647" s="1" t="n">
        <v>45363</v>
      </c>
      <c r="D5647" t="inlineStr">
        <is>
          <t>JÄMTLANDS LÄN</t>
        </is>
      </c>
      <c r="E5647" t="inlineStr">
        <is>
          <t>BERG</t>
        </is>
      </c>
      <c r="F5647" t="inlineStr">
        <is>
          <t>SCA</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17752-2022</t>
        </is>
      </c>
      <c r="B5648" s="1" t="n">
        <v>44680</v>
      </c>
      <c r="C5648" s="1" t="n">
        <v>45363</v>
      </c>
      <c r="D5648" t="inlineStr">
        <is>
          <t>JÄMTLANDS LÄN</t>
        </is>
      </c>
      <c r="E5648" t="inlineStr">
        <is>
          <t>STRÖMSUND</t>
        </is>
      </c>
      <c r="F5648" t="inlineStr">
        <is>
          <t>SCA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17805-2022</t>
        </is>
      </c>
      <c r="B5649" s="1" t="n">
        <v>44683</v>
      </c>
      <c r="C5649" s="1" t="n">
        <v>45363</v>
      </c>
      <c r="D5649" t="inlineStr">
        <is>
          <t>JÄMTLANDS LÄN</t>
        </is>
      </c>
      <c r="E5649" t="inlineStr">
        <is>
          <t>HÄRJEDALEN</t>
        </is>
      </c>
      <c r="G5649" t="n">
        <v>15.7</v>
      </c>
      <c r="H5649" t="n">
        <v>0</v>
      </c>
      <c r="I5649" t="n">
        <v>0</v>
      </c>
      <c r="J5649" t="n">
        <v>0</v>
      </c>
      <c r="K5649" t="n">
        <v>0</v>
      </c>
      <c r="L5649" t="n">
        <v>0</v>
      </c>
      <c r="M5649" t="n">
        <v>0</v>
      </c>
      <c r="N5649" t="n">
        <v>0</v>
      </c>
      <c r="O5649" t="n">
        <v>0</v>
      </c>
      <c r="P5649" t="n">
        <v>0</v>
      </c>
      <c r="Q5649" t="n">
        <v>0</v>
      </c>
      <c r="R5649" s="2" t="inlineStr"/>
    </row>
    <row r="5650" ht="15" customHeight="1">
      <c r="A5650" t="inlineStr">
        <is>
          <t>A 17797-2022</t>
        </is>
      </c>
      <c r="B5650" s="1" t="n">
        <v>44683</v>
      </c>
      <c r="C5650" s="1" t="n">
        <v>45363</v>
      </c>
      <c r="D5650" t="inlineStr">
        <is>
          <t>JÄMTLANDS LÄN</t>
        </is>
      </c>
      <c r="E5650" t="inlineStr">
        <is>
          <t>HÄRJEDALEN</t>
        </is>
      </c>
      <c r="G5650" t="n">
        <v>15.4</v>
      </c>
      <c r="H5650" t="n">
        <v>0</v>
      </c>
      <c r="I5650" t="n">
        <v>0</v>
      </c>
      <c r="J5650" t="n">
        <v>0</v>
      </c>
      <c r="K5650" t="n">
        <v>0</v>
      </c>
      <c r="L5650" t="n">
        <v>0</v>
      </c>
      <c r="M5650" t="n">
        <v>0</v>
      </c>
      <c r="N5650" t="n">
        <v>0</v>
      </c>
      <c r="O5650" t="n">
        <v>0</v>
      </c>
      <c r="P5650" t="n">
        <v>0</v>
      </c>
      <c r="Q5650" t="n">
        <v>0</v>
      </c>
      <c r="R5650" s="2" t="inlineStr"/>
    </row>
    <row r="5651" ht="15" customHeight="1">
      <c r="A5651" t="inlineStr">
        <is>
          <t>A 17996-2022</t>
        </is>
      </c>
      <c r="B5651" s="1" t="n">
        <v>44683</v>
      </c>
      <c r="C5651" s="1" t="n">
        <v>45363</v>
      </c>
      <c r="D5651" t="inlineStr">
        <is>
          <t>JÄMTLANDS LÄN</t>
        </is>
      </c>
      <c r="E5651" t="inlineStr">
        <is>
          <t>BRÄCKE</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18008-2022</t>
        </is>
      </c>
      <c r="B5652" s="1" t="n">
        <v>44684</v>
      </c>
      <c r="C5652" s="1" t="n">
        <v>45363</v>
      </c>
      <c r="D5652" t="inlineStr">
        <is>
          <t>JÄMTLANDS LÄN</t>
        </is>
      </c>
      <c r="E5652" t="inlineStr">
        <is>
          <t>RAGUNDA</t>
        </is>
      </c>
      <c r="F5652" t="inlineStr">
        <is>
          <t>SCA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17935-2022</t>
        </is>
      </c>
      <c r="B5653" s="1" t="n">
        <v>44683</v>
      </c>
      <c r="C5653" s="1" t="n">
        <v>45363</v>
      </c>
      <c r="D5653" t="inlineStr">
        <is>
          <t>JÄMTLANDS LÄN</t>
        </is>
      </c>
      <c r="E5653" t="inlineStr">
        <is>
          <t>HÄRJEDALEN</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18193-2022</t>
        </is>
      </c>
      <c r="B5654" s="1" t="n">
        <v>44685</v>
      </c>
      <c r="C5654" s="1" t="n">
        <v>45363</v>
      </c>
      <c r="D5654" t="inlineStr">
        <is>
          <t>JÄMTLANDS LÄN</t>
        </is>
      </c>
      <c r="E5654" t="inlineStr">
        <is>
          <t>RAGUNDA</t>
        </is>
      </c>
      <c r="F5654" t="inlineStr">
        <is>
          <t>SCA</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18169-2022</t>
        </is>
      </c>
      <c r="B5655" s="1" t="n">
        <v>44684</v>
      </c>
      <c r="C5655" s="1" t="n">
        <v>45363</v>
      </c>
      <c r="D5655" t="inlineStr">
        <is>
          <t>JÄMTLANDS LÄN</t>
        </is>
      </c>
      <c r="E5655" t="inlineStr">
        <is>
          <t>HÄRJEDALEN</t>
        </is>
      </c>
      <c r="F5655" t="inlineStr">
        <is>
          <t>Kyrkan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18205-2022</t>
        </is>
      </c>
      <c r="B5656" s="1" t="n">
        <v>44684</v>
      </c>
      <c r="C5656" s="1" t="n">
        <v>45363</v>
      </c>
      <c r="D5656" t="inlineStr">
        <is>
          <t>JÄMTLANDS LÄN</t>
        </is>
      </c>
      <c r="E5656" t="inlineStr">
        <is>
          <t>STRÖMSUND</t>
        </is>
      </c>
      <c r="F5656" t="inlineStr">
        <is>
          <t>SCA</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18290-2022</t>
        </is>
      </c>
      <c r="B5657" s="1" t="n">
        <v>44685</v>
      </c>
      <c r="C5657" s="1" t="n">
        <v>45363</v>
      </c>
      <c r="D5657" t="inlineStr">
        <is>
          <t>JÄMTLANDS LÄN</t>
        </is>
      </c>
      <c r="E5657" t="inlineStr">
        <is>
          <t>RAGUNDA</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18221-2022</t>
        </is>
      </c>
      <c r="B5658" s="1" t="n">
        <v>44685</v>
      </c>
      <c r="C5658" s="1" t="n">
        <v>45363</v>
      </c>
      <c r="D5658" t="inlineStr">
        <is>
          <t>JÄMTLANDS LÄN</t>
        </is>
      </c>
      <c r="E5658" t="inlineStr">
        <is>
          <t>BRÄCKE</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18261-2022</t>
        </is>
      </c>
      <c r="B5659" s="1" t="n">
        <v>44685</v>
      </c>
      <c r="C5659" s="1" t="n">
        <v>45363</v>
      </c>
      <c r="D5659" t="inlineStr">
        <is>
          <t>JÄMTLANDS LÄN</t>
        </is>
      </c>
      <c r="E5659" t="inlineStr">
        <is>
          <t>BERG</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18341-2022</t>
        </is>
      </c>
      <c r="B5660" s="1" t="n">
        <v>44685</v>
      </c>
      <c r="C5660" s="1" t="n">
        <v>45363</v>
      </c>
      <c r="D5660" t="inlineStr">
        <is>
          <t>JÄMTLANDS LÄN</t>
        </is>
      </c>
      <c r="E5660" t="inlineStr">
        <is>
          <t>RAGUNDA</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18371-2022</t>
        </is>
      </c>
      <c r="B5661" s="1" t="n">
        <v>44686</v>
      </c>
      <c r="C5661" s="1" t="n">
        <v>45363</v>
      </c>
      <c r="D5661" t="inlineStr">
        <is>
          <t>JÄMTLANDS LÄN</t>
        </is>
      </c>
      <c r="E5661" t="inlineStr">
        <is>
          <t>BRÄCKE</t>
        </is>
      </c>
      <c r="F5661" t="inlineStr">
        <is>
          <t>SCA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18375-2022</t>
        </is>
      </c>
      <c r="B5662" s="1" t="n">
        <v>44685</v>
      </c>
      <c r="C5662" s="1" t="n">
        <v>45363</v>
      </c>
      <c r="D5662" t="inlineStr">
        <is>
          <t>JÄMTLANDS LÄN</t>
        </is>
      </c>
      <c r="E5662" t="inlineStr">
        <is>
          <t>RAGUNDA</t>
        </is>
      </c>
      <c r="F5662" t="inlineStr">
        <is>
          <t>SCA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18443-2022</t>
        </is>
      </c>
      <c r="B5663" s="1" t="n">
        <v>44686</v>
      </c>
      <c r="C5663" s="1" t="n">
        <v>45363</v>
      </c>
      <c r="D5663" t="inlineStr">
        <is>
          <t>JÄMTLANDS LÄN</t>
        </is>
      </c>
      <c r="E5663" t="inlineStr">
        <is>
          <t>ÅRE</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18426-2022</t>
        </is>
      </c>
      <c r="B5664" s="1" t="n">
        <v>44686</v>
      </c>
      <c r="C5664" s="1" t="n">
        <v>45363</v>
      </c>
      <c r="D5664" t="inlineStr">
        <is>
          <t>JÄMTLANDS LÄN</t>
        </is>
      </c>
      <c r="E5664" t="inlineStr">
        <is>
          <t>KROKOM</t>
        </is>
      </c>
      <c r="F5664" t="inlineStr">
        <is>
          <t>Övriga Aktiebolag</t>
        </is>
      </c>
      <c r="G5664" t="n">
        <v>24.8</v>
      </c>
      <c r="H5664" t="n">
        <v>0</v>
      </c>
      <c r="I5664" t="n">
        <v>0</v>
      </c>
      <c r="J5664" t="n">
        <v>0</v>
      </c>
      <c r="K5664" t="n">
        <v>0</v>
      </c>
      <c r="L5664" t="n">
        <v>0</v>
      </c>
      <c r="M5664" t="n">
        <v>0</v>
      </c>
      <c r="N5664" t="n">
        <v>0</v>
      </c>
      <c r="O5664" t="n">
        <v>0</v>
      </c>
      <c r="P5664" t="n">
        <v>0</v>
      </c>
      <c r="Q5664" t="n">
        <v>0</v>
      </c>
      <c r="R5664" s="2" t="inlineStr"/>
    </row>
    <row r="5665" ht="15" customHeight="1">
      <c r="A5665" t="inlineStr">
        <is>
          <t>A 18466-2022</t>
        </is>
      </c>
      <c r="B5665" s="1" t="n">
        <v>44686</v>
      </c>
      <c r="C5665" s="1" t="n">
        <v>45363</v>
      </c>
      <c r="D5665" t="inlineStr">
        <is>
          <t>JÄMTLANDS LÄN</t>
        </is>
      </c>
      <c r="E5665" t="inlineStr">
        <is>
          <t>KROKOM</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18476-2022</t>
        </is>
      </c>
      <c r="B5666" s="1" t="n">
        <v>44686</v>
      </c>
      <c r="C5666" s="1" t="n">
        <v>45363</v>
      </c>
      <c r="D5666" t="inlineStr">
        <is>
          <t>JÄMTLANDS LÄN</t>
        </is>
      </c>
      <c r="E5666" t="inlineStr">
        <is>
          <t>KROKOM</t>
        </is>
      </c>
      <c r="G5666" t="n">
        <v>11.7</v>
      </c>
      <c r="H5666" t="n">
        <v>0</v>
      </c>
      <c r="I5666" t="n">
        <v>0</v>
      </c>
      <c r="J5666" t="n">
        <v>0</v>
      </c>
      <c r="K5666" t="n">
        <v>0</v>
      </c>
      <c r="L5666" t="n">
        <v>0</v>
      </c>
      <c r="M5666" t="n">
        <v>0</v>
      </c>
      <c r="N5666" t="n">
        <v>0</v>
      </c>
      <c r="O5666" t="n">
        <v>0</v>
      </c>
      <c r="P5666" t="n">
        <v>0</v>
      </c>
      <c r="Q5666" t="n">
        <v>0</v>
      </c>
      <c r="R5666" s="2" t="inlineStr"/>
    </row>
    <row r="5667" ht="15" customHeight="1">
      <c r="A5667" t="inlineStr">
        <is>
          <t>A 18548-2022</t>
        </is>
      </c>
      <c r="B5667" s="1" t="n">
        <v>44687</v>
      </c>
      <c r="C5667" s="1" t="n">
        <v>45363</v>
      </c>
      <c r="D5667" t="inlineStr">
        <is>
          <t>JÄMTLANDS LÄN</t>
        </is>
      </c>
      <c r="E5667" t="inlineStr">
        <is>
          <t>RAGUNDA</t>
        </is>
      </c>
      <c r="F5667" t="inlineStr">
        <is>
          <t>SCA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18553-2022</t>
        </is>
      </c>
      <c r="B5668" s="1" t="n">
        <v>44687</v>
      </c>
      <c r="C5668" s="1" t="n">
        <v>45363</v>
      </c>
      <c r="D5668" t="inlineStr">
        <is>
          <t>JÄMTLANDS LÄN</t>
        </is>
      </c>
      <c r="E5668" t="inlineStr">
        <is>
          <t>STRÖMSUND</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18573-2022</t>
        </is>
      </c>
      <c r="B5669" s="1" t="n">
        <v>44687</v>
      </c>
      <c r="C5669" s="1" t="n">
        <v>45363</v>
      </c>
      <c r="D5669" t="inlineStr">
        <is>
          <t>JÄMTLANDS LÄN</t>
        </is>
      </c>
      <c r="E5669" t="inlineStr">
        <is>
          <t>STRÖMSUND</t>
        </is>
      </c>
      <c r="F5669" t="inlineStr">
        <is>
          <t>SCA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18572-2022</t>
        </is>
      </c>
      <c r="B5670" s="1" t="n">
        <v>44686</v>
      </c>
      <c r="C5670" s="1" t="n">
        <v>45363</v>
      </c>
      <c r="D5670" t="inlineStr">
        <is>
          <t>JÄMTLANDS LÄN</t>
        </is>
      </c>
      <c r="E5670" t="inlineStr">
        <is>
          <t>STRÖMSUND</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18671-2022</t>
        </is>
      </c>
      <c r="B5671" s="1" t="n">
        <v>44687</v>
      </c>
      <c r="C5671" s="1" t="n">
        <v>45363</v>
      </c>
      <c r="D5671" t="inlineStr">
        <is>
          <t>JÄMTLANDS LÄN</t>
        </is>
      </c>
      <c r="E5671" t="inlineStr">
        <is>
          <t>KROKOM</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18669-2022</t>
        </is>
      </c>
      <c r="B5672" s="1" t="n">
        <v>44687</v>
      </c>
      <c r="C5672" s="1" t="n">
        <v>45363</v>
      </c>
      <c r="D5672" t="inlineStr">
        <is>
          <t>JÄMTLANDS LÄN</t>
        </is>
      </c>
      <c r="E5672" t="inlineStr">
        <is>
          <t>KROKOM</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18629-2022</t>
        </is>
      </c>
      <c r="B5673" s="1" t="n">
        <v>44687</v>
      </c>
      <c r="C5673" s="1" t="n">
        <v>45363</v>
      </c>
      <c r="D5673" t="inlineStr">
        <is>
          <t>JÄMTLANDS LÄN</t>
        </is>
      </c>
      <c r="E5673" t="inlineStr">
        <is>
          <t>BERG</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18750-2022</t>
        </is>
      </c>
      <c r="B5674" s="1" t="n">
        <v>44688</v>
      </c>
      <c r="C5674" s="1" t="n">
        <v>45363</v>
      </c>
      <c r="D5674" t="inlineStr">
        <is>
          <t>JÄMTLANDS LÄN</t>
        </is>
      </c>
      <c r="E5674" t="inlineStr">
        <is>
          <t>STRÖMSUND</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18749-2022</t>
        </is>
      </c>
      <c r="B5675" s="1" t="n">
        <v>44688</v>
      </c>
      <c r="C5675" s="1" t="n">
        <v>45363</v>
      </c>
      <c r="D5675" t="inlineStr">
        <is>
          <t>JÄMTLANDS LÄN</t>
        </is>
      </c>
      <c r="E5675" t="inlineStr">
        <is>
          <t>STRÖMSUND</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18751-2022</t>
        </is>
      </c>
      <c r="B5676" s="1" t="n">
        <v>44688</v>
      </c>
      <c r="C5676" s="1" t="n">
        <v>45363</v>
      </c>
      <c r="D5676" t="inlineStr">
        <is>
          <t>JÄMTLANDS LÄN</t>
        </is>
      </c>
      <c r="E5676" t="inlineStr">
        <is>
          <t>STRÖMSUND</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18778-2022</t>
        </is>
      </c>
      <c r="B5677" s="1" t="n">
        <v>44689</v>
      </c>
      <c r="C5677" s="1" t="n">
        <v>45363</v>
      </c>
      <c r="D5677" t="inlineStr">
        <is>
          <t>JÄMTLANDS LÄN</t>
        </is>
      </c>
      <c r="E5677" t="inlineStr">
        <is>
          <t>HÄRJEDALEN</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18808-2022</t>
        </is>
      </c>
      <c r="B5678" s="1" t="n">
        <v>44690</v>
      </c>
      <c r="C5678" s="1" t="n">
        <v>45363</v>
      </c>
      <c r="D5678" t="inlineStr">
        <is>
          <t>JÄMTLANDS LÄN</t>
        </is>
      </c>
      <c r="E5678" t="inlineStr">
        <is>
          <t>HÄRJEDALEN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18849-2022</t>
        </is>
      </c>
      <c r="B5679" s="1" t="n">
        <v>44690</v>
      </c>
      <c r="C5679" s="1" t="n">
        <v>45363</v>
      </c>
      <c r="D5679" t="inlineStr">
        <is>
          <t>JÄMTLANDS LÄN</t>
        </is>
      </c>
      <c r="E5679" t="inlineStr">
        <is>
          <t>ÅRE</t>
        </is>
      </c>
      <c r="G5679" t="n">
        <v>12.8</v>
      </c>
      <c r="H5679" t="n">
        <v>0</v>
      </c>
      <c r="I5679" t="n">
        <v>0</v>
      </c>
      <c r="J5679" t="n">
        <v>0</v>
      </c>
      <c r="K5679" t="n">
        <v>0</v>
      </c>
      <c r="L5679" t="n">
        <v>0</v>
      </c>
      <c r="M5679" t="n">
        <v>0</v>
      </c>
      <c r="N5679" t="n">
        <v>0</v>
      </c>
      <c r="O5679" t="n">
        <v>0</v>
      </c>
      <c r="P5679" t="n">
        <v>0</v>
      </c>
      <c r="Q5679" t="n">
        <v>0</v>
      </c>
      <c r="R5679" s="2" t="inlineStr"/>
    </row>
    <row r="5680" ht="15" customHeight="1">
      <c r="A5680" t="inlineStr">
        <is>
          <t>A 18974-2022</t>
        </is>
      </c>
      <c r="B5680" s="1" t="n">
        <v>44690</v>
      </c>
      <c r="C5680" s="1" t="n">
        <v>45363</v>
      </c>
      <c r="D5680" t="inlineStr">
        <is>
          <t>JÄMTLANDS LÄN</t>
        </is>
      </c>
      <c r="E5680" t="inlineStr">
        <is>
          <t>RAGUNDA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18980-2022</t>
        </is>
      </c>
      <c r="B5681" s="1" t="n">
        <v>44690</v>
      </c>
      <c r="C5681" s="1" t="n">
        <v>45363</v>
      </c>
      <c r="D5681" t="inlineStr">
        <is>
          <t>JÄMTLANDS LÄN</t>
        </is>
      </c>
      <c r="E5681" t="inlineStr">
        <is>
          <t>RAGUNDA</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18994-2022</t>
        </is>
      </c>
      <c r="B5682" s="1" t="n">
        <v>44691</v>
      </c>
      <c r="C5682" s="1" t="n">
        <v>45363</v>
      </c>
      <c r="D5682" t="inlineStr">
        <is>
          <t>JÄMTLANDS LÄN</t>
        </is>
      </c>
      <c r="E5682" t="inlineStr">
        <is>
          <t>STRÖMSUND</t>
        </is>
      </c>
      <c r="F5682" t="inlineStr">
        <is>
          <t>SCA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18957-2022</t>
        </is>
      </c>
      <c r="B5683" s="1" t="n">
        <v>44690</v>
      </c>
      <c r="C5683" s="1" t="n">
        <v>45363</v>
      </c>
      <c r="D5683" t="inlineStr">
        <is>
          <t>JÄMTLANDS LÄN</t>
        </is>
      </c>
      <c r="E5683" t="inlineStr">
        <is>
          <t>KROKOM</t>
        </is>
      </c>
      <c r="G5683" t="n">
        <v>11.5</v>
      </c>
      <c r="H5683" t="n">
        <v>0</v>
      </c>
      <c r="I5683" t="n">
        <v>0</v>
      </c>
      <c r="J5683" t="n">
        <v>0</v>
      </c>
      <c r="K5683" t="n">
        <v>0</v>
      </c>
      <c r="L5683" t="n">
        <v>0</v>
      </c>
      <c r="M5683" t="n">
        <v>0</v>
      </c>
      <c r="N5683" t="n">
        <v>0</v>
      </c>
      <c r="O5683" t="n">
        <v>0</v>
      </c>
      <c r="P5683" t="n">
        <v>0</v>
      </c>
      <c r="Q5683" t="n">
        <v>0</v>
      </c>
      <c r="R5683" s="2" t="inlineStr"/>
    </row>
    <row r="5684" ht="15" customHeight="1">
      <c r="A5684" t="inlineStr">
        <is>
          <t>A 18977-2022</t>
        </is>
      </c>
      <c r="B5684" s="1" t="n">
        <v>44690</v>
      </c>
      <c r="C5684" s="1" t="n">
        <v>45363</v>
      </c>
      <c r="D5684" t="inlineStr">
        <is>
          <t>JÄMTLANDS LÄN</t>
        </is>
      </c>
      <c r="E5684" t="inlineStr">
        <is>
          <t>BRÄCKE</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18984-2022</t>
        </is>
      </c>
      <c r="B5685" s="1" t="n">
        <v>44690</v>
      </c>
      <c r="C5685" s="1" t="n">
        <v>45363</v>
      </c>
      <c r="D5685" t="inlineStr">
        <is>
          <t>JÄMTLANDS LÄN</t>
        </is>
      </c>
      <c r="E5685" t="inlineStr">
        <is>
          <t>BRÄCKE</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19004-2022</t>
        </is>
      </c>
      <c r="B5686" s="1" t="n">
        <v>44691</v>
      </c>
      <c r="C5686" s="1" t="n">
        <v>45363</v>
      </c>
      <c r="D5686" t="inlineStr">
        <is>
          <t>JÄMTLANDS LÄN</t>
        </is>
      </c>
      <c r="E5686" t="inlineStr">
        <is>
          <t>BERG</t>
        </is>
      </c>
      <c r="F5686" t="inlineStr">
        <is>
          <t>SCA</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18975-2022</t>
        </is>
      </c>
      <c r="B5687" s="1" t="n">
        <v>44691</v>
      </c>
      <c r="C5687" s="1" t="n">
        <v>45363</v>
      </c>
      <c r="D5687" t="inlineStr">
        <is>
          <t>JÄMTLANDS LÄN</t>
        </is>
      </c>
      <c r="E5687" t="inlineStr">
        <is>
          <t>BRÄCKE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18981-2022</t>
        </is>
      </c>
      <c r="B5688" s="1" t="n">
        <v>44690</v>
      </c>
      <c r="C5688" s="1" t="n">
        <v>45363</v>
      </c>
      <c r="D5688" t="inlineStr">
        <is>
          <t>JÄMTLANDS LÄN</t>
        </is>
      </c>
      <c r="E5688" t="inlineStr">
        <is>
          <t>BRÄCKE</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18976-2022</t>
        </is>
      </c>
      <c r="B5689" s="1" t="n">
        <v>44691</v>
      </c>
      <c r="C5689" s="1" t="n">
        <v>45363</v>
      </c>
      <c r="D5689" t="inlineStr">
        <is>
          <t>JÄMTLANDS LÄN</t>
        </is>
      </c>
      <c r="E5689" t="inlineStr">
        <is>
          <t>BRÄCKE</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19005-2022</t>
        </is>
      </c>
      <c r="B5690" s="1" t="n">
        <v>44690</v>
      </c>
      <c r="C5690" s="1" t="n">
        <v>45363</v>
      </c>
      <c r="D5690" t="inlineStr">
        <is>
          <t>JÄMTLANDS LÄN</t>
        </is>
      </c>
      <c r="E5690" t="inlineStr">
        <is>
          <t>RAGUNDA</t>
        </is>
      </c>
      <c r="F5690" t="inlineStr">
        <is>
          <t>SCA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19011-2022</t>
        </is>
      </c>
      <c r="B5691" s="1" t="n">
        <v>44690</v>
      </c>
      <c r="C5691" s="1" t="n">
        <v>45363</v>
      </c>
      <c r="D5691" t="inlineStr">
        <is>
          <t>JÄMTLANDS LÄN</t>
        </is>
      </c>
      <c r="E5691" t="inlineStr">
        <is>
          <t>RAGUNDA</t>
        </is>
      </c>
      <c r="F5691" t="inlineStr">
        <is>
          <t>SCA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19010-2022</t>
        </is>
      </c>
      <c r="B5692" s="1" t="n">
        <v>44690</v>
      </c>
      <c r="C5692" s="1" t="n">
        <v>45363</v>
      </c>
      <c r="D5692" t="inlineStr">
        <is>
          <t>JÄMTLANDS LÄN</t>
        </is>
      </c>
      <c r="E5692" t="inlineStr">
        <is>
          <t>RAGUNDA</t>
        </is>
      </c>
      <c r="F5692" t="inlineStr">
        <is>
          <t>SCA</t>
        </is>
      </c>
      <c r="G5692" t="n">
        <v>19.6</v>
      </c>
      <c r="H5692" t="n">
        <v>0</v>
      </c>
      <c r="I5692" t="n">
        <v>0</v>
      </c>
      <c r="J5692" t="n">
        <v>0</v>
      </c>
      <c r="K5692" t="n">
        <v>0</v>
      </c>
      <c r="L5692" t="n">
        <v>0</v>
      </c>
      <c r="M5692" t="n">
        <v>0</v>
      </c>
      <c r="N5692" t="n">
        <v>0</v>
      </c>
      <c r="O5692" t="n">
        <v>0</v>
      </c>
      <c r="P5692" t="n">
        <v>0</v>
      </c>
      <c r="Q5692" t="n">
        <v>0</v>
      </c>
      <c r="R5692" s="2" t="inlineStr"/>
    </row>
    <row r="5693" ht="15" customHeight="1">
      <c r="A5693" t="inlineStr">
        <is>
          <t>A 19006-2022</t>
        </is>
      </c>
      <c r="B5693" s="1" t="n">
        <v>44690</v>
      </c>
      <c r="C5693" s="1" t="n">
        <v>45363</v>
      </c>
      <c r="D5693" t="inlineStr">
        <is>
          <t>JÄMTLANDS LÄN</t>
        </is>
      </c>
      <c r="E5693" t="inlineStr">
        <is>
          <t>RAGUNDA</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19022-2022</t>
        </is>
      </c>
      <c r="B5694" s="1" t="n">
        <v>44690</v>
      </c>
      <c r="C5694" s="1" t="n">
        <v>45363</v>
      </c>
      <c r="D5694" t="inlineStr">
        <is>
          <t>JÄMTLANDS LÄN</t>
        </is>
      </c>
      <c r="E5694" t="inlineStr">
        <is>
          <t>ÖSTERSUND</t>
        </is>
      </c>
      <c r="G5694" t="n">
        <v>17.9</v>
      </c>
      <c r="H5694" t="n">
        <v>0</v>
      </c>
      <c r="I5694" t="n">
        <v>0</v>
      </c>
      <c r="J5694" t="n">
        <v>0</v>
      </c>
      <c r="K5694" t="n">
        <v>0</v>
      </c>
      <c r="L5694" t="n">
        <v>0</v>
      </c>
      <c r="M5694" t="n">
        <v>0</v>
      </c>
      <c r="N5694" t="n">
        <v>0</v>
      </c>
      <c r="O5694" t="n">
        <v>0</v>
      </c>
      <c r="P5694" t="n">
        <v>0</v>
      </c>
      <c r="Q5694" t="n">
        <v>0</v>
      </c>
      <c r="R5694" s="2" t="inlineStr"/>
    </row>
    <row r="5695" ht="15" customHeight="1">
      <c r="A5695" t="inlineStr">
        <is>
          <t>A 18982-2022</t>
        </is>
      </c>
      <c r="B5695" s="1" t="n">
        <v>44691</v>
      </c>
      <c r="C5695" s="1" t="n">
        <v>45363</v>
      </c>
      <c r="D5695" t="inlineStr">
        <is>
          <t>JÄMTLANDS LÄN</t>
        </is>
      </c>
      <c r="E5695" t="inlineStr">
        <is>
          <t>BRÄCKE</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19209-2022</t>
        </is>
      </c>
      <c r="B5696" s="1" t="n">
        <v>44691</v>
      </c>
      <c r="C5696" s="1" t="n">
        <v>45363</v>
      </c>
      <c r="D5696" t="inlineStr">
        <is>
          <t>JÄMTLANDS LÄN</t>
        </is>
      </c>
      <c r="E5696" t="inlineStr">
        <is>
          <t>STRÖMSUND</t>
        </is>
      </c>
      <c r="F5696" t="inlineStr">
        <is>
          <t>SCA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19455-2022</t>
        </is>
      </c>
      <c r="B5697" s="1" t="n">
        <v>44693</v>
      </c>
      <c r="C5697" s="1" t="n">
        <v>45363</v>
      </c>
      <c r="D5697" t="inlineStr">
        <is>
          <t>JÄMTLANDS LÄN</t>
        </is>
      </c>
      <c r="E5697" t="inlineStr">
        <is>
          <t>KROKOM</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19596-2022</t>
        </is>
      </c>
      <c r="B5698" s="1" t="n">
        <v>44694</v>
      </c>
      <c r="C5698" s="1" t="n">
        <v>45363</v>
      </c>
      <c r="D5698" t="inlineStr">
        <is>
          <t>JÄMTLANDS LÄN</t>
        </is>
      </c>
      <c r="E5698" t="inlineStr">
        <is>
          <t>RAGUNDA</t>
        </is>
      </c>
      <c r="F5698" t="inlineStr">
        <is>
          <t>SCA</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19602-2022</t>
        </is>
      </c>
      <c r="B5699" s="1" t="n">
        <v>44694</v>
      </c>
      <c r="C5699" s="1" t="n">
        <v>45363</v>
      </c>
      <c r="D5699" t="inlineStr">
        <is>
          <t>JÄMTLANDS LÄN</t>
        </is>
      </c>
      <c r="E5699" t="inlineStr">
        <is>
          <t>STRÖMSUND</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19601-2022</t>
        </is>
      </c>
      <c r="B5700" s="1" t="n">
        <v>44694</v>
      </c>
      <c r="C5700" s="1" t="n">
        <v>45363</v>
      </c>
      <c r="D5700" t="inlineStr">
        <is>
          <t>JÄMTLANDS LÄN</t>
        </is>
      </c>
      <c r="E5700" t="inlineStr">
        <is>
          <t>BRÄCKE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19799-2022</t>
        </is>
      </c>
      <c r="B5701" s="1" t="n">
        <v>44694</v>
      </c>
      <c r="C5701" s="1" t="n">
        <v>45363</v>
      </c>
      <c r="D5701" t="inlineStr">
        <is>
          <t>JÄMTLANDS LÄN</t>
        </is>
      </c>
      <c r="E5701" t="inlineStr">
        <is>
          <t>KROKOM</t>
        </is>
      </c>
      <c r="F5701" t="inlineStr">
        <is>
          <t>SCA</t>
        </is>
      </c>
      <c r="G5701" t="n">
        <v>16.3</v>
      </c>
      <c r="H5701" t="n">
        <v>0</v>
      </c>
      <c r="I5701" t="n">
        <v>0</v>
      </c>
      <c r="J5701" t="n">
        <v>0</v>
      </c>
      <c r="K5701" t="n">
        <v>0</v>
      </c>
      <c r="L5701" t="n">
        <v>0</v>
      </c>
      <c r="M5701" t="n">
        <v>0</v>
      </c>
      <c r="N5701" t="n">
        <v>0</v>
      </c>
      <c r="O5701" t="n">
        <v>0</v>
      </c>
      <c r="P5701" t="n">
        <v>0</v>
      </c>
      <c r="Q5701" t="n">
        <v>0</v>
      </c>
      <c r="R5701" s="2" t="inlineStr"/>
    </row>
    <row r="5702" ht="15" customHeight="1">
      <c r="A5702" t="inlineStr">
        <is>
          <t>A 19810-2022</t>
        </is>
      </c>
      <c r="B5702" s="1" t="n">
        <v>44695</v>
      </c>
      <c r="C5702" s="1" t="n">
        <v>45363</v>
      </c>
      <c r="D5702" t="inlineStr">
        <is>
          <t>JÄMTLANDS LÄN</t>
        </is>
      </c>
      <c r="E5702" t="inlineStr">
        <is>
          <t>BRÄCKE</t>
        </is>
      </c>
      <c r="F5702" t="inlineStr">
        <is>
          <t>SCA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19801-2022</t>
        </is>
      </c>
      <c r="B5703" s="1" t="n">
        <v>44695</v>
      </c>
      <c r="C5703" s="1" t="n">
        <v>45363</v>
      </c>
      <c r="D5703" t="inlineStr">
        <is>
          <t>JÄMTLANDS LÄN</t>
        </is>
      </c>
      <c r="E5703" t="inlineStr">
        <is>
          <t>RAGUNDA</t>
        </is>
      </c>
      <c r="F5703" t="inlineStr">
        <is>
          <t>SCA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19807-2022</t>
        </is>
      </c>
      <c r="B5704" s="1" t="n">
        <v>44694</v>
      </c>
      <c r="C5704" s="1" t="n">
        <v>45363</v>
      </c>
      <c r="D5704" t="inlineStr">
        <is>
          <t>JÄMTLANDS LÄN</t>
        </is>
      </c>
      <c r="E5704" t="inlineStr">
        <is>
          <t>BERG</t>
        </is>
      </c>
      <c r="G5704" t="n">
        <v>14.9</v>
      </c>
      <c r="H5704" t="n">
        <v>0</v>
      </c>
      <c r="I5704" t="n">
        <v>0</v>
      </c>
      <c r="J5704" t="n">
        <v>0</v>
      </c>
      <c r="K5704" t="n">
        <v>0</v>
      </c>
      <c r="L5704" t="n">
        <v>0</v>
      </c>
      <c r="M5704" t="n">
        <v>0</v>
      </c>
      <c r="N5704" t="n">
        <v>0</v>
      </c>
      <c r="O5704" t="n">
        <v>0</v>
      </c>
      <c r="P5704" t="n">
        <v>0</v>
      </c>
      <c r="Q5704" t="n">
        <v>0</v>
      </c>
      <c r="R5704" s="2" t="inlineStr"/>
    </row>
    <row r="5705" ht="15" customHeight="1">
      <c r="A5705" t="inlineStr">
        <is>
          <t>A 19809-2022</t>
        </is>
      </c>
      <c r="B5705" s="1" t="n">
        <v>44694</v>
      </c>
      <c r="C5705" s="1" t="n">
        <v>45363</v>
      </c>
      <c r="D5705" t="inlineStr">
        <is>
          <t>JÄMTLANDS LÄN</t>
        </is>
      </c>
      <c r="E5705" t="inlineStr">
        <is>
          <t>BERG</t>
        </is>
      </c>
      <c r="F5705" t="inlineStr">
        <is>
          <t>SCA</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19818-2022</t>
        </is>
      </c>
      <c r="B5706" s="1" t="n">
        <v>44695</v>
      </c>
      <c r="C5706" s="1" t="n">
        <v>45363</v>
      </c>
      <c r="D5706" t="inlineStr">
        <is>
          <t>JÄMTLANDS LÄN</t>
        </is>
      </c>
      <c r="E5706" t="inlineStr">
        <is>
          <t>BERG</t>
        </is>
      </c>
      <c r="F5706" t="inlineStr">
        <is>
          <t>SCA</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19850-2022</t>
        </is>
      </c>
      <c r="B5707" s="1" t="n">
        <v>44697</v>
      </c>
      <c r="C5707" s="1" t="n">
        <v>45363</v>
      </c>
      <c r="D5707" t="inlineStr">
        <is>
          <t>JÄMTLANDS LÄN</t>
        </is>
      </c>
      <c r="E5707" t="inlineStr">
        <is>
          <t>RAGUNDA</t>
        </is>
      </c>
      <c r="F5707" t="inlineStr">
        <is>
          <t>SCA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20014-2022</t>
        </is>
      </c>
      <c r="B5708" s="1" t="n">
        <v>44697</v>
      </c>
      <c r="C5708" s="1" t="n">
        <v>45363</v>
      </c>
      <c r="D5708" t="inlineStr">
        <is>
          <t>JÄMTLANDS LÄN</t>
        </is>
      </c>
      <c r="E5708" t="inlineStr">
        <is>
          <t>BRÄCKE</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20058-2022</t>
        </is>
      </c>
      <c r="B5709" s="1" t="n">
        <v>44698</v>
      </c>
      <c r="C5709" s="1" t="n">
        <v>45363</v>
      </c>
      <c r="D5709" t="inlineStr">
        <is>
          <t>JÄMTLANDS LÄN</t>
        </is>
      </c>
      <c r="E5709" t="inlineStr">
        <is>
          <t>STRÖMSUND</t>
        </is>
      </c>
      <c r="G5709" t="n">
        <v>29.5</v>
      </c>
      <c r="H5709" t="n">
        <v>0</v>
      </c>
      <c r="I5709" t="n">
        <v>0</v>
      </c>
      <c r="J5709" t="n">
        <v>0</v>
      </c>
      <c r="K5709" t="n">
        <v>0</v>
      </c>
      <c r="L5709" t="n">
        <v>0</v>
      </c>
      <c r="M5709" t="n">
        <v>0</v>
      </c>
      <c r="N5709" t="n">
        <v>0</v>
      </c>
      <c r="O5709" t="n">
        <v>0</v>
      </c>
      <c r="P5709" t="n">
        <v>0</v>
      </c>
      <c r="Q5709" t="n">
        <v>0</v>
      </c>
      <c r="R5709" s="2" t="inlineStr"/>
    </row>
    <row r="5710" ht="15" customHeight="1">
      <c r="A5710" t="inlineStr">
        <is>
          <t>A 20065-2022</t>
        </is>
      </c>
      <c r="B5710" s="1" t="n">
        <v>44698</v>
      </c>
      <c r="C5710" s="1" t="n">
        <v>45363</v>
      </c>
      <c r="D5710" t="inlineStr">
        <is>
          <t>JÄMTLANDS LÄN</t>
        </is>
      </c>
      <c r="E5710" t="inlineStr">
        <is>
          <t>BRÄCKE</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20067-2022</t>
        </is>
      </c>
      <c r="B5711" s="1" t="n">
        <v>44698</v>
      </c>
      <c r="C5711" s="1" t="n">
        <v>45363</v>
      </c>
      <c r="D5711" t="inlineStr">
        <is>
          <t>JÄMTLANDS LÄN</t>
        </is>
      </c>
      <c r="E5711" t="inlineStr">
        <is>
          <t>BRÄCKE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20059-2022</t>
        </is>
      </c>
      <c r="B5712" s="1" t="n">
        <v>44698</v>
      </c>
      <c r="C5712" s="1" t="n">
        <v>45363</v>
      </c>
      <c r="D5712" t="inlineStr">
        <is>
          <t>JÄMTLANDS LÄN</t>
        </is>
      </c>
      <c r="E5712" t="inlineStr">
        <is>
          <t>HÄRJEDALEN</t>
        </is>
      </c>
      <c r="F5712" t="inlineStr">
        <is>
          <t>SCA</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20066-2022</t>
        </is>
      </c>
      <c r="B5713" s="1" t="n">
        <v>44697</v>
      </c>
      <c r="C5713" s="1" t="n">
        <v>45363</v>
      </c>
      <c r="D5713" t="inlineStr">
        <is>
          <t>JÄMTLANDS LÄN</t>
        </is>
      </c>
      <c r="E5713" t="inlineStr">
        <is>
          <t>BRÄCKE</t>
        </is>
      </c>
      <c r="G5713" t="n">
        <v>41.6</v>
      </c>
      <c r="H5713" t="n">
        <v>0</v>
      </c>
      <c r="I5713" t="n">
        <v>0</v>
      </c>
      <c r="J5713" t="n">
        <v>0</v>
      </c>
      <c r="K5713" t="n">
        <v>0</v>
      </c>
      <c r="L5713" t="n">
        <v>0</v>
      </c>
      <c r="M5713" t="n">
        <v>0</v>
      </c>
      <c r="N5713" t="n">
        <v>0</v>
      </c>
      <c r="O5713" t="n">
        <v>0</v>
      </c>
      <c r="P5713" t="n">
        <v>0</v>
      </c>
      <c r="Q5713" t="n">
        <v>0</v>
      </c>
      <c r="R5713" s="2" t="inlineStr"/>
    </row>
    <row r="5714" ht="15" customHeight="1">
      <c r="A5714" t="inlineStr">
        <is>
          <t>A 20072-2022</t>
        </is>
      </c>
      <c r="B5714" s="1" t="n">
        <v>44697</v>
      </c>
      <c r="C5714" s="1" t="n">
        <v>45363</v>
      </c>
      <c r="D5714" t="inlineStr">
        <is>
          <t>JÄMTLANDS LÄN</t>
        </is>
      </c>
      <c r="E5714" t="inlineStr">
        <is>
          <t>STRÖMSUND</t>
        </is>
      </c>
      <c r="F5714" t="inlineStr">
        <is>
          <t>SCA</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20069-2022</t>
        </is>
      </c>
      <c r="B5715" s="1" t="n">
        <v>44698</v>
      </c>
      <c r="C5715" s="1" t="n">
        <v>45363</v>
      </c>
      <c r="D5715" t="inlineStr">
        <is>
          <t>JÄMTLANDS LÄN</t>
        </is>
      </c>
      <c r="E5715" t="inlineStr">
        <is>
          <t>BRÄCKE</t>
        </is>
      </c>
      <c r="F5715" t="inlineStr">
        <is>
          <t>SCA</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20073-2022</t>
        </is>
      </c>
      <c r="B5716" s="1" t="n">
        <v>44697</v>
      </c>
      <c r="C5716" s="1" t="n">
        <v>45363</v>
      </c>
      <c r="D5716" t="inlineStr">
        <is>
          <t>JÄMTLANDS LÄN</t>
        </is>
      </c>
      <c r="E5716" t="inlineStr">
        <is>
          <t>STRÖMSUND</t>
        </is>
      </c>
      <c r="F5716" t="inlineStr">
        <is>
          <t>SCA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20070-2022</t>
        </is>
      </c>
      <c r="B5717" s="1" t="n">
        <v>44698</v>
      </c>
      <c r="C5717" s="1" t="n">
        <v>45363</v>
      </c>
      <c r="D5717" t="inlineStr">
        <is>
          <t>JÄMTLANDS LÄN</t>
        </is>
      </c>
      <c r="E5717" t="inlineStr">
        <is>
          <t>BRÄCKE</t>
        </is>
      </c>
      <c r="F5717" t="inlineStr">
        <is>
          <t>SCA</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20074-2022</t>
        </is>
      </c>
      <c r="B5718" s="1" t="n">
        <v>44698</v>
      </c>
      <c r="C5718" s="1" t="n">
        <v>45363</v>
      </c>
      <c r="D5718" t="inlineStr">
        <is>
          <t>JÄMTLANDS LÄN</t>
        </is>
      </c>
      <c r="E5718" t="inlineStr">
        <is>
          <t>KROKOM</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20071-2022</t>
        </is>
      </c>
      <c r="B5719" s="1" t="n">
        <v>44698</v>
      </c>
      <c r="C5719" s="1" t="n">
        <v>45363</v>
      </c>
      <c r="D5719" t="inlineStr">
        <is>
          <t>JÄMTLANDS LÄN</t>
        </is>
      </c>
      <c r="E5719" t="inlineStr">
        <is>
          <t>STRÖMSUND</t>
        </is>
      </c>
      <c r="F5719" t="inlineStr">
        <is>
          <t>SCA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19964-2022</t>
        </is>
      </c>
      <c r="B5720" s="1" t="n">
        <v>44697</v>
      </c>
      <c r="C5720" s="1" t="n">
        <v>45363</v>
      </c>
      <c r="D5720" t="inlineStr">
        <is>
          <t>JÄMTLANDS LÄN</t>
        </is>
      </c>
      <c r="E5720" t="inlineStr">
        <is>
          <t>STRÖMSUND</t>
        </is>
      </c>
      <c r="F5720" t="inlineStr">
        <is>
          <t>Holmen skog AB</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20206-2022</t>
        </is>
      </c>
      <c r="B5721" s="1" t="n">
        <v>44698</v>
      </c>
      <c r="C5721" s="1" t="n">
        <v>45363</v>
      </c>
      <c r="D5721" t="inlineStr">
        <is>
          <t>JÄMTLANDS LÄN</t>
        </is>
      </c>
      <c r="E5721" t="inlineStr">
        <is>
          <t>HÄRJEDALEN</t>
        </is>
      </c>
      <c r="F5721" t="inlineStr">
        <is>
          <t>Bergvik skog väst AB</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20300-2022</t>
        </is>
      </c>
      <c r="B5722" s="1" t="n">
        <v>44699</v>
      </c>
      <c r="C5722" s="1" t="n">
        <v>45363</v>
      </c>
      <c r="D5722" t="inlineStr">
        <is>
          <t>JÄMTLANDS LÄN</t>
        </is>
      </c>
      <c r="E5722" t="inlineStr">
        <is>
          <t>BRÄCKE</t>
        </is>
      </c>
      <c r="F5722" t="inlineStr">
        <is>
          <t>SCA</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20266-2022</t>
        </is>
      </c>
      <c r="B5723" s="1" t="n">
        <v>44698</v>
      </c>
      <c r="C5723" s="1" t="n">
        <v>45363</v>
      </c>
      <c r="D5723" t="inlineStr">
        <is>
          <t>JÄMTLANDS LÄN</t>
        </is>
      </c>
      <c r="E5723" t="inlineStr">
        <is>
          <t>STRÖMSUND</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20304-2022</t>
        </is>
      </c>
      <c r="B5724" s="1" t="n">
        <v>44699</v>
      </c>
      <c r="C5724" s="1" t="n">
        <v>45363</v>
      </c>
      <c r="D5724" t="inlineStr">
        <is>
          <t>JÄMTLANDS LÄN</t>
        </is>
      </c>
      <c r="E5724" t="inlineStr">
        <is>
          <t>BERG</t>
        </is>
      </c>
      <c r="F5724" t="inlineStr">
        <is>
          <t>SCA</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20334-2022</t>
        </is>
      </c>
      <c r="B5725" s="1" t="n">
        <v>44699</v>
      </c>
      <c r="C5725" s="1" t="n">
        <v>45363</v>
      </c>
      <c r="D5725" t="inlineStr">
        <is>
          <t>JÄMTLANDS LÄN</t>
        </is>
      </c>
      <c r="E5725" t="inlineStr">
        <is>
          <t>STRÖMSUND</t>
        </is>
      </c>
      <c r="F5725" t="inlineStr">
        <is>
          <t>Holmen skog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20339-2022</t>
        </is>
      </c>
      <c r="B5726" s="1" t="n">
        <v>44699</v>
      </c>
      <c r="C5726" s="1" t="n">
        <v>45363</v>
      </c>
      <c r="D5726" t="inlineStr">
        <is>
          <t>JÄMTLANDS LÄN</t>
        </is>
      </c>
      <c r="E5726" t="inlineStr">
        <is>
          <t>STRÖMSUND</t>
        </is>
      </c>
      <c r="F5726" t="inlineStr">
        <is>
          <t>Holmen skog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20399-2022</t>
        </is>
      </c>
      <c r="B5727" s="1" t="n">
        <v>44699</v>
      </c>
      <c r="C5727" s="1" t="n">
        <v>45363</v>
      </c>
      <c r="D5727" t="inlineStr">
        <is>
          <t>JÄMTLANDS LÄN</t>
        </is>
      </c>
      <c r="E5727" t="inlineStr">
        <is>
          <t>BRÄCKE</t>
        </is>
      </c>
      <c r="F5727" t="inlineStr">
        <is>
          <t>Övriga Aktiebolag</t>
        </is>
      </c>
      <c r="G5727" t="n">
        <v>20.9</v>
      </c>
      <c r="H5727" t="n">
        <v>0</v>
      </c>
      <c r="I5727" t="n">
        <v>0</v>
      </c>
      <c r="J5727" t="n">
        <v>0</v>
      </c>
      <c r="K5727" t="n">
        <v>0</v>
      </c>
      <c r="L5727" t="n">
        <v>0</v>
      </c>
      <c r="M5727" t="n">
        <v>0</v>
      </c>
      <c r="N5727" t="n">
        <v>0</v>
      </c>
      <c r="O5727" t="n">
        <v>0</v>
      </c>
      <c r="P5727" t="n">
        <v>0</v>
      </c>
      <c r="Q5727" t="n">
        <v>0</v>
      </c>
      <c r="R5727" s="2" t="inlineStr"/>
    </row>
    <row r="5728" ht="15" customHeight="1">
      <c r="A5728" t="inlineStr">
        <is>
          <t>A 20432-2022</t>
        </is>
      </c>
      <c r="B5728" s="1" t="n">
        <v>44699</v>
      </c>
      <c r="C5728" s="1" t="n">
        <v>45363</v>
      </c>
      <c r="D5728" t="inlineStr">
        <is>
          <t>JÄMTLANDS LÄN</t>
        </is>
      </c>
      <c r="E5728" t="inlineStr">
        <is>
          <t>STRÖMSUND</t>
        </is>
      </c>
      <c r="F5728" t="inlineStr">
        <is>
          <t>SCA</t>
        </is>
      </c>
      <c r="G5728" t="n">
        <v>99.59999999999999</v>
      </c>
      <c r="H5728" t="n">
        <v>0</v>
      </c>
      <c r="I5728" t="n">
        <v>0</v>
      </c>
      <c r="J5728" t="n">
        <v>0</v>
      </c>
      <c r="K5728" t="n">
        <v>0</v>
      </c>
      <c r="L5728" t="n">
        <v>0</v>
      </c>
      <c r="M5728" t="n">
        <v>0</v>
      </c>
      <c r="N5728" t="n">
        <v>0</v>
      </c>
      <c r="O5728" t="n">
        <v>0</v>
      </c>
      <c r="P5728" t="n">
        <v>0</v>
      </c>
      <c r="Q5728" t="n">
        <v>0</v>
      </c>
      <c r="R5728" s="2" t="inlineStr"/>
    </row>
    <row r="5729" ht="15" customHeight="1">
      <c r="A5729" t="inlineStr">
        <is>
          <t>A 20331-2022</t>
        </is>
      </c>
      <c r="B5729" s="1" t="n">
        <v>44699</v>
      </c>
      <c r="C5729" s="1" t="n">
        <v>45363</v>
      </c>
      <c r="D5729" t="inlineStr">
        <is>
          <t>JÄMTLANDS LÄN</t>
        </is>
      </c>
      <c r="E5729" t="inlineStr">
        <is>
          <t>STRÖMSUND</t>
        </is>
      </c>
      <c r="F5729" t="inlineStr">
        <is>
          <t>Holmen skog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20667-2022</t>
        </is>
      </c>
      <c r="B5730" s="1" t="n">
        <v>44700</v>
      </c>
      <c r="C5730" s="1" t="n">
        <v>45363</v>
      </c>
      <c r="D5730" t="inlineStr">
        <is>
          <t>JÄMTLANDS LÄN</t>
        </is>
      </c>
      <c r="E5730" t="inlineStr">
        <is>
          <t>BRÄCKE</t>
        </is>
      </c>
      <c r="G5730" t="n">
        <v>13.8</v>
      </c>
      <c r="H5730" t="n">
        <v>0</v>
      </c>
      <c r="I5730" t="n">
        <v>0</v>
      </c>
      <c r="J5730" t="n">
        <v>0</v>
      </c>
      <c r="K5730" t="n">
        <v>0</v>
      </c>
      <c r="L5730" t="n">
        <v>0</v>
      </c>
      <c r="M5730" t="n">
        <v>0</v>
      </c>
      <c r="N5730" t="n">
        <v>0</v>
      </c>
      <c r="O5730" t="n">
        <v>0</v>
      </c>
      <c r="P5730" t="n">
        <v>0</v>
      </c>
      <c r="Q5730" t="n">
        <v>0</v>
      </c>
      <c r="R5730" s="2" t="inlineStr"/>
    </row>
    <row r="5731" ht="15" customHeight="1">
      <c r="A5731" t="inlineStr">
        <is>
          <t>A 20707-2022</t>
        </is>
      </c>
      <c r="B5731" s="1" t="n">
        <v>44701</v>
      </c>
      <c r="C5731" s="1" t="n">
        <v>45363</v>
      </c>
      <c r="D5731" t="inlineStr">
        <is>
          <t>JÄMTLANDS LÄN</t>
        </is>
      </c>
      <c r="E5731" t="inlineStr">
        <is>
          <t>STRÖMSUND</t>
        </is>
      </c>
      <c r="F5731" t="inlineStr">
        <is>
          <t>SCA</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20721-2022</t>
        </is>
      </c>
      <c r="B5732" s="1" t="n">
        <v>44700</v>
      </c>
      <c r="C5732" s="1" t="n">
        <v>45363</v>
      </c>
      <c r="D5732" t="inlineStr">
        <is>
          <t>JÄMTLANDS LÄN</t>
        </is>
      </c>
      <c r="E5732" t="inlineStr">
        <is>
          <t>KROKOM</t>
        </is>
      </c>
      <c r="F5732" t="inlineStr">
        <is>
          <t>SCA</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20706-2022</t>
        </is>
      </c>
      <c r="B5733" s="1" t="n">
        <v>44701</v>
      </c>
      <c r="C5733" s="1" t="n">
        <v>45363</v>
      </c>
      <c r="D5733" t="inlineStr">
        <is>
          <t>JÄMTLANDS LÄN</t>
        </is>
      </c>
      <c r="E5733" t="inlineStr">
        <is>
          <t>STRÖMSUND</t>
        </is>
      </c>
      <c r="F5733" t="inlineStr">
        <is>
          <t>SCA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20708-2022</t>
        </is>
      </c>
      <c r="B5734" s="1" t="n">
        <v>44700</v>
      </c>
      <c r="C5734" s="1" t="n">
        <v>45363</v>
      </c>
      <c r="D5734" t="inlineStr">
        <is>
          <t>JÄMTLANDS LÄN</t>
        </is>
      </c>
      <c r="E5734" t="inlineStr">
        <is>
          <t>STRÖMSUND</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20718-2022</t>
        </is>
      </c>
      <c r="B5735" s="1" t="n">
        <v>44700</v>
      </c>
      <c r="C5735" s="1" t="n">
        <v>45363</v>
      </c>
      <c r="D5735" t="inlineStr">
        <is>
          <t>JÄMTLANDS LÄN</t>
        </is>
      </c>
      <c r="E5735" t="inlineStr">
        <is>
          <t>BRÄCKE</t>
        </is>
      </c>
      <c r="F5735" t="inlineStr">
        <is>
          <t>SCA</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20727-2022</t>
        </is>
      </c>
      <c r="B5736" s="1" t="n">
        <v>44700</v>
      </c>
      <c r="C5736" s="1" t="n">
        <v>45363</v>
      </c>
      <c r="D5736" t="inlineStr">
        <is>
          <t>JÄMTLANDS LÄN</t>
        </is>
      </c>
      <c r="E5736" t="inlineStr">
        <is>
          <t>BRÄCKE</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20827-2022</t>
        </is>
      </c>
      <c r="B5737" s="1" t="n">
        <v>44700</v>
      </c>
      <c r="C5737" s="1" t="n">
        <v>45363</v>
      </c>
      <c r="D5737" t="inlineStr">
        <is>
          <t>JÄMTLANDS LÄN</t>
        </is>
      </c>
      <c r="E5737" t="inlineStr">
        <is>
          <t>ÅRE</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20816-2022</t>
        </is>
      </c>
      <c r="B5738" s="1" t="n">
        <v>44700</v>
      </c>
      <c r="C5738" s="1" t="n">
        <v>45363</v>
      </c>
      <c r="D5738" t="inlineStr">
        <is>
          <t>JÄMTLANDS LÄN</t>
        </is>
      </c>
      <c r="E5738" t="inlineStr">
        <is>
          <t>ÅRE</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20865-2022</t>
        </is>
      </c>
      <c r="B5739" s="1" t="n">
        <v>44701</v>
      </c>
      <c r="C5739" s="1" t="n">
        <v>45363</v>
      </c>
      <c r="D5739" t="inlineStr">
        <is>
          <t>JÄMTLANDS LÄN</t>
        </is>
      </c>
      <c r="E5739" t="inlineStr">
        <is>
          <t>STRÖMSUND</t>
        </is>
      </c>
      <c r="F5739" t="inlineStr">
        <is>
          <t>Holmen skog AB</t>
        </is>
      </c>
      <c r="G5739" t="n">
        <v>10.2</v>
      </c>
      <c r="H5739" t="n">
        <v>0</v>
      </c>
      <c r="I5739" t="n">
        <v>0</v>
      </c>
      <c r="J5739" t="n">
        <v>0</v>
      </c>
      <c r="K5739" t="n">
        <v>0</v>
      </c>
      <c r="L5739" t="n">
        <v>0</v>
      </c>
      <c r="M5739" t="n">
        <v>0</v>
      </c>
      <c r="N5739" t="n">
        <v>0</v>
      </c>
      <c r="O5739" t="n">
        <v>0</v>
      </c>
      <c r="P5739" t="n">
        <v>0</v>
      </c>
      <c r="Q5739" t="n">
        <v>0</v>
      </c>
      <c r="R5739" s="2" t="inlineStr"/>
    </row>
    <row r="5740" ht="15" customHeight="1">
      <c r="A5740" t="inlineStr">
        <is>
          <t>A 20965-2022</t>
        </is>
      </c>
      <c r="B5740" s="1" t="n">
        <v>44701</v>
      </c>
      <c r="C5740" s="1" t="n">
        <v>45363</v>
      </c>
      <c r="D5740" t="inlineStr">
        <is>
          <t>JÄMTLANDS LÄN</t>
        </is>
      </c>
      <c r="E5740" t="inlineStr">
        <is>
          <t>STRÖMSUND</t>
        </is>
      </c>
      <c r="F5740" t="inlineStr">
        <is>
          <t>SCA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20960-2022</t>
        </is>
      </c>
      <c r="B5741" s="1" t="n">
        <v>44702</v>
      </c>
      <c r="C5741" s="1" t="n">
        <v>45363</v>
      </c>
      <c r="D5741" t="inlineStr">
        <is>
          <t>JÄMTLANDS LÄN</t>
        </is>
      </c>
      <c r="E5741" t="inlineStr">
        <is>
          <t>ÖSTERSUND</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20967-2022</t>
        </is>
      </c>
      <c r="B5742" s="1" t="n">
        <v>44702</v>
      </c>
      <c r="C5742" s="1" t="n">
        <v>45363</v>
      </c>
      <c r="D5742" t="inlineStr">
        <is>
          <t>JÄMTLANDS LÄN</t>
        </is>
      </c>
      <c r="E5742" t="inlineStr">
        <is>
          <t>RAGUNDA</t>
        </is>
      </c>
      <c r="F5742" t="inlineStr">
        <is>
          <t>SCA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20966-2022</t>
        </is>
      </c>
      <c r="B5743" s="1" t="n">
        <v>44702</v>
      </c>
      <c r="C5743" s="1" t="n">
        <v>45363</v>
      </c>
      <c r="D5743" t="inlineStr">
        <is>
          <t>JÄMTLANDS LÄN</t>
        </is>
      </c>
      <c r="E5743" t="inlineStr">
        <is>
          <t>STRÖMSUND</t>
        </is>
      </c>
      <c r="F5743" t="inlineStr">
        <is>
          <t>SCA</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20961-2022</t>
        </is>
      </c>
      <c r="B5744" s="1" t="n">
        <v>44702</v>
      </c>
      <c r="C5744" s="1" t="n">
        <v>45363</v>
      </c>
      <c r="D5744" t="inlineStr">
        <is>
          <t>JÄMTLANDS LÄN</t>
        </is>
      </c>
      <c r="E5744" t="inlineStr">
        <is>
          <t>RAGUNDA</t>
        </is>
      </c>
      <c r="F5744" t="inlineStr">
        <is>
          <t>SCA</t>
        </is>
      </c>
      <c r="G5744" t="n">
        <v>9.4</v>
      </c>
      <c r="H5744" t="n">
        <v>0</v>
      </c>
      <c r="I5744" t="n">
        <v>0</v>
      </c>
      <c r="J5744" t="n">
        <v>0</v>
      </c>
      <c r="K5744" t="n">
        <v>0</v>
      </c>
      <c r="L5744" t="n">
        <v>0</v>
      </c>
      <c r="M5744" t="n">
        <v>0</v>
      </c>
      <c r="N5744" t="n">
        <v>0</v>
      </c>
      <c r="O5744" t="n">
        <v>0</v>
      </c>
      <c r="P5744" t="n">
        <v>0</v>
      </c>
      <c r="Q5744" t="n">
        <v>0</v>
      </c>
      <c r="R5744" s="2" t="inlineStr"/>
    </row>
    <row r="5745" ht="15" customHeight="1">
      <c r="A5745" t="inlineStr">
        <is>
          <t>A 20983-2022</t>
        </is>
      </c>
      <c r="B5745" s="1" t="n">
        <v>44703</v>
      </c>
      <c r="C5745" s="1" t="n">
        <v>45363</v>
      </c>
      <c r="D5745" t="inlineStr">
        <is>
          <t>JÄMTLANDS LÄN</t>
        </is>
      </c>
      <c r="E5745" t="inlineStr">
        <is>
          <t>ÖSTERSUND</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21064-2022</t>
        </is>
      </c>
      <c r="B5746" s="1" t="n">
        <v>44704</v>
      </c>
      <c r="C5746" s="1" t="n">
        <v>45363</v>
      </c>
      <c r="D5746" t="inlineStr">
        <is>
          <t>JÄMTLANDS LÄN</t>
        </is>
      </c>
      <c r="E5746" t="inlineStr">
        <is>
          <t>BERG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21080-2022</t>
        </is>
      </c>
      <c r="B5747" s="1" t="n">
        <v>44704</v>
      </c>
      <c r="C5747" s="1" t="n">
        <v>45363</v>
      </c>
      <c r="D5747" t="inlineStr">
        <is>
          <t>JÄMTLANDS LÄN</t>
        </is>
      </c>
      <c r="E5747" t="inlineStr">
        <is>
          <t>BERG</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21139-2022</t>
        </is>
      </c>
      <c r="B5748" s="1" t="n">
        <v>44704</v>
      </c>
      <c r="C5748" s="1" t="n">
        <v>45363</v>
      </c>
      <c r="D5748" t="inlineStr">
        <is>
          <t>JÄMTLANDS LÄN</t>
        </is>
      </c>
      <c r="E5748" t="inlineStr">
        <is>
          <t>KROKOM</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21192-2022</t>
        </is>
      </c>
      <c r="B5749" s="1" t="n">
        <v>44705</v>
      </c>
      <c r="C5749" s="1" t="n">
        <v>45363</v>
      </c>
      <c r="D5749" t="inlineStr">
        <is>
          <t>JÄMTLANDS LÄN</t>
        </is>
      </c>
      <c r="E5749" t="inlineStr">
        <is>
          <t>STRÖMSUND</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21194-2022</t>
        </is>
      </c>
      <c r="B5750" s="1" t="n">
        <v>44705</v>
      </c>
      <c r="C5750" s="1" t="n">
        <v>45363</v>
      </c>
      <c r="D5750" t="inlineStr">
        <is>
          <t>JÄMTLANDS LÄN</t>
        </is>
      </c>
      <c r="E5750" t="inlineStr">
        <is>
          <t>RAGUNDA</t>
        </is>
      </c>
      <c r="F5750" t="inlineStr">
        <is>
          <t>SCA</t>
        </is>
      </c>
      <c r="G5750" t="n">
        <v>10.6</v>
      </c>
      <c r="H5750" t="n">
        <v>0</v>
      </c>
      <c r="I5750" t="n">
        <v>0</v>
      </c>
      <c r="J5750" t="n">
        <v>0</v>
      </c>
      <c r="K5750" t="n">
        <v>0</v>
      </c>
      <c r="L5750" t="n">
        <v>0</v>
      </c>
      <c r="M5750" t="n">
        <v>0</v>
      </c>
      <c r="N5750" t="n">
        <v>0</v>
      </c>
      <c r="O5750" t="n">
        <v>0</v>
      </c>
      <c r="P5750" t="n">
        <v>0</v>
      </c>
      <c r="Q5750" t="n">
        <v>0</v>
      </c>
      <c r="R5750" s="2" t="inlineStr"/>
    </row>
    <row r="5751" ht="15" customHeight="1">
      <c r="A5751" t="inlineStr">
        <is>
          <t>A 21196-2022</t>
        </is>
      </c>
      <c r="B5751" s="1" t="n">
        <v>44705</v>
      </c>
      <c r="C5751" s="1" t="n">
        <v>45363</v>
      </c>
      <c r="D5751" t="inlineStr">
        <is>
          <t>JÄMTLANDS LÄN</t>
        </is>
      </c>
      <c r="E5751" t="inlineStr">
        <is>
          <t>RAGUNDA</t>
        </is>
      </c>
      <c r="F5751" t="inlineStr">
        <is>
          <t>SCA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21203-2022</t>
        </is>
      </c>
      <c r="B5752" s="1" t="n">
        <v>44705</v>
      </c>
      <c r="C5752" s="1" t="n">
        <v>45363</v>
      </c>
      <c r="D5752" t="inlineStr">
        <is>
          <t>JÄMTLANDS LÄN</t>
        </is>
      </c>
      <c r="E5752" t="inlineStr">
        <is>
          <t>BERG</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21201-2022</t>
        </is>
      </c>
      <c r="B5753" s="1" t="n">
        <v>44705</v>
      </c>
      <c r="C5753" s="1" t="n">
        <v>45363</v>
      </c>
      <c r="D5753" t="inlineStr">
        <is>
          <t>JÄMTLANDS LÄN</t>
        </is>
      </c>
      <c r="E5753" t="inlineStr">
        <is>
          <t>BERG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21195-2022</t>
        </is>
      </c>
      <c r="B5754" s="1" t="n">
        <v>44705</v>
      </c>
      <c r="C5754" s="1" t="n">
        <v>45363</v>
      </c>
      <c r="D5754" t="inlineStr">
        <is>
          <t>JÄMTLANDS LÄN</t>
        </is>
      </c>
      <c r="E5754" t="inlineStr">
        <is>
          <t>RAGUNDA</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21202-2022</t>
        </is>
      </c>
      <c r="B5755" s="1" t="n">
        <v>44705</v>
      </c>
      <c r="C5755" s="1" t="n">
        <v>45363</v>
      </c>
      <c r="D5755" t="inlineStr">
        <is>
          <t>JÄMTLANDS LÄN</t>
        </is>
      </c>
      <c r="E5755" t="inlineStr">
        <is>
          <t>BERG</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21211-2022</t>
        </is>
      </c>
      <c r="B5756" s="1" t="n">
        <v>44705</v>
      </c>
      <c r="C5756" s="1" t="n">
        <v>45363</v>
      </c>
      <c r="D5756" t="inlineStr">
        <is>
          <t>JÄMTLANDS LÄN</t>
        </is>
      </c>
      <c r="E5756" t="inlineStr">
        <is>
          <t>ÖSTERSUND</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21193-2022</t>
        </is>
      </c>
      <c r="B5757" s="1" t="n">
        <v>44705</v>
      </c>
      <c r="C5757" s="1" t="n">
        <v>45363</v>
      </c>
      <c r="D5757" t="inlineStr">
        <is>
          <t>JÄMTLANDS LÄN</t>
        </is>
      </c>
      <c r="E5757" t="inlineStr">
        <is>
          <t>RAGUNDA</t>
        </is>
      </c>
      <c r="F5757" t="inlineStr">
        <is>
          <t>SCA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21200-2022</t>
        </is>
      </c>
      <c r="B5758" s="1" t="n">
        <v>44705</v>
      </c>
      <c r="C5758" s="1" t="n">
        <v>45363</v>
      </c>
      <c r="D5758" t="inlineStr">
        <is>
          <t>JÄMTLANDS LÄN</t>
        </is>
      </c>
      <c r="E5758" t="inlineStr">
        <is>
          <t>BERG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21984-2022</t>
        </is>
      </c>
      <c r="B5759" s="1" t="n">
        <v>44704</v>
      </c>
      <c r="C5759" s="1" t="n">
        <v>45363</v>
      </c>
      <c r="D5759" t="inlineStr">
        <is>
          <t>JÄMTLANDS LÄN</t>
        </is>
      </c>
      <c r="E5759" t="inlineStr">
        <is>
          <t>RAGUNDA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21301-2022</t>
        </is>
      </c>
      <c r="B5760" s="1" t="n">
        <v>44705</v>
      </c>
      <c r="C5760" s="1" t="n">
        <v>45363</v>
      </c>
      <c r="D5760" t="inlineStr">
        <is>
          <t>JÄMTLANDS LÄN</t>
        </is>
      </c>
      <c r="E5760" t="inlineStr">
        <is>
          <t>KROKOM</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21399-2022</t>
        </is>
      </c>
      <c r="B5761" s="1" t="n">
        <v>44706</v>
      </c>
      <c r="C5761" s="1" t="n">
        <v>45363</v>
      </c>
      <c r="D5761" t="inlineStr">
        <is>
          <t>JÄMTLANDS LÄN</t>
        </is>
      </c>
      <c r="E5761" t="inlineStr">
        <is>
          <t>STRÖMSUND</t>
        </is>
      </c>
      <c r="F5761" t="inlineStr">
        <is>
          <t>SCA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21403-2022</t>
        </is>
      </c>
      <c r="B5762" s="1" t="n">
        <v>44706</v>
      </c>
      <c r="C5762" s="1" t="n">
        <v>45363</v>
      </c>
      <c r="D5762" t="inlineStr">
        <is>
          <t>JÄMTLANDS LÄN</t>
        </is>
      </c>
      <c r="E5762" t="inlineStr">
        <is>
          <t>BERG</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21410-2022</t>
        </is>
      </c>
      <c r="B5763" s="1" t="n">
        <v>44706</v>
      </c>
      <c r="C5763" s="1" t="n">
        <v>45363</v>
      </c>
      <c r="D5763" t="inlineStr">
        <is>
          <t>JÄMTLANDS LÄN</t>
        </is>
      </c>
      <c r="E5763" t="inlineStr">
        <is>
          <t>STRÖMSUND</t>
        </is>
      </c>
      <c r="F5763" t="inlineStr">
        <is>
          <t>SCA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21400-2022</t>
        </is>
      </c>
      <c r="B5764" s="1" t="n">
        <v>44706</v>
      </c>
      <c r="C5764" s="1" t="n">
        <v>45363</v>
      </c>
      <c r="D5764" t="inlineStr">
        <is>
          <t>JÄMTLANDS LÄN</t>
        </is>
      </c>
      <c r="E5764" t="inlineStr">
        <is>
          <t>BERG</t>
        </is>
      </c>
      <c r="F5764" t="inlineStr">
        <is>
          <t>SCA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21413-2022</t>
        </is>
      </c>
      <c r="B5765" s="1" t="n">
        <v>44705</v>
      </c>
      <c r="C5765" s="1" t="n">
        <v>45363</v>
      </c>
      <c r="D5765" t="inlineStr">
        <is>
          <t>JÄMTLANDS LÄN</t>
        </is>
      </c>
      <c r="E5765" t="inlineStr">
        <is>
          <t>RAGUNDA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21401-2022</t>
        </is>
      </c>
      <c r="B5766" s="1" t="n">
        <v>44706</v>
      </c>
      <c r="C5766" s="1" t="n">
        <v>45363</v>
      </c>
      <c r="D5766" t="inlineStr">
        <is>
          <t>JÄMTLANDS LÄN</t>
        </is>
      </c>
      <c r="E5766" t="inlineStr">
        <is>
          <t>BERG</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21464-2022</t>
        </is>
      </c>
      <c r="B5767" s="1" t="n">
        <v>44706</v>
      </c>
      <c r="C5767" s="1" t="n">
        <v>45363</v>
      </c>
      <c r="D5767" t="inlineStr">
        <is>
          <t>JÄMTLANDS LÄN</t>
        </is>
      </c>
      <c r="E5767" t="inlineStr">
        <is>
          <t>ÅRE</t>
        </is>
      </c>
      <c r="G5767" t="n">
        <v>10.9</v>
      </c>
      <c r="H5767" t="n">
        <v>0</v>
      </c>
      <c r="I5767" t="n">
        <v>0</v>
      </c>
      <c r="J5767" t="n">
        <v>0</v>
      </c>
      <c r="K5767" t="n">
        <v>0</v>
      </c>
      <c r="L5767" t="n">
        <v>0</v>
      </c>
      <c r="M5767" t="n">
        <v>0</v>
      </c>
      <c r="N5767" t="n">
        <v>0</v>
      </c>
      <c r="O5767" t="n">
        <v>0</v>
      </c>
      <c r="P5767" t="n">
        <v>0</v>
      </c>
      <c r="Q5767" t="n">
        <v>0</v>
      </c>
      <c r="R5767" s="2" t="inlineStr"/>
    </row>
    <row r="5768" ht="15" customHeight="1">
      <c r="A5768" t="inlineStr">
        <is>
          <t>A 21500-2022</t>
        </is>
      </c>
      <c r="B5768" s="1" t="n">
        <v>44706</v>
      </c>
      <c r="C5768" s="1" t="n">
        <v>45363</v>
      </c>
      <c r="D5768" t="inlineStr">
        <is>
          <t>JÄMTLANDS LÄN</t>
        </is>
      </c>
      <c r="E5768" t="inlineStr">
        <is>
          <t>RAGUNDA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21495-2022</t>
        </is>
      </c>
      <c r="B5769" s="1" t="n">
        <v>44706</v>
      </c>
      <c r="C5769" s="1" t="n">
        <v>45363</v>
      </c>
      <c r="D5769" t="inlineStr">
        <is>
          <t>JÄMTLANDS LÄN</t>
        </is>
      </c>
      <c r="E5769" t="inlineStr">
        <is>
          <t>ÖSTERSUND</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21646-2022</t>
        </is>
      </c>
      <c r="B5770" s="1" t="n">
        <v>44707</v>
      </c>
      <c r="C5770" s="1" t="n">
        <v>45363</v>
      </c>
      <c r="D5770" t="inlineStr">
        <is>
          <t>JÄMTLANDS LÄN</t>
        </is>
      </c>
      <c r="E5770" t="inlineStr">
        <is>
          <t>STRÖMSUND</t>
        </is>
      </c>
      <c r="F5770" t="inlineStr">
        <is>
          <t>SCA</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21647-2022</t>
        </is>
      </c>
      <c r="B5771" s="1" t="n">
        <v>44707</v>
      </c>
      <c r="C5771" s="1" t="n">
        <v>45363</v>
      </c>
      <c r="D5771" t="inlineStr">
        <is>
          <t>JÄMTLANDS LÄN</t>
        </is>
      </c>
      <c r="E5771" t="inlineStr">
        <is>
          <t>STRÖMSUND</t>
        </is>
      </c>
      <c r="F5771" t="inlineStr">
        <is>
          <t>SCA</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21655-2022</t>
        </is>
      </c>
      <c r="B5772" s="1" t="n">
        <v>44707</v>
      </c>
      <c r="C5772" s="1" t="n">
        <v>45363</v>
      </c>
      <c r="D5772" t="inlineStr">
        <is>
          <t>JÄMTLANDS LÄN</t>
        </is>
      </c>
      <c r="E5772" t="inlineStr">
        <is>
          <t>BRÄCKE</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21610-2022</t>
        </is>
      </c>
      <c r="B5773" s="1" t="n">
        <v>44706</v>
      </c>
      <c r="C5773" s="1" t="n">
        <v>45363</v>
      </c>
      <c r="D5773" t="inlineStr">
        <is>
          <t>JÄMTLANDS LÄN</t>
        </is>
      </c>
      <c r="E5773" t="inlineStr">
        <is>
          <t>HÄRJEDALEN</t>
        </is>
      </c>
      <c r="F5773" t="inlineStr">
        <is>
          <t>Holmen skog AB</t>
        </is>
      </c>
      <c r="G5773" t="n">
        <v>15.3</v>
      </c>
      <c r="H5773" t="n">
        <v>0</v>
      </c>
      <c r="I5773" t="n">
        <v>0</v>
      </c>
      <c r="J5773" t="n">
        <v>0</v>
      </c>
      <c r="K5773" t="n">
        <v>0</v>
      </c>
      <c r="L5773" t="n">
        <v>0</v>
      </c>
      <c r="M5773" t="n">
        <v>0</v>
      </c>
      <c r="N5773" t="n">
        <v>0</v>
      </c>
      <c r="O5773" t="n">
        <v>0</v>
      </c>
      <c r="P5773" t="n">
        <v>0</v>
      </c>
      <c r="Q5773" t="n">
        <v>0</v>
      </c>
      <c r="R5773" s="2" t="inlineStr"/>
    </row>
    <row r="5774" ht="15" customHeight="1">
      <c r="A5774" t="inlineStr">
        <is>
          <t>A 21650-2022</t>
        </is>
      </c>
      <c r="B5774" s="1" t="n">
        <v>44706</v>
      </c>
      <c r="C5774" s="1" t="n">
        <v>45363</v>
      </c>
      <c r="D5774" t="inlineStr">
        <is>
          <t>JÄMTLANDS LÄN</t>
        </is>
      </c>
      <c r="E5774" t="inlineStr">
        <is>
          <t>STRÖMSUND</t>
        </is>
      </c>
      <c r="F5774" t="inlineStr">
        <is>
          <t>SCA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21649-2022</t>
        </is>
      </c>
      <c r="B5775" s="1" t="n">
        <v>44707</v>
      </c>
      <c r="C5775" s="1" t="n">
        <v>45363</v>
      </c>
      <c r="D5775" t="inlineStr">
        <is>
          <t>JÄMTLANDS LÄN</t>
        </is>
      </c>
      <c r="E5775" t="inlineStr">
        <is>
          <t>STRÖMSUND</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21656-2022</t>
        </is>
      </c>
      <c r="B5776" s="1" t="n">
        <v>44707</v>
      </c>
      <c r="C5776" s="1" t="n">
        <v>45363</v>
      </c>
      <c r="D5776" t="inlineStr">
        <is>
          <t>JÄMTLANDS LÄN</t>
        </is>
      </c>
      <c r="E5776" t="inlineStr">
        <is>
          <t>BRÄCKE</t>
        </is>
      </c>
      <c r="F5776" t="inlineStr">
        <is>
          <t>SCA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21722-2022</t>
        </is>
      </c>
      <c r="B5777" s="1" t="n">
        <v>44706</v>
      </c>
      <c r="C5777" s="1" t="n">
        <v>45363</v>
      </c>
      <c r="D5777" t="inlineStr">
        <is>
          <t>JÄMTLANDS LÄN</t>
        </is>
      </c>
      <c r="E5777" t="inlineStr">
        <is>
          <t>BRÄCKE</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21654-2022</t>
        </is>
      </c>
      <c r="B5778" s="1" t="n">
        <v>44707</v>
      </c>
      <c r="C5778" s="1" t="n">
        <v>45363</v>
      </c>
      <c r="D5778" t="inlineStr">
        <is>
          <t>JÄMTLANDS LÄN</t>
        </is>
      </c>
      <c r="E5778" t="inlineStr">
        <is>
          <t>BRÄCKE</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21702-2022</t>
        </is>
      </c>
      <c r="B5779" s="1" t="n">
        <v>44708</v>
      </c>
      <c r="C5779" s="1" t="n">
        <v>45363</v>
      </c>
      <c r="D5779" t="inlineStr">
        <is>
          <t>JÄMTLANDS LÄN</t>
        </is>
      </c>
      <c r="E5779" t="inlineStr">
        <is>
          <t>STRÖMSUND</t>
        </is>
      </c>
      <c r="F5779" t="inlineStr">
        <is>
          <t>SCA</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21700-2022</t>
        </is>
      </c>
      <c r="B5780" s="1" t="n">
        <v>44708</v>
      </c>
      <c r="C5780" s="1" t="n">
        <v>45363</v>
      </c>
      <c r="D5780" t="inlineStr">
        <is>
          <t>JÄMTLANDS LÄN</t>
        </is>
      </c>
      <c r="E5780" t="inlineStr">
        <is>
          <t>STRÖMSUND</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21701-2022</t>
        </is>
      </c>
      <c r="B5781" s="1" t="n">
        <v>44708</v>
      </c>
      <c r="C5781" s="1" t="n">
        <v>45363</v>
      </c>
      <c r="D5781" t="inlineStr">
        <is>
          <t>JÄMTLANDS LÄN</t>
        </is>
      </c>
      <c r="E5781" t="inlineStr">
        <is>
          <t>STRÖMSUND</t>
        </is>
      </c>
      <c r="F5781" t="inlineStr">
        <is>
          <t>SCA</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21717-2022</t>
        </is>
      </c>
      <c r="B5782" s="1" t="n">
        <v>44708</v>
      </c>
      <c r="C5782" s="1" t="n">
        <v>45363</v>
      </c>
      <c r="D5782" t="inlineStr">
        <is>
          <t>JÄMTLANDS LÄN</t>
        </is>
      </c>
      <c r="E5782" t="inlineStr">
        <is>
          <t>BRÄCKE</t>
        </is>
      </c>
      <c r="G5782" t="n">
        <v>10.8</v>
      </c>
      <c r="H5782" t="n">
        <v>0</v>
      </c>
      <c r="I5782" t="n">
        <v>0</v>
      </c>
      <c r="J5782" t="n">
        <v>0</v>
      </c>
      <c r="K5782" t="n">
        <v>0</v>
      </c>
      <c r="L5782" t="n">
        <v>0</v>
      </c>
      <c r="M5782" t="n">
        <v>0</v>
      </c>
      <c r="N5782" t="n">
        <v>0</v>
      </c>
      <c r="O5782" t="n">
        <v>0</v>
      </c>
      <c r="P5782" t="n">
        <v>0</v>
      </c>
      <c r="Q5782" t="n">
        <v>0</v>
      </c>
      <c r="R5782" s="2" t="inlineStr"/>
    </row>
    <row r="5783" ht="15" customHeight="1">
      <c r="A5783" t="inlineStr">
        <is>
          <t>A 21767-2022</t>
        </is>
      </c>
      <c r="B5783" s="1" t="n">
        <v>44708</v>
      </c>
      <c r="C5783" s="1" t="n">
        <v>45363</v>
      </c>
      <c r="D5783" t="inlineStr">
        <is>
          <t>JÄMTLANDS LÄN</t>
        </is>
      </c>
      <c r="E5783" t="inlineStr">
        <is>
          <t>HÄRJEDALEN</t>
        </is>
      </c>
      <c r="F5783" t="inlineStr">
        <is>
          <t>Holmen skog AB</t>
        </is>
      </c>
      <c r="G5783" t="n">
        <v>8.1</v>
      </c>
      <c r="H5783" t="n">
        <v>0</v>
      </c>
      <c r="I5783" t="n">
        <v>0</v>
      </c>
      <c r="J5783" t="n">
        <v>0</v>
      </c>
      <c r="K5783" t="n">
        <v>0</v>
      </c>
      <c r="L5783" t="n">
        <v>0</v>
      </c>
      <c r="M5783" t="n">
        <v>0</v>
      </c>
      <c r="N5783" t="n">
        <v>0</v>
      </c>
      <c r="O5783" t="n">
        <v>0</v>
      </c>
      <c r="P5783" t="n">
        <v>0</v>
      </c>
      <c r="Q5783" t="n">
        <v>0</v>
      </c>
      <c r="R5783" s="2" t="inlineStr"/>
    </row>
    <row r="5784" ht="15" customHeight="1">
      <c r="A5784" t="inlineStr">
        <is>
          <t>A 21771-2022</t>
        </is>
      </c>
      <c r="B5784" s="1" t="n">
        <v>44708</v>
      </c>
      <c r="C5784" s="1" t="n">
        <v>45363</v>
      </c>
      <c r="D5784" t="inlineStr">
        <is>
          <t>JÄMTLANDS LÄN</t>
        </is>
      </c>
      <c r="E5784" t="inlineStr">
        <is>
          <t>STRÖMSUND</t>
        </is>
      </c>
      <c r="G5784" t="n">
        <v>10</v>
      </c>
      <c r="H5784" t="n">
        <v>0</v>
      </c>
      <c r="I5784" t="n">
        <v>0</v>
      </c>
      <c r="J5784" t="n">
        <v>0</v>
      </c>
      <c r="K5784" t="n">
        <v>0</v>
      </c>
      <c r="L5784" t="n">
        <v>0</v>
      </c>
      <c r="M5784" t="n">
        <v>0</v>
      </c>
      <c r="N5784" t="n">
        <v>0</v>
      </c>
      <c r="O5784" t="n">
        <v>0</v>
      </c>
      <c r="P5784" t="n">
        <v>0</v>
      </c>
      <c r="Q5784" t="n">
        <v>0</v>
      </c>
      <c r="R5784" s="2" t="inlineStr"/>
    </row>
    <row r="5785" ht="15" customHeight="1">
      <c r="A5785" t="inlineStr">
        <is>
          <t>A 21774-2022</t>
        </is>
      </c>
      <c r="B5785" s="1" t="n">
        <v>44708</v>
      </c>
      <c r="C5785" s="1" t="n">
        <v>45363</v>
      </c>
      <c r="D5785" t="inlineStr">
        <is>
          <t>JÄMTLANDS LÄN</t>
        </is>
      </c>
      <c r="E5785" t="inlineStr">
        <is>
          <t>HÄRJEDALEN</t>
        </is>
      </c>
      <c r="F5785" t="inlineStr">
        <is>
          <t>Holmen skog AB</t>
        </is>
      </c>
      <c r="G5785" t="n">
        <v>17.3</v>
      </c>
      <c r="H5785" t="n">
        <v>0</v>
      </c>
      <c r="I5785" t="n">
        <v>0</v>
      </c>
      <c r="J5785" t="n">
        <v>0</v>
      </c>
      <c r="K5785" t="n">
        <v>0</v>
      </c>
      <c r="L5785" t="n">
        <v>0</v>
      </c>
      <c r="M5785" t="n">
        <v>0</v>
      </c>
      <c r="N5785" t="n">
        <v>0</v>
      </c>
      <c r="O5785" t="n">
        <v>0</v>
      </c>
      <c r="P5785" t="n">
        <v>0</v>
      </c>
      <c r="Q5785" t="n">
        <v>0</v>
      </c>
      <c r="R5785" s="2" t="inlineStr"/>
    </row>
    <row r="5786" ht="15" customHeight="1">
      <c r="A5786" t="inlineStr">
        <is>
          <t>A 21778-2022</t>
        </is>
      </c>
      <c r="B5786" s="1" t="n">
        <v>44708</v>
      </c>
      <c r="C5786" s="1" t="n">
        <v>45363</v>
      </c>
      <c r="D5786" t="inlineStr">
        <is>
          <t>JÄMTLANDS LÄN</t>
        </is>
      </c>
      <c r="E5786" t="inlineStr">
        <is>
          <t>HÄRJEDALEN</t>
        </is>
      </c>
      <c r="F5786" t="inlineStr">
        <is>
          <t>Holmen skog AB</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21812-2022</t>
        </is>
      </c>
      <c r="B5787" s="1" t="n">
        <v>44708</v>
      </c>
      <c r="C5787" s="1" t="n">
        <v>45363</v>
      </c>
      <c r="D5787" t="inlineStr">
        <is>
          <t>JÄMTLANDS LÄN</t>
        </is>
      </c>
      <c r="E5787" t="inlineStr">
        <is>
          <t>STRÖMSUND</t>
        </is>
      </c>
      <c r="F5787" t="inlineStr">
        <is>
          <t>SCA</t>
        </is>
      </c>
      <c r="G5787" t="n">
        <v>12.6</v>
      </c>
      <c r="H5787" t="n">
        <v>0</v>
      </c>
      <c r="I5787" t="n">
        <v>0</v>
      </c>
      <c r="J5787" t="n">
        <v>0</v>
      </c>
      <c r="K5787" t="n">
        <v>0</v>
      </c>
      <c r="L5787" t="n">
        <v>0</v>
      </c>
      <c r="M5787" t="n">
        <v>0</v>
      </c>
      <c r="N5787" t="n">
        <v>0</v>
      </c>
      <c r="O5787" t="n">
        <v>0</v>
      </c>
      <c r="P5787" t="n">
        <v>0</v>
      </c>
      <c r="Q5787" t="n">
        <v>0</v>
      </c>
      <c r="R5787" s="2" t="inlineStr"/>
    </row>
    <row r="5788" ht="15" customHeight="1">
      <c r="A5788" t="inlineStr">
        <is>
          <t>A 21770-2022</t>
        </is>
      </c>
      <c r="B5788" s="1" t="n">
        <v>44708</v>
      </c>
      <c r="C5788" s="1" t="n">
        <v>45363</v>
      </c>
      <c r="D5788" t="inlineStr">
        <is>
          <t>JÄMTLANDS LÄN</t>
        </is>
      </c>
      <c r="E5788" t="inlineStr">
        <is>
          <t>HÄRJEDALEN</t>
        </is>
      </c>
      <c r="F5788" t="inlineStr">
        <is>
          <t>Holmen skog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21781-2022</t>
        </is>
      </c>
      <c r="B5789" s="1" t="n">
        <v>44708</v>
      </c>
      <c r="C5789" s="1" t="n">
        <v>45363</v>
      </c>
      <c r="D5789" t="inlineStr">
        <is>
          <t>JÄMTLANDS LÄN</t>
        </is>
      </c>
      <c r="E5789" t="inlineStr">
        <is>
          <t>HÄRJEDALEN</t>
        </is>
      </c>
      <c r="F5789" t="inlineStr">
        <is>
          <t>Holmen skog AB</t>
        </is>
      </c>
      <c r="G5789" t="n">
        <v>16.3</v>
      </c>
      <c r="H5789" t="n">
        <v>0</v>
      </c>
      <c r="I5789" t="n">
        <v>0</v>
      </c>
      <c r="J5789" t="n">
        <v>0</v>
      </c>
      <c r="K5789" t="n">
        <v>0</v>
      </c>
      <c r="L5789" t="n">
        <v>0</v>
      </c>
      <c r="M5789" t="n">
        <v>0</v>
      </c>
      <c r="N5789" t="n">
        <v>0</v>
      </c>
      <c r="O5789" t="n">
        <v>0</v>
      </c>
      <c r="P5789" t="n">
        <v>0</v>
      </c>
      <c r="Q5789" t="n">
        <v>0</v>
      </c>
      <c r="R5789" s="2" t="inlineStr"/>
    </row>
    <row r="5790" ht="15" customHeight="1">
      <c r="A5790" t="inlineStr">
        <is>
          <t>A 21796-2022</t>
        </is>
      </c>
      <c r="B5790" s="1" t="n">
        <v>44708</v>
      </c>
      <c r="C5790" s="1" t="n">
        <v>45363</v>
      </c>
      <c r="D5790" t="inlineStr">
        <is>
          <t>JÄMTLANDS LÄN</t>
        </is>
      </c>
      <c r="E5790" t="inlineStr">
        <is>
          <t>HÄRJEDALEN</t>
        </is>
      </c>
      <c r="F5790" t="inlineStr">
        <is>
          <t>Holmen skog AB</t>
        </is>
      </c>
      <c r="G5790" t="n">
        <v>22.3</v>
      </c>
      <c r="H5790" t="n">
        <v>0</v>
      </c>
      <c r="I5790" t="n">
        <v>0</v>
      </c>
      <c r="J5790" t="n">
        <v>0</v>
      </c>
      <c r="K5790" t="n">
        <v>0</v>
      </c>
      <c r="L5790" t="n">
        <v>0</v>
      </c>
      <c r="M5790" t="n">
        <v>0</v>
      </c>
      <c r="N5790" t="n">
        <v>0</v>
      </c>
      <c r="O5790" t="n">
        <v>0</v>
      </c>
      <c r="P5790" t="n">
        <v>0</v>
      </c>
      <c r="Q5790" t="n">
        <v>0</v>
      </c>
      <c r="R5790" s="2" t="inlineStr"/>
    </row>
    <row r="5791" ht="15" customHeight="1">
      <c r="A5791" t="inlineStr">
        <is>
          <t>A 21990-2022</t>
        </is>
      </c>
      <c r="B5791" s="1" t="n">
        <v>44711</v>
      </c>
      <c r="C5791" s="1" t="n">
        <v>45363</v>
      </c>
      <c r="D5791" t="inlineStr">
        <is>
          <t>JÄMTLANDS LÄN</t>
        </is>
      </c>
      <c r="E5791" t="inlineStr">
        <is>
          <t>KROKOM</t>
        </is>
      </c>
      <c r="F5791" t="inlineStr">
        <is>
          <t>Övriga Aktiebolag</t>
        </is>
      </c>
      <c r="G5791" t="n">
        <v>26.3</v>
      </c>
      <c r="H5791" t="n">
        <v>0</v>
      </c>
      <c r="I5791" t="n">
        <v>0</v>
      </c>
      <c r="J5791" t="n">
        <v>0</v>
      </c>
      <c r="K5791" t="n">
        <v>0</v>
      </c>
      <c r="L5791" t="n">
        <v>0</v>
      </c>
      <c r="M5791" t="n">
        <v>0</v>
      </c>
      <c r="N5791" t="n">
        <v>0</v>
      </c>
      <c r="O5791" t="n">
        <v>0</v>
      </c>
      <c r="P5791" t="n">
        <v>0</v>
      </c>
      <c r="Q5791" t="n">
        <v>0</v>
      </c>
      <c r="R5791" s="2" t="inlineStr"/>
    </row>
    <row r="5792" ht="15" customHeight="1">
      <c r="A5792" t="inlineStr">
        <is>
          <t>A 22083-2022</t>
        </is>
      </c>
      <c r="B5792" s="1" t="n">
        <v>44711</v>
      </c>
      <c r="C5792" s="1" t="n">
        <v>45363</v>
      </c>
      <c r="D5792" t="inlineStr">
        <is>
          <t>JÄMTLANDS LÄN</t>
        </is>
      </c>
      <c r="E5792" t="inlineStr">
        <is>
          <t>ÖSTERSUND</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22094-2022</t>
        </is>
      </c>
      <c r="B5793" s="1" t="n">
        <v>44712</v>
      </c>
      <c r="C5793" s="1" t="n">
        <v>45363</v>
      </c>
      <c r="D5793" t="inlineStr">
        <is>
          <t>JÄMTLANDS LÄN</t>
        </is>
      </c>
      <c r="E5793" t="inlineStr">
        <is>
          <t>BRÄCKE</t>
        </is>
      </c>
      <c r="F5793" t="inlineStr">
        <is>
          <t>SCA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22085-2022</t>
        </is>
      </c>
      <c r="B5794" s="1" t="n">
        <v>44711</v>
      </c>
      <c r="C5794" s="1" t="n">
        <v>45363</v>
      </c>
      <c r="D5794" t="inlineStr">
        <is>
          <t>JÄMTLANDS LÄN</t>
        </is>
      </c>
      <c r="E5794" t="inlineStr">
        <is>
          <t>ÖSTERSUND</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22026-2022</t>
        </is>
      </c>
      <c r="B5795" s="1" t="n">
        <v>44711</v>
      </c>
      <c r="C5795" s="1" t="n">
        <v>45363</v>
      </c>
      <c r="D5795" t="inlineStr">
        <is>
          <t>JÄMTLANDS LÄN</t>
        </is>
      </c>
      <c r="E5795" t="inlineStr">
        <is>
          <t>STRÖMSUND</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22084-2022</t>
        </is>
      </c>
      <c r="B5796" s="1" t="n">
        <v>44711</v>
      </c>
      <c r="C5796" s="1" t="n">
        <v>45363</v>
      </c>
      <c r="D5796" t="inlineStr">
        <is>
          <t>JÄMTLANDS LÄN</t>
        </is>
      </c>
      <c r="E5796" t="inlineStr">
        <is>
          <t>ÖSTERSUND</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22095-2022</t>
        </is>
      </c>
      <c r="B5797" s="1" t="n">
        <v>44712</v>
      </c>
      <c r="C5797" s="1" t="n">
        <v>45363</v>
      </c>
      <c r="D5797" t="inlineStr">
        <is>
          <t>JÄMTLANDS LÄN</t>
        </is>
      </c>
      <c r="E5797" t="inlineStr">
        <is>
          <t>BRÄCKE</t>
        </is>
      </c>
      <c r="F5797" t="inlineStr">
        <is>
          <t>SCA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22082-2022</t>
        </is>
      </c>
      <c r="B5798" s="1" t="n">
        <v>44712</v>
      </c>
      <c r="C5798" s="1" t="n">
        <v>45363</v>
      </c>
      <c r="D5798" t="inlineStr">
        <is>
          <t>JÄMTLANDS LÄN</t>
        </is>
      </c>
      <c r="E5798" t="inlineStr">
        <is>
          <t>ÖSTERSUND</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22096-2022</t>
        </is>
      </c>
      <c r="B5799" s="1" t="n">
        <v>44712</v>
      </c>
      <c r="C5799" s="1" t="n">
        <v>45363</v>
      </c>
      <c r="D5799" t="inlineStr">
        <is>
          <t>JÄMTLANDS LÄN</t>
        </is>
      </c>
      <c r="E5799" t="inlineStr">
        <is>
          <t>STRÖMSUND</t>
        </is>
      </c>
      <c r="F5799" t="inlineStr">
        <is>
          <t>SCA</t>
        </is>
      </c>
      <c r="G5799" t="n">
        <v>10</v>
      </c>
      <c r="H5799" t="n">
        <v>0</v>
      </c>
      <c r="I5799" t="n">
        <v>0</v>
      </c>
      <c r="J5799" t="n">
        <v>0</v>
      </c>
      <c r="K5799" t="n">
        <v>0</v>
      </c>
      <c r="L5799" t="n">
        <v>0</v>
      </c>
      <c r="M5799" t="n">
        <v>0</v>
      </c>
      <c r="N5799" t="n">
        <v>0</v>
      </c>
      <c r="O5799" t="n">
        <v>0</v>
      </c>
      <c r="P5799" t="n">
        <v>0</v>
      </c>
      <c r="Q5799" t="n">
        <v>0</v>
      </c>
      <c r="R5799" s="2" t="inlineStr"/>
    </row>
    <row r="5800" ht="15" customHeight="1">
      <c r="A5800" t="inlineStr">
        <is>
          <t>A 22166-2022</t>
        </is>
      </c>
      <c r="B5800" s="1" t="n">
        <v>44712</v>
      </c>
      <c r="C5800" s="1" t="n">
        <v>45363</v>
      </c>
      <c r="D5800" t="inlineStr">
        <is>
          <t>JÄMTLANDS LÄN</t>
        </is>
      </c>
      <c r="E5800" t="inlineStr">
        <is>
          <t>HÄRJEDALEN</t>
        </is>
      </c>
      <c r="F5800" t="inlineStr">
        <is>
          <t>Holmen skog AB</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22273-2022</t>
        </is>
      </c>
      <c r="B5801" s="1" t="n">
        <v>44712</v>
      </c>
      <c r="C5801" s="1" t="n">
        <v>45363</v>
      </c>
      <c r="D5801" t="inlineStr">
        <is>
          <t>JÄMTLANDS LÄN</t>
        </is>
      </c>
      <c r="E5801" t="inlineStr">
        <is>
          <t>KROKOM</t>
        </is>
      </c>
      <c r="F5801" t="inlineStr">
        <is>
          <t>Övriga Aktiebolag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22275-2022</t>
        </is>
      </c>
      <c r="B5802" s="1" t="n">
        <v>44712</v>
      </c>
      <c r="C5802" s="1" t="n">
        <v>45363</v>
      </c>
      <c r="D5802" t="inlineStr">
        <is>
          <t>JÄMTLANDS LÄN</t>
        </is>
      </c>
      <c r="E5802" t="inlineStr">
        <is>
          <t>BERG</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22297-2022</t>
        </is>
      </c>
      <c r="B5803" s="1" t="n">
        <v>44712</v>
      </c>
      <c r="C5803" s="1" t="n">
        <v>45363</v>
      </c>
      <c r="D5803" t="inlineStr">
        <is>
          <t>JÄMTLANDS LÄN</t>
        </is>
      </c>
      <c r="E5803" t="inlineStr">
        <is>
          <t>BERG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22338-2022</t>
        </is>
      </c>
      <c r="B5804" s="1" t="n">
        <v>44712</v>
      </c>
      <c r="C5804" s="1" t="n">
        <v>45363</v>
      </c>
      <c r="D5804" t="inlineStr">
        <is>
          <t>JÄMTLANDS LÄN</t>
        </is>
      </c>
      <c r="E5804" t="inlineStr">
        <is>
          <t>STRÖMSUND</t>
        </is>
      </c>
      <c r="F5804" t="inlineStr">
        <is>
          <t>SCA</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22329-2022</t>
        </is>
      </c>
      <c r="B5805" s="1" t="n">
        <v>44713</v>
      </c>
      <c r="C5805" s="1" t="n">
        <v>45363</v>
      </c>
      <c r="D5805" t="inlineStr">
        <is>
          <t>JÄMTLANDS LÄN</t>
        </is>
      </c>
      <c r="E5805" t="inlineStr">
        <is>
          <t>RAGUNDA</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22337-2022</t>
        </is>
      </c>
      <c r="B5806" s="1" t="n">
        <v>44713</v>
      </c>
      <c r="C5806" s="1" t="n">
        <v>45363</v>
      </c>
      <c r="D5806" t="inlineStr">
        <is>
          <t>JÄMTLANDS LÄN</t>
        </is>
      </c>
      <c r="E5806" t="inlineStr">
        <is>
          <t>STRÖMSUND</t>
        </is>
      </c>
      <c r="F5806" t="inlineStr">
        <is>
          <t>SCA</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22339-2022</t>
        </is>
      </c>
      <c r="B5807" s="1" t="n">
        <v>44713</v>
      </c>
      <c r="C5807" s="1" t="n">
        <v>45363</v>
      </c>
      <c r="D5807" t="inlineStr">
        <is>
          <t>JÄMTLANDS LÄN</t>
        </is>
      </c>
      <c r="E5807" t="inlineStr">
        <is>
          <t>KROKOM</t>
        </is>
      </c>
      <c r="F5807" t="inlineStr">
        <is>
          <t>SCA</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22327-2022</t>
        </is>
      </c>
      <c r="B5808" s="1" t="n">
        <v>44713</v>
      </c>
      <c r="C5808" s="1" t="n">
        <v>45363</v>
      </c>
      <c r="D5808" t="inlineStr">
        <is>
          <t>JÄMTLANDS LÄN</t>
        </is>
      </c>
      <c r="E5808" t="inlineStr">
        <is>
          <t>RAGUNDA</t>
        </is>
      </c>
      <c r="F5808" t="inlineStr">
        <is>
          <t>SCA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22473-2022</t>
        </is>
      </c>
      <c r="B5809" s="1" t="n">
        <v>44713</v>
      </c>
      <c r="C5809" s="1" t="n">
        <v>45363</v>
      </c>
      <c r="D5809" t="inlineStr">
        <is>
          <t>JÄMTLANDS LÄN</t>
        </is>
      </c>
      <c r="E5809" t="inlineStr">
        <is>
          <t>ÅRE</t>
        </is>
      </c>
      <c r="F5809" t="inlineStr">
        <is>
          <t>Sveaskog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22560-2022</t>
        </is>
      </c>
      <c r="B5810" s="1" t="n">
        <v>44714</v>
      </c>
      <c r="C5810" s="1" t="n">
        <v>45363</v>
      </c>
      <c r="D5810" t="inlineStr">
        <is>
          <t>JÄMTLANDS LÄN</t>
        </is>
      </c>
      <c r="E5810" t="inlineStr">
        <is>
          <t>STRÖMSUND</t>
        </is>
      </c>
      <c r="F5810" t="inlineStr">
        <is>
          <t>SCA</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22564-2022</t>
        </is>
      </c>
      <c r="B5811" s="1" t="n">
        <v>44713</v>
      </c>
      <c r="C5811" s="1" t="n">
        <v>45363</v>
      </c>
      <c r="D5811" t="inlineStr">
        <is>
          <t>JÄMTLANDS LÄN</t>
        </is>
      </c>
      <c r="E5811" t="inlineStr">
        <is>
          <t>STRÖMSUND</t>
        </is>
      </c>
      <c r="F5811" t="inlineStr">
        <is>
          <t>SCA</t>
        </is>
      </c>
      <c r="G5811" t="n">
        <v>7.9</v>
      </c>
      <c r="H5811" t="n">
        <v>0</v>
      </c>
      <c r="I5811" t="n">
        <v>0</v>
      </c>
      <c r="J5811" t="n">
        <v>0</v>
      </c>
      <c r="K5811" t="n">
        <v>0</v>
      </c>
      <c r="L5811" t="n">
        <v>0</v>
      </c>
      <c r="M5811" t="n">
        <v>0</v>
      </c>
      <c r="N5811" t="n">
        <v>0</v>
      </c>
      <c r="O5811" t="n">
        <v>0</v>
      </c>
      <c r="P5811" t="n">
        <v>0</v>
      </c>
      <c r="Q5811" t="n">
        <v>0</v>
      </c>
      <c r="R5811" s="2" t="inlineStr"/>
    </row>
    <row r="5812" ht="15" customHeight="1">
      <c r="A5812" t="inlineStr">
        <is>
          <t>A 22558-2022</t>
        </is>
      </c>
      <c r="B5812" s="1" t="n">
        <v>44713</v>
      </c>
      <c r="C5812" s="1" t="n">
        <v>45363</v>
      </c>
      <c r="D5812" t="inlineStr">
        <is>
          <t>JÄMTLANDS LÄN</t>
        </is>
      </c>
      <c r="E5812" t="inlineStr">
        <is>
          <t>STRÖMSUND</t>
        </is>
      </c>
      <c r="F5812" t="inlineStr">
        <is>
          <t>SCA</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22561-2022</t>
        </is>
      </c>
      <c r="B5813" s="1" t="n">
        <v>44714</v>
      </c>
      <c r="C5813" s="1" t="n">
        <v>45363</v>
      </c>
      <c r="D5813" t="inlineStr">
        <is>
          <t>JÄMTLANDS LÄN</t>
        </is>
      </c>
      <c r="E5813" t="inlineStr">
        <is>
          <t>STRÖMSUND</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22559-2022</t>
        </is>
      </c>
      <c r="B5814" s="1" t="n">
        <v>44714</v>
      </c>
      <c r="C5814" s="1" t="n">
        <v>45363</v>
      </c>
      <c r="D5814" t="inlineStr">
        <is>
          <t>JÄMTLANDS LÄN</t>
        </is>
      </c>
      <c r="E5814" t="inlineStr">
        <is>
          <t>STRÖMSUND</t>
        </is>
      </c>
      <c r="F5814" t="inlineStr">
        <is>
          <t>SCA</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22568-2022</t>
        </is>
      </c>
      <c r="B5815" s="1" t="n">
        <v>44714</v>
      </c>
      <c r="C5815" s="1" t="n">
        <v>45363</v>
      </c>
      <c r="D5815" t="inlineStr">
        <is>
          <t>JÄMTLANDS LÄN</t>
        </is>
      </c>
      <c r="E5815" t="inlineStr">
        <is>
          <t>STRÖMSUND</t>
        </is>
      </c>
      <c r="F5815" t="inlineStr">
        <is>
          <t>SCA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22612-2022</t>
        </is>
      </c>
      <c r="B5816" s="1" t="n">
        <v>44714</v>
      </c>
      <c r="C5816" s="1" t="n">
        <v>45363</v>
      </c>
      <c r="D5816" t="inlineStr">
        <is>
          <t>JÄMTLANDS LÄN</t>
        </is>
      </c>
      <c r="E5816" t="inlineStr">
        <is>
          <t>BRÄCKE</t>
        </is>
      </c>
      <c r="G5816" t="n">
        <v>6.3</v>
      </c>
      <c r="H5816" t="n">
        <v>0</v>
      </c>
      <c r="I5816" t="n">
        <v>0</v>
      </c>
      <c r="J5816" t="n">
        <v>0</v>
      </c>
      <c r="K5816" t="n">
        <v>0</v>
      </c>
      <c r="L5816" t="n">
        <v>0</v>
      </c>
      <c r="M5816" t="n">
        <v>0</v>
      </c>
      <c r="N5816" t="n">
        <v>0</v>
      </c>
      <c r="O5816" t="n">
        <v>0</v>
      </c>
      <c r="P5816" t="n">
        <v>0</v>
      </c>
      <c r="Q5816" t="n">
        <v>0</v>
      </c>
      <c r="R5816" s="2" t="inlineStr"/>
    </row>
    <row r="5817" ht="15" customHeight="1">
      <c r="A5817" t="inlineStr">
        <is>
          <t>A 22611-2022</t>
        </is>
      </c>
      <c r="B5817" s="1" t="n">
        <v>44714</v>
      </c>
      <c r="C5817" s="1" t="n">
        <v>45363</v>
      </c>
      <c r="D5817" t="inlineStr">
        <is>
          <t>JÄMTLANDS LÄN</t>
        </is>
      </c>
      <c r="E5817" t="inlineStr">
        <is>
          <t>KROKOM</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22629-2022</t>
        </is>
      </c>
      <c r="B5818" s="1" t="n">
        <v>44714</v>
      </c>
      <c r="C5818" s="1" t="n">
        <v>45363</v>
      </c>
      <c r="D5818" t="inlineStr">
        <is>
          <t>JÄMTLANDS LÄN</t>
        </is>
      </c>
      <c r="E5818" t="inlineStr">
        <is>
          <t>KROKOM</t>
        </is>
      </c>
      <c r="G5818" t="n">
        <v>17.1</v>
      </c>
      <c r="H5818" t="n">
        <v>0</v>
      </c>
      <c r="I5818" t="n">
        <v>0</v>
      </c>
      <c r="J5818" t="n">
        <v>0</v>
      </c>
      <c r="K5818" t="n">
        <v>0</v>
      </c>
      <c r="L5818" t="n">
        <v>0</v>
      </c>
      <c r="M5818" t="n">
        <v>0</v>
      </c>
      <c r="N5818" t="n">
        <v>0</v>
      </c>
      <c r="O5818" t="n">
        <v>0</v>
      </c>
      <c r="P5818" t="n">
        <v>0</v>
      </c>
      <c r="Q5818" t="n">
        <v>0</v>
      </c>
      <c r="R5818" s="2" t="inlineStr"/>
    </row>
    <row r="5819" ht="15" customHeight="1">
      <c r="A5819" t="inlineStr">
        <is>
          <t>A 22659-2022</t>
        </is>
      </c>
      <c r="B5819" s="1" t="n">
        <v>44714</v>
      </c>
      <c r="C5819" s="1" t="n">
        <v>45363</v>
      </c>
      <c r="D5819" t="inlineStr">
        <is>
          <t>JÄMTLANDS LÄN</t>
        </is>
      </c>
      <c r="E5819" t="inlineStr">
        <is>
          <t>STRÖMSUND</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22680-2022</t>
        </is>
      </c>
      <c r="B5820" s="1" t="n">
        <v>44714</v>
      </c>
      <c r="C5820" s="1" t="n">
        <v>45363</v>
      </c>
      <c r="D5820" t="inlineStr">
        <is>
          <t>JÄMTLANDS LÄN</t>
        </is>
      </c>
      <c r="E5820" t="inlineStr">
        <is>
          <t>BERG</t>
        </is>
      </c>
      <c r="G5820" t="n">
        <v>15.4</v>
      </c>
      <c r="H5820" t="n">
        <v>0</v>
      </c>
      <c r="I5820" t="n">
        <v>0</v>
      </c>
      <c r="J5820" t="n">
        <v>0</v>
      </c>
      <c r="K5820" t="n">
        <v>0</v>
      </c>
      <c r="L5820" t="n">
        <v>0</v>
      </c>
      <c r="M5820" t="n">
        <v>0</v>
      </c>
      <c r="N5820" t="n">
        <v>0</v>
      </c>
      <c r="O5820" t="n">
        <v>0</v>
      </c>
      <c r="P5820" t="n">
        <v>0</v>
      </c>
      <c r="Q5820" t="n">
        <v>0</v>
      </c>
      <c r="R5820" s="2" t="inlineStr"/>
    </row>
    <row r="5821" ht="15" customHeight="1">
      <c r="A5821" t="inlineStr">
        <is>
          <t>A 22686-2022</t>
        </is>
      </c>
      <c r="B5821" s="1" t="n">
        <v>44714</v>
      </c>
      <c r="C5821" s="1" t="n">
        <v>45363</v>
      </c>
      <c r="D5821" t="inlineStr">
        <is>
          <t>JÄMTLANDS LÄN</t>
        </is>
      </c>
      <c r="E5821" t="inlineStr">
        <is>
          <t>RAGUNDA</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22616-2022</t>
        </is>
      </c>
      <c r="B5822" s="1" t="n">
        <v>44714</v>
      </c>
      <c r="C5822" s="1" t="n">
        <v>45363</v>
      </c>
      <c r="D5822" t="inlineStr">
        <is>
          <t>JÄMTLANDS LÄN</t>
        </is>
      </c>
      <c r="E5822" t="inlineStr">
        <is>
          <t>STRÖMSUND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22772-2022</t>
        </is>
      </c>
      <c r="B5823" s="1" t="n">
        <v>44715</v>
      </c>
      <c r="C5823" s="1" t="n">
        <v>45363</v>
      </c>
      <c r="D5823" t="inlineStr">
        <is>
          <t>JÄMTLANDS LÄN</t>
        </is>
      </c>
      <c r="E5823" t="inlineStr">
        <is>
          <t>RAGUNDA</t>
        </is>
      </c>
      <c r="F5823" t="inlineStr">
        <is>
          <t>SCA</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22695-2022</t>
        </is>
      </c>
      <c r="B5824" s="1" t="n">
        <v>44714</v>
      </c>
      <c r="C5824" s="1" t="n">
        <v>45363</v>
      </c>
      <c r="D5824" t="inlineStr">
        <is>
          <t>JÄMTLANDS LÄN</t>
        </is>
      </c>
      <c r="E5824" t="inlineStr">
        <is>
          <t>RAGUNDA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22702-2022</t>
        </is>
      </c>
      <c r="B5825" s="1" t="n">
        <v>44714</v>
      </c>
      <c r="C5825" s="1" t="n">
        <v>45363</v>
      </c>
      <c r="D5825" t="inlineStr">
        <is>
          <t>JÄMTLANDS LÄN</t>
        </is>
      </c>
      <c r="E5825" t="inlineStr">
        <is>
          <t>BRÄCKE</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22770-2022</t>
        </is>
      </c>
      <c r="B5826" s="1" t="n">
        <v>44714</v>
      </c>
      <c r="C5826" s="1" t="n">
        <v>45363</v>
      </c>
      <c r="D5826" t="inlineStr">
        <is>
          <t>JÄMTLANDS LÄN</t>
        </is>
      </c>
      <c r="E5826" t="inlineStr">
        <is>
          <t>RAGUNDA</t>
        </is>
      </c>
      <c r="F5826" t="inlineStr">
        <is>
          <t>SCA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22863-2022</t>
        </is>
      </c>
      <c r="B5827" s="1" t="n">
        <v>44715</v>
      </c>
      <c r="C5827" s="1" t="n">
        <v>45363</v>
      </c>
      <c r="D5827" t="inlineStr">
        <is>
          <t>JÄMTLANDS LÄN</t>
        </is>
      </c>
      <c r="E5827" t="inlineStr">
        <is>
          <t>KROKOM</t>
        </is>
      </c>
      <c r="F5827" t="inlineStr">
        <is>
          <t>Övriga Aktiebolag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22868-2022</t>
        </is>
      </c>
      <c r="B5828" s="1" t="n">
        <v>44715</v>
      </c>
      <c r="C5828" s="1" t="n">
        <v>45363</v>
      </c>
      <c r="D5828" t="inlineStr">
        <is>
          <t>JÄMTLANDS LÄN</t>
        </is>
      </c>
      <c r="E5828" t="inlineStr">
        <is>
          <t>KROKOM</t>
        </is>
      </c>
      <c r="F5828" t="inlineStr">
        <is>
          <t>Övriga Aktiebolag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22821-2022</t>
        </is>
      </c>
      <c r="B5829" s="1" t="n">
        <v>44715</v>
      </c>
      <c r="C5829" s="1" t="n">
        <v>45363</v>
      </c>
      <c r="D5829" t="inlineStr">
        <is>
          <t>JÄMTLANDS LÄN</t>
        </is>
      </c>
      <c r="E5829" t="inlineStr">
        <is>
          <t>KROKOM</t>
        </is>
      </c>
      <c r="F5829" t="inlineStr">
        <is>
          <t>Övriga Aktiebolag</t>
        </is>
      </c>
      <c r="G5829" t="n">
        <v>10.1</v>
      </c>
      <c r="H5829" t="n">
        <v>0</v>
      </c>
      <c r="I5829" t="n">
        <v>0</v>
      </c>
      <c r="J5829" t="n">
        <v>0</v>
      </c>
      <c r="K5829" t="n">
        <v>0</v>
      </c>
      <c r="L5829" t="n">
        <v>0</v>
      </c>
      <c r="M5829" t="n">
        <v>0</v>
      </c>
      <c r="N5829" t="n">
        <v>0</v>
      </c>
      <c r="O5829" t="n">
        <v>0</v>
      </c>
      <c r="P5829" t="n">
        <v>0</v>
      </c>
      <c r="Q5829" t="n">
        <v>0</v>
      </c>
      <c r="R5829" s="2" t="inlineStr"/>
    </row>
    <row r="5830" ht="15" customHeight="1">
      <c r="A5830" t="inlineStr">
        <is>
          <t>A 22865-2022</t>
        </is>
      </c>
      <c r="B5830" s="1" t="n">
        <v>44715</v>
      </c>
      <c r="C5830" s="1" t="n">
        <v>45363</v>
      </c>
      <c r="D5830" t="inlineStr">
        <is>
          <t>JÄMTLANDS LÄN</t>
        </is>
      </c>
      <c r="E5830" t="inlineStr">
        <is>
          <t>KROKOM</t>
        </is>
      </c>
      <c r="F5830" t="inlineStr">
        <is>
          <t>Övriga Aktiebolag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22966-2022</t>
        </is>
      </c>
      <c r="B5831" s="1" t="n">
        <v>44716</v>
      </c>
      <c r="C5831" s="1" t="n">
        <v>45363</v>
      </c>
      <c r="D5831" t="inlineStr">
        <is>
          <t>JÄMTLANDS LÄN</t>
        </is>
      </c>
      <c r="E5831" t="inlineStr">
        <is>
          <t>STRÖMSUND</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22814-2022</t>
        </is>
      </c>
      <c r="B5832" s="1" t="n">
        <v>44715</v>
      </c>
      <c r="C5832" s="1" t="n">
        <v>45363</v>
      </c>
      <c r="D5832" t="inlineStr">
        <is>
          <t>JÄMTLANDS LÄN</t>
        </is>
      </c>
      <c r="E5832" t="inlineStr">
        <is>
          <t>STRÖMSUND</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22947-2022</t>
        </is>
      </c>
      <c r="B5833" s="1" t="n">
        <v>44716</v>
      </c>
      <c r="C5833" s="1" t="n">
        <v>45363</v>
      </c>
      <c r="D5833" t="inlineStr">
        <is>
          <t>JÄMTLANDS LÄN</t>
        </is>
      </c>
      <c r="E5833" t="inlineStr">
        <is>
          <t>BERG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22960-2022</t>
        </is>
      </c>
      <c r="B5834" s="1" t="n">
        <v>44716</v>
      </c>
      <c r="C5834" s="1" t="n">
        <v>45363</v>
      </c>
      <c r="D5834" t="inlineStr">
        <is>
          <t>JÄMTLANDS LÄN</t>
        </is>
      </c>
      <c r="E5834" t="inlineStr">
        <is>
          <t>STRÖMSUND</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22961-2022</t>
        </is>
      </c>
      <c r="B5835" s="1" t="n">
        <v>44715</v>
      </c>
      <c r="C5835" s="1" t="n">
        <v>45363</v>
      </c>
      <c r="D5835" t="inlineStr">
        <is>
          <t>JÄMTLANDS LÄN</t>
        </is>
      </c>
      <c r="E5835" t="inlineStr">
        <is>
          <t>STRÖMSUND</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23074-2022</t>
        </is>
      </c>
      <c r="B5836" s="1" t="n">
        <v>44719</v>
      </c>
      <c r="C5836" s="1" t="n">
        <v>45363</v>
      </c>
      <c r="D5836" t="inlineStr">
        <is>
          <t>JÄMTLANDS LÄN</t>
        </is>
      </c>
      <c r="E5836" t="inlineStr">
        <is>
          <t>HÄRJEDALEN</t>
        </is>
      </c>
      <c r="F5836" t="inlineStr">
        <is>
          <t>Bergvik skog väst AB</t>
        </is>
      </c>
      <c r="G5836" t="n">
        <v>23.2</v>
      </c>
      <c r="H5836" t="n">
        <v>0</v>
      </c>
      <c r="I5836" t="n">
        <v>0</v>
      </c>
      <c r="J5836" t="n">
        <v>0</v>
      </c>
      <c r="K5836" t="n">
        <v>0</v>
      </c>
      <c r="L5836" t="n">
        <v>0</v>
      </c>
      <c r="M5836" t="n">
        <v>0</v>
      </c>
      <c r="N5836" t="n">
        <v>0</v>
      </c>
      <c r="O5836" t="n">
        <v>0</v>
      </c>
      <c r="P5836" t="n">
        <v>0</v>
      </c>
      <c r="Q5836" t="n">
        <v>0</v>
      </c>
      <c r="R5836" s="2" t="inlineStr"/>
    </row>
    <row r="5837" ht="15" customHeight="1">
      <c r="A5837" t="inlineStr">
        <is>
          <t>A 23117-2022</t>
        </is>
      </c>
      <c r="B5837" s="1" t="n">
        <v>44719</v>
      </c>
      <c r="C5837" s="1" t="n">
        <v>45363</v>
      </c>
      <c r="D5837" t="inlineStr">
        <is>
          <t>JÄMTLANDS LÄN</t>
        </is>
      </c>
      <c r="E5837" t="inlineStr">
        <is>
          <t>ÅRE</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23128-2022</t>
        </is>
      </c>
      <c r="B5838" s="1" t="n">
        <v>44719</v>
      </c>
      <c r="C5838" s="1" t="n">
        <v>45363</v>
      </c>
      <c r="D5838" t="inlineStr">
        <is>
          <t>JÄMTLANDS LÄN</t>
        </is>
      </c>
      <c r="E5838" t="inlineStr">
        <is>
          <t>STRÖMSUND</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23118-2022</t>
        </is>
      </c>
      <c r="B5839" s="1" t="n">
        <v>44719</v>
      </c>
      <c r="C5839" s="1" t="n">
        <v>45363</v>
      </c>
      <c r="D5839" t="inlineStr">
        <is>
          <t>JÄMTLANDS LÄN</t>
        </is>
      </c>
      <c r="E5839" t="inlineStr">
        <is>
          <t>ÅRE</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23209-2022</t>
        </is>
      </c>
      <c r="B5840" s="1" t="n">
        <v>44719</v>
      </c>
      <c r="C5840" s="1" t="n">
        <v>45363</v>
      </c>
      <c r="D5840" t="inlineStr">
        <is>
          <t>JÄMTLANDS LÄN</t>
        </is>
      </c>
      <c r="E5840" t="inlineStr">
        <is>
          <t>STRÖMSUND</t>
        </is>
      </c>
      <c r="F5840" t="inlineStr">
        <is>
          <t>SCA</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23217-2022</t>
        </is>
      </c>
      <c r="B5841" s="1" t="n">
        <v>44720</v>
      </c>
      <c r="C5841" s="1" t="n">
        <v>45363</v>
      </c>
      <c r="D5841" t="inlineStr">
        <is>
          <t>JÄMTLANDS LÄN</t>
        </is>
      </c>
      <c r="E5841" t="inlineStr">
        <is>
          <t>STRÖMSUND</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23208-2022</t>
        </is>
      </c>
      <c r="B5842" s="1" t="n">
        <v>44719</v>
      </c>
      <c r="C5842" s="1" t="n">
        <v>45363</v>
      </c>
      <c r="D5842" t="inlineStr">
        <is>
          <t>JÄMTLANDS LÄN</t>
        </is>
      </c>
      <c r="E5842" t="inlineStr">
        <is>
          <t>STRÖMSUND</t>
        </is>
      </c>
      <c r="F5842" t="inlineStr">
        <is>
          <t>SCA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23214-2022</t>
        </is>
      </c>
      <c r="B5843" s="1" t="n">
        <v>44720</v>
      </c>
      <c r="C5843" s="1" t="n">
        <v>45363</v>
      </c>
      <c r="D5843" t="inlineStr">
        <is>
          <t>JÄMTLANDS LÄN</t>
        </is>
      </c>
      <c r="E5843" t="inlineStr">
        <is>
          <t>STRÖMSUND</t>
        </is>
      </c>
      <c r="F5843" t="inlineStr">
        <is>
          <t>SCA</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23140-2022</t>
        </is>
      </c>
      <c r="B5844" s="1" t="n">
        <v>44719</v>
      </c>
      <c r="C5844" s="1" t="n">
        <v>45363</v>
      </c>
      <c r="D5844" t="inlineStr">
        <is>
          <t>JÄMTLANDS LÄN</t>
        </is>
      </c>
      <c r="E5844" t="inlineStr">
        <is>
          <t>HÄRJEDALEN</t>
        </is>
      </c>
      <c r="F5844" t="inlineStr">
        <is>
          <t>Bergvik skog väst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23206-2022</t>
        </is>
      </c>
      <c r="B5845" s="1" t="n">
        <v>44719</v>
      </c>
      <c r="C5845" s="1" t="n">
        <v>45363</v>
      </c>
      <c r="D5845" t="inlineStr">
        <is>
          <t>JÄMTLANDS LÄN</t>
        </is>
      </c>
      <c r="E5845" t="inlineStr">
        <is>
          <t>STRÖMSUND</t>
        </is>
      </c>
      <c r="F5845" t="inlineStr">
        <is>
          <t>SCA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23426-2022</t>
        </is>
      </c>
      <c r="B5846" s="1" t="n">
        <v>44720</v>
      </c>
      <c r="C5846" s="1" t="n">
        <v>45363</v>
      </c>
      <c r="D5846" t="inlineStr">
        <is>
          <t>JÄMTLANDS LÄN</t>
        </is>
      </c>
      <c r="E5846" t="inlineStr">
        <is>
          <t>BRÄCKE</t>
        </is>
      </c>
      <c r="F5846" t="inlineStr">
        <is>
          <t>SCA</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23451-2022</t>
        </is>
      </c>
      <c r="B5847" s="1" t="n">
        <v>44721</v>
      </c>
      <c r="C5847" s="1" t="n">
        <v>45363</v>
      </c>
      <c r="D5847" t="inlineStr">
        <is>
          <t>JÄMTLANDS LÄN</t>
        </is>
      </c>
      <c r="E5847" t="inlineStr">
        <is>
          <t>BERG</t>
        </is>
      </c>
      <c r="F5847" t="inlineStr">
        <is>
          <t>SCA</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23427-2022</t>
        </is>
      </c>
      <c r="B5848" s="1" t="n">
        <v>44721</v>
      </c>
      <c r="C5848" s="1" t="n">
        <v>45363</v>
      </c>
      <c r="D5848" t="inlineStr">
        <is>
          <t>JÄMTLANDS LÄN</t>
        </is>
      </c>
      <c r="E5848" t="inlineStr">
        <is>
          <t>BRÄCKE</t>
        </is>
      </c>
      <c r="F5848" t="inlineStr">
        <is>
          <t>SCA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23453-2022</t>
        </is>
      </c>
      <c r="B5849" s="1" t="n">
        <v>44721</v>
      </c>
      <c r="C5849" s="1" t="n">
        <v>45363</v>
      </c>
      <c r="D5849" t="inlineStr">
        <is>
          <t>JÄMTLANDS LÄN</t>
        </is>
      </c>
      <c r="E5849" t="inlineStr">
        <is>
          <t>STRÖMSUND</t>
        </is>
      </c>
      <c r="F5849" t="inlineStr">
        <is>
          <t>SCA</t>
        </is>
      </c>
      <c r="G5849" t="n">
        <v>48.2</v>
      </c>
      <c r="H5849" t="n">
        <v>0</v>
      </c>
      <c r="I5849" t="n">
        <v>0</v>
      </c>
      <c r="J5849" t="n">
        <v>0</v>
      </c>
      <c r="K5849" t="n">
        <v>0</v>
      </c>
      <c r="L5849" t="n">
        <v>0</v>
      </c>
      <c r="M5849" t="n">
        <v>0</v>
      </c>
      <c r="N5849" t="n">
        <v>0</v>
      </c>
      <c r="O5849" t="n">
        <v>0</v>
      </c>
      <c r="P5849" t="n">
        <v>0</v>
      </c>
      <c r="Q5849" t="n">
        <v>0</v>
      </c>
      <c r="R5849" s="2" t="inlineStr"/>
    </row>
    <row r="5850" ht="15" customHeight="1">
      <c r="A5850" t="inlineStr">
        <is>
          <t>A 23444-2022</t>
        </is>
      </c>
      <c r="B5850" s="1" t="n">
        <v>44721</v>
      </c>
      <c r="C5850" s="1" t="n">
        <v>45363</v>
      </c>
      <c r="D5850" t="inlineStr">
        <is>
          <t>JÄMTLANDS LÄN</t>
        </is>
      </c>
      <c r="E5850" t="inlineStr">
        <is>
          <t>BRÄCKE</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23441-2022</t>
        </is>
      </c>
      <c r="B5851" s="1" t="n">
        <v>44721</v>
      </c>
      <c r="C5851" s="1" t="n">
        <v>45363</v>
      </c>
      <c r="D5851" t="inlineStr">
        <is>
          <t>JÄMTLANDS LÄN</t>
        </is>
      </c>
      <c r="E5851" t="inlineStr">
        <is>
          <t>BRÄCKE</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23433-2022</t>
        </is>
      </c>
      <c r="B5852" s="1" t="n">
        <v>44720</v>
      </c>
      <c r="C5852" s="1" t="n">
        <v>45363</v>
      </c>
      <c r="D5852" t="inlineStr">
        <is>
          <t>JÄMTLANDS LÄN</t>
        </is>
      </c>
      <c r="E5852" t="inlineStr">
        <is>
          <t>BRÄCKE</t>
        </is>
      </c>
      <c r="F5852" t="inlineStr">
        <is>
          <t>SCA</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23443-2022</t>
        </is>
      </c>
      <c r="B5853" s="1" t="n">
        <v>44721</v>
      </c>
      <c r="C5853" s="1" t="n">
        <v>45363</v>
      </c>
      <c r="D5853" t="inlineStr">
        <is>
          <t>JÄMTLANDS LÄN</t>
        </is>
      </c>
      <c r="E5853" t="inlineStr">
        <is>
          <t>BRÄCKE</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23555-2022</t>
        </is>
      </c>
      <c r="B5854" s="1" t="n">
        <v>44721</v>
      </c>
      <c r="C5854" s="1" t="n">
        <v>45363</v>
      </c>
      <c r="D5854" t="inlineStr">
        <is>
          <t>JÄMTLANDS LÄN</t>
        </is>
      </c>
      <c r="E5854" t="inlineStr">
        <is>
          <t>ÖSTERSUND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23563-2022</t>
        </is>
      </c>
      <c r="B5855" s="1" t="n">
        <v>44721</v>
      </c>
      <c r="C5855" s="1" t="n">
        <v>45363</v>
      </c>
      <c r="D5855" t="inlineStr">
        <is>
          <t>JÄMTLANDS LÄN</t>
        </is>
      </c>
      <c r="E5855" t="inlineStr">
        <is>
          <t>ÖSTERSUND</t>
        </is>
      </c>
      <c r="F5855" t="inlineStr">
        <is>
          <t>Övriga Aktiebolag</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23504-2022</t>
        </is>
      </c>
      <c r="B5856" s="1" t="n">
        <v>44721</v>
      </c>
      <c r="C5856" s="1" t="n">
        <v>45363</v>
      </c>
      <c r="D5856" t="inlineStr">
        <is>
          <t>JÄMTLANDS LÄN</t>
        </is>
      </c>
      <c r="E5856" t="inlineStr">
        <is>
          <t>KROKOM</t>
        </is>
      </c>
      <c r="F5856" t="inlineStr">
        <is>
          <t>Övriga Aktiebolag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23512-2022</t>
        </is>
      </c>
      <c r="B5857" s="1" t="n">
        <v>44721</v>
      </c>
      <c r="C5857" s="1" t="n">
        <v>45363</v>
      </c>
      <c r="D5857" t="inlineStr">
        <is>
          <t>JÄMTLANDS LÄN</t>
        </is>
      </c>
      <c r="E5857" t="inlineStr">
        <is>
          <t>KROKOM</t>
        </is>
      </c>
      <c r="F5857" t="inlineStr">
        <is>
          <t>Övriga Aktiebolag</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23551-2022</t>
        </is>
      </c>
      <c r="B5858" s="1" t="n">
        <v>44721</v>
      </c>
      <c r="C5858" s="1" t="n">
        <v>45363</v>
      </c>
      <c r="D5858" t="inlineStr">
        <is>
          <t>JÄMTLANDS LÄN</t>
        </is>
      </c>
      <c r="E5858" t="inlineStr">
        <is>
          <t>ÖSTERSUND</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23467-2022</t>
        </is>
      </c>
      <c r="B5859" s="1" t="n">
        <v>44721</v>
      </c>
      <c r="C5859" s="1" t="n">
        <v>45363</v>
      </c>
      <c r="D5859" t="inlineStr">
        <is>
          <t>JÄMTLANDS LÄN</t>
        </is>
      </c>
      <c r="E5859" t="inlineStr">
        <is>
          <t>KROKOM</t>
        </is>
      </c>
      <c r="F5859" t="inlineStr">
        <is>
          <t>Övriga Aktiebolag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23668-2022</t>
        </is>
      </c>
      <c r="B5860" s="1" t="n">
        <v>44722</v>
      </c>
      <c r="C5860" s="1" t="n">
        <v>45363</v>
      </c>
      <c r="D5860" t="inlineStr">
        <is>
          <t>JÄMTLANDS LÄN</t>
        </is>
      </c>
      <c r="E5860" t="inlineStr">
        <is>
          <t>RAGUNDA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23675-2022</t>
        </is>
      </c>
      <c r="B5861" s="1" t="n">
        <v>44722</v>
      </c>
      <c r="C5861" s="1" t="n">
        <v>45363</v>
      </c>
      <c r="D5861" t="inlineStr">
        <is>
          <t>JÄMTLANDS LÄN</t>
        </is>
      </c>
      <c r="E5861" t="inlineStr">
        <is>
          <t>STRÖMSUND</t>
        </is>
      </c>
      <c r="F5861" t="inlineStr">
        <is>
          <t>SCA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23687-2022</t>
        </is>
      </c>
      <c r="B5862" s="1" t="n">
        <v>44721</v>
      </c>
      <c r="C5862" s="1" t="n">
        <v>45363</v>
      </c>
      <c r="D5862" t="inlineStr">
        <is>
          <t>JÄMTLANDS LÄN</t>
        </is>
      </c>
      <c r="E5862" t="inlineStr">
        <is>
          <t>BRÄCKE</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23731-2022</t>
        </is>
      </c>
      <c r="B5863" s="1" t="n">
        <v>44722</v>
      </c>
      <c r="C5863" s="1" t="n">
        <v>45363</v>
      </c>
      <c r="D5863" t="inlineStr">
        <is>
          <t>JÄMTLANDS LÄN</t>
        </is>
      </c>
      <c r="E5863" t="inlineStr">
        <is>
          <t>HÄRJEDALEN</t>
        </is>
      </c>
      <c r="G5863" t="n">
        <v>15.6</v>
      </c>
      <c r="H5863" t="n">
        <v>0</v>
      </c>
      <c r="I5863" t="n">
        <v>0</v>
      </c>
      <c r="J5863" t="n">
        <v>0</v>
      </c>
      <c r="K5863" t="n">
        <v>0</v>
      </c>
      <c r="L5863" t="n">
        <v>0</v>
      </c>
      <c r="M5863" t="n">
        <v>0</v>
      </c>
      <c r="N5863" t="n">
        <v>0</v>
      </c>
      <c r="O5863" t="n">
        <v>0</v>
      </c>
      <c r="P5863" t="n">
        <v>0</v>
      </c>
      <c r="Q5863" t="n">
        <v>0</v>
      </c>
      <c r="R5863" s="2" t="inlineStr"/>
    </row>
    <row r="5864" ht="15" customHeight="1">
      <c r="A5864" t="inlineStr">
        <is>
          <t>A 23992-2022</t>
        </is>
      </c>
      <c r="B5864" s="1" t="n">
        <v>44722</v>
      </c>
      <c r="C5864" s="1" t="n">
        <v>45363</v>
      </c>
      <c r="D5864" t="inlineStr">
        <is>
          <t>JÄMTLANDS LÄN</t>
        </is>
      </c>
      <c r="E5864" t="inlineStr">
        <is>
          <t>ÖSTERSUND</t>
        </is>
      </c>
      <c r="F5864" t="inlineStr">
        <is>
          <t>SCA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24006-2022</t>
        </is>
      </c>
      <c r="B5865" s="1" t="n">
        <v>44723</v>
      </c>
      <c r="C5865" s="1" t="n">
        <v>45363</v>
      </c>
      <c r="D5865" t="inlineStr">
        <is>
          <t>JÄMTLANDS LÄN</t>
        </is>
      </c>
      <c r="E5865" t="inlineStr">
        <is>
          <t>STRÖMSUND</t>
        </is>
      </c>
      <c r="F5865" t="inlineStr">
        <is>
          <t>SCA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24020-2022</t>
        </is>
      </c>
      <c r="B5866" s="1" t="n">
        <v>44723</v>
      </c>
      <c r="C5866" s="1" t="n">
        <v>45363</v>
      </c>
      <c r="D5866" t="inlineStr">
        <is>
          <t>JÄMTLANDS LÄN</t>
        </is>
      </c>
      <c r="E5866" t="inlineStr">
        <is>
          <t>STRÖMSUND</t>
        </is>
      </c>
      <c r="F5866" t="inlineStr">
        <is>
          <t>SCA</t>
        </is>
      </c>
      <c r="G5866" t="n">
        <v>20.2</v>
      </c>
      <c r="H5866" t="n">
        <v>0</v>
      </c>
      <c r="I5866" t="n">
        <v>0</v>
      </c>
      <c r="J5866" t="n">
        <v>0</v>
      </c>
      <c r="K5866" t="n">
        <v>0</v>
      </c>
      <c r="L5866" t="n">
        <v>0</v>
      </c>
      <c r="M5866" t="n">
        <v>0</v>
      </c>
      <c r="N5866" t="n">
        <v>0</v>
      </c>
      <c r="O5866" t="n">
        <v>0</v>
      </c>
      <c r="P5866" t="n">
        <v>0</v>
      </c>
      <c r="Q5866" t="n">
        <v>0</v>
      </c>
      <c r="R5866" s="2" t="inlineStr"/>
    </row>
    <row r="5867" ht="15" customHeight="1">
      <c r="A5867" t="inlineStr">
        <is>
          <t>A 24021-2022</t>
        </is>
      </c>
      <c r="B5867" s="1" t="n">
        <v>44723</v>
      </c>
      <c r="C5867" s="1" t="n">
        <v>45363</v>
      </c>
      <c r="D5867" t="inlineStr">
        <is>
          <t>JÄMTLANDS LÄN</t>
        </is>
      </c>
      <c r="E5867" t="inlineStr">
        <is>
          <t>STRÖMSUND</t>
        </is>
      </c>
      <c r="F5867" t="inlineStr">
        <is>
          <t>SCA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24023-2022</t>
        </is>
      </c>
      <c r="B5868" s="1" t="n">
        <v>44723</v>
      </c>
      <c r="C5868" s="1" t="n">
        <v>45363</v>
      </c>
      <c r="D5868" t="inlineStr">
        <is>
          <t>JÄMTLANDS LÄN</t>
        </is>
      </c>
      <c r="E5868" t="inlineStr">
        <is>
          <t>STRÖMSUND</t>
        </is>
      </c>
      <c r="F5868" t="inlineStr">
        <is>
          <t>SCA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23993-2022</t>
        </is>
      </c>
      <c r="B5869" s="1" t="n">
        <v>44723</v>
      </c>
      <c r="C5869" s="1" t="n">
        <v>45363</v>
      </c>
      <c r="D5869" t="inlineStr">
        <is>
          <t>JÄMTLANDS LÄN</t>
        </is>
      </c>
      <c r="E5869" t="inlineStr">
        <is>
          <t>ÖSTERSUND</t>
        </is>
      </c>
      <c r="F5869" t="inlineStr">
        <is>
          <t>SCA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24014-2022</t>
        </is>
      </c>
      <c r="B5870" s="1" t="n">
        <v>44723</v>
      </c>
      <c r="C5870" s="1" t="n">
        <v>45363</v>
      </c>
      <c r="D5870" t="inlineStr">
        <is>
          <t>JÄMTLANDS LÄN</t>
        </is>
      </c>
      <c r="E5870" t="inlineStr">
        <is>
          <t>KROKOM</t>
        </is>
      </c>
      <c r="F5870" t="inlineStr">
        <is>
          <t>SCA</t>
        </is>
      </c>
      <c r="G5870" t="n">
        <v>7.7</v>
      </c>
      <c r="H5870" t="n">
        <v>0</v>
      </c>
      <c r="I5870" t="n">
        <v>0</v>
      </c>
      <c r="J5870" t="n">
        <v>0</v>
      </c>
      <c r="K5870" t="n">
        <v>0</v>
      </c>
      <c r="L5870" t="n">
        <v>0</v>
      </c>
      <c r="M5870" t="n">
        <v>0</v>
      </c>
      <c r="N5870" t="n">
        <v>0</v>
      </c>
      <c r="O5870" t="n">
        <v>0</v>
      </c>
      <c r="P5870" t="n">
        <v>0</v>
      </c>
      <c r="Q5870" t="n">
        <v>0</v>
      </c>
      <c r="R5870" s="2" t="inlineStr"/>
    </row>
    <row r="5871" ht="15" customHeight="1">
      <c r="A5871" t="inlineStr">
        <is>
          <t>A 24056-2022</t>
        </is>
      </c>
      <c r="B5871" s="1" t="n">
        <v>44725</v>
      </c>
      <c r="C5871" s="1" t="n">
        <v>45363</v>
      </c>
      <c r="D5871" t="inlineStr">
        <is>
          <t>JÄMTLANDS LÄN</t>
        </is>
      </c>
      <c r="E5871" t="inlineStr">
        <is>
          <t>BRÄCKE</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24055-2022</t>
        </is>
      </c>
      <c r="B5872" s="1" t="n">
        <v>44725</v>
      </c>
      <c r="C5872" s="1" t="n">
        <v>45363</v>
      </c>
      <c r="D5872" t="inlineStr">
        <is>
          <t>JÄMTLANDS LÄN</t>
        </is>
      </c>
      <c r="E5872" t="inlineStr">
        <is>
          <t>BRÄCKE</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24054-2022</t>
        </is>
      </c>
      <c r="B5873" s="1" t="n">
        <v>44725</v>
      </c>
      <c r="C5873" s="1" t="n">
        <v>45363</v>
      </c>
      <c r="D5873" t="inlineStr">
        <is>
          <t>JÄMTLANDS LÄN</t>
        </is>
      </c>
      <c r="E5873" t="inlineStr">
        <is>
          <t>BRÄCKE</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24053-2022</t>
        </is>
      </c>
      <c r="B5874" s="1" t="n">
        <v>44725</v>
      </c>
      <c r="C5874" s="1" t="n">
        <v>45363</v>
      </c>
      <c r="D5874" t="inlineStr">
        <is>
          <t>JÄMTLANDS LÄN</t>
        </is>
      </c>
      <c r="E5874" t="inlineStr">
        <is>
          <t>BRÄCKE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24119-2022</t>
        </is>
      </c>
      <c r="B5875" s="1" t="n">
        <v>44725</v>
      </c>
      <c r="C5875" s="1" t="n">
        <v>45363</v>
      </c>
      <c r="D5875" t="inlineStr">
        <is>
          <t>JÄMTLANDS LÄN</t>
        </is>
      </c>
      <c r="E5875" t="inlineStr">
        <is>
          <t>BERG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24117-2022</t>
        </is>
      </c>
      <c r="B5876" s="1" t="n">
        <v>44725</v>
      </c>
      <c r="C5876" s="1" t="n">
        <v>45363</v>
      </c>
      <c r="D5876" t="inlineStr">
        <is>
          <t>JÄMTLANDS LÄN</t>
        </is>
      </c>
      <c r="E5876" t="inlineStr">
        <is>
          <t>KROKOM</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24214-2022</t>
        </is>
      </c>
      <c r="B5877" s="1" t="n">
        <v>44725</v>
      </c>
      <c r="C5877" s="1" t="n">
        <v>45363</v>
      </c>
      <c r="D5877" t="inlineStr">
        <is>
          <t>JÄMTLANDS LÄN</t>
        </is>
      </c>
      <c r="E5877" t="inlineStr">
        <is>
          <t>HÄRJEDALEN</t>
        </is>
      </c>
      <c r="F5877" t="inlineStr">
        <is>
          <t>Holmen skog AB</t>
        </is>
      </c>
      <c r="G5877" t="n">
        <v>7.8</v>
      </c>
      <c r="H5877" t="n">
        <v>0</v>
      </c>
      <c r="I5877" t="n">
        <v>0</v>
      </c>
      <c r="J5877" t="n">
        <v>0</v>
      </c>
      <c r="K5877" t="n">
        <v>0</v>
      </c>
      <c r="L5877" t="n">
        <v>0</v>
      </c>
      <c r="M5877" t="n">
        <v>0</v>
      </c>
      <c r="N5877" t="n">
        <v>0</v>
      </c>
      <c r="O5877" t="n">
        <v>0</v>
      </c>
      <c r="P5877" t="n">
        <v>0</v>
      </c>
      <c r="Q5877" t="n">
        <v>0</v>
      </c>
      <c r="R5877" s="2" t="inlineStr"/>
    </row>
    <row r="5878" ht="15" customHeight="1">
      <c r="A5878" t="inlineStr">
        <is>
          <t>A 24303-2022</t>
        </is>
      </c>
      <c r="B5878" s="1" t="n">
        <v>44726</v>
      </c>
      <c r="C5878" s="1" t="n">
        <v>45363</v>
      </c>
      <c r="D5878" t="inlineStr">
        <is>
          <t>JÄMTLANDS LÄN</t>
        </is>
      </c>
      <c r="E5878" t="inlineStr">
        <is>
          <t>STRÖMSUND</t>
        </is>
      </c>
      <c r="F5878" t="inlineStr">
        <is>
          <t>SCA</t>
        </is>
      </c>
      <c r="G5878" t="n">
        <v>20.2</v>
      </c>
      <c r="H5878" t="n">
        <v>0</v>
      </c>
      <c r="I5878" t="n">
        <v>0</v>
      </c>
      <c r="J5878" t="n">
        <v>0</v>
      </c>
      <c r="K5878" t="n">
        <v>0</v>
      </c>
      <c r="L5878" t="n">
        <v>0</v>
      </c>
      <c r="M5878" t="n">
        <v>0</v>
      </c>
      <c r="N5878" t="n">
        <v>0</v>
      </c>
      <c r="O5878" t="n">
        <v>0</v>
      </c>
      <c r="P5878" t="n">
        <v>0</v>
      </c>
      <c r="Q5878" t="n">
        <v>0</v>
      </c>
      <c r="R5878" s="2" t="inlineStr"/>
    </row>
    <row r="5879" ht="15" customHeight="1">
      <c r="A5879" t="inlineStr">
        <is>
          <t>A 24302-2022</t>
        </is>
      </c>
      <c r="B5879" s="1" t="n">
        <v>44726</v>
      </c>
      <c r="C5879" s="1" t="n">
        <v>45363</v>
      </c>
      <c r="D5879" t="inlineStr">
        <is>
          <t>JÄMTLANDS LÄN</t>
        </is>
      </c>
      <c r="E5879" t="inlineStr">
        <is>
          <t>STRÖMSUND</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24359-2022</t>
        </is>
      </c>
      <c r="B5880" s="1" t="n">
        <v>44725</v>
      </c>
      <c r="C5880" s="1" t="n">
        <v>45363</v>
      </c>
      <c r="D5880" t="inlineStr">
        <is>
          <t>JÄMTLANDS LÄN</t>
        </is>
      </c>
      <c r="E5880" t="inlineStr">
        <is>
          <t>RAGUNDA</t>
        </is>
      </c>
      <c r="G5880" t="n">
        <v>11.4</v>
      </c>
      <c r="H5880" t="n">
        <v>0</v>
      </c>
      <c r="I5880" t="n">
        <v>0</v>
      </c>
      <c r="J5880" t="n">
        <v>0</v>
      </c>
      <c r="K5880" t="n">
        <v>0</v>
      </c>
      <c r="L5880" t="n">
        <v>0</v>
      </c>
      <c r="M5880" t="n">
        <v>0</v>
      </c>
      <c r="N5880" t="n">
        <v>0</v>
      </c>
      <c r="O5880" t="n">
        <v>0</v>
      </c>
      <c r="P5880" t="n">
        <v>0</v>
      </c>
      <c r="Q5880" t="n">
        <v>0</v>
      </c>
      <c r="R5880" s="2" t="inlineStr"/>
    </row>
    <row r="5881" ht="15" customHeight="1">
      <c r="A5881" t="inlineStr">
        <is>
          <t>A 24319-2022</t>
        </is>
      </c>
      <c r="B5881" s="1" t="n">
        <v>44726</v>
      </c>
      <c r="C5881" s="1" t="n">
        <v>45363</v>
      </c>
      <c r="D5881" t="inlineStr">
        <is>
          <t>JÄMTLANDS LÄN</t>
        </is>
      </c>
      <c r="E5881" t="inlineStr">
        <is>
          <t>STRÖMSUND</t>
        </is>
      </c>
      <c r="F5881" t="inlineStr">
        <is>
          <t>SCA</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24378-2022</t>
        </is>
      </c>
      <c r="B5882" s="1" t="n">
        <v>44726</v>
      </c>
      <c r="C5882" s="1" t="n">
        <v>45363</v>
      </c>
      <c r="D5882" t="inlineStr">
        <is>
          <t>JÄMTLANDS LÄN</t>
        </is>
      </c>
      <c r="E5882" t="inlineStr">
        <is>
          <t>BERG</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24426-2022</t>
        </is>
      </c>
      <c r="B5883" s="1" t="n">
        <v>44726</v>
      </c>
      <c r="C5883" s="1" t="n">
        <v>45363</v>
      </c>
      <c r="D5883" t="inlineStr">
        <is>
          <t>JÄMTLANDS LÄN</t>
        </is>
      </c>
      <c r="E5883" t="inlineStr">
        <is>
          <t>HÄRJEDALEN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24441-2022</t>
        </is>
      </c>
      <c r="B5884" s="1" t="n">
        <v>44726</v>
      </c>
      <c r="C5884" s="1" t="n">
        <v>45363</v>
      </c>
      <c r="D5884" t="inlineStr">
        <is>
          <t>JÄMTLANDS LÄN</t>
        </is>
      </c>
      <c r="E5884" t="inlineStr">
        <is>
          <t>KROKOM</t>
        </is>
      </c>
      <c r="G5884" t="n">
        <v>12.1</v>
      </c>
      <c r="H5884" t="n">
        <v>0</v>
      </c>
      <c r="I5884" t="n">
        <v>0</v>
      </c>
      <c r="J5884" t="n">
        <v>0</v>
      </c>
      <c r="K5884" t="n">
        <v>0</v>
      </c>
      <c r="L5884" t="n">
        <v>0</v>
      </c>
      <c r="M5884" t="n">
        <v>0</v>
      </c>
      <c r="N5884" t="n">
        <v>0</v>
      </c>
      <c r="O5884" t="n">
        <v>0</v>
      </c>
      <c r="P5884" t="n">
        <v>0</v>
      </c>
      <c r="Q5884" t="n">
        <v>0</v>
      </c>
      <c r="R5884" s="2" t="inlineStr"/>
    </row>
    <row r="5885" ht="15" customHeight="1">
      <c r="A5885" t="inlineStr">
        <is>
          <t>A 24402-2022</t>
        </is>
      </c>
      <c r="B5885" s="1" t="n">
        <v>44726</v>
      </c>
      <c r="C5885" s="1" t="n">
        <v>45363</v>
      </c>
      <c r="D5885" t="inlineStr">
        <is>
          <t>JÄMTLANDS LÄN</t>
        </is>
      </c>
      <c r="E5885" t="inlineStr">
        <is>
          <t>KROKOM</t>
        </is>
      </c>
      <c r="G5885" t="n">
        <v>13.3</v>
      </c>
      <c r="H5885" t="n">
        <v>0</v>
      </c>
      <c r="I5885" t="n">
        <v>0</v>
      </c>
      <c r="J5885" t="n">
        <v>0</v>
      </c>
      <c r="K5885" t="n">
        <v>0</v>
      </c>
      <c r="L5885" t="n">
        <v>0</v>
      </c>
      <c r="M5885" t="n">
        <v>0</v>
      </c>
      <c r="N5885" t="n">
        <v>0</v>
      </c>
      <c r="O5885" t="n">
        <v>0</v>
      </c>
      <c r="P5885" t="n">
        <v>0</v>
      </c>
      <c r="Q5885" t="n">
        <v>0</v>
      </c>
      <c r="R5885" s="2" t="inlineStr"/>
    </row>
    <row r="5886" ht="15" customHeight="1">
      <c r="A5886" t="inlineStr">
        <is>
          <t>A 24487-2022</t>
        </is>
      </c>
      <c r="B5886" s="1" t="n">
        <v>44726</v>
      </c>
      <c r="C5886" s="1" t="n">
        <v>45363</v>
      </c>
      <c r="D5886" t="inlineStr">
        <is>
          <t>JÄMTLANDS LÄN</t>
        </is>
      </c>
      <c r="E5886" t="inlineStr">
        <is>
          <t>STRÖMSUND</t>
        </is>
      </c>
      <c r="G5886" t="n">
        <v>11.3</v>
      </c>
      <c r="H5886" t="n">
        <v>0</v>
      </c>
      <c r="I5886" t="n">
        <v>0</v>
      </c>
      <c r="J5886" t="n">
        <v>0</v>
      </c>
      <c r="K5886" t="n">
        <v>0</v>
      </c>
      <c r="L5886" t="n">
        <v>0</v>
      </c>
      <c r="M5886" t="n">
        <v>0</v>
      </c>
      <c r="N5886" t="n">
        <v>0</v>
      </c>
      <c r="O5886" t="n">
        <v>0</v>
      </c>
      <c r="P5886" t="n">
        <v>0</v>
      </c>
      <c r="Q5886" t="n">
        <v>0</v>
      </c>
      <c r="R5886" s="2" t="inlineStr"/>
    </row>
    <row r="5887" ht="15" customHeight="1">
      <c r="A5887" t="inlineStr">
        <is>
          <t>A 24531-2022</t>
        </is>
      </c>
      <c r="B5887" s="1" t="n">
        <v>44726</v>
      </c>
      <c r="C5887" s="1" t="n">
        <v>45363</v>
      </c>
      <c r="D5887" t="inlineStr">
        <is>
          <t>JÄMTLANDS LÄN</t>
        </is>
      </c>
      <c r="E5887" t="inlineStr">
        <is>
          <t>BRÄCKE</t>
        </is>
      </c>
      <c r="F5887" t="inlineStr">
        <is>
          <t>SCA</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24488-2022</t>
        </is>
      </c>
      <c r="B5888" s="1" t="n">
        <v>44726</v>
      </c>
      <c r="C5888" s="1" t="n">
        <v>45363</v>
      </c>
      <c r="D5888" t="inlineStr">
        <is>
          <t>JÄMTLANDS LÄN</t>
        </is>
      </c>
      <c r="E5888" t="inlineStr">
        <is>
          <t>STRÖMSUND</t>
        </is>
      </c>
      <c r="G5888" t="n">
        <v>19.1</v>
      </c>
      <c r="H5888" t="n">
        <v>0</v>
      </c>
      <c r="I5888" t="n">
        <v>0</v>
      </c>
      <c r="J5888" t="n">
        <v>0</v>
      </c>
      <c r="K5888" t="n">
        <v>0</v>
      </c>
      <c r="L5888" t="n">
        <v>0</v>
      </c>
      <c r="M5888" t="n">
        <v>0</v>
      </c>
      <c r="N5888" t="n">
        <v>0</v>
      </c>
      <c r="O5888" t="n">
        <v>0</v>
      </c>
      <c r="P5888" t="n">
        <v>0</v>
      </c>
      <c r="Q5888" t="n">
        <v>0</v>
      </c>
      <c r="R5888" s="2" t="inlineStr"/>
    </row>
    <row r="5889" ht="15" customHeight="1">
      <c r="A5889" t="inlineStr">
        <is>
          <t>A 24509-2022</t>
        </is>
      </c>
      <c r="B5889" s="1" t="n">
        <v>44726</v>
      </c>
      <c r="C5889" s="1" t="n">
        <v>45363</v>
      </c>
      <c r="D5889" t="inlineStr">
        <is>
          <t>JÄMTLANDS LÄN</t>
        </is>
      </c>
      <c r="E5889" t="inlineStr">
        <is>
          <t>STRÖMSUND</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24508-2022</t>
        </is>
      </c>
      <c r="B5890" s="1" t="n">
        <v>44726</v>
      </c>
      <c r="C5890" s="1" t="n">
        <v>45363</v>
      </c>
      <c r="D5890" t="inlineStr">
        <is>
          <t>JÄMTLANDS LÄN</t>
        </is>
      </c>
      <c r="E5890" t="inlineStr">
        <is>
          <t>STRÖMSUND</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24530-2022</t>
        </is>
      </c>
      <c r="B5891" s="1" t="n">
        <v>44726</v>
      </c>
      <c r="C5891" s="1" t="n">
        <v>45363</v>
      </c>
      <c r="D5891" t="inlineStr">
        <is>
          <t>JÄMTLANDS LÄN</t>
        </is>
      </c>
      <c r="E5891" t="inlineStr">
        <is>
          <t>HÄRJEDALEN</t>
        </is>
      </c>
      <c r="F5891" t="inlineStr">
        <is>
          <t>SCA</t>
        </is>
      </c>
      <c r="G5891" t="n">
        <v>8.800000000000001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24571-2022</t>
        </is>
      </c>
      <c r="B5892" s="1" t="n">
        <v>44727</v>
      </c>
      <c r="C5892" s="1" t="n">
        <v>45363</v>
      </c>
      <c r="D5892" t="inlineStr">
        <is>
          <t>JÄMTLANDS LÄN</t>
        </is>
      </c>
      <c r="E5892" t="inlineStr">
        <is>
          <t>HÄRJEDALEN</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24612-2022</t>
        </is>
      </c>
      <c r="B5893" s="1" t="n">
        <v>44727</v>
      </c>
      <c r="C5893" s="1" t="n">
        <v>45363</v>
      </c>
      <c r="D5893" t="inlineStr">
        <is>
          <t>JÄMTLANDS LÄN</t>
        </is>
      </c>
      <c r="E5893" t="inlineStr">
        <is>
          <t>KROKOM</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24661-2022</t>
        </is>
      </c>
      <c r="B5894" s="1" t="n">
        <v>44727</v>
      </c>
      <c r="C5894" s="1" t="n">
        <v>45363</v>
      </c>
      <c r="D5894" t="inlineStr">
        <is>
          <t>JÄMTLANDS LÄN</t>
        </is>
      </c>
      <c r="E5894" t="inlineStr">
        <is>
          <t>BERG</t>
        </is>
      </c>
      <c r="G5894" t="n">
        <v>7.6</v>
      </c>
      <c r="H5894" t="n">
        <v>0</v>
      </c>
      <c r="I5894" t="n">
        <v>0</v>
      </c>
      <c r="J5894" t="n">
        <v>0</v>
      </c>
      <c r="K5894" t="n">
        <v>0</v>
      </c>
      <c r="L5894" t="n">
        <v>0</v>
      </c>
      <c r="M5894" t="n">
        <v>0</v>
      </c>
      <c r="N5894" t="n">
        <v>0</v>
      </c>
      <c r="O5894" t="n">
        <v>0</v>
      </c>
      <c r="P5894" t="n">
        <v>0</v>
      </c>
      <c r="Q5894" t="n">
        <v>0</v>
      </c>
      <c r="R5894" s="2" t="inlineStr"/>
    </row>
    <row r="5895" ht="15" customHeight="1">
      <c r="A5895" t="inlineStr">
        <is>
          <t>A 24692-2022</t>
        </is>
      </c>
      <c r="B5895" s="1" t="n">
        <v>44727</v>
      </c>
      <c r="C5895" s="1" t="n">
        <v>45363</v>
      </c>
      <c r="D5895" t="inlineStr">
        <is>
          <t>JÄMTLANDS LÄN</t>
        </is>
      </c>
      <c r="E5895" t="inlineStr">
        <is>
          <t>KROKOM</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24718-2022</t>
        </is>
      </c>
      <c r="B5896" s="1" t="n">
        <v>44728</v>
      </c>
      <c r="C5896" s="1" t="n">
        <v>45363</v>
      </c>
      <c r="D5896" t="inlineStr">
        <is>
          <t>JÄMTLANDS LÄN</t>
        </is>
      </c>
      <c r="E5896" t="inlineStr">
        <is>
          <t>BRÄCKE</t>
        </is>
      </c>
      <c r="F5896" t="inlineStr">
        <is>
          <t>SCA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24539-2022</t>
        </is>
      </c>
      <c r="B5897" s="1" t="n">
        <v>44727</v>
      </c>
      <c r="C5897" s="1" t="n">
        <v>45363</v>
      </c>
      <c r="D5897" t="inlineStr">
        <is>
          <t>JÄMTLANDS LÄN</t>
        </is>
      </c>
      <c r="E5897" t="inlineStr">
        <is>
          <t>ÅRE</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24690-2022</t>
        </is>
      </c>
      <c r="B5898" s="1" t="n">
        <v>44727</v>
      </c>
      <c r="C5898" s="1" t="n">
        <v>45363</v>
      </c>
      <c r="D5898" t="inlineStr">
        <is>
          <t>JÄMTLANDS LÄN</t>
        </is>
      </c>
      <c r="E5898" t="inlineStr">
        <is>
          <t>HÄRJEDALEN</t>
        </is>
      </c>
      <c r="F5898" t="inlineStr">
        <is>
          <t>Kyrkan</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24688-2022</t>
        </is>
      </c>
      <c r="B5899" s="1" t="n">
        <v>44727</v>
      </c>
      <c r="C5899" s="1" t="n">
        <v>45363</v>
      </c>
      <c r="D5899" t="inlineStr">
        <is>
          <t>JÄMTLANDS LÄN</t>
        </is>
      </c>
      <c r="E5899" t="inlineStr">
        <is>
          <t>KROKOM</t>
        </is>
      </c>
      <c r="G5899" t="n">
        <v>12.9</v>
      </c>
      <c r="H5899" t="n">
        <v>0</v>
      </c>
      <c r="I5899" t="n">
        <v>0</v>
      </c>
      <c r="J5899" t="n">
        <v>0</v>
      </c>
      <c r="K5899" t="n">
        <v>0</v>
      </c>
      <c r="L5899" t="n">
        <v>0</v>
      </c>
      <c r="M5899" t="n">
        <v>0</v>
      </c>
      <c r="N5899" t="n">
        <v>0</v>
      </c>
      <c r="O5899" t="n">
        <v>0</v>
      </c>
      <c r="P5899" t="n">
        <v>0</v>
      </c>
      <c r="Q5899" t="n">
        <v>0</v>
      </c>
      <c r="R5899" s="2" t="inlineStr"/>
    </row>
    <row r="5900" ht="15" customHeight="1">
      <c r="A5900" t="inlineStr">
        <is>
          <t>A 24693-2022</t>
        </is>
      </c>
      <c r="B5900" s="1" t="n">
        <v>44727</v>
      </c>
      <c r="C5900" s="1" t="n">
        <v>45363</v>
      </c>
      <c r="D5900" t="inlineStr">
        <is>
          <t>JÄMTLANDS LÄN</t>
        </is>
      </c>
      <c r="E5900" t="inlineStr">
        <is>
          <t>HÄRJEDALEN</t>
        </is>
      </c>
      <c r="F5900" t="inlineStr">
        <is>
          <t>Kyrkan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24720-2022</t>
        </is>
      </c>
      <c r="B5901" s="1" t="n">
        <v>44728</v>
      </c>
      <c r="C5901" s="1" t="n">
        <v>45363</v>
      </c>
      <c r="D5901" t="inlineStr">
        <is>
          <t>JÄMTLANDS LÄN</t>
        </is>
      </c>
      <c r="E5901" t="inlineStr">
        <is>
          <t>RAGUNDA</t>
        </is>
      </c>
      <c r="F5901" t="inlineStr">
        <is>
          <t>SCA</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24717-2022</t>
        </is>
      </c>
      <c r="B5902" s="1" t="n">
        <v>44727</v>
      </c>
      <c r="C5902" s="1" t="n">
        <v>45363</v>
      </c>
      <c r="D5902" t="inlineStr">
        <is>
          <t>JÄMTLANDS LÄN</t>
        </is>
      </c>
      <c r="E5902" t="inlineStr">
        <is>
          <t>BRÄCKE</t>
        </is>
      </c>
      <c r="F5902" t="inlineStr">
        <is>
          <t>SCA</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24741-2022</t>
        </is>
      </c>
      <c r="B5903" s="1" t="n">
        <v>44727</v>
      </c>
      <c r="C5903" s="1" t="n">
        <v>45363</v>
      </c>
      <c r="D5903" t="inlineStr">
        <is>
          <t>JÄMTLANDS LÄN</t>
        </is>
      </c>
      <c r="E5903" t="inlineStr">
        <is>
          <t>RAGUNDA</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24726-2022</t>
        </is>
      </c>
      <c r="B5904" s="1" t="n">
        <v>44727</v>
      </c>
      <c r="C5904" s="1" t="n">
        <v>45363</v>
      </c>
      <c r="D5904" t="inlineStr">
        <is>
          <t>JÄMTLANDS LÄN</t>
        </is>
      </c>
      <c r="E5904" t="inlineStr">
        <is>
          <t>BRÄCKE</t>
        </is>
      </c>
      <c r="F5904" t="inlineStr">
        <is>
          <t>SCA</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24728-2022</t>
        </is>
      </c>
      <c r="B5905" s="1" t="n">
        <v>44727</v>
      </c>
      <c r="C5905" s="1" t="n">
        <v>45363</v>
      </c>
      <c r="D5905" t="inlineStr">
        <is>
          <t>JÄMTLANDS LÄN</t>
        </is>
      </c>
      <c r="E5905" t="inlineStr">
        <is>
          <t>STRÖMSUND</t>
        </is>
      </c>
      <c r="F5905" t="inlineStr">
        <is>
          <t>SCA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24824-2022</t>
        </is>
      </c>
      <c r="B5906" s="1" t="n">
        <v>44728</v>
      </c>
      <c r="C5906" s="1" t="n">
        <v>45363</v>
      </c>
      <c r="D5906" t="inlineStr">
        <is>
          <t>JÄMTLANDS LÄN</t>
        </is>
      </c>
      <c r="E5906" t="inlineStr">
        <is>
          <t>HÄRJEDALEN</t>
        </is>
      </c>
      <c r="F5906" t="inlineStr">
        <is>
          <t>Bergvik skog väst AB</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24834-2022</t>
        </is>
      </c>
      <c r="B5907" s="1" t="n">
        <v>44728</v>
      </c>
      <c r="C5907" s="1" t="n">
        <v>45363</v>
      </c>
      <c r="D5907" t="inlineStr">
        <is>
          <t>JÄMTLANDS LÄN</t>
        </is>
      </c>
      <c r="E5907" t="inlineStr">
        <is>
          <t>HÄRJEDALEN</t>
        </is>
      </c>
      <c r="F5907" t="inlineStr">
        <is>
          <t>Bergvik skog väst AB</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24792-2022</t>
        </is>
      </c>
      <c r="B5908" s="1" t="n">
        <v>44728</v>
      </c>
      <c r="C5908" s="1" t="n">
        <v>45363</v>
      </c>
      <c r="D5908" t="inlineStr">
        <is>
          <t>JÄMTLANDS LÄN</t>
        </is>
      </c>
      <c r="E5908" t="inlineStr">
        <is>
          <t>HÄRJEDALEN</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24918-2022</t>
        </is>
      </c>
      <c r="B5909" s="1" t="n">
        <v>44728</v>
      </c>
      <c r="C5909" s="1" t="n">
        <v>45363</v>
      </c>
      <c r="D5909" t="inlineStr">
        <is>
          <t>JÄMTLANDS LÄN</t>
        </is>
      </c>
      <c r="E5909" t="inlineStr">
        <is>
          <t>STRÖMSUND</t>
        </is>
      </c>
      <c r="F5909" t="inlineStr">
        <is>
          <t>Kyrkan</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24912-2022</t>
        </is>
      </c>
      <c r="B5910" s="1" t="n">
        <v>44728</v>
      </c>
      <c r="C5910" s="1" t="n">
        <v>45363</v>
      </c>
      <c r="D5910" t="inlineStr">
        <is>
          <t>JÄMTLANDS LÄN</t>
        </is>
      </c>
      <c r="E5910" t="inlineStr">
        <is>
          <t>STRÖMSUND</t>
        </is>
      </c>
      <c r="F5910" t="inlineStr">
        <is>
          <t>Kyrkan</t>
        </is>
      </c>
      <c r="G5910" t="n">
        <v>7.1</v>
      </c>
      <c r="H5910" t="n">
        <v>0</v>
      </c>
      <c r="I5910" t="n">
        <v>0</v>
      </c>
      <c r="J5910" t="n">
        <v>0</v>
      </c>
      <c r="K5910" t="n">
        <v>0</v>
      </c>
      <c r="L5910" t="n">
        <v>0</v>
      </c>
      <c r="M5910" t="n">
        <v>0</v>
      </c>
      <c r="N5910" t="n">
        <v>0</v>
      </c>
      <c r="O5910" t="n">
        <v>0</v>
      </c>
      <c r="P5910" t="n">
        <v>0</v>
      </c>
      <c r="Q5910" t="n">
        <v>0</v>
      </c>
      <c r="R5910" s="2" t="inlineStr"/>
    </row>
    <row r="5911" ht="15" customHeight="1">
      <c r="A5911" t="inlineStr">
        <is>
          <t>A 24965-2022</t>
        </is>
      </c>
      <c r="B5911" s="1" t="n">
        <v>44728</v>
      </c>
      <c r="C5911" s="1" t="n">
        <v>45363</v>
      </c>
      <c r="D5911" t="inlineStr">
        <is>
          <t>JÄMTLANDS LÄN</t>
        </is>
      </c>
      <c r="E5911" t="inlineStr">
        <is>
          <t>STRÖMSUND</t>
        </is>
      </c>
      <c r="G5911" t="n">
        <v>20.5</v>
      </c>
      <c r="H5911" t="n">
        <v>0</v>
      </c>
      <c r="I5911" t="n">
        <v>0</v>
      </c>
      <c r="J5911" t="n">
        <v>0</v>
      </c>
      <c r="K5911" t="n">
        <v>0</v>
      </c>
      <c r="L5911" t="n">
        <v>0</v>
      </c>
      <c r="M5911" t="n">
        <v>0</v>
      </c>
      <c r="N5911" t="n">
        <v>0</v>
      </c>
      <c r="O5911" t="n">
        <v>0</v>
      </c>
      <c r="P5911" t="n">
        <v>0</v>
      </c>
      <c r="Q5911" t="n">
        <v>0</v>
      </c>
      <c r="R5911" s="2" t="inlineStr"/>
    </row>
    <row r="5912" ht="15" customHeight="1">
      <c r="A5912" t="inlineStr">
        <is>
          <t>A 25028-2022</t>
        </is>
      </c>
      <c r="B5912" s="1" t="n">
        <v>44729</v>
      </c>
      <c r="C5912" s="1" t="n">
        <v>45363</v>
      </c>
      <c r="D5912" t="inlineStr">
        <is>
          <t>JÄMTLANDS LÄN</t>
        </is>
      </c>
      <c r="E5912" t="inlineStr">
        <is>
          <t>RAGUNDA</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25018-2022</t>
        </is>
      </c>
      <c r="B5913" s="1" t="n">
        <v>44728</v>
      </c>
      <c r="C5913" s="1" t="n">
        <v>45363</v>
      </c>
      <c r="D5913" t="inlineStr">
        <is>
          <t>JÄMTLANDS LÄN</t>
        </is>
      </c>
      <c r="E5913" t="inlineStr">
        <is>
          <t>STRÖMSUND</t>
        </is>
      </c>
      <c r="F5913" t="inlineStr">
        <is>
          <t>SCA</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25031-2022</t>
        </is>
      </c>
      <c r="B5914" s="1" t="n">
        <v>44729</v>
      </c>
      <c r="C5914" s="1" t="n">
        <v>45363</v>
      </c>
      <c r="D5914" t="inlineStr">
        <is>
          <t>JÄMTLANDS LÄN</t>
        </is>
      </c>
      <c r="E5914" t="inlineStr">
        <is>
          <t>KROKOM</t>
        </is>
      </c>
      <c r="F5914" t="inlineStr">
        <is>
          <t>SCA</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25021-2022</t>
        </is>
      </c>
      <c r="B5915" s="1" t="n">
        <v>44728</v>
      </c>
      <c r="C5915" s="1" t="n">
        <v>45363</v>
      </c>
      <c r="D5915" t="inlineStr">
        <is>
          <t>JÄMTLANDS LÄN</t>
        </is>
      </c>
      <c r="E5915" t="inlineStr">
        <is>
          <t>STRÖMSUND</t>
        </is>
      </c>
      <c r="F5915" t="inlineStr">
        <is>
          <t>SCA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25016-2022</t>
        </is>
      </c>
      <c r="B5916" s="1" t="n">
        <v>44729</v>
      </c>
      <c r="C5916" s="1" t="n">
        <v>45363</v>
      </c>
      <c r="D5916" t="inlineStr">
        <is>
          <t>JÄMTLANDS LÄN</t>
        </is>
      </c>
      <c r="E5916" t="inlineStr">
        <is>
          <t>STRÖMSUND</t>
        </is>
      </c>
      <c r="F5916" t="inlineStr">
        <is>
          <t>SCA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25027-2022</t>
        </is>
      </c>
      <c r="B5917" s="1" t="n">
        <v>44729</v>
      </c>
      <c r="C5917" s="1" t="n">
        <v>45363</v>
      </c>
      <c r="D5917" t="inlineStr">
        <is>
          <t>JÄMTLANDS LÄN</t>
        </is>
      </c>
      <c r="E5917" t="inlineStr">
        <is>
          <t>RAGUNDA</t>
        </is>
      </c>
      <c r="F5917" t="inlineStr">
        <is>
          <t>SCA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25122-2022</t>
        </is>
      </c>
      <c r="B5918" s="1" t="n">
        <v>44729</v>
      </c>
      <c r="C5918" s="1" t="n">
        <v>45363</v>
      </c>
      <c r="D5918" t="inlineStr">
        <is>
          <t>JÄMTLANDS LÄN</t>
        </is>
      </c>
      <c r="E5918" t="inlineStr">
        <is>
          <t>ÅRE</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25150-2022</t>
        </is>
      </c>
      <c r="B5919" s="1" t="n">
        <v>44729</v>
      </c>
      <c r="C5919" s="1" t="n">
        <v>45363</v>
      </c>
      <c r="D5919" t="inlineStr">
        <is>
          <t>JÄMTLANDS LÄN</t>
        </is>
      </c>
      <c r="E5919" t="inlineStr">
        <is>
          <t>BRÄCKE</t>
        </is>
      </c>
      <c r="F5919" t="inlineStr">
        <is>
          <t>Övriga Aktiebolag</t>
        </is>
      </c>
      <c r="G5919" t="n">
        <v>10.4</v>
      </c>
      <c r="H5919" t="n">
        <v>0</v>
      </c>
      <c r="I5919" t="n">
        <v>0</v>
      </c>
      <c r="J5919" t="n">
        <v>0</v>
      </c>
      <c r="K5919" t="n">
        <v>0</v>
      </c>
      <c r="L5919" t="n">
        <v>0</v>
      </c>
      <c r="M5919" t="n">
        <v>0</v>
      </c>
      <c r="N5919" t="n">
        <v>0</v>
      </c>
      <c r="O5919" t="n">
        <v>0</v>
      </c>
      <c r="P5919" t="n">
        <v>0</v>
      </c>
      <c r="Q5919" t="n">
        <v>0</v>
      </c>
      <c r="R5919" s="2" t="inlineStr"/>
    </row>
    <row r="5920" ht="15" customHeight="1">
      <c r="A5920" t="inlineStr">
        <is>
          <t>A 25177-2022</t>
        </is>
      </c>
      <c r="B5920" s="1" t="n">
        <v>44729</v>
      </c>
      <c r="C5920" s="1" t="n">
        <v>45363</v>
      </c>
      <c r="D5920" t="inlineStr">
        <is>
          <t>JÄMTLANDS LÄN</t>
        </is>
      </c>
      <c r="E5920" t="inlineStr">
        <is>
          <t>BRÄCKE</t>
        </is>
      </c>
      <c r="F5920" t="inlineStr">
        <is>
          <t>Övriga Aktiebolag</t>
        </is>
      </c>
      <c r="G5920" t="n">
        <v>22.1</v>
      </c>
      <c r="H5920" t="n">
        <v>0</v>
      </c>
      <c r="I5920" t="n">
        <v>0</v>
      </c>
      <c r="J5920" t="n">
        <v>0</v>
      </c>
      <c r="K5920" t="n">
        <v>0</v>
      </c>
      <c r="L5920" t="n">
        <v>0</v>
      </c>
      <c r="M5920" t="n">
        <v>0</v>
      </c>
      <c r="N5920" t="n">
        <v>0</v>
      </c>
      <c r="O5920" t="n">
        <v>0</v>
      </c>
      <c r="P5920" t="n">
        <v>0</v>
      </c>
      <c r="Q5920" t="n">
        <v>0</v>
      </c>
      <c r="R5920" s="2" t="inlineStr"/>
    </row>
    <row r="5921" ht="15" customHeight="1">
      <c r="A5921" t="inlineStr">
        <is>
          <t>A 25085-2022</t>
        </is>
      </c>
      <c r="B5921" s="1" t="n">
        <v>44729</v>
      </c>
      <c r="C5921" s="1" t="n">
        <v>45363</v>
      </c>
      <c r="D5921" t="inlineStr">
        <is>
          <t>JÄMTLANDS LÄN</t>
        </is>
      </c>
      <c r="E5921" t="inlineStr">
        <is>
          <t>STRÖMSUND</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25248-2022</t>
        </is>
      </c>
      <c r="B5922" s="1" t="n">
        <v>44729</v>
      </c>
      <c r="C5922" s="1" t="n">
        <v>45363</v>
      </c>
      <c r="D5922" t="inlineStr">
        <is>
          <t>JÄMTLANDS LÄN</t>
        </is>
      </c>
      <c r="E5922" t="inlineStr">
        <is>
          <t>ÅRE</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25253-2022</t>
        </is>
      </c>
      <c r="B5923" s="1" t="n">
        <v>44730</v>
      </c>
      <c r="C5923" s="1" t="n">
        <v>45363</v>
      </c>
      <c r="D5923" t="inlineStr">
        <is>
          <t>JÄMTLANDS LÄN</t>
        </is>
      </c>
      <c r="E5923" t="inlineStr">
        <is>
          <t>RAGUNDA</t>
        </is>
      </c>
      <c r="F5923" t="inlineStr">
        <is>
          <t>SCA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25265-2022</t>
        </is>
      </c>
      <c r="B5924" s="1" t="n">
        <v>44730</v>
      </c>
      <c r="C5924" s="1" t="n">
        <v>45363</v>
      </c>
      <c r="D5924" t="inlineStr">
        <is>
          <t>JÄMTLANDS LÄN</t>
        </is>
      </c>
      <c r="E5924" t="inlineStr">
        <is>
          <t>BERG</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25264-2022</t>
        </is>
      </c>
      <c r="B5925" s="1" t="n">
        <v>44730</v>
      </c>
      <c r="C5925" s="1" t="n">
        <v>45363</v>
      </c>
      <c r="D5925" t="inlineStr">
        <is>
          <t>JÄMTLANDS LÄN</t>
        </is>
      </c>
      <c r="E5925" t="inlineStr">
        <is>
          <t>BERG</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25192-2022</t>
        </is>
      </c>
      <c r="B5926" s="1" t="n">
        <v>44729</v>
      </c>
      <c r="C5926" s="1" t="n">
        <v>45363</v>
      </c>
      <c r="D5926" t="inlineStr">
        <is>
          <t>JÄMTLANDS LÄN</t>
        </is>
      </c>
      <c r="E5926" t="inlineStr">
        <is>
          <t>BRÄCKE</t>
        </is>
      </c>
      <c r="F5926" t="inlineStr">
        <is>
          <t>Övriga Aktiebolag</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25266-2022</t>
        </is>
      </c>
      <c r="B5927" s="1" t="n">
        <v>44729</v>
      </c>
      <c r="C5927" s="1" t="n">
        <v>45363</v>
      </c>
      <c r="D5927" t="inlineStr">
        <is>
          <t>JÄMTLANDS LÄN</t>
        </is>
      </c>
      <c r="E5927" t="inlineStr">
        <is>
          <t>BERG</t>
        </is>
      </c>
      <c r="F5927" t="inlineStr">
        <is>
          <t>SCA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25343-2022</t>
        </is>
      </c>
      <c r="B5928" s="1" t="n">
        <v>44732</v>
      </c>
      <c r="C5928" s="1" t="n">
        <v>45363</v>
      </c>
      <c r="D5928" t="inlineStr">
        <is>
          <t>JÄMTLANDS LÄN</t>
        </is>
      </c>
      <c r="E5928" t="inlineStr">
        <is>
          <t>RAGUNDA</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25342-2022</t>
        </is>
      </c>
      <c r="B5929" s="1" t="n">
        <v>44732</v>
      </c>
      <c r="C5929" s="1" t="n">
        <v>45363</v>
      </c>
      <c r="D5929" t="inlineStr">
        <is>
          <t>JÄMTLANDS LÄN</t>
        </is>
      </c>
      <c r="E5929" t="inlineStr">
        <is>
          <t>RAGUNDA</t>
        </is>
      </c>
      <c r="F5929" t="inlineStr">
        <is>
          <t>SCA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25428-2022</t>
        </is>
      </c>
      <c r="B5930" s="1" t="n">
        <v>44732</v>
      </c>
      <c r="C5930" s="1" t="n">
        <v>45363</v>
      </c>
      <c r="D5930" t="inlineStr">
        <is>
          <t>JÄMTLANDS LÄN</t>
        </is>
      </c>
      <c r="E5930" t="inlineStr">
        <is>
          <t>KROKOM</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25433-2022</t>
        </is>
      </c>
      <c r="B5931" s="1" t="n">
        <v>44732</v>
      </c>
      <c r="C5931" s="1" t="n">
        <v>45363</v>
      </c>
      <c r="D5931" t="inlineStr">
        <is>
          <t>JÄMTLANDS LÄN</t>
        </is>
      </c>
      <c r="E5931" t="inlineStr">
        <is>
          <t>RAGUNDA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25421-2022</t>
        </is>
      </c>
      <c r="B5932" s="1" t="n">
        <v>44732</v>
      </c>
      <c r="C5932" s="1" t="n">
        <v>45363</v>
      </c>
      <c r="D5932" t="inlineStr">
        <is>
          <t>JÄMTLANDS LÄN</t>
        </is>
      </c>
      <c r="E5932" t="inlineStr">
        <is>
          <t>KROKOM</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25500-2022</t>
        </is>
      </c>
      <c r="B5933" s="1" t="n">
        <v>44732</v>
      </c>
      <c r="C5933" s="1" t="n">
        <v>45363</v>
      </c>
      <c r="D5933" t="inlineStr">
        <is>
          <t>JÄMTLANDS LÄN</t>
        </is>
      </c>
      <c r="E5933" t="inlineStr">
        <is>
          <t>HÄRJEDALEN</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25583-2022</t>
        </is>
      </c>
      <c r="B5934" s="1" t="n">
        <v>44732</v>
      </c>
      <c r="C5934" s="1" t="n">
        <v>45363</v>
      </c>
      <c r="D5934" t="inlineStr">
        <is>
          <t>JÄMTLANDS LÄN</t>
        </is>
      </c>
      <c r="E5934" t="inlineStr">
        <is>
          <t>HÄRJEDALEN</t>
        </is>
      </c>
      <c r="F5934" t="inlineStr">
        <is>
          <t>Bergvik skog väst AB</t>
        </is>
      </c>
      <c r="G5934" t="n">
        <v>7.5</v>
      </c>
      <c r="H5934" t="n">
        <v>0</v>
      </c>
      <c r="I5934" t="n">
        <v>0</v>
      </c>
      <c r="J5934" t="n">
        <v>0</v>
      </c>
      <c r="K5934" t="n">
        <v>0</v>
      </c>
      <c r="L5934" t="n">
        <v>0</v>
      </c>
      <c r="M5934" t="n">
        <v>0</v>
      </c>
      <c r="N5934" t="n">
        <v>0</v>
      </c>
      <c r="O5934" t="n">
        <v>0</v>
      </c>
      <c r="P5934" t="n">
        <v>0</v>
      </c>
      <c r="Q5934" t="n">
        <v>0</v>
      </c>
      <c r="R5934" s="2" t="inlineStr"/>
    </row>
    <row r="5935" ht="15" customHeight="1">
      <c r="A5935" t="inlineStr">
        <is>
          <t>A 25657-2022</t>
        </is>
      </c>
      <c r="B5935" s="1" t="n">
        <v>44733</v>
      </c>
      <c r="C5935" s="1" t="n">
        <v>45363</v>
      </c>
      <c r="D5935" t="inlineStr">
        <is>
          <t>JÄMTLANDS LÄN</t>
        </is>
      </c>
      <c r="E5935" t="inlineStr">
        <is>
          <t>BERG</t>
        </is>
      </c>
      <c r="F5935" t="inlineStr">
        <is>
          <t>SCA</t>
        </is>
      </c>
      <c r="G5935" t="n">
        <v>10.5</v>
      </c>
      <c r="H5935" t="n">
        <v>0</v>
      </c>
      <c r="I5935" t="n">
        <v>0</v>
      </c>
      <c r="J5935" t="n">
        <v>0</v>
      </c>
      <c r="K5935" t="n">
        <v>0</v>
      </c>
      <c r="L5935" t="n">
        <v>0</v>
      </c>
      <c r="M5935" t="n">
        <v>0</v>
      </c>
      <c r="N5935" t="n">
        <v>0</v>
      </c>
      <c r="O5935" t="n">
        <v>0</v>
      </c>
      <c r="P5935" t="n">
        <v>0</v>
      </c>
      <c r="Q5935" t="n">
        <v>0</v>
      </c>
      <c r="R5935" s="2" t="inlineStr"/>
    </row>
    <row r="5936" ht="15" customHeight="1">
      <c r="A5936" t="inlineStr">
        <is>
          <t>A 25662-2022</t>
        </is>
      </c>
      <c r="B5936" s="1" t="n">
        <v>44732</v>
      </c>
      <c r="C5936" s="1" t="n">
        <v>45363</v>
      </c>
      <c r="D5936" t="inlineStr">
        <is>
          <t>JÄMTLANDS LÄN</t>
        </is>
      </c>
      <c r="E5936" t="inlineStr">
        <is>
          <t>STRÖMSUND</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25780-2022</t>
        </is>
      </c>
      <c r="B5937" s="1" t="n">
        <v>44733</v>
      </c>
      <c r="C5937" s="1" t="n">
        <v>45363</v>
      </c>
      <c r="D5937" t="inlineStr">
        <is>
          <t>JÄMTLANDS LÄN</t>
        </is>
      </c>
      <c r="E5937" t="inlineStr">
        <is>
          <t>HÄRJEDALEN</t>
        </is>
      </c>
      <c r="F5937" t="inlineStr">
        <is>
          <t>Kyrkan</t>
        </is>
      </c>
      <c r="G5937" t="n">
        <v>7.7</v>
      </c>
      <c r="H5937" t="n">
        <v>0</v>
      </c>
      <c r="I5937" t="n">
        <v>0</v>
      </c>
      <c r="J5937" t="n">
        <v>0</v>
      </c>
      <c r="K5937" t="n">
        <v>0</v>
      </c>
      <c r="L5937" t="n">
        <v>0</v>
      </c>
      <c r="M5937" t="n">
        <v>0</v>
      </c>
      <c r="N5937" t="n">
        <v>0</v>
      </c>
      <c r="O5937" t="n">
        <v>0</v>
      </c>
      <c r="P5937" t="n">
        <v>0</v>
      </c>
      <c r="Q5937" t="n">
        <v>0</v>
      </c>
      <c r="R5937" s="2" t="inlineStr"/>
    </row>
    <row r="5938" ht="15" customHeight="1">
      <c r="A5938" t="inlineStr">
        <is>
          <t>A 25725-2022</t>
        </is>
      </c>
      <c r="B5938" s="1" t="n">
        <v>44733</v>
      </c>
      <c r="C5938" s="1" t="n">
        <v>45363</v>
      </c>
      <c r="D5938" t="inlineStr">
        <is>
          <t>JÄMTLANDS LÄN</t>
        </is>
      </c>
      <c r="E5938" t="inlineStr">
        <is>
          <t>HÄRJEDALEN</t>
        </is>
      </c>
      <c r="F5938" t="inlineStr">
        <is>
          <t>Kyrkan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25847-2022</t>
        </is>
      </c>
      <c r="B5939" s="1" t="n">
        <v>44733</v>
      </c>
      <c r="C5939" s="1" t="n">
        <v>45363</v>
      </c>
      <c r="D5939" t="inlineStr">
        <is>
          <t>JÄMTLANDS LÄN</t>
        </is>
      </c>
      <c r="E5939" t="inlineStr">
        <is>
          <t>STRÖMSUND</t>
        </is>
      </c>
      <c r="F5939" t="inlineStr">
        <is>
          <t>Kyrkan</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25843-2022</t>
        </is>
      </c>
      <c r="B5940" s="1" t="n">
        <v>44733</v>
      </c>
      <c r="C5940" s="1" t="n">
        <v>45363</v>
      </c>
      <c r="D5940" t="inlineStr">
        <is>
          <t>JÄMTLANDS LÄN</t>
        </is>
      </c>
      <c r="E5940" t="inlineStr">
        <is>
          <t>STRÖMSUND</t>
        </is>
      </c>
      <c r="F5940" t="inlineStr">
        <is>
          <t>Kyrkan</t>
        </is>
      </c>
      <c r="G5940" t="n">
        <v>12.2</v>
      </c>
      <c r="H5940" t="n">
        <v>0</v>
      </c>
      <c r="I5940" t="n">
        <v>0</v>
      </c>
      <c r="J5940" t="n">
        <v>0</v>
      </c>
      <c r="K5940" t="n">
        <v>0</v>
      </c>
      <c r="L5940" t="n">
        <v>0</v>
      </c>
      <c r="M5940" t="n">
        <v>0</v>
      </c>
      <c r="N5940" t="n">
        <v>0</v>
      </c>
      <c r="O5940" t="n">
        <v>0</v>
      </c>
      <c r="P5940" t="n">
        <v>0</v>
      </c>
      <c r="Q5940" t="n">
        <v>0</v>
      </c>
      <c r="R5940" s="2" t="inlineStr"/>
    </row>
    <row r="5941" ht="15" customHeight="1">
      <c r="A5941" t="inlineStr">
        <is>
          <t>A 25883-2022</t>
        </is>
      </c>
      <c r="B5941" s="1" t="n">
        <v>44733</v>
      </c>
      <c r="C5941" s="1" t="n">
        <v>45363</v>
      </c>
      <c r="D5941" t="inlineStr">
        <is>
          <t>JÄMTLANDS LÄN</t>
        </is>
      </c>
      <c r="E5941" t="inlineStr">
        <is>
          <t>BRÄCKE</t>
        </is>
      </c>
      <c r="F5941" t="inlineStr">
        <is>
          <t>Övriga Aktiebolag</t>
        </is>
      </c>
      <c r="G5941" t="n">
        <v>23.4</v>
      </c>
      <c r="H5941" t="n">
        <v>0</v>
      </c>
      <c r="I5941" t="n">
        <v>0</v>
      </c>
      <c r="J5941" t="n">
        <v>0</v>
      </c>
      <c r="K5941" t="n">
        <v>0</v>
      </c>
      <c r="L5941" t="n">
        <v>0</v>
      </c>
      <c r="M5941" t="n">
        <v>0</v>
      </c>
      <c r="N5941" t="n">
        <v>0</v>
      </c>
      <c r="O5941" t="n">
        <v>0</v>
      </c>
      <c r="P5941" t="n">
        <v>0</v>
      </c>
      <c r="Q5941" t="n">
        <v>0</v>
      </c>
      <c r="R5941" s="2" t="inlineStr"/>
    </row>
    <row r="5942" ht="15" customHeight="1">
      <c r="A5942" t="inlineStr">
        <is>
          <t>A 25912-2022</t>
        </is>
      </c>
      <c r="B5942" s="1" t="n">
        <v>44734</v>
      </c>
      <c r="C5942" s="1" t="n">
        <v>45363</v>
      </c>
      <c r="D5942" t="inlineStr">
        <is>
          <t>JÄMTLANDS LÄN</t>
        </is>
      </c>
      <c r="E5942" t="inlineStr">
        <is>
          <t>HÄRJEDALEN</t>
        </is>
      </c>
      <c r="F5942" t="inlineStr">
        <is>
          <t>Bergvik skog väst AB</t>
        </is>
      </c>
      <c r="G5942" t="n">
        <v>13.7</v>
      </c>
      <c r="H5942" t="n">
        <v>0</v>
      </c>
      <c r="I5942" t="n">
        <v>0</v>
      </c>
      <c r="J5942" t="n">
        <v>0</v>
      </c>
      <c r="K5942" t="n">
        <v>0</v>
      </c>
      <c r="L5942" t="n">
        <v>0</v>
      </c>
      <c r="M5942" t="n">
        <v>0</v>
      </c>
      <c r="N5942" t="n">
        <v>0</v>
      </c>
      <c r="O5942" t="n">
        <v>0</v>
      </c>
      <c r="P5942" t="n">
        <v>0</v>
      </c>
      <c r="Q5942" t="n">
        <v>0</v>
      </c>
      <c r="R5942" s="2" t="inlineStr"/>
    </row>
    <row r="5943" ht="15" customHeight="1">
      <c r="A5943" t="inlineStr">
        <is>
          <t>A 25962-2022</t>
        </is>
      </c>
      <c r="B5943" s="1" t="n">
        <v>44734</v>
      </c>
      <c r="C5943" s="1" t="n">
        <v>45363</v>
      </c>
      <c r="D5943" t="inlineStr">
        <is>
          <t>JÄMTLANDS LÄN</t>
        </is>
      </c>
      <c r="E5943" t="inlineStr">
        <is>
          <t>RAGUNDA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26062-2022</t>
        </is>
      </c>
      <c r="B5944" s="1" t="n">
        <v>44734</v>
      </c>
      <c r="C5944" s="1" t="n">
        <v>45363</v>
      </c>
      <c r="D5944" t="inlineStr">
        <is>
          <t>JÄMTLANDS LÄN</t>
        </is>
      </c>
      <c r="E5944" t="inlineStr">
        <is>
          <t>BERG</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26117-2022</t>
        </is>
      </c>
      <c r="B5945" s="1" t="n">
        <v>44735</v>
      </c>
      <c r="C5945" s="1" t="n">
        <v>45363</v>
      </c>
      <c r="D5945" t="inlineStr">
        <is>
          <t>JÄMTLANDS LÄN</t>
        </is>
      </c>
      <c r="E5945" t="inlineStr">
        <is>
          <t>STRÖMSUND</t>
        </is>
      </c>
      <c r="F5945" t="inlineStr">
        <is>
          <t>SCA</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26116-2022</t>
        </is>
      </c>
      <c r="B5946" s="1" t="n">
        <v>44734</v>
      </c>
      <c r="C5946" s="1" t="n">
        <v>45363</v>
      </c>
      <c r="D5946" t="inlineStr">
        <is>
          <t>JÄMTLANDS LÄN</t>
        </is>
      </c>
      <c r="E5946" t="inlineStr">
        <is>
          <t>STRÖMSUND</t>
        </is>
      </c>
      <c r="F5946" t="inlineStr">
        <is>
          <t>SCA</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26122-2022</t>
        </is>
      </c>
      <c r="B5947" s="1" t="n">
        <v>44735</v>
      </c>
      <c r="C5947" s="1" t="n">
        <v>45363</v>
      </c>
      <c r="D5947" t="inlineStr">
        <is>
          <t>JÄMTLANDS LÄN</t>
        </is>
      </c>
      <c r="E5947" t="inlineStr">
        <is>
          <t>RAGUNDA</t>
        </is>
      </c>
      <c r="F5947" t="inlineStr">
        <is>
          <t>SCA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26130-2022</t>
        </is>
      </c>
      <c r="B5948" s="1" t="n">
        <v>44735</v>
      </c>
      <c r="C5948" s="1" t="n">
        <v>45363</v>
      </c>
      <c r="D5948" t="inlineStr">
        <is>
          <t>JÄMTLANDS LÄN</t>
        </is>
      </c>
      <c r="E5948" t="inlineStr">
        <is>
          <t>STRÖMSUND</t>
        </is>
      </c>
      <c r="F5948" t="inlineStr">
        <is>
          <t>SCA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26139-2022</t>
        </is>
      </c>
      <c r="B5949" s="1" t="n">
        <v>44734</v>
      </c>
      <c r="C5949" s="1" t="n">
        <v>45363</v>
      </c>
      <c r="D5949" t="inlineStr">
        <is>
          <t>JÄMTLANDS LÄN</t>
        </is>
      </c>
      <c r="E5949" t="inlineStr">
        <is>
          <t>BRÄCKE</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26133-2022</t>
        </is>
      </c>
      <c r="B5950" s="1" t="n">
        <v>44735</v>
      </c>
      <c r="C5950" s="1" t="n">
        <v>45363</v>
      </c>
      <c r="D5950" t="inlineStr">
        <is>
          <t>JÄMTLANDS LÄN</t>
        </is>
      </c>
      <c r="E5950" t="inlineStr">
        <is>
          <t>STRÖMSUND</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26126-2022</t>
        </is>
      </c>
      <c r="B5951" s="1" t="n">
        <v>44735</v>
      </c>
      <c r="C5951" s="1" t="n">
        <v>45363</v>
      </c>
      <c r="D5951" t="inlineStr">
        <is>
          <t>JÄMTLANDS LÄN</t>
        </is>
      </c>
      <c r="E5951" t="inlineStr">
        <is>
          <t>STRÖMSUND</t>
        </is>
      </c>
      <c r="F5951" t="inlineStr">
        <is>
          <t>SCA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26138-2022</t>
        </is>
      </c>
      <c r="B5952" s="1" t="n">
        <v>44734</v>
      </c>
      <c r="C5952" s="1" t="n">
        <v>45363</v>
      </c>
      <c r="D5952" t="inlineStr">
        <is>
          <t>JÄMTLANDS LÄN</t>
        </is>
      </c>
      <c r="E5952" t="inlineStr">
        <is>
          <t>BRÄCKE</t>
        </is>
      </c>
      <c r="F5952" t="inlineStr">
        <is>
          <t>SCA</t>
        </is>
      </c>
      <c r="G5952" t="n">
        <v>9.1</v>
      </c>
      <c r="H5952" t="n">
        <v>0</v>
      </c>
      <c r="I5952" t="n">
        <v>0</v>
      </c>
      <c r="J5952" t="n">
        <v>0</v>
      </c>
      <c r="K5952" t="n">
        <v>0</v>
      </c>
      <c r="L5952" t="n">
        <v>0</v>
      </c>
      <c r="M5952" t="n">
        <v>0</v>
      </c>
      <c r="N5952" t="n">
        <v>0</v>
      </c>
      <c r="O5952" t="n">
        <v>0</v>
      </c>
      <c r="P5952" t="n">
        <v>0</v>
      </c>
      <c r="Q5952" t="n">
        <v>0</v>
      </c>
      <c r="R5952" s="2" t="inlineStr"/>
    </row>
    <row r="5953" ht="15" customHeight="1">
      <c r="A5953" t="inlineStr">
        <is>
          <t>A 26142-2022</t>
        </is>
      </c>
      <c r="B5953" s="1" t="n">
        <v>44735</v>
      </c>
      <c r="C5953" s="1" t="n">
        <v>45363</v>
      </c>
      <c r="D5953" t="inlineStr">
        <is>
          <t>JÄMTLANDS LÄN</t>
        </is>
      </c>
      <c r="E5953" t="inlineStr">
        <is>
          <t>KROKOM</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26123-2022</t>
        </is>
      </c>
      <c r="B5954" s="1" t="n">
        <v>44735</v>
      </c>
      <c r="C5954" s="1" t="n">
        <v>45363</v>
      </c>
      <c r="D5954" t="inlineStr">
        <is>
          <t>JÄMTLANDS LÄN</t>
        </is>
      </c>
      <c r="E5954" t="inlineStr">
        <is>
          <t>RAGUNDA</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26132-2022</t>
        </is>
      </c>
      <c r="B5955" s="1" t="n">
        <v>44734</v>
      </c>
      <c r="C5955" s="1" t="n">
        <v>45363</v>
      </c>
      <c r="D5955" t="inlineStr">
        <is>
          <t>JÄMTLANDS LÄN</t>
        </is>
      </c>
      <c r="E5955" t="inlineStr">
        <is>
          <t>STRÖMSUND</t>
        </is>
      </c>
      <c r="F5955" t="inlineStr">
        <is>
          <t>SCA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26405-2022</t>
        </is>
      </c>
      <c r="B5956" s="1" t="n">
        <v>44735</v>
      </c>
      <c r="C5956" s="1" t="n">
        <v>45363</v>
      </c>
      <c r="D5956" t="inlineStr">
        <is>
          <t>JÄMTLANDS LÄN</t>
        </is>
      </c>
      <c r="E5956" t="inlineStr">
        <is>
          <t>BERG</t>
        </is>
      </c>
      <c r="F5956" t="inlineStr">
        <is>
          <t>SCA</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26421-2022</t>
        </is>
      </c>
      <c r="B5957" s="1" t="n">
        <v>44736</v>
      </c>
      <c r="C5957" s="1" t="n">
        <v>45363</v>
      </c>
      <c r="D5957" t="inlineStr">
        <is>
          <t>JÄMTLANDS LÄN</t>
        </is>
      </c>
      <c r="E5957" t="inlineStr">
        <is>
          <t>STRÖMSUND</t>
        </is>
      </c>
      <c r="F5957" t="inlineStr">
        <is>
          <t>SCA</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26321-2022</t>
        </is>
      </c>
      <c r="B5958" s="1" t="n">
        <v>44735</v>
      </c>
      <c r="C5958" s="1" t="n">
        <v>45363</v>
      </c>
      <c r="D5958" t="inlineStr">
        <is>
          <t>JÄMTLANDS LÄN</t>
        </is>
      </c>
      <c r="E5958" t="inlineStr">
        <is>
          <t>ÖSTERSUND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26437-2022</t>
        </is>
      </c>
      <c r="B5959" s="1" t="n">
        <v>44737</v>
      </c>
      <c r="C5959" s="1" t="n">
        <v>45363</v>
      </c>
      <c r="D5959" t="inlineStr">
        <is>
          <t>JÄMTLANDS LÄN</t>
        </is>
      </c>
      <c r="E5959" t="inlineStr">
        <is>
          <t>BRÄCKE</t>
        </is>
      </c>
      <c r="F5959" t="inlineStr">
        <is>
          <t>SCA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26445-2022</t>
        </is>
      </c>
      <c r="B5960" s="1" t="n">
        <v>44738</v>
      </c>
      <c r="C5960" s="1" t="n">
        <v>45363</v>
      </c>
      <c r="D5960" t="inlineStr">
        <is>
          <t>JÄMTLANDS LÄN</t>
        </is>
      </c>
      <c r="E5960" t="inlineStr">
        <is>
          <t>BRÄCKE</t>
        </is>
      </c>
      <c r="F5960" t="inlineStr">
        <is>
          <t>SCA</t>
        </is>
      </c>
      <c r="G5960" t="n">
        <v>62.5</v>
      </c>
      <c r="H5960" t="n">
        <v>0</v>
      </c>
      <c r="I5960" t="n">
        <v>0</v>
      </c>
      <c r="J5960" t="n">
        <v>0</v>
      </c>
      <c r="K5960" t="n">
        <v>0</v>
      </c>
      <c r="L5960" t="n">
        <v>0</v>
      </c>
      <c r="M5960" t="n">
        <v>0</v>
      </c>
      <c r="N5960" t="n">
        <v>0</v>
      </c>
      <c r="O5960" t="n">
        <v>0</v>
      </c>
      <c r="P5960" t="n">
        <v>0</v>
      </c>
      <c r="Q5960" t="n">
        <v>0</v>
      </c>
      <c r="R5960" s="2" t="inlineStr"/>
    </row>
    <row r="5961" ht="15" customHeight="1">
      <c r="A5961" t="inlineStr">
        <is>
          <t>A 26444-2022</t>
        </is>
      </c>
      <c r="B5961" s="1" t="n">
        <v>44739</v>
      </c>
      <c r="C5961" s="1" t="n">
        <v>45363</v>
      </c>
      <c r="D5961" t="inlineStr">
        <is>
          <t>JÄMTLANDS LÄN</t>
        </is>
      </c>
      <c r="E5961" t="inlineStr">
        <is>
          <t>BRÄCKE</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26448-2022</t>
        </is>
      </c>
      <c r="B5962" s="1" t="n">
        <v>44739</v>
      </c>
      <c r="C5962" s="1" t="n">
        <v>45363</v>
      </c>
      <c r="D5962" t="inlineStr">
        <is>
          <t>JÄMTLANDS LÄN</t>
        </is>
      </c>
      <c r="E5962" t="inlineStr">
        <is>
          <t>KROKOM</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26458-2022</t>
        </is>
      </c>
      <c r="B5963" s="1" t="n">
        <v>44739</v>
      </c>
      <c r="C5963" s="1" t="n">
        <v>45363</v>
      </c>
      <c r="D5963" t="inlineStr">
        <is>
          <t>JÄMTLANDS LÄN</t>
        </is>
      </c>
      <c r="E5963" t="inlineStr">
        <is>
          <t>BRÄCKE</t>
        </is>
      </c>
      <c r="G5963" t="n">
        <v>9.300000000000001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26533-2022</t>
        </is>
      </c>
      <c r="B5964" s="1" t="n">
        <v>44739</v>
      </c>
      <c r="C5964" s="1" t="n">
        <v>45363</v>
      </c>
      <c r="D5964" t="inlineStr">
        <is>
          <t>JÄMTLANDS LÄN</t>
        </is>
      </c>
      <c r="E5964" t="inlineStr">
        <is>
          <t>ÅRE</t>
        </is>
      </c>
      <c r="F5964" t="inlineStr">
        <is>
          <t>Övriga Aktiebolag</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26546-2022</t>
        </is>
      </c>
      <c r="B5965" s="1" t="n">
        <v>44739</v>
      </c>
      <c r="C5965" s="1" t="n">
        <v>45363</v>
      </c>
      <c r="D5965" t="inlineStr">
        <is>
          <t>JÄMTLANDS LÄN</t>
        </is>
      </c>
      <c r="E5965" t="inlineStr">
        <is>
          <t>ÅRE</t>
        </is>
      </c>
      <c r="F5965" t="inlineStr">
        <is>
          <t>Övriga Aktiebolag</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26613-2022</t>
        </is>
      </c>
      <c r="B5966" s="1" t="n">
        <v>44739</v>
      </c>
      <c r="C5966" s="1" t="n">
        <v>45363</v>
      </c>
      <c r="D5966" t="inlineStr">
        <is>
          <t>JÄMTLANDS LÄN</t>
        </is>
      </c>
      <c r="E5966" t="inlineStr">
        <is>
          <t>HÄRJEDALEN</t>
        </is>
      </c>
      <c r="F5966" t="inlineStr">
        <is>
          <t>Bergvik skog väst AB</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26734-2022</t>
        </is>
      </c>
      <c r="B5967" s="1" t="n">
        <v>44740</v>
      </c>
      <c r="C5967" s="1" t="n">
        <v>45363</v>
      </c>
      <c r="D5967" t="inlineStr">
        <is>
          <t>JÄMTLANDS LÄN</t>
        </is>
      </c>
      <c r="E5967" t="inlineStr">
        <is>
          <t>STRÖMSUND</t>
        </is>
      </c>
      <c r="F5967" t="inlineStr">
        <is>
          <t>SCA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26739-2022</t>
        </is>
      </c>
      <c r="B5968" s="1" t="n">
        <v>44740</v>
      </c>
      <c r="C5968" s="1" t="n">
        <v>45363</v>
      </c>
      <c r="D5968" t="inlineStr">
        <is>
          <t>JÄMTLANDS LÄN</t>
        </is>
      </c>
      <c r="E5968" t="inlineStr">
        <is>
          <t>BERG</t>
        </is>
      </c>
      <c r="F5968" t="inlineStr">
        <is>
          <t>SCA</t>
        </is>
      </c>
      <c r="G5968" t="n">
        <v>16.4</v>
      </c>
      <c r="H5968" t="n">
        <v>0</v>
      </c>
      <c r="I5968" t="n">
        <v>0</v>
      </c>
      <c r="J5968" t="n">
        <v>0</v>
      </c>
      <c r="K5968" t="n">
        <v>0</v>
      </c>
      <c r="L5968" t="n">
        <v>0</v>
      </c>
      <c r="M5968" t="n">
        <v>0</v>
      </c>
      <c r="N5968" t="n">
        <v>0</v>
      </c>
      <c r="O5968" t="n">
        <v>0</v>
      </c>
      <c r="P5968" t="n">
        <v>0</v>
      </c>
      <c r="Q5968" t="n">
        <v>0</v>
      </c>
      <c r="R5968" s="2" t="inlineStr"/>
    </row>
    <row r="5969" ht="15" customHeight="1">
      <c r="A5969" t="inlineStr">
        <is>
          <t>A 26731-2022</t>
        </is>
      </c>
      <c r="B5969" s="1" t="n">
        <v>44740</v>
      </c>
      <c r="C5969" s="1" t="n">
        <v>45363</v>
      </c>
      <c r="D5969" t="inlineStr">
        <is>
          <t>JÄMTLANDS LÄN</t>
        </is>
      </c>
      <c r="E5969" t="inlineStr">
        <is>
          <t>ÖSTERSUND</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26750-2022</t>
        </is>
      </c>
      <c r="B5970" s="1" t="n">
        <v>44740</v>
      </c>
      <c r="C5970" s="1" t="n">
        <v>45363</v>
      </c>
      <c r="D5970" t="inlineStr">
        <is>
          <t>JÄMTLANDS LÄN</t>
        </is>
      </c>
      <c r="E5970" t="inlineStr">
        <is>
          <t>BRÄCKE</t>
        </is>
      </c>
      <c r="F5970" t="inlineStr">
        <is>
          <t>SCA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26738-2022</t>
        </is>
      </c>
      <c r="B5971" s="1" t="n">
        <v>44739</v>
      </c>
      <c r="C5971" s="1" t="n">
        <v>45363</v>
      </c>
      <c r="D5971" t="inlineStr">
        <is>
          <t>JÄMTLANDS LÄN</t>
        </is>
      </c>
      <c r="E5971" t="inlineStr">
        <is>
          <t>BERG</t>
        </is>
      </c>
      <c r="F5971" t="inlineStr">
        <is>
          <t>SCA</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26751-2022</t>
        </is>
      </c>
      <c r="B5972" s="1" t="n">
        <v>44739</v>
      </c>
      <c r="C5972" s="1" t="n">
        <v>45363</v>
      </c>
      <c r="D5972" t="inlineStr">
        <is>
          <t>JÄMTLANDS LÄN</t>
        </is>
      </c>
      <c r="E5972" t="inlineStr">
        <is>
          <t>BRÄCKE</t>
        </is>
      </c>
      <c r="F5972" t="inlineStr">
        <is>
          <t>SCA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26944-2022</t>
        </is>
      </c>
      <c r="B5973" s="1" t="n">
        <v>44740</v>
      </c>
      <c r="C5973" s="1" t="n">
        <v>45363</v>
      </c>
      <c r="D5973" t="inlineStr">
        <is>
          <t>JÄMTLANDS LÄN</t>
        </is>
      </c>
      <c r="E5973" t="inlineStr">
        <is>
          <t>BERG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26935-2022</t>
        </is>
      </c>
      <c r="B5974" s="1" t="n">
        <v>44740</v>
      </c>
      <c r="C5974" s="1" t="n">
        <v>45363</v>
      </c>
      <c r="D5974" t="inlineStr">
        <is>
          <t>JÄMTLANDS LÄN</t>
        </is>
      </c>
      <c r="E5974" t="inlineStr">
        <is>
          <t>HÄRJEDALEN</t>
        </is>
      </c>
      <c r="G5974" t="n">
        <v>10.8</v>
      </c>
      <c r="H5974" t="n">
        <v>0</v>
      </c>
      <c r="I5974" t="n">
        <v>0</v>
      </c>
      <c r="J5974" t="n">
        <v>0</v>
      </c>
      <c r="K5974" t="n">
        <v>0</v>
      </c>
      <c r="L5974" t="n">
        <v>0</v>
      </c>
      <c r="M5974" t="n">
        <v>0</v>
      </c>
      <c r="N5974" t="n">
        <v>0</v>
      </c>
      <c r="O5974" t="n">
        <v>0</v>
      </c>
      <c r="P5974" t="n">
        <v>0</v>
      </c>
      <c r="Q5974" t="n">
        <v>0</v>
      </c>
      <c r="R5974" s="2" t="inlineStr"/>
    </row>
    <row r="5975" ht="15" customHeight="1">
      <c r="A5975" t="inlineStr">
        <is>
          <t>A 26943-2022</t>
        </is>
      </c>
      <c r="B5975" s="1" t="n">
        <v>44740</v>
      </c>
      <c r="C5975" s="1" t="n">
        <v>45363</v>
      </c>
      <c r="D5975" t="inlineStr">
        <is>
          <t>JÄMTLANDS LÄN</t>
        </is>
      </c>
      <c r="E5975" t="inlineStr">
        <is>
          <t>STRÖMSUND</t>
        </is>
      </c>
      <c r="F5975" t="inlineStr">
        <is>
          <t>Holmen skog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26959-2022</t>
        </is>
      </c>
      <c r="B5976" s="1" t="n">
        <v>44740</v>
      </c>
      <c r="C5976" s="1" t="n">
        <v>45363</v>
      </c>
      <c r="D5976" t="inlineStr">
        <is>
          <t>JÄMTLANDS LÄN</t>
        </is>
      </c>
      <c r="E5976" t="inlineStr">
        <is>
          <t>BERG</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27035-2022</t>
        </is>
      </c>
      <c r="B5977" s="1" t="n">
        <v>44741</v>
      </c>
      <c r="C5977" s="1" t="n">
        <v>45363</v>
      </c>
      <c r="D5977" t="inlineStr">
        <is>
          <t>JÄMTLANDS LÄN</t>
        </is>
      </c>
      <c r="E5977" t="inlineStr">
        <is>
          <t>STRÖMSUND</t>
        </is>
      </c>
      <c r="F5977" t="inlineStr">
        <is>
          <t>SCA</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27034-2022</t>
        </is>
      </c>
      <c r="B5978" s="1" t="n">
        <v>44741</v>
      </c>
      <c r="C5978" s="1" t="n">
        <v>45363</v>
      </c>
      <c r="D5978" t="inlineStr">
        <is>
          <t>JÄMTLANDS LÄN</t>
        </is>
      </c>
      <c r="E5978" t="inlineStr">
        <is>
          <t>STRÖMSUND</t>
        </is>
      </c>
      <c r="F5978" t="inlineStr">
        <is>
          <t>SCA</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27032-2022</t>
        </is>
      </c>
      <c r="B5979" s="1" t="n">
        <v>44740</v>
      </c>
      <c r="C5979" s="1" t="n">
        <v>45363</v>
      </c>
      <c r="D5979" t="inlineStr">
        <is>
          <t>JÄMTLANDS LÄN</t>
        </is>
      </c>
      <c r="E5979" t="inlineStr">
        <is>
          <t>STRÖMSUND</t>
        </is>
      </c>
      <c r="F5979" t="inlineStr">
        <is>
          <t>SCA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27031-2022</t>
        </is>
      </c>
      <c r="B5980" s="1" t="n">
        <v>44741</v>
      </c>
      <c r="C5980" s="1" t="n">
        <v>45363</v>
      </c>
      <c r="D5980" t="inlineStr">
        <is>
          <t>JÄMTLANDS LÄN</t>
        </is>
      </c>
      <c r="E5980" t="inlineStr">
        <is>
          <t>STRÖMSUND</t>
        </is>
      </c>
      <c r="F5980" t="inlineStr">
        <is>
          <t>SCA</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27036-2022</t>
        </is>
      </c>
      <c r="B5981" s="1" t="n">
        <v>44741</v>
      </c>
      <c r="C5981" s="1" t="n">
        <v>45363</v>
      </c>
      <c r="D5981" t="inlineStr">
        <is>
          <t>JÄMTLANDS LÄN</t>
        </is>
      </c>
      <c r="E5981" t="inlineStr">
        <is>
          <t>STRÖMSUND</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27037-2022</t>
        </is>
      </c>
      <c r="B5982" s="1" t="n">
        <v>44741</v>
      </c>
      <c r="C5982" s="1" t="n">
        <v>45363</v>
      </c>
      <c r="D5982" t="inlineStr">
        <is>
          <t>JÄMTLANDS LÄN</t>
        </is>
      </c>
      <c r="E5982" t="inlineStr">
        <is>
          <t>STRÖMSUND</t>
        </is>
      </c>
      <c r="F5982" t="inlineStr">
        <is>
          <t>SCA</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27075-2022</t>
        </is>
      </c>
      <c r="B5983" s="1" t="n">
        <v>44741</v>
      </c>
      <c r="C5983" s="1" t="n">
        <v>45363</v>
      </c>
      <c r="D5983" t="inlineStr">
        <is>
          <t>JÄMTLANDS LÄN</t>
        </is>
      </c>
      <c r="E5983" t="inlineStr">
        <is>
          <t>KROKOM</t>
        </is>
      </c>
      <c r="G5983" t="n">
        <v>10.4</v>
      </c>
      <c r="H5983" t="n">
        <v>0</v>
      </c>
      <c r="I5983" t="n">
        <v>0</v>
      </c>
      <c r="J5983" t="n">
        <v>0</v>
      </c>
      <c r="K5983" t="n">
        <v>0</v>
      </c>
      <c r="L5983" t="n">
        <v>0</v>
      </c>
      <c r="M5983" t="n">
        <v>0</v>
      </c>
      <c r="N5983" t="n">
        <v>0</v>
      </c>
      <c r="O5983" t="n">
        <v>0</v>
      </c>
      <c r="P5983" t="n">
        <v>0</v>
      </c>
      <c r="Q5983" t="n">
        <v>0</v>
      </c>
      <c r="R5983" s="2" t="inlineStr"/>
    </row>
    <row r="5984" ht="15" customHeight="1">
      <c r="A5984" t="inlineStr">
        <is>
          <t>A 27157-2022</t>
        </is>
      </c>
      <c r="B5984" s="1" t="n">
        <v>44741</v>
      </c>
      <c r="C5984" s="1" t="n">
        <v>45363</v>
      </c>
      <c r="D5984" t="inlineStr">
        <is>
          <t>JÄMTLANDS LÄN</t>
        </is>
      </c>
      <c r="E5984" t="inlineStr">
        <is>
          <t>KROKOM</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27178-2022</t>
        </is>
      </c>
      <c r="B5985" s="1" t="n">
        <v>44741</v>
      </c>
      <c r="C5985" s="1" t="n">
        <v>45363</v>
      </c>
      <c r="D5985" t="inlineStr">
        <is>
          <t>JÄMTLANDS LÄN</t>
        </is>
      </c>
      <c r="E5985" t="inlineStr">
        <is>
          <t>KROKOM</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27291-2022</t>
        </is>
      </c>
      <c r="B5986" s="1" t="n">
        <v>44742</v>
      </c>
      <c r="C5986" s="1" t="n">
        <v>45363</v>
      </c>
      <c r="D5986" t="inlineStr">
        <is>
          <t>JÄMTLANDS LÄN</t>
        </is>
      </c>
      <c r="E5986" t="inlineStr">
        <is>
          <t>RAGUNDA</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27295-2022</t>
        </is>
      </c>
      <c r="B5987" s="1" t="n">
        <v>44742</v>
      </c>
      <c r="C5987" s="1" t="n">
        <v>45363</v>
      </c>
      <c r="D5987" t="inlineStr">
        <is>
          <t>JÄMTLANDS LÄN</t>
        </is>
      </c>
      <c r="E5987" t="inlineStr">
        <is>
          <t>STRÖMSUND</t>
        </is>
      </c>
      <c r="F5987" t="inlineStr">
        <is>
          <t>SCA</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27290-2022</t>
        </is>
      </c>
      <c r="B5988" s="1" t="n">
        <v>44741</v>
      </c>
      <c r="C5988" s="1" t="n">
        <v>45363</v>
      </c>
      <c r="D5988" t="inlineStr">
        <is>
          <t>JÄMTLANDS LÄN</t>
        </is>
      </c>
      <c r="E5988" t="inlineStr">
        <is>
          <t>STRÖMSUND</t>
        </is>
      </c>
      <c r="F5988" t="inlineStr">
        <is>
          <t>SCA</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27302-2022</t>
        </is>
      </c>
      <c r="B5989" s="1" t="n">
        <v>44741</v>
      </c>
      <c r="C5989" s="1" t="n">
        <v>45363</v>
      </c>
      <c r="D5989" t="inlineStr">
        <is>
          <t>JÄMTLANDS LÄN</t>
        </is>
      </c>
      <c r="E5989" t="inlineStr">
        <is>
          <t>RAGUNDA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27285-2022</t>
        </is>
      </c>
      <c r="B5990" s="1" t="n">
        <v>44742</v>
      </c>
      <c r="C5990" s="1" t="n">
        <v>45363</v>
      </c>
      <c r="D5990" t="inlineStr">
        <is>
          <t>JÄMTLANDS LÄN</t>
        </is>
      </c>
      <c r="E5990" t="inlineStr">
        <is>
          <t>STRÖMSUND</t>
        </is>
      </c>
      <c r="F5990" t="inlineStr">
        <is>
          <t>SCA</t>
        </is>
      </c>
      <c r="G5990" t="n">
        <v>43.8</v>
      </c>
      <c r="H5990" t="n">
        <v>0</v>
      </c>
      <c r="I5990" t="n">
        <v>0</v>
      </c>
      <c r="J5990" t="n">
        <v>0</v>
      </c>
      <c r="K5990" t="n">
        <v>0</v>
      </c>
      <c r="L5990" t="n">
        <v>0</v>
      </c>
      <c r="M5990" t="n">
        <v>0</v>
      </c>
      <c r="N5990" t="n">
        <v>0</v>
      </c>
      <c r="O5990" t="n">
        <v>0</v>
      </c>
      <c r="P5990" t="n">
        <v>0</v>
      </c>
      <c r="Q5990" t="n">
        <v>0</v>
      </c>
      <c r="R5990" s="2" t="inlineStr"/>
    </row>
    <row r="5991" ht="15" customHeight="1">
      <c r="A5991" t="inlineStr">
        <is>
          <t>A 27292-2022</t>
        </is>
      </c>
      <c r="B5991" s="1" t="n">
        <v>44742</v>
      </c>
      <c r="C5991" s="1" t="n">
        <v>45363</v>
      </c>
      <c r="D5991" t="inlineStr">
        <is>
          <t>JÄMTLANDS LÄN</t>
        </is>
      </c>
      <c r="E5991" t="inlineStr">
        <is>
          <t>RAGUNDA</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27343-2022</t>
        </is>
      </c>
      <c r="B5992" s="1" t="n">
        <v>44742</v>
      </c>
      <c r="C5992" s="1" t="n">
        <v>45363</v>
      </c>
      <c r="D5992" t="inlineStr">
        <is>
          <t>JÄMTLANDS LÄN</t>
        </is>
      </c>
      <c r="E5992" t="inlineStr">
        <is>
          <t>ÖSTERSUND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27351-2022</t>
        </is>
      </c>
      <c r="B5993" s="1" t="n">
        <v>44742</v>
      </c>
      <c r="C5993" s="1" t="n">
        <v>45363</v>
      </c>
      <c r="D5993" t="inlineStr">
        <is>
          <t>JÄMTLANDS LÄN</t>
        </is>
      </c>
      <c r="E5993" t="inlineStr">
        <is>
          <t>BRÄCKE</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27483-2022</t>
        </is>
      </c>
      <c r="B5994" s="1" t="n">
        <v>44742</v>
      </c>
      <c r="C5994" s="1" t="n">
        <v>45363</v>
      </c>
      <c r="D5994" t="inlineStr">
        <is>
          <t>JÄMTLANDS LÄN</t>
        </is>
      </c>
      <c r="E5994" t="inlineStr">
        <is>
          <t>HÄRJEDALEN</t>
        </is>
      </c>
      <c r="F5994" t="inlineStr">
        <is>
          <t>Holmen skog AB</t>
        </is>
      </c>
      <c r="G5994" t="n">
        <v>0</v>
      </c>
      <c r="H5994" t="n">
        <v>0</v>
      </c>
      <c r="I5994" t="n">
        <v>0</v>
      </c>
      <c r="J5994" t="n">
        <v>0</v>
      </c>
      <c r="K5994" t="n">
        <v>0</v>
      </c>
      <c r="L5994" t="n">
        <v>0</v>
      </c>
      <c r="M5994" t="n">
        <v>0</v>
      </c>
      <c r="N5994" t="n">
        <v>0</v>
      </c>
      <c r="O5994" t="n">
        <v>0</v>
      </c>
      <c r="P5994" t="n">
        <v>0</v>
      </c>
      <c r="Q5994" t="n">
        <v>0</v>
      </c>
      <c r="R5994" s="2" t="inlineStr"/>
    </row>
    <row r="5995" ht="15" customHeight="1">
      <c r="A5995" t="inlineStr">
        <is>
          <t>A 27574-2022</t>
        </is>
      </c>
      <c r="B5995" s="1" t="n">
        <v>44743</v>
      </c>
      <c r="C5995" s="1" t="n">
        <v>45363</v>
      </c>
      <c r="D5995" t="inlineStr">
        <is>
          <t>JÄMTLANDS LÄN</t>
        </is>
      </c>
      <c r="E5995" t="inlineStr">
        <is>
          <t>STRÖMSUND</t>
        </is>
      </c>
      <c r="F5995" t="inlineStr">
        <is>
          <t>SCA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27599-2022</t>
        </is>
      </c>
      <c r="B5996" s="1" t="n">
        <v>44742</v>
      </c>
      <c r="C5996" s="1" t="n">
        <v>45363</v>
      </c>
      <c r="D5996" t="inlineStr">
        <is>
          <t>JÄMTLANDS LÄN</t>
        </is>
      </c>
      <c r="E5996" t="inlineStr">
        <is>
          <t>BERG</t>
        </is>
      </c>
      <c r="F5996" t="inlineStr">
        <is>
          <t>SCA</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27586-2022</t>
        </is>
      </c>
      <c r="B5997" s="1" t="n">
        <v>44743</v>
      </c>
      <c r="C5997" s="1" t="n">
        <v>45363</v>
      </c>
      <c r="D5997" t="inlineStr">
        <is>
          <t>JÄMTLANDS LÄN</t>
        </is>
      </c>
      <c r="E5997" t="inlineStr">
        <is>
          <t>STRÖMSUND</t>
        </is>
      </c>
      <c r="F5997" t="inlineStr">
        <is>
          <t>SCA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27598-2022</t>
        </is>
      </c>
      <c r="B5998" s="1" t="n">
        <v>44743</v>
      </c>
      <c r="C5998" s="1" t="n">
        <v>45363</v>
      </c>
      <c r="D5998" t="inlineStr">
        <is>
          <t>JÄMTLANDS LÄN</t>
        </is>
      </c>
      <c r="E5998" t="inlineStr">
        <is>
          <t>BERG</t>
        </is>
      </c>
      <c r="F5998" t="inlineStr">
        <is>
          <t>SCA</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27585-2022</t>
        </is>
      </c>
      <c r="B5999" s="1" t="n">
        <v>44742</v>
      </c>
      <c r="C5999" s="1" t="n">
        <v>45363</v>
      </c>
      <c r="D5999" t="inlineStr">
        <is>
          <t>JÄMTLANDS LÄN</t>
        </is>
      </c>
      <c r="E5999" t="inlineStr">
        <is>
          <t>STRÖMSUND</t>
        </is>
      </c>
      <c r="F5999" t="inlineStr">
        <is>
          <t>SCA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27568-2022</t>
        </is>
      </c>
      <c r="B6000" s="1" t="n">
        <v>44743</v>
      </c>
      <c r="C6000" s="1" t="n">
        <v>45363</v>
      </c>
      <c r="D6000" t="inlineStr">
        <is>
          <t>JÄMTLANDS LÄN</t>
        </is>
      </c>
      <c r="E6000" t="inlineStr">
        <is>
          <t>STRÖMSUND</t>
        </is>
      </c>
      <c r="F6000" t="inlineStr">
        <is>
          <t>SCA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27582-2022</t>
        </is>
      </c>
      <c r="B6001" s="1" t="n">
        <v>44743</v>
      </c>
      <c r="C6001" s="1" t="n">
        <v>45363</v>
      </c>
      <c r="D6001" t="inlineStr">
        <is>
          <t>JÄMTLANDS LÄN</t>
        </is>
      </c>
      <c r="E6001" t="inlineStr">
        <is>
          <t>ÖSTERSUND</t>
        </is>
      </c>
      <c r="F6001" t="inlineStr">
        <is>
          <t>SCA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27575-2022</t>
        </is>
      </c>
      <c r="B6002" s="1" t="n">
        <v>44742</v>
      </c>
      <c r="C6002" s="1" t="n">
        <v>45363</v>
      </c>
      <c r="D6002" t="inlineStr">
        <is>
          <t>JÄMTLANDS LÄN</t>
        </is>
      </c>
      <c r="E6002" t="inlineStr">
        <is>
          <t>ÖSTERSUND</t>
        </is>
      </c>
      <c r="F6002" t="inlineStr">
        <is>
          <t>SCA</t>
        </is>
      </c>
      <c r="G6002" t="n">
        <v>2.4</v>
      </c>
      <c r="H6002" t="n">
        <v>0</v>
      </c>
      <c r="I6002" t="n">
        <v>0</v>
      </c>
      <c r="J6002" t="n">
        <v>0</v>
      </c>
      <c r="K6002" t="n">
        <v>0</v>
      </c>
      <c r="L6002" t="n">
        <v>0</v>
      </c>
      <c r="M6002" t="n">
        <v>0</v>
      </c>
      <c r="N6002" t="n">
        <v>0</v>
      </c>
      <c r="O6002" t="n">
        <v>0</v>
      </c>
      <c r="P6002" t="n">
        <v>0</v>
      </c>
      <c r="Q6002" t="n">
        <v>0</v>
      </c>
      <c r="R6002" s="2" t="inlineStr"/>
      <c r="U6002">
        <f>HYPERLINK("https://klasma.github.io/Logging_2380/knärot/A 27575-2022 karta knärot.png", "A 27575-2022")</f>
        <v/>
      </c>
      <c r="V6002">
        <f>HYPERLINK("https://klasma.github.io/Logging_2380/klagomål/A 27575-2022 FSC-klagomål.docx", "A 27575-2022")</f>
        <v/>
      </c>
      <c r="W6002">
        <f>HYPERLINK("https://klasma.github.io/Logging_2380/klagomålsmail/A 27575-2022 FSC-klagomål mail.docx", "A 27575-2022")</f>
        <v/>
      </c>
      <c r="X6002">
        <f>HYPERLINK("https://klasma.github.io/Logging_2380/tillsyn/A 27575-2022 tillsynsbegäran.docx", "A 27575-2022")</f>
        <v/>
      </c>
      <c r="Y6002">
        <f>HYPERLINK("https://klasma.github.io/Logging_2380/tillsynsmail/A 27575-2022 tillsynsbegäran mail.docx", "A 27575-2022")</f>
        <v/>
      </c>
    </row>
    <row r="6003" ht="15" customHeight="1">
      <c r="A6003" t="inlineStr">
        <is>
          <t>A 27584-2022</t>
        </is>
      </c>
      <c r="B6003" s="1" t="n">
        <v>44742</v>
      </c>
      <c r="C6003" s="1" t="n">
        <v>45363</v>
      </c>
      <c r="D6003" t="inlineStr">
        <is>
          <t>JÄMTLANDS LÄN</t>
        </is>
      </c>
      <c r="E6003" t="inlineStr">
        <is>
          <t>STRÖMSUND</t>
        </is>
      </c>
      <c r="F6003" t="inlineStr">
        <is>
          <t>SCA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27594-2022</t>
        </is>
      </c>
      <c r="B6004" s="1" t="n">
        <v>44743</v>
      </c>
      <c r="C6004" s="1" t="n">
        <v>45363</v>
      </c>
      <c r="D6004" t="inlineStr">
        <is>
          <t>JÄMTLANDS LÄN</t>
        </is>
      </c>
      <c r="E6004" t="inlineStr">
        <is>
          <t>STRÖMSUND</t>
        </is>
      </c>
      <c r="F6004" t="inlineStr">
        <is>
          <t>SCA</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27600-2022</t>
        </is>
      </c>
      <c r="B6005" s="1" t="n">
        <v>44743</v>
      </c>
      <c r="C6005" s="1" t="n">
        <v>45363</v>
      </c>
      <c r="D6005" t="inlineStr">
        <is>
          <t>JÄMTLANDS LÄN</t>
        </is>
      </c>
      <c r="E6005" t="inlineStr">
        <is>
          <t>STRÖMSUND</t>
        </is>
      </c>
      <c r="F6005" t="inlineStr">
        <is>
          <t>SCA</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27601-2022</t>
        </is>
      </c>
      <c r="B6006" s="1" t="n">
        <v>44743</v>
      </c>
      <c r="C6006" s="1" t="n">
        <v>45363</v>
      </c>
      <c r="D6006" t="inlineStr">
        <is>
          <t>JÄMTLANDS LÄN</t>
        </is>
      </c>
      <c r="E6006" t="inlineStr">
        <is>
          <t>STRÖMSUND</t>
        </is>
      </c>
      <c r="F6006" t="inlineStr">
        <is>
          <t>SCA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27596-2022</t>
        </is>
      </c>
      <c r="B6007" s="1" t="n">
        <v>44742</v>
      </c>
      <c r="C6007" s="1" t="n">
        <v>45363</v>
      </c>
      <c r="D6007" t="inlineStr">
        <is>
          <t>JÄMTLANDS LÄN</t>
        </is>
      </c>
      <c r="E6007" t="inlineStr">
        <is>
          <t>STRÖMSUND</t>
        </is>
      </c>
      <c r="F6007" t="inlineStr">
        <is>
          <t>SCA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27581-2022</t>
        </is>
      </c>
      <c r="B6008" s="1" t="n">
        <v>44742</v>
      </c>
      <c r="C6008" s="1" t="n">
        <v>45363</v>
      </c>
      <c r="D6008" t="inlineStr">
        <is>
          <t>JÄMTLANDS LÄN</t>
        </is>
      </c>
      <c r="E6008" t="inlineStr">
        <is>
          <t>ÖSTERSUND</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27805-2022</t>
        </is>
      </c>
      <c r="B6009" s="1" t="n">
        <v>44743</v>
      </c>
      <c r="C6009" s="1" t="n">
        <v>45363</v>
      </c>
      <c r="D6009" t="inlineStr">
        <is>
          <t>JÄMTLANDS LÄN</t>
        </is>
      </c>
      <c r="E6009" t="inlineStr">
        <is>
          <t>ÅRE</t>
        </is>
      </c>
      <c r="G6009" t="n">
        <v>106.2</v>
      </c>
      <c r="H6009" t="n">
        <v>0</v>
      </c>
      <c r="I6009" t="n">
        <v>0</v>
      </c>
      <c r="J6009" t="n">
        <v>0</v>
      </c>
      <c r="K6009" t="n">
        <v>0</v>
      </c>
      <c r="L6009" t="n">
        <v>0</v>
      </c>
      <c r="M6009" t="n">
        <v>0</v>
      </c>
      <c r="N6009" t="n">
        <v>0</v>
      </c>
      <c r="O6009" t="n">
        <v>0</v>
      </c>
      <c r="P6009" t="n">
        <v>0</v>
      </c>
      <c r="Q6009" t="n">
        <v>0</v>
      </c>
      <c r="R6009" s="2" t="inlineStr"/>
    </row>
    <row r="6010" ht="15" customHeight="1">
      <c r="A6010" t="inlineStr">
        <is>
          <t>A 27777-2022</t>
        </is>
      </c>
      <c r="B6010" s="1" t="n">
        <v>44743</v>
      </c>
      <c r="C6010" s="1" t="n">
        <v>45363</v>
      </c>
      <c r="D6010" t="inlineStr">
        <is>
          <t>JÄMTLANDS LÄN</t>
        </is>
      </c>
      <c r="E6010" t="inlineStr">
        <is>
          <t>RAGUNDA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27780-2022</t>
        </is>
      </c>
      <c r="B6011" s="1" t="n">
        <v>44743</v>
      </c>
      <c r="C6011" s="1" t="n">
        <v>45363</v>
      </c>
      <c r="D6011" t="inlineStr">
        <is>
          <t>JÄMTLANDS LÄN</t>
        </is>
      </c>
      <c r="E6011" t="inlineStr">
        <is>
          <t>ÖSTERSUND</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27923-2022</t>
        </is>
      </c>
      <c r="B6012" s="1" t="n">
        <v>44744</v>
      </c>
      <c r="C6012" s="1" t="n">
        <v>45363</v>
      </c>
      <c r="D6012" t="inlineStr">
        <is>
          <t>JÄMTLANDS LÄN</t>
        </is>
      </c>
      <c r="E6012" t="inlineStr">
        <is>
          <t>STRÖMSUND</t>
        </is>
      </c>
      <c r="F6012" t="inlineStr">
        <is>
          <t>SCA</t>
        </is>
      </c>
      <c r="G6012" t="n">
        <v>11.6</v>
      </c>
      <c r="H6012" t="n">
        <v>0</v>
      </c>
      <c r="I6012" t="n">
        <v>0</v>
      </c>
      <c r="J6012" t="n">
        <v>0</v>
      </c>
      <c r="K6012" t="n">
        <v>0</v>
      </c>
      <c r="L6012" t="n">
        <v>0</v>
      </c>
      <c r="M6012" t="n">
        <v>0</v>
      </c>
      <c r="N6012" t="n">
        <v>0</v>
      </c>
      <c r="O6012" t="n">
        <v>0</v>
      </c>
      <c r="P6012" t="n">
        <v>0</v>
      </c>
      <c r="Q6012" t="n">
        <v>0</v>
      </c>
      <c r="R6012" s="2" t="inlineStr"/>
    </row>
    <row r="6013" ht="15" customHeight="1">
      <c r="A6013" t="inlineStr">
        <is>
          <t>A 27927-2022</t>
        </is>
      </c>
      <c r="B6013" s="1" t="n">
        <v>44744</v>
      </c>
      <c r="C6013" s="1" t="n">
        <v>45363</v>
      </c>
      <c r="D6013" t="inlineStr">
        <is>
          <t>JÄMTLANDS LÄN</t>
        </is>
      </c>
      <c r="E6013" t="inlineStr">
        <is>
          <t>STRÖMSUND</t>
        </is>
      </c>
      <c r="F6013" t="inlineStr">
        <is>
          <t>SCA</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27942-2022</t>
        </is>
      </c>
      <c r="B6014" s="1" t="n">
        <v>44744</v>
      </c>
      <c r="C6014" s="1" t="n">
        <v>45363</v>
      </c>
      <c r="D6014" t="inlineStr">
        <is>
          <t>JÄMTLANDS LÄN</t>
        </is>
      </c>
      <c r="E6014" t="inlineStr">
        <is>
          <t>STRÖMSUND</t>
        </is>
      </c>
      <c r="F6014" t="inlineStr">
        <is>
          <t>SCA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27917-2022</t>
        </is>
      </c>
      <c r="B6015" s="1" t="n">
        <v>44744</v>
      </c>
      <c r="C6015" s="1" t="n">
        <v>45363</v>
      </c>
      <c r="D6015" t="inlineStr">
        <is>
          <t>JÄMTLANDS LÄN</t>
        </is>
      </c>
      <c r="E6015" t="inlineStr">
        <is>
          <t>STRÖMSUND</t>
        </is>
      </c>
      <c r="F6015" t="inlineStr">
        <is>
          <t>SCA</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27930-2022</t>
        </is>
      </c>
      <c r="B6016" s="1" t="n">
        <v>44743</v>
      </c>
      <c r="C6016" s="1" t="n">
        <v>45363</v>
      </c>
      <c r="D6016" t="inlineStr">
        <is>
          <t>JÄMTLANDS LÄN</t>
        </is>
      </c>
      <c r="E6016" t="inlineStr">
        <is>
          <t>STRÖMSUND</t>
        </is>
      </c>
      <c r="F6016" t="inlineStr">
        <is>
          <t>SCA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27941-2022</t>
        </is>
      </c>
      <c r="B6017" s="1" t="n">
        <v>44744</v>
      </c>
      <c r="C6017" s="1" t="n">
        <v>45363</v>
      </c>
      <c r="D6017" t="inlineStr">
        <is>
          <t>JÄMTLANDS LÄN</t>
        </is>
      </c>
      <c r="E6017" t="inlineStr">
        <is>
          <t>STRÖMSUND</t>
        </is>
      </c>
      <c r="F6017" t="inlineStr">
        <is>
          <t>SCA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27946-2022</t>
        </is>
      </c>
      <c r="B6018" s="1" t="n">
        <v>44744</v>
      </c>
      <c r="C6018" s="1" t="n">
        <v>45363</v>
      </c>
      <c r="D6018" t="inlineStr">
        <is>
          <t>JÄMTLANDS LÄN</t>
        </is>
      </c>
      <c r="E6018" t="inlineStr">
        <is>
          <t>STRÖMSUND</t>
        </is>
      </c>
      <c r="F6018" t="inlineStr">
        <is>
          <t>SCA</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27929-2022</t>
        </is>
      </c>
      <c r="B6019" s="1" t="n">
        <v>44744</v>
      </c>
      <c r="C6019" s="1" t="n">
        <v>45363</v>
      </c>
      <c r="D6019" t="inlineStr">
        <is>
          <t>JÄMTLANDS LÄN</t>
        </is>
      </c>
      <c r="E6019" t="inlineStr">
        <is>
          <t>STRÖMSUND</t>
        </is>
      </c>
      <c r="F6019" t="inlineStr">
        <is>
          <t>SCA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27940-2022</t>
        </is>
      </c>
      <c r="B6020" s="1" t="n">
        <v>44744</v>
      </c>
      <c r="C6020" s="1" t="n">
        <v>45363</v>
      </c>
      <c r="D6020" t="inlineStr">
        <is>
          <t>JÄMTLANDS LÄN</t>
        </is>
      </c>
      <c r="E6020" t="inlineStr">
        <is>
          <t>STRÖMSUND</t>
        </is>
      </c>
      <c r="F6020" t="inlineStr">
        <is>
          <t>SCA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27924-2022</t>
        </is>
      </c>
      <c r="B6021" s="1" t="n">
        <v>44743</v>
      </c>
      <c r="C6021" s="1" t="n">
        <v>45363</v>
      </c>
      <c r="D6021" t="inlineStr">
        <is>
          <t>JÄMTLANDS LÄN</t>
        </is>
      </c>
      <c r="E6021" t="inlineStr">
        <is>
          <t>KROKOM</t>
        </is>
      </c>
      <c r="F6021" t="inlineStr">
        <is>
          <t>SCA</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27928-2022</t>
        </is>
      </c>
      <c r="B6022" s="1" t="n">
        <v>44744</v>
      </c>
      <c r="C6022" s="1" t="n">
        <v>45363</v>
      </c>
      <c r="D6022" t="inlineStr">
        <is>
          <t>JÄMTLANDS LÄN</t>
        </is>
      </c>
      <c r="E6022" t="inlineStr">
        <is>
          <t>STRÖMSUND</t>
        </is>
      </c>
      <c r="F6022" t="inlineStr">
        <is>
          <t>SCA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27939-2022</t>
        </is>
      </c>
      <c r="B6023" s="1" t="n">
        <v>44744</v>
      </c>
      <c r="C6023" s="1" t="n">
        <v>45363</v>
      </c>
      <c r="D6023" t="inlineStr">
        <is>
          <t>JÄMTLANDS LÄN</t>
        </is>
      </c>
      <c r="E6023" t="inlineStr">
        <is>
          <t>RAGUNDA</t>
        </is>
      </c>
      <c r="F6023" t="inlineStr">
        <is>
          <t>SCA</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28081-2022</t>
        </is>
      </c>
      <c r="B6024" s="1" t="n">
        <v>44746</v>
      </c>
      <c r="C6024" s="1" t="n">
        <v>45363</v>
      </c>
      <c r="D6024" t="inlineStr">
        <is>
          <t>JÄMTLANDS LÄN</t>
        </is>
      </c>
      <c r="E6024" t="inlineStr">
        <is>
          <t>RAGUNDA</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28283-2022</t>
        </is>
      </c>
      <c r="B6025" s="1" t="n">
        <v>44746</v>
      </c>
      <c r="C6025" s="1" t="n">
        <v>45363</v>
      </c>
      <c r="D6025" t="inlineStr">
        <is>
          <t>JÄMTLANDS LÄN</t>
        </is>
      </c>
      <c r="E6025" t="inlineStr">
        <is>
          <t>RAGUNDA</t>
        </is>
      </c>
      <c r="F6025" t="inlineStr">
        <is>
          <t>SCA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28289-2022</t>
        </is>
      </c>
      <c r="B6026" s="1" t="n">
        <v>44747</v>
      </c>
      <c r="C6026" s="1" t="n">
        <v>45363</v>
      </c>
      <c r="D6026" t="inlineStr">
        <is>
          <t>JÄMTLANDS LÄN</t>
        </is>
      </c>
      <c r="E6026" t="inlineStr">
        <is>
          <t>STRÖMSUND</t>
        </is>
      </c>
      <c r="F6026" t="inlineStr">
        <is>
          <t>SCA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28294-2022</t>
        </is>
      </c>
      <c r="B6027" s="1" t="n">
        <v>44747</v>
      </c>
      <c r="C6027" s="1" t="n">
        <v>45363</v>
      </c>
      <c r="D6027" t="inlineStr">
        <is>
          <t>JÄMTLANDS LÄN</t>
        </is>
      </c>
      <c r="E6027" t="inlineStr">
        <is>
          <t>STRÖMSUND</t>
        </is>
      </c>
      <c r="F6027" t="inlineStr">
        <is>
          <t>SCA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28286-2022</t>
        </is>
      </c>
      <c r="B6028" s="1" t="n">
        <v>44746</v>
      </c>
      <c r="C6028" s="1" t="n">
        <v>45363</v>
      </c>
      <c r="D6028" t="inlineStr">
        <is>
          <t>JÄMTLANDS LÄN</t>
        </is>
      </c>
      <c r="E6028" t="inlineStr">
        <is>
          <t>STRÖMSUND</t>
        </is>
      </c>
      <c r="F6028" t="inlineStr">
        <is>
          <t>SCA</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28290-2022</t>
        </is>
      </c>
      <c r="B6029" s="1" t="n">
        <v>44747</v>
      </c>
      <c r="C6029" s="1" t="n">
        <v>45363</v>
      </c>
      <c r="D6029" t="inlineStr">
        <is>
          <t>JÄMTLANDS LÄN</t>
        </is>
      </c>
      <c r="E6029" t="inlineStr">
        <is>
          <t>STRÖMSUND</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28285-2022</t>
        </is>
      </c>
      <c r="B6030" s="1" t="n">
        <v>44746</v>
      </c>
      <c r="C6030" s="1" t="n">
        <v>45363</v>
      </c>
      <c r="D6030" t="inlineStr">
        <is>
          <t>JÄMTLANDS LÄN</t>
        </is>
      </c>
      <c r="E6030" t="inlineStr">
        <is>
          <t>BRÄCKE</t>
        </is>
      </c>
      <c r="F6030" t="inlineStr">
        <is>
          <t>SCA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28277-2022</t>
        </is>
      </c>
      <c r="B6031" s="1" t="n">
        <v>44747</v>
      </c>
      <c r="C6031" s="1" t="n">
        <v>45363</v>
      </c>
      <c r="D6031" t="inlineStr">
        <is>
          <t>JÄMTLANDS LÄN</t>
        </is>
      </c>
      <c r="E6031" t="inlineStr">
        <is>
          <t>RAGUNDA</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28296-2022</t>
        </is>
      </c>
      <c r="B6032" s="1" t="n">
        <v>44747</v>
      </c>
      <c r="C6032" s="1" t="n">
        <v>45363</v>
      </c>
      <c r="D6032" t="inlineStr">
        <is>
          <t>JÄMTLANDS LÄN</t>
        </is>
      </c>
      <c r="E6032" t="inlineStr">
        <is>
          <t>BRÄCKE</t>
        </is>
      </c>
      <c r="F6032" t="inlineStr">
        <is>
          <t>SCA</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28292-2022</t>
        </is>
      </c>
      <c r="B6033" s="1" t="n">
        <v>44747</v>
      </c>
      <c r="C6033" s="1" t="n">
        <v>45363</v>
      </c>
      <c r="D6033" t="inlineStr">
        <is>
          <t>JÄMTLANDS LÄN</t>
        </is>
      </c>
      <c r="E6033" t="inlineStr">
        <is>
          <t>RAGUNDA</t>
        </is>
      </c>
      <c r="F6033" t="inlineStr">
        <is>
          <t>SCA</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28207-2022</t>
        </is>
      </c>
      <c r="B6034" s="1" t="n">
        <v>44746</v>
      </c>
      <c r="C6034" s="1" t="n">
        <v>45363</v>
      </c>
      <c r="D6034" t="inlineStr">
        <is>
          <t>JÄMTLANDS LÄN</t>
        </is>
      </c>
      <c r="E6034" t="inlineStr">
        <is>
          <t>STRÖMSUND</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28483-2022</t>
        </is>
      </c>
      <c r="B6035" s="1" t="n">
        <v>44747</v>
      </c>
      <c r="C6035" s="1" t="n">
        <v>45363</v>
      </c>
      <c r="D6035" t="inlineStr">
        <is>
          <t>JÄMTLANDS LÄN</t>
        </is>
      </c>
      <c r="E6035" t="inlineStr">
        <is>
          <t>STRÖMSUND</t>
        </is>
      </c>
      <c r="F6035" t="inlineStr">
        <is>
          <t>SCA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28494-2022</t>
        </is>
      </c>
      <c r="B6036" s="1" t="n">
        <v>44748</v>
      </c>
      <c r="C6036" s="1" t="n">
        <v>45363</v>
      </c>
      <c r="D6036" t="inlineStr">
        <is>
          <t>JÄMTLANDS LÄN</t>
        </is>
      </c>
      <c r="E6036" t="inlineStr">
        <is>
          <t>STRÖMSUND</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28500-2022</t>
        </is>
      </c>
      <c r="B6037" s="1" t="n">
        <v>44747</v>
      </c>
      <c r="C6037" s="1" t="n">
        <v>45363</v>
      </c>
      <c r="D6037" t="inlineStr">
        <is>
          <t>JÄMTLANDS LÄN</t>
        </is>
      </c>
      <c r="E6037" t="inlineStr">
        <is>
          <t>BERG</t>
        </is>
      </c>
      <c r="F6037" t="inlineStr">
        <is>
          <t>SCA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28493-2022</t>
        </is>
      </c>
      <c r="B6038" s="1" t="n">
        <v>44747</v>
      </c>
      <c r="C6038" s="1" t="n">
        <v>45363</v>
      </c>
      <c r="D6038" t="inlineStr">
        <is>
          <t>JÄMTLANDS LÄN</t>
        </is>
      </c>
      <c r="E6038" t="inlineStr">
        <is>
          <t>STRÖMSUND</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28498-2022</t>
        </is>
      </c>
      <c r="B6039" s="1" t="n">
        <v>44748</v>
      </c>
      <c r="C6039" s="1" t="n">
        <v>45363</v>
      </c>
      <c r="D6039" t="inlineStr">
        <is>
          <t>JÄMTLANDS LÄN</t>
        </is>
      </c>
      <c r="E6039" t="inlineStr">
        <is>
          <t>STRÖMSUND</t>
        </is>
      </c>
      <c r="F6039" t="inlineStr">
        <is>
          <t>SCA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28496-2022</t>
        </is>
      </c>
      <c r="B6040" s="1" t="n">
        <v>44748</v>
      </c>
      <c r="C6040" s="1" t="n">
        <v>45363</v>
      </c>
      <c r="D6040" t="inlineStr">
        <is>
          <t>JÄMTLANDS LÄN</t>
        </is>
      </c>
      <c r="E6040" t="inlineStr">
        <is>
          <t>STRÖMSUND</t>
        </is>
      </c>
      <c r="F6040" t="inlineStr">
        <is>
          <t>SCA</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28501-2022</t>
        </is>
      </c>
      <c r="B6041" s="1" t="n">
        <v>44748</v>
      </c>
      <c r="C6041" s="1" t="n">
        <v>45363</v>
      </c>
      <c r="D6041" t="inlineStr">
        <is>
          <t>JÄMTLANDS LÄN</t>
        </is>
      </c>
      <c r="E6041" t="inlineStr">
        <is>
          <t>BERG</t>
        </is>
      </c>
      <c r="F6041" t="inlineStr">
        <is>
          <t>SCA</t>
        </is>
      </c>
      <c r="G6041" t="n">
        <v>9.300000000000001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28520-2022</t>
        </is>
      </c>
      <c r="B6042" s="1" t="n">
        <v>44748</v>
      </c>
      <c r="C6042" s="1" t="n">
        <v>45363</v>
      </c>
      <c r="D6042" t="inlineStr">
        <is>
          <t>JÄMTLANDS LÄN</t>
        </is>
      </c>
      <c r="E6042" t="inlineStr">
        <is>
          <t>STRÖMSUND</t>
        </is>
      </c>
      <c r="F6042" t="inlineStr">
        <is>
          <t>SCA</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28533-2022</t>
        </is>
      </c>
      <c r="B6043" s="1" t="n">
        <v>44748</v>
      </c>
      <c r="C6043" s="1" t="n">
        <v>45363</v>
      </c>
      <c r="D6043" t="inlineStr">
        <is>
          <t>JÄMTLANDS LÄN</t>
        </is>
      </c>
      <c r="E6043" t="inlineStr">
        <is>
          <t>STRÖMSUND</t>
        </is>
      </c>
      <c r="F6043" t="inlineStr">
        <is>
          <t>SCA</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28669-2022</t>
        </is>
      </c>
      <c r="B6044" s="1" t="n">
        <v>44748</v>
      </c>
      <c r="C6044" s="1" t="n">
        <v>45363</v>
      </c>
      <c r="D6044" t="inlineStr">
        <is>
          <t>JÄMTLANDS LÄN</t>
        </is>
      </c>
      <c r="E6044" t="inlineStr">
        <is>
          <t>KROKOM</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28705-2022</t>
        </is>
      </c>
      <c r="B6045" s="1" t="n">
        <v>44748</v>
      </c>
      <c r="C6045" s="1" t="n">
        <v>45363</v>
      </c>
      <c r="D6045" t="inlineStr">
        <is>
          <t>JÄMTLANDS LÄN</t>
        </is>
      </c>
      <c r="E6045" t="inlineStr">
        <is>
          <t>STRÖMSUND</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28736-2022</t>
        </is>
      </c>
      <c r="B6046" s="1" t="n">
        <v>44749</v>
      </c>
      <c r="C6046" s="1" t="n">
        <v>45363</v>
      </c>
      <c r="D6046" t="inlineStr">
        <is>
          <t>JÄMTLANDS LÄN</t>
        </is>
      </c>
      <c r="E6046" t="inlineStr">
        <is>
          <t>KROKOM</t>
        </is>
      </c>
      <c r="F6046" t="inlineStr">
        <is>
          <t>SCA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28734-2022</t>
        </is>
      </c>
      <c r="B6047" s="1" t="n">
        <v>44748</v>
      </c>
      <c r="C6047" s="1" t="n">
        <v>45363</v>
      </c>
      <c r="D6047" t="inlineStr">
        <is>
          <t>JÄMTLANDS LÄN</t>
        </is>
      </c>
      <c r="E6047" t="inlineStr">
        <is>
          <t>STRÖMSUND</t>
        </is>
      </c>
      <c r="F6047" t="inlineStr">
        <is>
          <t>SCA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28738-2022</t>
        </is>
      </c>
      <c r="B6048" s="1" t="n">
        <v>44749</v>
      </c>
      <c r="C6048" s="1" t="n">
        <v>45363</v>
      </c>
      <c r="D6048" t="inlineStr">
        <is>
          <t>JÄMTLANDS LÄN</t>
        </is>
      </c>
      <c r="E6048" t="inlineStr">
        <is>
          <t>BRÄCKE</t>
        </is>
      </c>
      <c r="F6048" t="inlineStr">
        <is>
          <t>SCA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28732-2022</t>
        </is>
      </c>
      <c r="B6049" s="1" t="n">
        <v>44749</v>
      </c>
      <c r="C6049" s="1" t="n">
        <v>45363</v>
      </c>
      <c r="D6049" t="inlineStr">
        <is>
          <t>JÄMTLANDS LÄN</t>
        </is>
      </c>
      <c r="E6049" t="inlineStr">
        <is>
          <t>STRÖMSUND</t>
        </is>
      </c>
      <c r="F6049" t="inlineStr">
        <is>
          <t>SCA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28737-2022</t>
        </is>
      </c>
      <c r="B6050" s="1" t="n">
        <v>44749</v>
      </c>
      <c r="C6050" s="1" t="n">
        <v>45363</v>
      </c>
      <c r="D6050" t="inlineStr">
        <is>
          <t>JÄMTLANDS LÄN</t>
        </is>
      </c>
      <c r="E6050" t="inlineStr">
        <is>
          <t>RAGUNDA</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28735-2022</t>
        </is>
      </c>
      <c r="B6051" s="1" t="n">
        <v>44749</v>
      </c>
      <c r="C6051" s="1" t="n">
        <v>45363</v>
      </c>
      <c r="D6051" t="inlineStr">
        <is>
          <t>JÄMTLANDS LÄN</t>
        </is>
      </c>
      <c r="E6051" t="inlineStr">
        <is>
          <t>KROKOM</t>
        </is>
      </c>
      <c r="F6051" t="inlineStr">
        <is>
          <t>SCA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28804-2022</t>
        </is>
      </c>
      <c r="B6052" s="1" t="n">
        <v>44749</v>
      </c>
      <c r="C6052" s="1" t="n">
        <v>45363</v>
      </c>
      <c r="D6052" t="inlineStr">
        <is>
          <t>JÄMTLANDS LÄN</t>
        </is>
      </c>
      <c r="E6052" t="inlineStr">
        <is>
          <t>KROKOM</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28856-2022</t>
        </is>
      </c>
      <c r="B6053" s="1" t="n">
        <v>44749</v>
      </c>
      <c r="C6053" s="1" t="n">
        <v>45363</v>
      </c>
      <c r="D6053" t="inlineStr">
        <is>
          <t>JÄMTLANDS LÄN</t>
        </is>
      </c>
      <c r="E6053" t="inlineStr">
        <is>
          <t>KROKOM</t>
        </is>
      </c>
      <c r="F6053" t="inlineStr">
        <is>
          <t>Övriga Aktiebolag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28776-2022</t>
        </is>
      </c>
      <c r="B6054" s="1" t="n">
        <v>44749</v>
      </c>
      <c r="C6054" s="1" t="n">
        <v>45363</v>
      </c>
      <c r="D6054" t="inlineStr">
        <is>
          <t>JÄMTLANDS LÄN</t>
        </is>
      </c>
      <c r="E6054" t="inlineStr">
        <is>
          <t>KROKOM</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28771-2022</t>
        </is>
      </c>
      <c r="B6055" s="1" t="n">
        <v>44749</v>
      </c>
      <c r="C6055" s="1" t="n">
        <v>45363</v>
      </c>
      <c r="D6055" t="inlineStr">
        <is>
          <t>JÄMTLANDS LÄN</t>
        </is>
      </c>
      <c r="E6055" t="inlineStr">
        <is>
          <t>KROKOM</t>
        </is>
      </c>
      <c r="F6055" t="inlineStr">
        <is>
          <t>Övriga Aktiebolag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28883-2022</t>
        </is>
      </c>
      <c r="B6056" s="1" t="n">
        <v>44749</v>
      </c>
      <c r="C6056" s="1" t="n">
        <v>45363</v>
      </c>
      <c r="D6056" t="inlineStr">
        <is>
          <t>JÄMTLANDS LÄN</t>
        </is>
      </c>
      <c r="E6056" t="inlineStr">
        <is>
          <t>KROKOM</t>
        </is>
      </c>
      <c r="F6056" t="inlineStr">
        <is>
          <t>Övriga Aktiebolag</t>
        </is>
      </c>
      <c r="G6056" t="n">
        <v>14.1</v>
      </c>
      <c r="H6056" t="n">
        <v>0</v>
      </c>
      <c r="I6056" t="n">
        <v>0</v>
      </c>
      <c r="J6056" t="n">
        <v>0</v>
      </c>
      <c r="K6056" t="n">
        <v>0</v>
      </c>
      <c r="L6056" t="n">
        <v>0</v>
      </c>
      <c r="M6056" t="n">
        <v>0</v>
      </c>
      <c r="N6056" t="n">
        <v>0</v>
      </c>
      <c r="O6056" t="n">
        <v>0</v>
      </c>
      <c r="P6056" t="n">
        <v>0</v>
      </c>
      <c r="Q6056" t="n">
        <v>0</v>
      </c>
      <c r="R6056" s="2" t="inlineStr"/>
    </row>
    <row r="6057" ht="15" customHeight="1">
      <c r="A6057" t="inlineStr">
        <is>
          <t>A 28948-2022</t>
        </is>
      </c>
      <c r="B6057" s="1" t="n">
        <v>44749</v>
      </c>
      <c r="C6057" s="1" t="n">
        <v>45363</v>
      </c>
      <c r="D6057" t="inlineStr">
        <is>
          <t>JÄMTLANDS LÄN</t>
        </is>
      </c>
      <c r="E6057" t="inlineStr">
        <is>
          <t>STRÖMSUND</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29000-2022</t>
        </is>
      </c>
      <c r="B6058" s="1" t="n">
        <v>44749</v>
      </c>
      <c r="C6058" s="1" t="n">
        <v>45363</v>
      </c>
      <c r="D6058" t="inlineStr">
        <is>
          <t>JÄMTLANDS LÄN</t>
        </is>
      </c>
      <c r="E6058" t="inlineStr">
        <is>
          <t>HÄRJEDALEN</t>
        </is>
      </c>
      <c r="F6058" t="inlineStr">
        <is>
          <t>Kyrkan</t>
        </is>
      </c>
      <c r="G6058" t="n">
        <v>16.7</v>
      </c>
      <c r="H6058" t="n">
        <v>0</v>
      </c>
      <c r="I6058" t="n">
        <v>0</v>
      </c>
      <c r="J6058" t="n">
        <v>0</v>
      </c>
      <c r="K6058" t="n">
        <v>0</v>
      </c>
      <c r="L6058" t="n">
        <v>0</v>
      </c>
      <c r="M6058" t="n">
        <v>0</v>
      </c>
      <c r="N6058" t="n">
        <v>0</v>
      </c>
      <c r="O6058" t="n">
        <v>0</v>
      </c>
      <c r="P6058" t="n">
        <v>0</v>
      </c>
      <c r="Q6058" t="n">
        <v>0</v>
      </c>
      <c r="R6058" s="2" t="inlineStr"/>
    </row>
    <row r="6059" ht="15" customHeight="1">
      <c r="A6059" t="inlineStr">
        <is>
          <t>A 29042-2022</t>
        </is>
      </c>
      <c r="B6059" s="1" t="n">
        <v>44749</v>
      </c>
      <c r="C6059" s="1" t="n">
        <v>45363</v>
      </c>
      <c r="D6059" t="inlineStr">
        <is>
          <t>JÄMTLANDS LÄN</t>
        </is>
      </c>
      <c r="E6059" t="inlineStr">
        <is>
          <t>STRÖMSUND</t>
        </is>
      </c>
      <c r="F6059" t="inlineStr">
        <is>
          <t>SCA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29050-2022</t>
        </is>
      </c>
      <c r="B6060" s="1" t="n">
        <v>44750</v>
      </c>
      <c r="C6060" s="1" t="n">
        <v>45363</v>
      </c>
      <c r="D6060" t="inlineStr">
        <is>
          <t>JÄMTLANDS LÄN</t>
        </is>
      </c>
      <c r="E6060" t="inlineStr">
        <is>
          <t>KROKOM</t>
        </is>
      </c>
      <c r="F6060" t="inlineStr">
        <is>
          <t>SCA</t>
        </is>
      </c>
      <c r="G6060" t="n">
        <v>10.8</v>
      </c>
      <c r="H6060" t="n">
        <v>0</v>
      </c>
      <c r="I6060" t="n">
        <v>0</v>
      </c>
      <c r="J6060" t="n">
        <v>0</v>
      </c>
      <c r="K6060" t="n">
        <v>0</v>
      </c>
      <c r="L6060" t="n">
        <v>0</v>
      </c>
      <c r="M6060" t="n">
        <v>0</v>
      </c>
      <c r="N6060" t="n">
        <v>0</v>
      </c>
      <c r="O6060" t="n">
        <v>0</v>
      </c>
      <c r="P6060" t="n">
        <v>0</v>
      </c>
      <c r="Q6060" t="n">
        <v>0</v>
      </c>
      <c r="R6060" s="2" t="inlineStr"/>
    </row>
    <row r="6061" ht="15" customHeight="1">
      <c r="A6061" t="inlineStr">
        <is>
          <t>A 29045-2022</t>
        </is>
      </c>
      <c r="B6061" s="1" t="n">
        <v>44750</v>
      </c>
      <c r="C6061" s="1" t="n">
        <v>45363</v>
      </c>
      <c r="D6061" t="inlineStr">
        <is>
          <t>JÄMTLANDS LÄN</t>
        </is>
      </c>
      <c r="E6061" t="inlineStr">
        <is>
          <t>STRÖMSUND</t>
        </is>
      </c>
      <c r="F6061" t="inlineStr">
        <is>
          <t>SCA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28869-2022</t>
        </is>
      </c>
      <c r="B6062" s="1" t="n">
        <v>44749</v>
      </c>
      <c r="C6062" s="1" t="n">
        <v>45363</v>
      </c>
      <c r="D6062" t="inlineStr">
        <is>
          <t>JÄMTLANDS LÄN</t>
        </is>
      </c>
      <c r="E6062" t="inlineStr">
        <is>
          <t>STRÖMSUND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29033-2022</t>
        </is>
      </c>
      <c r="B6063" s="1" t="n">
        <v>44750</v>
      </c>
      <c r="C6063" s="1" t="n">
        <v>45363</v>
      </c>
      <c r="D6063" t="inlineStr">
        <is>
          <t>JÄMTLANDS LÄN</t>
        </is>
      </c>
      <c r="E6063" t="inlineStr">
        <is>
          <t>STRÖMSUND</t>
        </is>
      </c>
      <c r="F6063" t="inlineStr">
        <is>
          <t>SCA</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29043-2022</t>
        </is>
      </c>
      <c r="B6064" s="1" t="n">
        <v>44749</v>
      </c>
      <c r="C6064" s="1" t="n">
        <v>45363</v>
      </c>
      <c r="D6064" t="inlineStr">
        <is>
          <t>JÄMTLANDS LÄN</t>
        </is>
      </c>
      <c r="E6064" t="inlineStr">
        <is>
          <t>STRÖMSUND</t>
        </is>
      </c>
      <c r="F6064" t="inlineStr">
        <is>
          <t>SCA</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29094-2022</t>
        </is>
      </c>
      <c r="B6065" s="1" t="n">
        <v>44750</v>
      </c>
      <c r="C6065" s="1" t="n">
        <v>45363</v>
      </c>
      <c r="D6065" t="inlineStr">
        <is>
          <t>JÄMTLANDS LÄN</t>
        </is>
      </c>
      <c r="E6065" t="inlineStr">
        <is>
          <t>ÖSTERSUND</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29187-2022</t>
        </is>
      </c>
      <c r="B6066" s="1" t="n">
        <v>44750</v>
      </c>
      <c r="C6066" s="1" t="n">
        <v>45363</v>
      </c>
      <c r="D6066" t="inlineStr">
        <is>
          <t>JÄMTLANDS LÄN</t>
        </is>
      </c>
      <c r="E6066" t="inlineStr">
        <is>
          <t>KROKOM</t>
        </is>
      </c>
      <c r="F6066" t="inlineStr">
        <is>
          <t>Övriga Aktiebolag</t>
        </is>
      </c>
      <c r="G6066" t="n">
        <v>20.4</v>
      </c>
      <c r="H6066" t="n">
        <v>0</v>
      </c>
      <c r="I6066" t="n">
        <v>0</v>
      </c>
      <c r="J6066" t="n">
        <v>0</v>
      </c>
      <c r="K6066" t="n">
        <v>0</v>
      </c>
      <c r="L6066" t="n">
        <v>0</v>
      </c>
      <c r="M6066" t="n">
        <v>0</v>
      </c>
      <c r="N6066" t="n">
        <v>0</v>
      </c>
      <c r="O6066" t="n">
        <v>0</v>
      </c>
      <c r="P6066" t="n">
        <v>0</v>
      </c>
      <c r="Q6066" t="n">
        <v>0</v>
      </c>
      <c r="R6066" s="2" t="inlineStr"/>
    </row>
    <row r="6067" ht="15" customHeight="1">
      <c r="A6067" t="inlineStr">
        <is>
          <t>A 29245-2022</t>
        </is>
      </c>
      <c r="B6067" s="1" t="n">
        <v>44750</v>
      </c>
      <c r="C6067" s="1" t="n">
        <v>45363</v>
      </c>
      <c r="D6067" t="inlineStr">
        <is>
          <t>JÄMTLANDS LÄN</t>
        </is>
      </c>
      <c r="E6067" t="inlineStr">
        <is>
          <t>KROKOM</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29295-2022</t>
        </is>
      </c>
      <c r="B6068" s="1" t="n">
        <v>44751</v>
      </c>
      <c r="C6068" s="1" t="n">
        <v>45363</v>
      </c>
      <c r="D6068" t="inlineStr">
        <is>
          <t>JÄMTLANDS LÄN</t>
        </is>
      </c>
      <c r="E6068" t="inlineStr">
        <is>
          <t>STRÖMSUND</t>
        </is>
      </c>
      <c r="F6068" t="inlineStr">
        <is>
          <t>SCA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29128-2022</t>
        </is>
      </c>
      <c r="B6069" s="1" t="n">
        <v>44750</v>
      </c>
      <c r="C6069" s="1" t="n">
        <v>45363</v>
      </c>
      <c r="D6069" t="inlineStr">
        <is>
          <t>JÄMTLANDS LÄN</t>
        </is>
      </c>
      <c r="E6069" t="inlineStr">
        <is>
          <t>ÖSTERSUND</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29238-2022</t>
        </is>
      </c>
      <c r="B6070" s="1" t="n">
        <v>44750</v>
      </c>
      <c r="C6070" s="1" t="n">
        <v>45363</v>
      </c>
      <c r="D6070" t="inlineStr">
        <is>
          <t>JÄMTLANDS LÄN</t>
        </is>
      </c>
      <c r="E6070" t="inlineStr">
        <is>
          <t>KROKOM</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29276-2022</t>
        </is>
      </c>
      <c r="B6071" s="1" t="n">
        <v>44750</v>
      </c>
      <c r="C6071" s="1" t="n">
        <v>45363</v>
      </c>
      <c r="D6071" t="inlineStr">
        <is>
          <t>JÄMTLANDS LÄN</t>
        </is>
      </c>
      <c r="E6071" t="inlineStr">
        <is>
          <t>STRÖMSUND</t>
        </is>
      </c>
      <c r="G6071" t="n">
        <v>18.8</v>
      </c>
      <c r="H6071" t="n">
        <v>0</v>
      </c>
      <c r="I6071" t="n">
        <v>0</v>
      </c>
      <c r="J6071" t="n">
        <v>0</v>
      </c>
      <c r="K6071" t="n">
        <v>0</v>
      </c>
      <c r="L6071" t="n">
        <v>0</v>
      </c>
      <c r="M6071" t="n">
        <v>0</v>
      </c>
      <c r="N6071" t="n">
        <v>0</v>
      </c>
      <c r="O6071" t="n">
        <v>0</v>
      </c>
      <c r="P6071" t="n">
        <v>0</v>
      </c>
      <c r="Q6071" t="n">
        <v>0</v>
      </c>
      <c r="R6071" s="2" t="inlineStr"/>
    </row>
    <row r="6072" ht="15" customHeight="1">
      <c r="A6072" t="inlineStr">
        <is>
          <t>A 29353-2022</t>
        </is>
      </c>
      <c r="B6072" s="1" t="n">
        <v>44750</v>
      </c>
      <c r="C6072" s="1" t="n">
        <v>45363</v>
      </c>
      <c r="D6072" t="inlineStr">
        <is>
          <t>JÄMTLANDS LÄN</t>
        </is>
      </c>
      <c r="E6072" t="inlineStr">
        <is>
          <t>STRÖMSUND</t>
        </is>
      </c>
      <c r="G6072" t="n">
        <v>7.4</v>
      </c>
      <c r="H6072" t="n">
        <v>0</v>
      </c>
      <c r="I6072" t="n">
        <v>0</v>
      </c>
      <c r="J6072" t="n">
        <v>0</v>
      </c>
      <c r="K6072" t="n">
        <v>0</v>
      </c>
      <c r="L6072" t="n">
        <v>0</v>
      </c>
      <c r="M6072" t="n">
        <v>0</v>
      </c>
      <c r="N6072" t="n">
        <v>0</v>
      </c>
      <c r="O6072" t="n">
        <v>0</v>
      </c>
      <c r="P6072" t="n">
        <v>0</v>
      </c>
      <c r="Q6072" t="n">
        <v>0</v>
      </c>
      <c r="R6072" s="2" t="inlineStr"/>
    </row>
    <row r="6073" ht="15" customHeight="1">
      <c r="A6073" t="inlineStr">
        <is>
          <t>A 29296-2022</t>
        </is>
      </c>
      <c r="B6073" s="1" t="n">
        <v>44751</v>
      </c>
      <c r="C6073" s="1" t="n">
        <v>45363</v>
      </c>
      <c r="D6073" t="inlineStr">
        <is>
          <t>JÄMTLANDS LÄN</t>
        </is>
      </c>
      <c r="E6073" t="inlineStr">
        <is>
          <t>STRÖMSUND</t>
        </is>
      </c>
      <c r="F6073" t="inlineStr">
        <is>
          <t>SCA</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29314-2022</t>
        </is>
      </c>
      <c r="B6074" s="1" t="n">
        <v>44751</v>
      </c>
      <c r="C6074" s="1" t="n">
        <v>45363</v>
      </c>
      <c r="D6074" t="inlineStr">
        <is>
          <t>JÄMTLANDS LÄN</t>
        </is>
      </c>
      <c r="E6074" t="inlineStr">
        <is>
          <t>KROKOM</t>
        </is>
      </c>
      <c r="F6074" t="inlineStr">
        <is>
          <t>SCA</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29325-2022</t>
        </is>
      </c>
      <c r="B6075" s="1" t="n">
        <v>44752</v>
      </c>
      <c r="C6075" s="1" t="n">
        <v>45363</v>
      </c>
      <c r="D6075" t="inlineStr">
        <is>
          <t>JÄMTLANDS LÄN</t>
        </is>
      </c>
      <c r="E6075" t="inlineStr">
        <is>
          <t>BRÄCKE</t>
        </is>
      </c>
      <c r="G6075" t="n">
        <v>8.300000000000001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29498-2022</t>
        </is>
      </c>
      <c r="B6076" s="1" t="n">
        <v>44753</v>
      </c>
      <c r="C6076" s="1" t="n">
        <v>45363</v>
      </c>
      <c r="D6076" t="inlineStr">
        <is>
          <t>JÄMTLANDS LÄN</t>
        </is>
      </c>
      <c r="E6076" t="inlineStr">
        <is>
          <t>BERG</t>
        </is>
      </c>
      <c r="F6076" t="inlineStr">
        <is>
          <t>Sveaskog</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29385-2022</t>
        </is>
      </c>
      <c r="B6077" s="1" t="n">
        <v>44753</v>
      </c>
      <c r="C6077" s="1" t="n">
        <v>45363</v>
      </c>
      <c r="D6077" t="inlineStr">
        <is>
          <t>JÄMTLANDS LÄN</t>
        </is>
      </c>
      <c r="E6077" t="inlineStr">
        <is>
          <t>ÅRE</t>
        </is>
      </c>
      <c r="F6077" t="inlineStr">
        <is>
          <t>Sveaskog</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29383-2022</t>
        </is>
      </c>
      <c r="B6078" s="1" t="n">
        <v>44753</v>
      </c>
      <c r="C6078" s="1" t="n">
        <v>45363</v>
      </c>
      <c r="D6078" t="inlineStr">
        <is>
          <t>JÄMTLANDS LÄN</t>
        </is>
      </c>
      <c r="E6078" t="inlineStr">
        <is>
          <t>ÅRE</t>
        </is>
      </c>
      <c r="F6078" t="inlineStr">
        <is>
          <t>Sveaskog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29455-2022</t>
        </is>
      </c>
      <c r="B6079" s="1" t="n">
        <v>44753</v>
      </c>
      <c r="C6079" s="1" t="n">
        <v>45363</v>
      </c>
      <c r="D6079" t="inlineStr">
        <is>
          <t>JÄMTLANDS LÄN</t>
        </is>
      </c>
      <c r="E6079" t="inlineStr">
        <is>
          <t>HÄRJEDALEN</t>
        </is>
      </c>
      <c r="F6079" t="inlineStr">
        <is>
          <t>Bergvik skog väst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29537-2022</t>
        </is>
      </c>
      <c r="B6080" s="1" t="n">
        <v>44754</v>
      </c>
      <c r="C6080" s="1" t="n">
        <v>45363</v>
      </c>
      <c r="D6080" t="inlineStr">
        <is>
          <t>JÄMTLANDS LÄN</t>
        </is>
      </c>
      <c r="E6080" t="inlineStr">
        <is>
          <t>RAGUNDA</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29545-2022</t>
        </is>
      </c>
      <c r="B6081" s="1" t="n">
        <v>44753</v>
      </c>
      <c r="C6081" s="1" t="n">
        <v>45363</v>
      </c>
      <c r="D6081" t="inlineStr">
        <is>
          <t>JÄMTLANDS LÄN</t>
        </is>
      </c>
      <c r="E6081" t="inlineStr">
        <is>
          <t>STRÖMSUND</t>
        </is>
      </c>
      <c r="F6081" t="inlineStr">
        <is>
          <t>SCA</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29541-2022</t>
        </is>
      </c>
      <c r="B6082" s="1" t="n">
        <v>44754</v>
      </c>
      <c r="C6082" s="1" t="n">
        <v>45363</v>
      </c>
      <c r="D6082" t="inlineStr">
        <is>
          <t>JÄMTLANDS LÄN</t>
        </is>
      </c>
      <c r="E6082" t="inlineStr">
        <is>
          <t>STRÖMSUND</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29540-2022</t>
        </is>
      </c>
      <c r="B6083" s="1" t="n">
        <v>44754</v>
      </c>
      <c r="C6083" s="1" t="n">
        <v>45363</v>
      </c>
      <c r="D6083" t="inlineStr">
        <is>
          <t>JÄMTLANDS LÄN</t>
        </is>
      </c>
      <c r="E6083" t="inlineStr">
        <is>
          <t>STRÖMSUND</t>
        </is>
      </c>
      <c r="F6083" t="inlineStr">
        <is>
          <t>SCA</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29550-2022</t>
        </is>
      </c>
      <c r="B6084" s="1" t="n">
        <v>44754</v>
      </c>
      <c r="C6084" s="1" t="n">
        <v>45363</v>
      </c>
      <c r="D6084" t="inlineStr">
        <is>
          <t>JÄMTLANDS LÄN</t>
        </is>
      </c>
      <c r="E6084" t="inlineStr">
        <is>
          <t>STRÖMSUND</t>
        </is>
      </c>
      <c r="F6084" t="inlineStr">
        <is>
          <t>Holmen skog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29821-2022</t>
        </is>
      </c>
      <c r="B6085" s="1" t="n">
        <v>44756</v>
      </c>
      <c r="C6085" s="1" t="n">
        <v>45363</v>
      </c>
      <c r="D6085" t="inlineStr">
        <is>
          <t>JÄMTLANDS LÄN</t>
        </is>
      </c>
      <c r="E6085" t="inlineStr">
        <is>
          <t>BRÄCKE</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29830-2022</t>
        </is>
      </c>
      <c r="B6086" s="1" t="n">
        <v>44755</v>
      </c>
      <c r="C6086" s="1" t="n">
        <v>45363</v>
      </c>
      <c r="D6086" t="inlineStr">
        <is>
          <t>JÄMTLANDS LÄN</t>
        </is>
      </c>
      <c r="E6086" t="inlineStr">
        <is>
          <t>STRÖMSUND</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29835-2022</t>
        </is>
      </c>
      <c r="B6087" s="1" t="n">
        <v>44756</v>
      </c>
      <c r="C6087" s="1" t="n">
        <v>45363</v>
      </c>
      <c r="D6087" t="inlineStr">
        <is>
          <t>JÄMTLANDS LÄN</t>
        </is>
      </c>
      <c r="E6087" t="inlineStr">
        <is>
          <t>BRÄCKE</t>
        </is>
      </c>
      <c r="F6087" t="inlineStr">
        <is>
          <t>SCA</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29820-2022</t>
        </is>
      </c>
      <c r="B6088" s="1" t="n">
        <v>44756</v>
      </c>
      <c r="C6088" s="1" t="n">
        <v>45363</v>
      </c>
      <c r="D6088" t="inlineStr">
        <is>
          <t>JÄMTLANDS LÄN</t>
        </is>
      </c>
      <c r="E6088" t="inlineStr">
        <is>
          <t>BRÄCKE</t>
        </is>
      </c>
      <c r="F6088" t="inlineStr">
        <is>
          <t>SCA</t>
        </is>
      </c>
      <c r="G6088" t="n">
        <v>10.9</v>
      </c>
      <c r="H6088" t="n">
        <v>0</v>
      </c>
      <c r="I6088" t="n">
        <v>0</v>
      </c>
      <c r="J6088" t="n">
        <v>0</v>
      </c>
      <c r="K6088" t="n">
        <v>0</v>
      </c>
      <c r="L6088" t="n">
        <v>0</v>
      </c>
      <c r="M6088" t="n">
        <v>0</v>
      </c>
      <c r="N6088" t="n">
        <v>0</v>
      </c>
      <c r="O6088" t="n">
        <v>0</v>
      </c>
      <c r="P6088" t="n">
        <v>0</v>
      </c>
      <c r="Q6088" t="n">
        <v>0</v>
      </c>
      <c r="R6088" s="2" t="inlineStr"/>
    </row>
    <row r="6089" ht="15" customHeight="1">
      <c r="A6089" t="inlineStr">
        <is>
          <t>A 29829-2022</t>
        </is>
      </c>
      <c r="B6089" s="1" t="n">
        <v>44755</v>
      </c>
      <c r="C6089" s="1" t="n">
        <v>45363</v>
      </c>
      <c r="D6089" t="inlineStr">
        <is>
          <t>JÄMTLANDS LÄN</t>
        </is>
      </c>
      <c r="E6089" t="inlineStr">
        <is>
          <t>ÖSTERSUND</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29819-2022</t>
        </is>
      </c>
      <c r="B6090" s="1" t="n">
        <v>44755</v>
      </c>
      <c r="C6090" s="1" t="n">
        <v>45363</v>
      </c>
      <c r="D6090" t="inlineStr">
        <is>
          <t>JÄMTLANDS LÄN</t>
        </is>
      </c>
      <c r="E6090" t="inlineStr">
        <is>
          <t>BRÄCKE</t>
        </is>
      </c>
      <c r="F6090" t="inlineStr">
        <is>
          <t>SCA</t>
        </is>
      </c>
      <c r="G6090" t="n">
        <v>28.8</v>
      </c>
      <c r="H6090" t="n">
        <v>0</v>
      </c>
      <c r="I6090" t="n">
        <v>0</v>
      </c>
      <c r="J6090" t="n">
        <v>0</v>
      </c>
      <c r="K6090" t="n">
        <v>0</v>
      </c>
      <c r="L6090" t="n">
        <v>0</v>
      </c>
      <c r="M6090" t="n">
        <v>0</v>
      </c>
      <c r="N6090" t="n">
        <v>0</v>
      </c>
      <c r="O6090" t="n">
        <v>0</v>
      </c>
      <c r="P6090" t="n">
        <v>0</v>
      </c>
      <c r="Q6090" t="n">
        <v>0</v>
      </c>
      <c r="R6090" s="2" t="inlineStr"/>
    </row>
    <row r="6091" ht="15" customHeight="1">
      <c r="A6091" t="inlineStr">
        <is>
          <t>A 29828-2022</t>
        </is>
      </c>
      <c r="B6091" s="1" t="n">
        <v>44755</v>
      </c>
      <c r="C6091" s="1" t="n">
        <v>45363</v>
      </c>
      <c r="D6091" t="inlineStr">
        <is>
          <t>JÄMTLANDS LÄN</t>
        </is>
      </c>
      <c r="E6091" t="inlineStr">
        <is>
          <t>ÖSTERSUND</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29875-2022</t>
        </is>
      </c>
      <c r="B6092" s="1" t="n">
        <v>44756</v>
      </c>
      <c r="C6092" s="1" t="n">
        <v>45363</v>
      </c>
      <c r="D6092" t="inlineStr">
        <is>
          <t>JÄMTLANDS LÄN</t>
        </is>
      </c>
      <c r="E6092" t="inlineStr">
        <is>
          <t>STRÖMSUND</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30021-2022</t>
        </is>
      </c>
      <c r="B6093" s="1" t="n">
        <v>44757</v>
      </c>
      <c r="C6093" s="1" t="n">
        <v>45363</v>
      </c>
      <c r="D6093" t="inlineStr">
        <is>
          <t>JÄMTLANDS LÄN</t>
        </is>
      </c>
      <c r="E6093" t="inlineStr">
        <is>
          <t>STRÖMSUND</t>
        </is>
      </c>
      <c r="F6093" t="inlineStr">
        <is>
          <t>SCA</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30036-2022</t>
        </is>
      </c>
      <c r="B6094" s="1" t="n">
        <v>44756</v>
      </c>
      <c r="C6094" s="1" t="n">
        <v>45363</v>
      </c>
      <c r="D6094" t="inlineStr">
        <is>
          <t>JÄMTLANDS LÄN</t>
        </is>
      </c>
      <c r="E6094" t="inlineStr">
        <is>
          <t>STRÖMSUND</t>
        </is>
      </c>
      <c r="F6094" t="inlineStr">
        <is>
          <t>SCA</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30024-2022</t>
        </is>
      </c>
      <c r="B6095" s="1" t="n">
        <v>44757</v>
      </c>
      <c r="C6095" s="1" t="n">
        <v>45363</v>
      </c>
      <c r="D6095" t="inlineStr">
        <is>
          <t>JÄMTLANDS LÄN</t>
        </is>
      </c>
      <c r="E6095" t="inlineStr">
        <is>
          <t>STRÖMSUND</t>
        </is>
      </c>
      <c r="F6095" t="inlineStr">
        <is>
          <t>SCA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30031-2022</t>
        </is>
      </c>
      <c r="B6096" s="1" t="n">
        <v>44757</v>
      </c>
      <c r="C6096" s="1" t="n">
        <v>45363</v>
      </c>
      <c r="D6096" t="inlineStr">
        <is>
          <t>JÄMTLANDS LÄN</t>
        </is>
      </c>
      <c r="E6096" t="inlineStr">
        <is>
          <t>STRÖMSUND</t>
        </is>
      </c>
      <c r="F6096" t="inlineStr">
        <is>
          <t>SCA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30023-2022</t>
        </is>
      </c>
      <c r="B6097" s="1" t="n">
        <v>44757</v>
      </c>
      <c r="C6097" s="1" t="n">
        <v>45363</v>
      </c>
      <c r="D6097" t="inlineStr">
        <is>
          <t>JÄMTLANDS LÄN</t>
        </is>
      </c>
      <c r="E6097" t="inlineStr">
        <is>
          <t>STRÖMSUND</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30030-2022</t>
        </is>
      </c>
      <c r="B6098" s="1" t="n">
        <v>44757</v>
      </c>
      <c r="C6098" s="1" t="n">
        <v>45363</v>
      </c>
      <c r="D6098" t="inlineStr">
        <is>
          <t>JÄMTLANDS LÄN</t>
        </is>
      </c>
      <c r="E6098" t="inlineStr">
        <is>
          <t>STRÖMSUND</t>
        </is>
      </c>
      <c r="F6098" t="inlineStr">
        <is>
          <t>SCA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30022-2022</t>
        </is>
      </c>
      <c r="B6099" s="1" t="n">
        <v>44756</v>
      </c>
      <c r="C6099" s="1" t="n">
        <v>45363</v>
      </c>
      <c r="D6099" t="inlineStr">
        <is>
          <t>JÄMTLANDS LÄN</t>
        </is>
      </c>
      <c r="E6099" t="inlineStr">
        <is>
          <t>STRÖMSUND</t>
        </is>
      </c>
      <c r="F6099" t="inlineStr">
        <is>
          <t>SCA</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30037-2022</t>
        </is>
      </c>
      <c r="B6100" s="1" t="n">
        <v>44757</v>
      </c>
      <c r="C6100" s="1" t="n">
        <v>45363</v>
      </c>
      <c r="D6100" t="inlineStr">
        <is>
          <t>JÄMTLANDS LÄN</t>
        </is>
      </c>
      <c r="E6100" t="inlineStr">
        <is>
          <t>STRÖMSUND</t>
        </is>
      </c>
      <c r="F6100" t="inlineStr">
        <is>
          <t>SCA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30042-2022</t>
        </is>
      </c>
      <c r="B6101" s="1" t="n">
        <v>44757</v>
      </c>
      <c r="C6101" s="1" t="n">
        <v>45363</v>
      </c>
      <c r="D6101" t="inlineStr">
        <is>
          <t>JÄMTLANDS LÄN</t>
        </is>
      </c>
      <c r="E6101" t="inlineStr">
        <is>
          <t>STRÖMSUND</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30046-2022</t>
        </is>
      </c>
      <c r="B6102" s="1" t="n">
        <v>44757</v>
      </c>
      <c r="C6102" s="1" t="n">
        <v>45363</v>
      </c>
      <c r="D6102" t="inlineStr">
        <is>
          <t>JÄMTLANDS LÄN</t>
        </is>
      </c>
      <c r="E6102" t="inlineStr">
        <is>
          <t>STRÖMSUND</t>
        </is>
      </c>
      <c r="F6102" t="inlineStr">
        <is>
          <t>SCA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30044-2022</t>
        </is>
      </c>
      <c r="B6103" s="1" t="n">
        <v>44756</v>
      </c>
      <c r="C6103" s="1" t="n">
        <v>45363</v>
      </c>
      <c r="D6103" t="inlineStr">
        <is>
          <t>JÄMTLANDS LÄN</t>
        </is>
      </c>
      <c r="E6103" t="inlineStr">
        <is>
          <t>STRÖMSUND</t>
        </is>
      </c>
      <c r="F6103" t="inlineStr">
        <is>
          <t>SCA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30160-2022</t>
        </is>
      </c>
      <c r="B6104" s="1" t="n">
        <v>44757</v>
      </c>
      <c r="C6104" s="1" t="n">
        <v>45363</v>
      </c>
      <c r="D6104" t="inlineStr">
        <is>
          <t>JÄMTLANDS LÄN</t>
        </is>
      </c>
      <c r="E6104" t="inlineStr">
        <is>
          <t>KROKOM</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30086-2022</t>
        </is>
      </c>
      <c r="B6105" s="1" t="n">
        <v>44757</v>
      </c>
      <c r="C6105" s="1" t="n">
        <v>45363</v>
      </c>
      <c r="D6105" t="inlineStr">
        <is>
          <t>JÄMTLANDS LÄN</t>
        </is>
      </c>
      <c r="E6105" t="inlineStr">
        <is>
          <t>STRÖMSUND</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30058-2022</t>
        </is>
      </c>
      <c r="B6106" s="1" t="n">
        <v>44757</v>
      </c>
      <c r="C6106" s="1" t="n">
        <v>45363</v>
      </c>
      <c r="D6106" t="inlineStr">
        <is>
          <t>JÄMTLANDS LÄN</t>
        </is>
      </c>
      <c r="E6106" t="inlineStr">
        <is>
          <t>KROKOM</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30082-2022</t>
        </is>
      </c>
      <c r="B6107" s="1" t="n">
        <v>44757</v>
      </c>
      <c r="C6107" s="1" t="n">
        <v>45363</v>
      </c>
      <c r="D6107" t="inlineStr">
        <is>
          <t>JÄMTLANDS LÄN</t>
        </is>
      </c>
      <c r="E6107" t="inlineStr">
        <is>
          <t>HÄRJEDALEN</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30158-2022</t>
        </is>
      </c>
      <c r="B6108" s="1" t="n">
        <v>44757</v>
      </c>
      <c r="C6108" s="1" t="n">
        <v>45363</v>
      </c>
      <c r="D6108" t="inlineStr">
        <is>
          <t>JÄMTLANDS LÄN</t>
        </is>
      </c>
      <c r="E6108" t="inlineStr">
        <is>
          <t>KROKOM</t>
        </is>
      </c>
      <c r="F6108" t="inlineStr">
        <is>
          <t>SCA</t>
        </is>
      </c>
      <c r="G6108" t="n">
        <v>9.6</v>
      </c>
      <c r="H6108" t="n">
        <v>0</v>
      </c>
      <c r="I6108" t="n">
        <v>0</v>
      </c>
      <c r="J6108" t="n">
        <v>0</v>
      </c>
      <c r="K6108" t="n">
        <v>0</v>
      </c>
      <c r="L6108" t="n">
        <v>0</v>
      </c>
      <c r="M6108" t="n">
        <v>0</v>
      </c>
      <c r="N6108" t="n">
        <v>0</v>
      </c>
      <c r="O6108" t="n">
        <v>0</v>
      </c>
      <c r="P6108" t="n">
        <v>0</v>
      </c>
      <c r="Q6108" t="n">
        <v>0</v>
      </c>
      <c r="R6108" s="2" t="inlineStr"/>
    </row>
    <row r="6109" ht="15" customHeight="1">
      <c r="A6109" t="inlineStr">
        <is>
          <t>A 30187-2022</t>
        </is>
      </c>
      <c r="B6109" s="1" t="n">
        <v>44757</v>
      </c>
      <c r="C6109" s="1" t="n">
        <v>45363</v>
      </c>
      <c r="D6109" t="inlineStr">
        <is>
          <t>JÄMTLANDS LÄN</t>
        </is>
      </c>
      <c r="E6109" t="inlineStr">
        <is>
          <t>BERG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30219-2022</t>
        </is>
      </c>
      <c r="B6110" s="1" t="n">
        <v>44758</v>
      </c>
      <c r="C6110" s="1" t="n">
        <v>45363</v>
      </c>
      <c r="D6110" t="inlineStr">
        <is>
          <t>JÄMTLANDS LÄN</t>
        </is>
      </c>
      <c r="E6110" t="inlineStr">
        <is>
          <t>STRÖMSUND</t>
        </is>
      </c>
      <c r="F6110" t="inlineStr">
        <is>
          <t>SCA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30220-2022</t>
        </is>
      </c>
      <c r="B6111" s="1" t="n">
        <v>44758</v>
      </c>
      <c r="C6111" s="1" t="n">
        <v>45363</v>
      </c>
      <c r="D6111" t="inlineStr">
        <is>
          <t>JÄMTLANDS LÄN</t>
        </is>
      </c>
      <c r="E6111" t="inlineStr">
        <is>
          <t>STRÖMSUND</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30225-2022</t>
        </is>
      </c>
      <c r="B6112" s="1" t="n">
        <v>44758</v>
      </c>
      <c r="C6112" s="1" t="n">
        <v>45363</v>
      </c>
      <c r="D6112" t="inlineStr">
        <is>
          <t>JÄMTLANDS LÄN</t>
        </is>
      </c>
      <c r="E6112" t="inlineStr">
        <is>
          <t>STRÖMSUND</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30229-2022</t>
        </is>
      </c>
      <c r="B6113" s="1" t="n">
        <v>44758</v>
      </c>
      <c r="C6113" s="1" t="n">
        <v>45363</v>
      </c>
      <c r="D6113" t="inlineStr">
        <is>
          <t>JÄMTLANDS LÄN</t>
        </is>
      </c>
      <c r="E6113" t="inlineStr">
        <is>
          <t>STRÖMSUND</t>
        </is>
      </c>
      <c r="F6113" t="inlineStr">
        <is>
          <t>SCA</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30217-2022</t>
        </is>
      </c>
      <c r="B6114" s="1" t="n">
        <v>44758</v>
      </c>
      <c r="C6114" s="1" t="n">
        <v>45363</v>
      </c>
      <c r="D6114" t="inlineStr">
        <is>
          <t>JÄMTLANDS LÄN</t>
        </is>
      </c>
      <c r="E6114" t="inlineStr">
        <is>
          <t>ÖSTERSUND</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30223-2022</t>
        </is>
      </c>
      <c r="B6115" s="1" t="n">
        <v>44758</v>
      </c>
      <c r="C6115" s="1" t="n">
        <v>45363</v>
      </c>
      <c r="D6115" t="inlineStr">
        <is>
          <t>JÄMTLANDS LÄN</t>
        </is>
      </c>
      <c r="E6115" t="inlineStr">
        <is>
          <t>STRÖMSUND</t>
        </is>
      </c>
      <c r="F6115" t="inlineStr">
        <is>
          <t>SCA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30227-2022</t>
        </is>
      </c>
      <c r="B6116" s="1" t="n">
        <v>44758</v>
      </c>
      <c r="C6116" s="1" t="n">
        <v>45363</v>
      </c>
      <c r="D6116" t="inlineStr">
        <is>
          <t>JÄMTLANDS LÄN</t>
        </is>
      </c>
      <c r="E6116" t="inlineStr">
        <is>
          <t>STRÖMSUND</t>
        </is>
      </c>
      <c r="F6116" t="inlineStr">
        <is>
          <t>SCA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30232-2022</t>
        </is>
      </c>
      <c r="B6117" s="1" t="n">
        <v>44758</v>
      </c>
      <c r="C6117" s="1" t="n">
        <v>45363</v>
      </c>
      <c r="D6117" t="inlineStr">
        <is>
          <t>JÄMTLANDS LÄN</t>
        </is>
      </c>
      <c r="E6117" t="inlineStr">
        <is>
          <t>STRÖMSUND</t>
        </is>
      </c>
      <c r="F6117" t="inlineStr">
        <is>
          <t>SCA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30226-2022</t>
        </is>
      </c>
      <c r="B6118" s="1" t="n">
        <v>44757</v>
      </c>
      <c r="C6118" s="1" t="n">
        <v>45363</v>
      </c>
      <c r="D6118" t="inlineStr">
        <is>
          <t>JÄMTLANDS LÄN</t>
        </is>
      </c>
      <c r="E6118" t="inlineStr">
        <is>
          <t>STRÖMSUND</t>
        </is>
      </c>
      <c r="F6118" t="inlineStr">
        <is>
          <t>SCA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30230-2022</t>
        </is>
      </c>
      <c r="B6119" s="1" t="n">
        <v>44757</v>
      </c>
      <c r="C6119" s="1" t="n">
        <v>45363</v>
      </c>
      <c r="D6119" t="inlineStr">
        <is>
          <t>JÄMTLANDS LÄN</t>
        </is>
      </c>
      <c r="E6119" t="inlineStr">
        <is>
          <t>STRÖMSUND</t>
        </is>
      </c>
      <c r="F6119" t="inlineStr">
        <is>
          <t>SCA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30258-2022</t>
        </is>
      </c>
      <c r="B6120" s="1" t="n">
        <v>44759</v>
      </c>
      <c r="C6120" s="1" t="n">
        <v>45363</v>
      </c>
      <c r="D6120" t="inlineStr">
        <is>
          <t>JÄMTLANDS LÄN</t>
        </is>
      </c>
      <c r="E6120" t="inlineStr">
        <is>
          <t>BRÄCKE</t>
        </is>
      </c>
      <c r="F6120" t="inlineStr">
        <is>
          <t>SCA</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30479-2022</t>
        </is>
      </c>
      <c r="B6121" s="1" t="n">
        <v>44762</v>
      </c>
      <c r="C6121" s="1" t="n">
        <v>45363</v>
      </c>
      <c r="D6121" t="inlineStr">
        <is>
          <t>JÄMTLANDS LÄN</t>
        </is>
      </c>
      <c r="E6121" t="inlineStr">
        <is>
          <t>BRÄCKE</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30490-2022</t>
        </is>
      </c>
      <c r="B6122" s="1" t="n">
        <v>44761</v>
      </c>
      <c r="C6122" s="1" t="n">
        <v>45363</v>
      </c>
      <c r="D6122" t="inlineStr">
        <is>
          <t>JÄMTLANDS LÄN</t>
        </is>
      </c>
      <c r="E6122" t="inlineStr">
        <is>
          <t>BRÄCKE</t>
        </is>
      </c>
      <c r="F6122" t="inlineStr">
        <is>
          <t>SCA</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30496-2022</t>
        </is>
      </c>
      <c r="B6123" s="1" t="n">
        <v>44762</v>
      </c>
      <c r="C6123" s="1" t="n">
        <v>45363</v>
      </c>
      <c r="D6123" t="inlineStr">
        <is>
          <t>JÄMTLANDS LÄN</t>
        </is>
      </c>
      <c r="E6123" t="inlineStr">
        <is>
          <t>STRÖMSUND</t>
        </is>
      </c>
      <c r="F6123" t="inlineStr">
        <is>
          <t>SCA</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30478-2022</t>
        </is>
      </c>
      <c r="B6124" s="1" t="n">
        <v>44761</v>
      </c>
      <c r="C6124" s="1" t="n">
        <v>45363</v>
      </c>
      <c r="D6124" t="inlineStr">
        <is>
          <t>JÄMTLANDS LÄN</t>
        </is>
      </c>
      <c r="E6124" t="inlineStr">
        <is>
          <t>BRÄCKE</t>
        </is>
      </c>
      <c r="F6124" t="inlineStr">
        <is>
          <t>SCA</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30609-2022</t>
        </is>
      </c>
      <c r="B6125" s="1" t="n">
        <v>44761</v>
      </c>
      <c r="C6125" s="1" t="n">
        <v>45363</v>
      </c>
      <c r="D6125" t="inlineStr">
        <is>
          <t>JÄMTLANDS LÄN</t>
        </is>
      </c>
      <c r="E6125" t="inlineStr">
        <is>
          <t>RAGUNDA</t>
        </is>
      </c>
      <c r="G6125" t="n">
        <v>2.4</v>
      </c>
      <c r="H6125" t="n">
        <v>0</v>
      </c>
      <c r="I6125" t="n">
        <v>0</v>
      </c>
      <c r="J6125" t="n">
        <v>0</v>
      </c>
      <c r="K6125" t="n">
        <v>0</v>
      </c>
      <c r="L6125" t="n">
        <v>0</v>
      </c>
      <c r="M6125" t="n">
        <v>0</v>
      </c>
      <c r="N6125" t="n">
        <v>0</v>
      </c>
      <c r="O6125" t="n">
        <v>0</v>
      </c>
      <c r="P6125" t="n">
        <v>0</v>
      </c>
      <c r="Q6125" t="n">
        <v>0</v>
      </c>
      <c r="R6125" s="2" t="inlineStr"/>
      <c r="U6125">
        <f>HYPERLINK("https://klasma.github.io/Logging_2303/knärot/A 30609-2022 karta knärot.png", "A 30609-2022")</f>
        <v/>
      </c>
      <c r="V6125">
        <f>HYPERLINK("https://klasma.github.io/Logging_2303/klagomål/A 30609-2022 FSC-klagomål.docx", "A 30609-2022")</f>
        <v/>
      </c>
      <c r="W6125">
        <f>HYPERLINK("https://klasma.github.io/Logging_2303/klagomålsmail/A 30609-2022 FSC-klagomål mail.docx", "A 30609-2022")</f>
        <v/>
      </c>
      <c r="X6125">
        <f>HYPERLINK("https://klasma.github.io/Logging_2303/tillsyn/A 30609-2022 tillsynsbegäran.docx", "A 30609-2022")</f>
        <v/>
      </c>
      <c r="Y6125">
        <f>HYPERLINK("https://klasma.github.io/Logging_2303/tillsynsmail/A 30609-2022 tillsynsbegäran mail.docx", "A 30609-2022")</f>
        <v/>
      </c>
    </row>
    <row r="6126" ht="15" customHeight="1">
      <c r="A6126" t="inlineStr">
        <is>
          <t>A 30483-2022</t>
        </is>
      </c>
      <c r="B6126" s="1" t="n">
        <v>44762</v>
      </c>
      <c r="C6126" s="1" t="n">
        <v>45363</v>
      </c>
      <c r="D6126" t="inlineStr">
        <is>
          <t>JÄMTLANDS LÄN</t>
        </is>
      </c>
      <c r="E6126" t="inlineStr">
        <is>
          <t>BRÄCKE</t>
        </is>
      </c>
      <c r="F6126" t="inlineStr">
        <is>
          <t>SCA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30480-2022</t>
        </is>
      </c>
      <c r="B6127" s="1" t="n">
        <v>44762</v>
      </c>
      <c r="C6127" s="1" t="n">
        <v>45363</v>
      </c>
      <c r="D6127" t="inlineStr">
        <is>
          <t>JÄMTLANDS LÄN</t>
        </is>
      </c>
      <c r="E6127" t="inlineStr">
        <is>
          <t>BRÄCKE</t>
        </is>
      </c>
      <c r="F6127" t="inlineStr">
        <is>
          <t>SCA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30603-2022</t>
        </is>
      </c>
      <c r="B6128" s="1" t="n">
        <v>44763</v>
      </c>
      <c r="C6128" s="1" t="n">
        <v>45363</v>
      </c>
      <c r="D6128" t="inlineStr">
        <is>
          <t>JÄMTLANDS LÄN</t>
        </is>
      </c>
      <c r="E6128" t="inlineStr">
        <is>
          <t>BRÄCKE</t>
        </is>
      </c>
      <c r="F6128" t="inlineStr">
        <is>
          <t>SCA</t>
        </is>
      </c>
      <c r="G6128" t="n">
        <v>18.6</v>
      </c>
      <c r="H6128" t="n">
        <v>0</v>
      </c>
      <c r="I6128" t="n">
        <v>0</v>
      </c>
      <c r="J6128" t="n">
        <v>0</v>
      </c>
      <c r="K6128" t="n">
        <v>0</v>
      </c>
      <c r="L6128" t="n">
        <v>0</v>
      </c>
      <c r="M6128" t="n">
        <v>0</v>
      </c>
      <c r="N6128" t="n">
        <v>0</v>
      </c>
      <c r="O6128" t="n">
        <v>0</v>
      </c>
      <c r="P6128" t="n">
        <v>0</v>
      </c>
      <c r="Q6128" t="n">
        <v>0</v>
      </c>
      <c r="R6128" s="2" t="inlineStr"/>
    </row>
    <row r="6129" ht="15" customHeight="1">
      <c r="A6129" t="inlineStr">
        <is>
          <t>A 30537-2022</t>
        </is>
      </c>
      <c r="B6129" s="1" t="n">
        <v>44762</v>
      </c>
      <c r="C6129" s="1" t="n">
        <v>45363</v>
      </c>
      <c r="D6129" t="inlineStr">
        <is>
          <t>JÄMTLANDS LÄN</t>
        </is>
      </c>
      <c r="E6129" t="inlineStr">
        <is>
          <t>HÄRJEDALEN</t>
        </is>
      </c>
      <c r="F6129" t="inlineStr">
        <is>
          <t>Bergvik skog väst AB</t>
        </is>
      </c>
      <c r="G6129" t="n">
        <v>18.5</v>
      </c>
      <c r="H6129" t="n">
        <v>0</v>
      </c>
      <c r="I6129" t="n">
        <v>0</v>
      </c>
      <c r="J6129" t="n">
        <v>0</v>
      </c>
      <c r="K6129" t="n">
        <v>0</v>
      </c>
      <c r="L6129" t="n">
        <v>0</v>
      </c>
      <c r="M6129" t="n">
        <v>0</v>
      </c>
      <c r="N6129" t="n">
        <v>0</v>
      </c>
      <c r="O6129" t="n">
        <v>0</v>
      </c>
      <c r="P6129" t="n">
        <v>0</v>
      </c>
      <c r="Q6129" t="n">
        <v>0</v>
      </c>
      <c r="R6129" s="2" t="inlineStr"/>
    </row>
    <row r="6130" ht="15" customHeight="1">
      <c r="A6130" t="inlineStr">
        <is>
          <t>A 30604-2022</t>
        </is>
      </c>
      <c r="B6130" s="1" t="n">
        <v>44763</v>
      </c>
      <c r="C6130" s="1" t="n">
        <v>45363</v>
      </c>
      <c r="D6130" t="inlineStr">
        <is>
          <t>JÄMTLANDS LÄN</t>
        </is>
      </c>
      <c r="E6130" t="inlineStr">
        <is>
          <t>BRÄCKE</t>
        </is>
      </c>
      <c r="F6130" t="inlineStr">
        <is>
          <t>SCA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30643-2022</t>
        </is>
      </c>
      <c r="B6131" s="1" t="n">
        <v>44763</v>
      </c>
      <c r="C6131" s="1" t="n">
        <v>45363</v>
      </c>
      <c r="D6131" t="inlineStr">
        <is>
          <t>JÄMTLANDS LÄN</t>
        </is>
      </c>
      <c r="E6131" t="inlineStr">
        <is>
          <t>HÄRJEDALEN</t>
        </is>
      </c>
      <c r="F6131" t="inlineStr">
        <is>
          <t>Bergvik skog väst AB</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30719-2022</t>
        </is>
      </c>
      <c r="B6132" s="1" t="n">
        <v>44764</v>
      </c>
      <c r="C6132" s="1" t="n">
        <v>45363</v>
      </c>
      <c r="D6132" t="inlineStr">
        <is>
          <t>JÄMTLANDS LÄN</t>
        </is>
      </c>
      <c r="E6132" t="inlineStr">
        <is>
          <t>BRÄCKE</t>
        </is>
      </c>
      <c r="F6132" t="inlineStr">
        <is>
          <t>SCA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30728-2022</t>
        </is>
      </c>
      <c r="B6133" s="1" t="n">
        <v>44764</v>
      </c>
      <c r="C6133" s="1" t="n">
        <v>45363</v>
      </c>
      <c r="D6133" t="inlineStr">
        <is>
          <t>JÄMTLANDS LÄN</t>
        </is>
      </c>
      <c r="E6133" t="inlineStr">
        <is>
          <t>KROKOM</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30729-2022</t>
        </is>
      </c>
      <c r="B6134" s="1" t="n">
        <v>44764</v>
      </c>
      <c r="C6134" s="1" t="n">
        <v>45363</v>
      </c>
      <c r="D6134" t="inlineStr">
        <is>
          <t>JÄMTLANDS LÄN</t>
        </is>
      </c>
      <c r="E6134" t="inlineStr">
        <is>
          <t>KROKOM</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30765-2022</t>
        </is>
      </c>
      <c r="B6135" s="1" t="n">
        <v>44764</v>
      </c>
      <c r="C6135" s="1" t="n">
        <v>45363</v>
      </c>
      <c r="D6135" t="inlineStr">
        <is>
          <t>JÄMTLANDS LÄN</t>
        </is>
      </c>
      <c r="E6135" t="inlineStr">
        <is>
          <t>BERG</t>
        </is>
      </c>
      <c r="F6135" t="inlineStr">
        <is>
          <t>Sveaskog</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30810-2022</t>
        </is>
      </c>
      <c r="B6136" s="1" t="n">
        <v>44765</v>
      </c>
      <c r="C6136" s="1" t="n">
        <v>45363</v>
      </c>
      <c r="D6136" t="inlineStr">
        <is>
          <t>JÄMTLANDS LÄN</t>
        </is>
      </c>
      <c r="E6136" t="inlineStr">
        <is>
          <t>BRÄCKE</t>
        </is>
      </c>
      <c r="F6136" t="inlineStr">
        <is>
          <t>SCA</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30811-2022</t>
        </is>
      </c>
      <c r="B6137" s="1" t="n">
        <v>44764</v>
      </c>
      <c r="C6137" s="1" t="n">
        <v>45363</v>
      </c>
      <c r="D6137" t="inlineStr">
        <is>
          <t>JÄMTLANDS LÄN</t>
        </is>
      </c>
      <c r="E6137" t="inlineStr">
        <is>
          <t>BRÄCKE</t>
        </is>
      </c>
      <c r="F6137" t="inlineStr">
        <is>
          <t>SCA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30931-2022</t>
        </is>
      </c>
      <c r="B6138" s="1" t="n">
        <v>44768</v>
      </c>
      <c r="C6138" s="1" t="n">
        <v>45363</v>
      </c>
      <c r="D6138" t="inlineStr">
        <is>
          <t>JÄMTLANDS LÄN</t>
        </is>
      </c>
      <c r="E6138" t="inlineStr">
        <is>
          <t>RAGUNDA</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30962-2022</t>
        </is>
      </c>
      <c r="B6139" s="1" t="n">
        <v>44768</v>
      </c>
      <c r="C6139" s="1" t="n">
        <v>45363</v>
      </c>
      <c r="D6139" t="inlineStr">
        <is>
          <t>JÄMTLANDS LÄN</t>
        </is>
      </c>
      <c r="E6139" t="inlineStr">
        <is>
          <t>HÄRJEDALEN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31061-2022</t>
        </is>
      </c>
      <c r="B6140" s="1" t="n">
        <v>44769</v>
      </c>
      <c r="C6140" s="1" t="n">
        <v>45363</v>
      </c>
      <c r="D6140" t="inlineStr">
        <is>
          <t>JÄMTLANDS LÄN</t>
        </is>
      </c>
      <c r="E6140" t="inlineStr">
        <is>
          <t>HÄRJEDALEN</t>
        </is>
      </c>
      <c r="F6140" t="inlineStr">
        <is>
          <t>Bergvik skog väst AB</t>
        </is>
      </c>
      <c r="G6140" t="n">
        <v>15.8</v>
      </c>
      <c r="H6140" t="n">
        <v>0</v>
      </c>
      <c r="I6140" t="n">
        <v>0</v>
      </c>
      <c r="J6140" t="n">
        <v>0</v>
      </c>
      <c r="K6140" t="n">
        <v>0</v>
      </c>
      <c r="L6140" t="n">
        <v>0</v>
      </c>
      <c r="M6140" t="n">
        <v>0</v>
      </c>
      <c r="N6140" t="n">
        <v>0</v>
      </c>
      <c r="O6140" t="n">
        <v>0</v>
      </c>
      <c r="P6140" t="n">
        <v>0</v>
      </c>
      <c r="Q6140" t="n">
        <v>0</v>
      </c>
      <c r="R6140" s="2" t="inlineStr"/>
    </row>
    <row r="6141" ht="15" customHeight="1">
      <c r="A6141" t="inlineStr">
        <is>
          <t>A 31167-2022</t>
        </is>
      </c>
      <c r="B6141" s="1" t="n">
        <v>44770</v>
      </c>
      <c r="C6141" s="1" t="n">
        <v>45363</v>
      </c>
      <c r="D6141" t="inlineStr">
        <is>
          <t>JÄMTLANDS LÄN</t>
        </is>
      </c>
      <c r="E6141" t="inlineStr">
        <is>
          <t>HÄRJEDALEN</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31371-2022</t>
        </is>
      </c>
      <c r="B6142" s="1" t="n">
        <v>44774</v>
      </c>
      <c r="C6142" s="1" t="n">
        <v>45363</v>
      </c>
      <c r="D6142" t="inlineStr">
        <is>
          <t>JÄMTLANDS LÄN</t>
        </is>
      </c>
      <c r="E6142" t="inlineStr">
        <is>
          <t>BERG</t>
        </is>
      </c>
      <c r="F6142" t="inlineStr">
        <is>
          <t>Sveaskog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31375-2022</t>
        </is>
      </c>
      <c r="B6143" s="1" t="n">
        <v>44774</v>
      </c>
      <c r="C6143" s="1" t="n">
        <v>45363</v>
      </c>
      <c r="D6143" t="inlineStr">
        <is>
          <t>JÄMTLANDS LÄN</t>
        </is>
      </c>
      <c r="E6143" t="inlineStr">
        <is>
          <t>BERG</t>
        </is>
      </c>
      <c r="F6143" t="inlineStr">
        <is>
          <t>Sveaskog</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31436-2022</t>
        </is>
      </c>
      <c r="B6144" s="1" t="n">
        <v>44774</v>
      </c>
      <c r="C6144" s="1" t="n">
        <v>45363</v>
      </c>
      <c r="D6144" t="inlineStr">
        <is>
          <t>JÄMTLANDS LÄN</t>
        </is>
      </c>
      <c r="E6144" t="inlineStr">
        <is>
          <t>RAGUNDA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31443-2022</t>
        </is>
      </c>
      <c r="B6145" s="1" t="n">
        <v>44775</v>
      </c>
      <c r="C6145" s="1" t="n">
        <v>45363</v>
      </c>
      <c r="D6145" t="inlineStr">
        <is>
          <t>JÄMTLANDS LÄN</t>
        </is>
      </c>
      <c r="E6145" t="inlineStr">
        <is>
          <t>STRÖMSUND</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31447-2022</t>
        </is>
      </c>
      <c r="B6146" s="1" t="n">
        <v>44775</v>
      </c>
      <c r="C6146" s="1" t="n">
        <v>45363</v>
      </c>
      <c r="D6146" t="inlineStr">
        <is>
          <t>JÄMTLANDS LÄN</t>
        </is>
      </c>
      <c r="E6146" t="inlineStr">
        <is>
          <t>STRÖMSUND</t>
        </is>
      </c>
      <c r="F6146" t="inlineStr">
        <is>
          <t>SCA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31448-2022</t>
        </is>
      </c>
      <c r="B6147" s="1" t="n">
        <v>44775</v>
      </c>
      <c r="C6147" s="1" t="n">
        <v>45363</v>
      </c>
      <c r="D6147" t="inlineStr">
        <is>
          <t>JÄMTLANDS LÄN</t>
        </is>
      </c>
      <c r="E6147" t="inlineStr">
        <is>
          <t>STRÖMSUND</t>
        </is>
      </c>
      <c r="F6147" t="inlineStr">
        <is>
          <t>SCA</t>
        </is>
      </c>
      <c r="G6147" t="n">
        <v>7.4</v>
      </c>
      <c r="H6147" t="n">
        <v>0</v>
      </c>
      <c r="I6147" t="n">
        <v>0</v>
      </c>
      <c r="J6147" t="n">
        <v>0</v>
      </c>
      <c r="K6147" t="n">
        <v>0</v>
      </c>
      <c r="L6147" t="n">
        <v>0</v>
      </c>
      <c r="M6147" t="n">
        <v>0</v>
      </c>
      <c r="N6147" t="n">
        <v>0</v>
      </c>
      <c r="O6147" t="n">
        <v>0</v>
      </c>
      <c r="P6147" t="n">
        <v>0</v>
      </c>
      <c r="Q6147" t="n">
        <v>0</v>
      </c>
      <c r="R6147" s="2" t="inlineStr"/>
    </row>
    <row r="6148" ht="15" customHeight="1">
      <c r="A6148" t="inlineStr">
        <is>
          <t>A 31445-2022</t>
        </is>
      </c>
      <c r="B6148" s="1" t="n">
        <v>44775</v>
      </c>
      <c r="C6148" s="1" t="n">
        <v>45363</v>
      </c>
      <c r="D6148" t="inlineStr">
        <is>
          <t>JÄMTLANDS LÄN</t>
        </is>
      </c>
      <c r="E6148" t="inlineStr">
        <is>
          <t>STRÖMSUND</t>
        </is>
      </c>
      <c r="F6148" t="inlineStr">
        <is>
          <t>SCA</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31449-2022</t>
        </is>
      </c>
      <c r="B6149" s="1" t="n">
        <v>44775</v>
      </c>
      <c r="C6149" s="1" t="n">
        <v>45363</v>
      </c>
      <c r="D6149" t="inlineStr">
        <is>
          <t>JÄMTLANDS LÄN</t>
        </is>
      </c>
      <c r="E6149" t="inlineStr">
        <is>
          <t>STRÖMSUND</t>
        </is>
      </c>
      <c r="F6149" t="inlineStr">
        <is>
          <t>SCA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31467-2022</t>
        </is>
      </c>
      <c r="B6150" s="1" t="n">
        <v>44774</v>
      </c>
      <c r="C6150" s="1" t="n">
        <v>45363</v>
      </c>
      <c r="D6150" t="inlineStr">
        <is>
          <t>JÄMTLANDS LÄN</t>
        </is>
      </c>
      <c r="E6150" t="inlineStr">
        <is>
          <t>BRÄCKE</t>
        </is>
      </c>
      <c r="F6150" t="inlineStr">
        <is>
          <t>SCA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31484-2022</t>
        </is>
      </c>
      <c r="B6151" s="1" t="n">
        <v>44775</v>
      </c>
      <c r="C6151" s="1" t="n">
        <v>45363</v>
      </c>
      <c r="D6151" t="inlineStr">
        <is>
          <t>JÄMTLANDS LÄN</t>
        </is>
      </c>
      <c r="E6151" t="inlineStr">
        <is>
          <t>RAGUNDA</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31485-2022</t>
        </is>
      </c>
      <c r="B6152" s="1" t="n">
        <v>44775</v>
      </c>
      <c r="C6152" s="1" t="n">
        <v>45363</v>
      </c>
      <c r="D6152" t="inlineStr">
        <is>
          <t>JÄMTLANDS LÄN</t>
        </is>
      </c>
      <c r="E6152" t="inlineStr">
        <is>
          <t>STRÖMSUND</t>
        </is>
      </c>
      <c r="F6152" t="inlineStr">
        <is>
          <t>SCA</t>
        </is>
      </c>
      <c r="G6152" t="n">
        <v>13.1</v>
      </c>
      <c r="H6152" t="n">
        <v>0</v>
      </c>
      <c r="I6152" t="n">
        <v>0</v>
      </c>
      <c r="J6152" t="n">
        <v>0</v>
      </c>
      <c r="K6152" t="n">
        <v>0</v>
      </c>
      <c r="L6152" t="n">
        <v>0</v>
      </c>
      <c r="M6152" t="n">
        <v>0</v>
      </c>
      <c r="N6152" t="n">
        <v>0</v>
      </c>
      <c r="O6152" t="n">
        <v>0</v>
      </c>
      <c r="P6152" t="n">
        <v>0</v>
      </c>
      <c r="Q6152" t="n">
        <v>0</v>
      </c>
      <c r="R6152" s="2" t="inlineStr"/>
    </row>
    <row r="6153" ht="15" customHeight="1">
      <c r="A6153" t="inlineStr">
        <is>
          <t>A 31501-2022</t>
        </is>
      </c>
      <c r="B6153" s="1" t="n">
        <v>44775</v>
      </c>
      <c r="C6153" s="1" t="n">
        <v>45363</v>
      </c>
      <c r="D6153" t="inlineStr">
        <is>
          <t>JÄMTLANDS LÄN</t>
        </is>
      </c>
      <c r="E6153" t="inlineStr">
        <is>
          <t>STRÖMSUND</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31505-2022</t>
        </is>
      </c>
      <c r="B6154" s="1" t="n">
        <v>44775</v>
      </c>
      <c r="C6154" s="1" t="n">
        <v>45363</v>
      </c>
      <c r="D6154" t="inlineStr">
        <is>
          <t>JÄMTLANDS LÄN</t>
        </is>
      </c>
      <c r="E6154" t="inlineStr">
        <is>
          <t>STRÖMSUND</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31509-2022</t>
        </is>
      </c>
      <c r="B6155" s="1" t="n">
        <v>44775</v>
      </c>
      <c r="C6155" s="1" t="n">
        <v>45363</v>
      </c>
      <c r="D6155" t="inlineStr">
        <is>
          <t>JÄMTLANDS LÄN</t>
        </is>
      </c>
      <c r="E6155" t="inlineStr">
        <is>
          <t>STRÖMSUND</t>
        </is>
      </c>
      <c r="F6155" t="inlineStr">
        <is>
          <t>SCA</t>
        </is>
      </c>
      <c r="G6155" t="n">
        <v>20.7</v>
      </c>
      <c r="H6155" t="n">
        <v>0</v>
      </c>
      <c r="I6155" t="n">
        <v>0</v>
      </c>
      <c r="J6155" t="n">
        <v>0</v>
      </c>
      <c r="K6155" t="n">
        <v>0</v>
      </c>
      <c r="L6155" t="n">
        <v>0</v>
      </c>
      <c r="M6155" t="n">
        <v>0</v>
      </c>
      <c r="N6155" t="n">
        <v>0</v>
      </c>
      <c r="O6155" t="n">
        <v>0</v>
      </c>
      <c r="P6155" t="n">
        <v>0</v>
      </c>
      <c r="Q6155" t="n">
        <v>0</v>
      </c>
      <c r="R6155" s="2" t="inlineStr"/>
    </row>
    <row r="6156" ht="15" customHeight="1">
      <c r="A6156" t="inlineStr">
        <is>
          <t>A 31435-2022</t>
        </is>
      </c>
      <c r="B6156" s="1" t="n">
        <v>44774</v>
      </c>
      <c r="C6156" s="1" t="n">
        <v>45363</v>
      </c>
      <c r="D6156" t="inlineStr">
        <is>
          <t>JÄMTLANDS LÄN</t>
        </is>
      </c>
      <c r="E6156" t="inlineStr">
        <is>
          <t>RAGUNDA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31442-2022</t>
        </is>
      </c>
      <c r="B6157" s="1" t="n">
        <v>44774</v>
      </c>
      <c r="C6157" s="1" t="n">
        <v>45363</v>
      </c>
      <c r="D6157" t="inlineStr">
        <is>
          <t>JÄMTLANDS LÄN</t>
        </is>
      </c>
      <c r="E6157" t="inlineStr">
        <is>
          <t>STRÖMSUND</t>
        </is>
      </c>
      <c r="F6157" t="inlineStr">
        <is>
          <t>SCA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31446-2022</t>
        </is>
      </c>
      <c r="B6158" s="1" t="n">
        <v>44775</v>
      </c>
      <c r="C6158" s="1" t="n">
        <v>45363</v>
      </c>
      <c r="D6158" t="inlineStr">
        <is>
          <t>JÄMTLANDS LÄN</t>
        </is>
      </c>
      <c r="E6158" t="inlineStr">
        <is>
          <t>STRÖMSUND</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31466-2022</t>
        </is>
      </c>
      <c r="B6159" s="1" t="n">
        <v>44774</v>
      </c>
      <c r="C6159" s="1" t="n">
        <v>45363</v>
      </c>
      <c r="D6159" t="inlineStr">
        <is>
          <t>JÄMTLANDS LÄN</t>
        </is>
      </c>
      <c r="E6159" t="inlineStr">
        <is>
          <t>BRÄCKE</t>
        </is>
      </c>
      <c r="F6159" t="inlineStr">
        <is>
          <t>SCA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31503-2022</t>
        </is>
      </c>
      <c r="B6160" s="1" t="n">
        <v>44775</v>
      </c>
      <c r="C6160" s="1" t="n">
        <v>45363</v>
      </c>
      <c r="D6160" t="inlineStr">
        <is>
          <t>JÄMTLANDS LÄN</t>
        </is>
      </c>
      <c r="E6160" t="inlineStr">
        <is>
          <t>STRÖMSUND</t>
        </is>
      </c>
      <c r="F6160" t="inlineStr">
        <is>
          <t>SCA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31521-2022</t>
        </is>
      </c>
      <c r="B6161" s="1" t="n">
        <v>44775</v>
      </c>
      <c r="C6161" s="1" t="n">
        <v>45363</v>
      </c>
      <c r="D6161" t="inlineStr">
        <is>
          <t>JÄMTLANDS LÄN</t>
        </is>
      </c>
      <c r="E6161" t="inlineStr">
        <is>
          <t>BRÄCKE</t>
        </is>
      </c>
      <c r="F6161" t="inlineStr">
        <is>
          <t>SCA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31499-2022</t>
        </is>
      </c>
      <c r="B6162" s="1" t="n">
        <v>44775</v>
      </c>
      <c r="C6162" s="1" t="n">
        <v>45363</v>
      </c>
      <c r="D6162" t="inlineStr">
        <is>
          <t>JÄMTLANDS LÄN</t>
        </is>
      </c>
      <c r="E6162" t="inlineStr">
        <is>
          <t>STRÖMSUND</t>
        </is>
      </c>
      <c r="F6162" t="inlineStr">
        <is>
          <t>SCA</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31504-2022</t>
        </is>
      </c>
      <c r="B6163" s="1" t="n">
        <v>44775</v>
      </c>
      <c r="C6163" s="1" t="n">
        <v>45363</v>
      </c>
      <c r="D6163" t="inlineStr">
        <is>
          <t>JÄMTLANDS LÄN</t>
        </is>
      </c>
      <c r="E6163" t="inlineStr">
        <is>
          <t>STRÖMSUND</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31508-2022</t>
        </is>
      </c>
      <c r="B6164" s="1" t="n">
        <v>44775</v>
      </c>
      <c r="C6164" s="1" t="n">
        <v>45363</v>
      </c>
      <c r="D6164" t="inlineStr">
        <is>
          <t>JÄMTLANDS LÄN</t>
        </is>
      </c>
      <c r="E6164" t="inlineStr">
        <is>
          <t>STRÖMSUND</t>
        </is>
      </c>
      <c r="F6164" t="inlineStr">
        <is>
          <t>SCA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31520-2022</t>
        </is>
      </c>
      <c r="B6165" s="1" t="n">
        <v>44775</v>
      </c>
      <c r="C6165" s="1" t="n">
        <v>45363</v>
      </c>
      <c r="D6165" t="inlineStr">
        <is>
          <t>JÄMTLANDS LÄN</t>
        </is>
      </c>
      <c r="E6165" t="inlineStr">
        <is>
          <t>BRÄCKE</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31502-2022</t>
        </is>
      </c>
      <c r="B6166" s="1" t="n">
        <v>44775</v>
      </c>
      <c r="C6166" s="1" t="n">
        <v>45363</v>
      </c>
      <c r="D6166" t="inlineStr">
        <is>
          <t>JÄMTLANDS LÄN</t>
        </is>
      </c>
      <c r="E6166" t="inlineStr">
        <is>
          <t>STRÖMSUND</t>
        </is>
      </c>
      <c r="F6166" t="inlineStr">
        <is>
          <t>SCA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31506-2022</t>
        </is>
      </c>
      <c r="B6167" s="1" t="n">
        <v>44774</v>
      </c>
      <c r="C6167" s="1" t="n">
        <v>45363</v>
      </c>
      <c r="D6167" t="inlineStr">
        <is>
          <t>JÄMTLANDS LÄN</t>
        </is>
      </c>
      <c r="E6167" t="inlineStr">
        <is>
          <t>STRÖMSUND</t>
        </is>
      </c>
      <c r="F6167" t="inlineStr">
        <is>
          <t>SCA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31516-2022</t>
        </is>
      </c>
      <c r="B6168" s="1" t="n">
        <v>44775</v>
      </c>
      <c r="C6168" s="1" t="n">
        <v>45363</v>
      </c>
      <c r="D6168" t="inlineStr">
        <is>
          <t>JÄMTLANDS LÄN</t>
        </is>
      </c>
      <c r="E6168" t="inlineStr">
        <is>
          <t>BRÄCKE</t>
        </is>
      </c>
      <c r="F6168" t="inlineStr">
        <is>
          <t>SCA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31507-2022</t>
        </is>
      </c>
      <c r="B6169" s="1" t="n">
        <v>44774</v>
      </c>
      <c r="C6169" s="1" t="n">
        <v>45363</v>
      </c>
      <c r="D6169" t="inlineStr">
        <is>
          <t>JÄMTLANDS LÄN</t>
        </is>
      </c>
      <c r="E6169" t="inlineStr">
        <is>
          <t>STRÖMSUND</t>
        </is>
      </c>
      <c r="F6169" t="inlineStr">
        <is>
          <t>SCA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31519-2022</t>
        </is>
      </c>
      <c r="B6170" s="1" t="n">
        <v>44775</v>
      </c>
      <c r="C6170" s="1" t="n">
        <v>45363</v>
      </c>
      <c r="D6170" t="inlineStr">
        <is>
          <t>JÄMTLANDS LÄN</t>
        </is>
      </c>
      <c r="E6170" t="inlineStr">
        <is>
          <t>STRÖMSUND</t>
        </is>
      </c>
      <c r="F6170" t="inlineStr">
        <is>
          <t>SCA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31564-2022</t>
        </is>
      </c>
      <c r="B6171" s="1" t="n">
        <v>44775</v>
      </c>
      <c r="C6171" s="1" t="n">
        <v>45363</v>
      </c>
      <c r="D6171" t="inlineStr">
        <is>
          <t>JÄMTLANDS LÄN</t>
        </is>
      </c>
      <c r="E6171" t="inlineStr">
        <is>
          <t>BERG</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31641-2022</t>
        </is>
      </c>
      <c r="B6172" s="1" t="n">
        <v>44776</v>
      </c>
      <c r="C6172" s="1" t="n">
        <v>45363</v>
      </c>
      <c r="D6172" t="inlineStr">
        <is>
          <t>JÄMTLANDS LÄN</t>
        </is>
      </c>
      <c r="E6172" t="inlineStr">
        <is>
          <t>BERG</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31638-2022</t>
        </is>
      </c>
      <c r="B6173" s="1" t="n">
        <v>44775</v>
      </c>
      <c r="C6173" s="1" t="n">
        <v>45363</v>
      </c>
      <c r="D6173" t="inlineStr">
        <is>
          <t>JÄMTLANDS LÄN</t>
        </is>
      </c>
      <c r="E6173" t="inlineStr">
        <is>
          <t>BERG</t>
        </is>
      </c>
      <c r="F6173" t="inlineStr">
        <is>
          <t>SCA</t>
        </is>
      </c>
      <c r="G6173" t="n">
        <v>15.3</v>
      </c>
      <c r="H6173" t="n">
        <v>0</v>
      </c>
      <c r="I6173" t="n">
        <v>0</v>
      </c>
      <c r="J6173" t="n">
        <v>0</v>
      </c>
      <c r="K6173" t="n">
        <v>0</v>
      </c>
      <c r="L6173" t="n">
        <v>0</v>
      </c>
      <c r="M6173" t="n">
        <v>0</v>
      </c>
      <c r="N6173" t="n">
        <v>0</v>
      </c>
      <c r="O6173" t="n">
        <v>0</v>
      </c>
      <c r="P6173" t="n">
        <v>0</v>
      </c>
      <c r="Q6173" t="n">
        <v>0</v>
      </c>
      <c r="R6173" s="2" t="inlineStr"/>
    </row>
    <row r="6174" ht="15" customHeight="1">
      <c r="A6174" t="inlineStr">
        <is>
          <t>A 31657-2022</t>
        </is>
      </c>
      <c r="B6174" s="1" t="n">
        <v>44776</v>
      </c>
      <c r="C6174" s="1" t="n">
        <v>45363</v>
      </c>
      <c r="D6174" t="inlineStr">
        <is>
          <t>JÄMTLANDS LÄN</t>
        </is>
      </c>
      <c r="E6174" t="inlineStr">
        <is>
          <t>STRÖMSUND</t>
        </is>
      </c>
      <c r="F6174" t="inlineStr">
        <is>
          <t>SCA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31682-2022</t>
        </is>
      </c>
      <c r="B6175" s="1" t="n">
        <v>44776</v>
      </c>
      <c r="C6175" s="1" t="n">
        <v>45363</v>
      </c>
      <c r="D6175" t="inlineStr">
        <is>
          <t>JÄMTLANDS LÄN</t>
        </is>
      </c>
      <c r="E6175" t="inlineStr">
        <is>
          <t>BERG</t>
        </is>
      </c>
      <c r="G6175" t="n">
        <v>8</v>
      </c>
      <c r="H6175" t="n">
        <v>0</v>
      </c>
      <c r="I6175" t="n">
        <v>0</v>
      </c>
      <c r="J6175" t="n">
        <v>0</v>
      </c>
      <c r="K6175" t="n">
        <v>0</v>
      </c>
      <c r="L6175" t="n">
        <v>0</v>
      </c>
      <c r="M6175" t="n">
        <v>0</v>
      </c>
      <c r="N6175" t="n">
        <v>0</v>
      </c>
      <c r="O6175" t="n">
        <v>0</v>
      </c>
      <c r="P6175" t="n">
        <v>0</v>
      </c>
      <c r="Q6175" t="n">
        <v>0</v>
      </c>
      <c r="R6175" s="2" t="inlineStr"/>
    </row>
    <row r="6176" ht="15" customHeight="1">
      <c r="A6176" t="inlineStr">
        <is>
          <t>A 31776-2022</t>
        </is>
      </c>
      <c r="B6176" s="1" t="n">
        <v>44776</v>
      </c>
      <c r="C6176" s="1" t="n">
        <v>45363</v>
      </c>
      <c r="D6176" t="inlineStr">
        <is>
          <t>JÄMTLANDS LÄN</t>
        </is>
      </c>
      <c r="E6176" t="inlineStr">
        <is>
          <t>ÅRE</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31844-2022</t>
        </is>
      </c>
      <c r="B6177" s="1" t="n">
        <v>44777</v>
      </c>
      <c r="C6177" s="1" t="n">
        <v>45363</v>
      </c>
      <c r="D6177" t="inlineStr">
        <is>
          <t>JÄMTLANDS LÄN</t>
        </is>
      </c>
      <c r="E6177" t="inlineStr">
        <is>
          <t>BRÄCKE</t>
        </is>
      </c>
      <c r="G6177" t="n">
        <v>13.7</v>
      </c>
      <c r="H6177" t="n">
        <v>0</v>
      </c>
      <c r="I6177" t="n">
        <v>0</v>
      </c>
      <c r="J6177" t="n">
        <v>0</v>
      </c>
      <c r="K6177" t="n">
        <v>0</v>
      </c>
      <c r="L6177" t="n">
        <v>0</v>
      </c>
      <c r="M6177" t="n">
        <v>0</v>
      </c>
      <c r="N6177" t="n">
        <v>0</v>
      </c>
      <c r="O6177" t="n">
        <v>0</v>
      </c>
      <c r="P6177" t="n">
        <v>0</v>
      </c>
      <c r="Q6177" t="n">
        <v>0</v>
      </c>
      <c r="R6177" s="2" t="inlineStr"/>
    </row>
    <row r="6178" ht="15" customHeight="1">
      <c r="A6178" t="inlineStr">
        <is>
          <t>A 31854-2022</t>
        </is>
      </c>
      <c r="B6178" s="1" t="n">
        <v>44776</v>
      </c>
      <c r="C6178" s="1" t="n">
        <v>45363</v>
      </c>
      <c r="D6178" t="inlineStr">
        <is>
          <t>JÄMTLANDS LÄN</t>
        </is>
      </c>
      <c r="E6178" t="inlineStr">
        <is>
          <t>RAGUNDA</t>
        </is>
      </c>
      <c r="F6178" t="inlineStr">
        <is>
          <t>SCA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32703-2022</t>
        </is>
      </c>
      <c r="B6179" s="1" t="n">
        <v>44776</v>
      </c>
      <c r="C6179" s="1" t="n">
        <v>45363</v>
      </c>
      <c r="D6179" t="inlineStr">
        <is>
          <t>JÄMTLANDS LÄN</t>
        </is>
      </c>
      <c r="E6179" t="inlineStr">
        <is>
          <t>BERG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31849-2022</t>
        </is>
      </c>
      <c r="B6180" s="1" t="n">
        <v>44777</v>
      </c>
      <c r="C6180" s="1" t="n">
        <v>45363</v>
      </c>
      <c r="D6180" t="inlineStr">
        <is>
          <t>JÄMTLANDS LÄN</t>
        </is>
      </c>
      <c r="E6180" t="inlineStr">
        <is>
          <t>STRÖMSUND</t>
        </is>
      </c>
      <c r="F6180" t="inlineStr">
        <is>
          <t>SCA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31852-2022</t>
        </is>
      </c>
      <c r="B6181" s="1" t="n">
        <v>44776</v>
      </c>
      <c r="C6181" s="1" t="n">
        <v>45363</v>
      </c>
      <c r="D6181" t="inlineStr">
        <is>
          <t>JÄMTLANDS LÄN</t>
        </is>
      </c>
      <c r="E6181" t="inlineStr">
        <is>
          <t>STRÖMSUND</t>
        </is>
      </c>
      <c r="F6181" t="inlineStr">
        <is>
          <t>SCA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31846-2022</t>
        </is>
      </c>
      <c r="B6182" s="1" t="n">
        <v>44777</v>
      </c>
      <c r="C6182" s="1" t="n">
        <v>45363</v>
      </c>
      <c r="D6182" t="inlineStr">
        <is>
          <t>JÄMTLANDS LÄN</t>
        </is>
      </c>
      <c r="E6182" t="inlineStr">
        <is>
          <t>STRÖMSUND</t>
        </is>
      </c>
      <c r="F6182" t="inlineStr">
        <is>
          <t>SCA</t>
        </is>
      </c>
      <c r="G6182" t="n">
        <v>19.1</v>
      </c>
      <c r="H6182" t="n">
        <v>0</v>
      </c>
      <c r="I6182" t="n">
        <v>0</v>
      </c>
      <c r="J6182" t="n">
        <v>0</v>
      </c>
      <c r="K6182" t="n">
        <v>0</v>
      </c>
      <c r="L6182" t="n">
        <v>0</v>
      </c>
      <c r="M6182" t="n">
        <v>0</v>
      </c>
      <c r="N6182" t="n">
        <v>0</v>
      </c>
      <c r="O6182" t="n">
        <v>0</v>
      </c>
      <c r="P6182" t="n">
        <v>0</v>
      </c>
      <c r="Q6182" t="n">
        <v>0</v>
      </c>
      <c r="R6182" s="2" t="inlineStr"/>
    </row>
    <row r="6183" ht="15" customHeight="1">
      <c r="A6183" t="inlineStr">
        <is>
          <t>A 31841-2022</t>
        </is>
      </c>
      <c r="B6183" s="1" t="n">
        <v>44776</v>
      </c>
      <c r="C6183" s="1" t="n">
        <v>45363</v>
      </c>
      <c r="D6183" t="inlineStr">
        <is>
          <t>JÄMTLANDS LÄN</t>
        </is>
      </c>
      <c r="E6183" t="inlineStr">
        <is>
          <t>RAGUNDA</t>
        </is>
      </c>
      <c r="F6183" t="inlineStr">
        <is>
          <t>SCA</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31853-2022</t>
        </is>
      </c>
      <c r="B6184" s="1" t="n">
        <v>44776</v>
      </c>
      <c r="C6184" s="1" t="n">
        <v>45363</v>
      </c>
      <c r="D6184" t="inlineStr">
        <is>
          <t>JÄMTLANDS LÄN</t>
        </is>
      </c>
      <c r="E6184" t="inlineStr">
        <is>
          <t>BRÄCKE</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31843-2022</t>
        </is>
      </c>
      <c r="B6185" s="1" t="n">
        <v>44777</v>
      </c>
      <c r="C6185" s="1" t="n">
        <v>45363</v>
      </c>
      <c r="D6185" t="inlineStr">
        <is>
          <t>JÄMTLANDS LÄN</t>
        </is>
      </c>
      <c r="E6185" t="inlineStr">
        <is>
          <t>BRÄCKE</t>
        </is>
      </c>
      <c r="F6185" t="inlineStr">
        <is>
          <t>SCA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31970-2022</t>
        </is>
      </c>
      <c r="B6186" s="1" t="n">
        <v>44777</v>
      </c>
      <c r="C6186" s="1" t="n">
        <v>45363</v>
      </c>
      <c r="D6186" t="inlineStr">
        <is>
          <t>JÄMTLANDS LÄN</t>
        </is>
      </c>
      <c r="E6186" t="inlineStr">
        <is>
          <t>RAGUNDA</t>
        </is>
      </c>
      <c r="F6186" t="inlineStr">
        <is>
          <t>SCA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31972-2022</t>
        </is>
      </c>
      <c r="B6187" s="1" t="n">
        <v>44778</v>
      </c>
      <c r="C6187" s="1" t="n">
        <v>45363</v>
      </c>
      <c r="D6187" t="inlineStr">
        <is>
          <t>JÄMTLANDS LÄN</t>
        </is>
      </c>
      <c r="E6187" t="inlineStr">
        <is>
          <t>RAGUNDA</t>
        </is>
      </c>
      <c r="F6187" t="inlineStr">
        <is>
          <t>Naturvårdsverket</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31978-2022</t>
        </is>
      </c>
      <c r="B6188" s="1" t="n">
        <v>44778</v>
      </c>
      <c r="C6188" s="1" t="n">
        <v>45363</v>
      </c>
      <c r="D6188" t="inlineStr">
        <is>
          <t>JÄMTLANDS LÄN</t>
        </is>
      </c>
      <c r="E6188" t="inlineStr">
        <is>
          <t>BRÄCKE</t>
        </is>
      </c>
      <c r="F6188" t="inlineStr">
        <is>
          <t>SCA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31982-2022</t>
        </is>
      </c>
      <c r="B6189" s="1" t="n">
        <v>44778</v>
      </c>
      <c r="C6189" s="1" t="n">
        <v>45363</v>
      </c>
      <c r="D6189" t="inlineStr">
        <is>
          <t>JÄMTLANDS LÄN</t>
        </is>
      </c>
      <c r="E6189" t="inlineStr">
        <is>
          <t>BRÄCKE</t>
        </is>
      </c>
      <c r="F6189" t="inlineStr">
        <is>
          <t>SCA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31980-2022</t>
        </is>
      </c>
      <c r="B6190" s="1" t="n">
        <v>44777</v>
      </c>
      <c r="C6190" s="1" t="n">
        <v>45363</v>
      </c>
      <c r="D6190" t="inlineStr">
        <is>
          <t>JÄMTLANDS LÄN</t>
        </is>
      </c>
      <c r="E6190" t="inlineStr">
        <is>
          <t>BRÄCKE</t>
        </is>
      </c>
      <c r="F6190" t="inlineStr">
        <is>
          <t>SCA</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32128-2022</t>
        </is>
      </c>
      <c r="B6191" s="1" t="n">
        <v>44779</v>
      </c>
      <c r="C6191" s="1" t="n">
        <v>45363</v>
      </c>
      <c r="D6191" t="inlineStr">
        <is>
          <t>JÄMTLANDS LÄN</t>
        </is>
      </c>
      <c r="E6191" t="inlineStr">
        <is>
          <t>STRÖMSUND</t>
        </is>
      </c>
      <c r="F6191" t="inlineStr">
        <is>
          <t>SCA</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32125-2022</t>
        </is>
      </c>
      <c r="B6192" s="1" t="n">
        <v>44778</v>
      </c>
      <c r="C6192" s="1" t="n">
        <v>45363</v>
      </c>
      <c r="D6192" t="inlineStr">
        <is>
          <t>JÄMTLANDS LÄN</t>
        </is>
      </c>
      <c r="E6192" t="inlineStr">
        <is>
          <t>STRÖMSUND</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32133-2022</t>
        </is>
      </c>
      <c r="B6193" s="1" t="n">
        <v>44779</v>
      </c>
      <c r="C6193" s="1" t="n">
        <v>45363</v>
      </c>
      <c r="D6193" t="inlineStr">
        <is>
          <t>JÄMTLANDS LÄN</t>
        </is>
      </c>
      <c r="E6193" t="inlineStr">
        <is>
          <t>BERG</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32135-2022</t>
        </is>
      </c>
      <c r="B6194" s="1" t="n">
        <v>44778</v>
      </c>
      <c r="C6194" s="1" t="n">
        <v>45363</v>
      </c>
      <c r="D6194" t="inlineStr">
        <is>
          <t>JÄMTLANDS LÄN</t>
        </is>
      </c>
      <c r="E6194" t="inlineStr">
        <is>
          <t>RAGUNDA</t>
        </is>
      </c>
      <c r="F6194" t="inlineStr">
        <is>
          <t>SCA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32141-2022</t>
        </is>
      </c>
      <c r="B6195" s="1" t="n">
        <v>44779</v>
      </c>
      <c r="C6195" s="1" t="n">
        <v>45363</v>
      </c>
      <c r="D6195" t="inlineStr">
        <is>
          <t>JÄMTLANDS LÄN</t>
        </is>
      </c>
      <c r="E6195" t="inlineStr">
        <is>
          <t>BRÄCKE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32142-2022</t>
        </is>
      </c>
      <c r="B6196" s="1" t="n">
        <v>44780</v>
      </c>
      <c r="C6196" s="1" t="n">
        <v>45363</v>
      </c>
      <c r="D6196" t="inlineStr">
        <is>
          <t>JÄMTLANDS LÄN</t>
        </is>
      </c>
      <c r="E6196" t="inlineStr">
        <is>
          <t>KROKOM</t>
        </is>
      </c>
      <c r="G6196" t="n">
        <v>60.8</v>
      </c>
      <c r="H6196" t="n">
        <v>0</v>
      </c>
      <c r="I6196" t="n">
        <v>0</v>
      </c>
      <c r="J6196" t="n">
        <v>0</v>
      </c>
      <c r="K6196" t="n">
        <v>0</v>
      </c>
      <c r="L6196" t="n">
        <v>0</v>
      </c>
      <c r="M6196" t="n">
        <v>0</v>
      </c>
      <c r="N6196" t="n">
        <v>0</v>
      </c>
      <c r="O6196" t="n">
        <v>0</v>
      </c>
      <c r="P6196" t="n">
        <v>0</v>
      </c>
      <c r="Q6196" t="n">
        <v>0</v>
      </c>
      <c r="R6196" s="2" t="inlineStr"/>
    </row>
    <row r="6197" ht="15" customHeight="1">
      <c r="A6197" t="inlineStr">
        <is>
          <t>A 32212-2022</t>
        </is>
      </c>
      <c r="B6197" s="1" t="n">
        <v>44781</v>
      </c>
      <c r="C6197" s="1" t="n">
        <v>45363</v>
      </c>
      <c r="D6197" t="inlineStr">
        <is>
          <t>JÄMTLANDS LÄN</t>
        </is>
      </c>
      <c r="E6197" t="inlineStr">
        <is>
          <t>ÅRE</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32210-2022</t>
        </is>
      </c>
      <c r="B6198" s="1" t="n">
        <v>44781</v>
      </c>
      <c r="C6198" s="1" t="n">
        <v>45363</v>
      </c>
      <c r="D6198" t="inlineStr">
        <is>
          <t>JÄMTLANDS LÄN</t>
        </is>
      </c>
      <c r="E6198" t="inlineStr">
        <is>
          <t>ÅRE</t>
        </is>
      </c>
      <c r="G6198" t="n">
        <v>17.3</v>
      </c>
      <c r="H6198" t="n">
        <v>0</v>
      </c>
      <c r="I6198" t="n">
        <v>0</v>
      </c>
      <c r="J6198" t="n">
        <v>0</v>
      </c>
      <c r="K6198" t="n">
        <v>0</v>
      </c>
      <c r="L6198" t="n">
        <v>0</v>
      </c>
      <c r="M6198" t="n">
        <v>0</v>
      </c>
      <c r="N6198" t="n">
        <v>0</v>
      </c>
      <c r="O6198" t="n">
        <v>0</v>
      </c>
      <c r="P6198" t="n">
        <v>0</v>
      </c>
      <c r="Q6198" t="n">
        <v>0</v>
      </c>
      <c r="R6198" s="2" t="inlineStr"/>
    </row>
    <row r="6199" ht="15" customHeight="1">
      <c r="A6199" t="inlineStr">
        <is>
          <t>A 32307-2022</t>
        </is>
      </c>
      <c r="B6199" s="1" t="n">
        <v>44781</v>
      </c>
      <c r="C6199" s="1" t="n">
        <v>45363</v>
      </c>
      <c r="D6199" t="inlineStr">
        <is>
          <t>JÄMTLANDS LÄN</t>
        </is>
      </c>
      <c r="E6199" t="inlineStr">
        <is>
          <t>BERG</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32349-2022</t>
        </is>
      </c>
      <c r="B6200" s="1" t="n">
        <v>44782</v>
      </c>
      <c r="C6200" s="1" t="n">
        <v>45363</v>
      </c>
      <c r="D6200" t="inlineStr">
        <is>
          <t>JÄMTLANDS LÄN</t>
        </is>
      </c>
      <c r="E6200" t="inlineStr">
        <is>
          <t>STRÖMSUND</t>
        </is>
      </c>
      <c r="F6200" t="inlineStr">
        <is>
          <t>SCA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32288-2022</t>
        </is>
      </c>
      <c r="B6201" s="1" t="n">
        <v>44781</v>
      </c>
      <c r="C6201" s="1" t="n">
        <v>45363</v>
      </c>
      <c r="D6201" t="inlineStr">
        <is>
          <t>JÄMTLANDS LÄN</t>
        </is>
      </c>
      <c r="E6201" t="inlineStr">
        <is>
          <t>RAGUNDA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32357-2022</t>
        </is>
      </c>
      <c r="B6202" s="1" t="n">
        <v>44782</v>
      </c>
      <c r="C6202" s="1" t="n">
        <v>45363</v>
      </c>
      <c r="D6202" t="inlineStr">
        <is>
          <t>JÄMTLANDS LÄN</t>
        </is>
      </c>
      <c r="E6202" t="inlineStr">
        <is>
          <t>STRÖMSUND</t>
        </is>
      </c>
      <c r="F6202" t="inlineStr">
        <is>
          <t>SCA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32360-2022</t>
        </is>
      </c>
      <c r="B6203" s="1" t="n">
        <v>44782</v>
      </c>
      <c r="C6203" s="1" t="n">
        <v>45363</v>
      </c>
      <c r="D6203" t="inlineStr">
        <is>
          <t>JÄMTLANDS LÄN</t>
        </is>
      </c>
      <c r="E6203" t="inlineStr">
        <is>
          <t>STRÖMSUND</t>
        </is>
      </c>
      <c r="F6203" t="inlineStr">
        <is>
          <t>SCA</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32153-2022</t>
        </is>
      </c>
      <c r="B6204" s="1" t="n">
        <v>44781</v>
      </c>
      <c r="C6204" s="1" t="n">
        <v>45363</v>
      </c>
      <c r="D6204" t="inlineStr">
        <is>
          <t>JÄMTLANDS LÄN</t>
        </is>
      </c>
      <c r="E6204" t="inlineStr">
        <is>
          <t>STRÖMSUND</t>
        </is>
      </c>
      <c r="G6204" t="n">
        <v>27.4</v>
      </c>
      <c r="H6204" t="n">
        <v>0</v>
      </c>
      <c r="I6204" t="n">
        <v>0</v>
      </c>
      <c r="J6204" t="n">
        <v>0</v>
      </c>
      <c r="K6204" t="n">
        <v>0</v>
      </c>
      <c r="L6204" t="n">
        <v>0</v>
      </c>
      <c r="M6204" t="n">
        <v>0</v>
      </c>
      <c r="N6204" t="n">
        <v>0</v>
      </c>
      <c r="O6204" t="n">
        <v>0</v>
      </c>
      <c r="P6204" t="n">
        <v>0</v>
      </c>
      <c r="Q6204" t="n">
        <v>0</v>
      </c>
      <c r="R6204" s="2" t="inlineStr"/>
    </row>
    <row r="6205" ht="15" customHeight="1">
      <c r="A6205" t="inlineStr">
        <is>
          <t>A 32362-2022</t>
        </is>
      </c>
      <c r="B6205" s="1" t="n">
        <v>44782</v>
      </c>
      <c r="C6205" s="1" t="n">
        <v>45363</v>
      </c>
      <c r="D6205" t="inlineStr">
        <is>
          <t>JÄMTLANDS LÄN</t>
        </is>
      </c>
      <c r="E6205" t="inlineStr">
        <is>
          <t>STRÖMSUND</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32366-2022</t>
        </is>
      </c>
      <c r="B6206" s="1" t="n">
        <v>44782</v>
      </c>
      <c r="C6206" s="1" t="n">
        <v>45363</v>
      </c>
      <c r="D6206" t="inlineStr">
        <is>
          <t>JÄMTLANDS LÄN</t>
        </is>
      </c>
      <c r="E6206" t="inlineStr">
        <is>
          <t>KROKOM</t>
        </is>
      </c>
      <c r="F6206" t="inlineStr">
        <is>
          <t>SCA</t>
        </is>
      </c>
      <c r="G6206" t="n">
        <v>16.5</v>
      </c>
      <c r="H6206" t="n">
        <v>0</v>
      </c>
      <c r="I6206" t="n">
        <v>0</v>
      </c>
      <c r="J6206" t="n">
        <v>0</v>
      </c>
      <c r="K6206" t="n">
        <v>0</v>
      </c>
      <c r="L6206" t="n">
        <v>0</v>
      </c>
      <c r="M6206" t="n">
        <v>0</v>
      </c>
      <c r="N6206" t="n">
        <v>0</v>
      </c>
      <c r="O6206" t="n">
        <v>0</v>
      </c>
      <c r="P6206" t="n">
        <v>0</v>
      </c>
      <c r="Q6206" t="n">
        <v>0</v>
      </c>
      <c r="R6206" s="2" t="inlineStr"/>
    </row>
    <row r="6207" ht="15" customHeight="1">
      <c r="A6207" t="inlineStr">
        <is>
          <t>A 32533-2022</t>
        </is>
      </c>
      <c r="B6207" s="1" t="n">
        <v>44783</v>
      </c>
      <c r="C6207" s="1" t="n">
        <v>45363</v>
      </c>
      <c r="D6207" t="inlineStr">
        <is>
          <t>JÄMTLANDS LÄN</t>
        </is>
      </c>
      <c r="E6207" t="inlineStr">
        <is>
          <t>BRÄCKE</t>
        </is>
      </c>
      <c r="F6207" t="inlineStr">
        <is>
          <t>SCA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32528-2022</t>
        </is>
      </c>
      <c r="B6208" s="1" t="n">
        <v>44783</v>
      </c>
      <c r="C6208" s="1" t="n">
        <v>45363</v>
      </c>
      <c r="D6208" t="inlineStr">
        <is>
          <t>JÄMTLANDS LÄN</t>
        </is>
      </c>
      <c r="E6208" t="inlineStr">
        <is>
          <t>STRÖMSUND</t>
        </is>
      </c>
      <c r="F6208" t="inlineStr">
        <is>
          <t>SCA</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32526-2022</t>
        </is>
      </c>
      <c r="B6209" s="1" t="n">
        <v>44782</v>
      </c>
      <c r="C6209" s="1" t="n">
        <v>45363</v>
      </c>
      <c r="D6209" t="inlineStr">
        <is>
          <t>JÄMTLANDS LÄN</t>
        </is>
      </c>
      <c r="E6209" t="inlineStr">
        <is>
          <t>RAGUNDA</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32758-2022</t>
        </is>
      </c>
      <c r="B6210" s="1" t="n">
        <v>44783</v>
      </c>
      <c r="C6210" s="1" t="n">
        <v>45363</v>
      </c>
      <c r="D6210" t="inlineStr">
        <is>
          <t>JÄMTLANDS LÄN</t>
        </is>
      </c>
      <c r="E6210" t="inlineStr">
        <is>
          <t>ÅRE</t>
        </is>
      </c>
      <c r="G6210" t="n">
        <v>8.4</v>
      </c>
      <c r="H6210" t="n">
        <v>0</v>
      </c>
      <c r="I6210" t="n">
        <v>0</v>
      </c>
      <c r="J6210" t="n">
        <v>0</v>
      </c>
      <c r="K6210" t="n">
        <v>0</v>
      </c>
      <c r="L6210" t="n">
        <v>0</v>
      </c>
      <c r="M6210" t="n">
        <v>0</v>
      </c>
      <c r="N6210" t="n">
        <v>0</v>
      </c>
      <c r="O6210" t="n">
        <v>0</v>
      </c>
      <c r="P6210" t="n">
        <v>0</v>
      </c>
      <c r="Q6210" t="n">
        <v>0</v>
      </c>
      <c r="R6210" s="2" t="inlineStr"/>
    </row>
    <row r="6211" ht="15" customHeight="1">
      <c r="A6211" t="inlineStr">
        <is>
          <t>A 32707-2022</t>
        </is>
      </c>
      <c r="B6211" s="1" t="n">
        <v>44783</v>
      </c>
      <c r="C6211" s="1" t="n">
        <v>45363</v>
      </c>
      <c r="D6211" t="inlineStr">
        <is>
          <t>JÄMTLANDS LÄN</t>
        </is>
      </c>
      <c r="E6211" t="inlineStr">
        <is>
          <t>BERG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32780-2022</t>
        </is>
      </c>
      <c r="B6212" s="1" t="n">
        <v>44783</v>
      </c>
      <c r="C6212" s="1" t="n">
        <v>45363</v>
      </c>
      <c r="D6212" t="inlineStr">
        <is>
          <t>JÄMTLANDS LÄN</t>
        </is>
      </c>
      <c r="E6212" t="inlineStr">
        <is>
          <t>RAGUNDA</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32865-2022</t>
        </is>
      </c>
      <c r="B6213" s="1" t="n">
        <v>44784</v>
      </c>
      <c r="C6213" s="1" t="n">
        <v>45363</v>
      </c>
      <c r="D6213" t="inlineStr">
        <is>
          <t>JÄMTLANDS LÄN</t>
        </is>
      </c>
      <c r="E6213" t="inlineStr">
        <is>
          <t>STRÖMSUND</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32910-2022</t>
        </is>
      </c>
      <c r="B6214" s="1" t="n">
        <v>44784</v>
      </c>
      <c r="C6214" s="1" t="n">
        <v>45363</v>
      </c>
      <c r="D6214" t="inlineStr">
        <is>
          <t>JÄMTLANDS LÄN</t>
        </is>
      </c>
      <c r="E6214" t="inlineStr">
        <is>
          <t>HÄRJEDALEN</t>
        </is>
      </c>
      <c r="F6214" t="inlineStr">
        <is>
          <t>Bergvik skog väst AB</t>
        </is>
      </c>
      <c r="G6214" t="n">
        <v>14.4</v>
      </c>
      <c r="H6214" t="n">
        <v>0</v>
      </c>
      <c r="I6214" t="n">
        <v>0</v>
      </c>
      <c r="J6214" t="n">
        <v>0</v>
      </c>
      <c r="K6214" t="n">
        <v>0</v>
      </c>
      <c r="L6214" t="n">
        <v>0</v>
      </c>
      <c r="M6214" t="n">
        <v>0</v>
      </c>
      <c r="N6214" t="n">
        <v>0</v>
      </c>
      <c r="O6214" t="n">
        <v>0</v>
      </c>
      <c r="P6214" t="n">
        <v>0</v>
      </c>
      <c r="Q6214" t="n">
        <v>0</v>
      </c>
      <c r="R6214" s="2" t="inlineStr"/>
    </row>
    <row r="6215" ht="15" customHeight="1">
      <c r="A6215" t="inlineStr">
        <is>
          <t>A 32932-2022</t>
        </is>
      </c>
      <c r="B6215" s="1" t="n">
        <v>44784</v>
      </c>
      <c r="C6215" s="1" t="n">
        <v>45363</v>
      </c>
      <c r="D6215" t="inlineStr">
        <is>
          <t>JÄMTLANDS LÄN</t>
        </is>
      </c>
      <c r="E6215" t="inlineStr">
        <is>
          <t>STRÖMSUND</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32883-2022</t>
        </is>
      </c>
      <c r="B6216" s="1" t="n">
        <v>44784</v>
      </c>
      <c r="C6216" s="1" t="n">
        <v>45363</v>
      </c>
      <c r="D6216" t="inlineStr">
        <is>
          <t>JÄMTLANDS LÄN</t>
        </is>
      </c>
      <c r="E6216" t="inlineStr">
        <is>
          <t>STRÖMSUND</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32964-2022</t>
        </is>
      </c>
      <c r="B6217" s="1" t="n">
        <v>44785</v>
      </c>
      <c r="C6217" s="1" t="n">
        <v>45363</v>
      </c>
      <c r="D6217" t="inlineStr">
        <is>
          <t>JÄMTLANDS LÄN</t>
        </is>
      </c>
      <c r="E6217" t="inlineStr">
        <is>
          <t>BRÄCKE</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32963-2022</t>
        </is>
      </c>
      <c r="B6218" s="1" t="n">
        <v>44785</v>
      </c>
      <c r="C6218" s="1" t="n">
        <v>45363</v>
      </c>
      <c r="D6218" t="inlineStr">
        <is>
          <t>JÄMTLANDS LÄN</t>
        </is>
      </c>
      <c r="E6218" t="inlineStr">
        <is>
          <t>BRÄCKE</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32974-2022</t>
        </is>
      </c>
      <c r="B6219" s="1" t="n">
        <v>44784</v>
      </c>
      <c r="C6219" s="1" t="n">
        <v>45363</v>
      </c>
      <c r="D6219" t="inlineStr">
        <is>
          <t>JÄMTLANDS LÄN</t>
        </is>
      </c>
      <c r="E6219" t="inlineStr">
        <is>
          <t>HÄRJEDALEN</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33023-2022</t>
        </is>
      </c>
      <c r="B6220" s="1" t="n">
        <v>44784</v>
      </c>
      <c r="C6220" s="1" t="n">
        <v>45363</v>
      </c>
      <c r="D6220" t="inlineStr">
        <is>
          <t>JÄMTLANDS LÄN</t>
        </is>
      </c>
      <c r="E6220" t="inlineStr">
        <is>
          <t>ÅRE</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32978-2022</t>
        </is>
      </c>
      <c r="B6221" s="1" t="n">
        <v>44785</v>
      </c>
      <c r="C6221" s="1" t="n">
        <v>45363</v>
      </c>
      <c r="D6221" t="inlineStr">
        <is>
          <t>JÄMTLANDS LÄN</t>
        </is>
      </c>
      <c r="E6221" t="inlineStr">
        <is>
          <t>STRÖMSUND</t>
        </is>
      </c>
      <c r="F6221" t="inlineStr">
        <is>
          <t>SCA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32979-2022</t>
        </is>
      </c>
      <c r="B6222" s="1" t="n">
        <v>44785</v>
      </c>
      <c r="C6222" s="1" t="n">
        <v>45363</v>
      </c>
      <c r="D6222" t="inlineStr">
        <is>
          <t>JÄMTLANDS LÄN</t>
        </is>
      </c>
      <c r="E6222" t="inlineStr">
        <is>
          <t>RAGUNDA</t>
        </is>
      </c>
      <c r="F6222" t="inlineStr">
        <is>
          <t>SCA</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32986-2022</t>
        </is>
      </c>
      <c r="B6223" s="1" t="n">
        <v>44785</v>
      </c>
      <c r="C6223" s="1" t="n">
        <v>45363</v>
      </c>
      <c r="D6223" t="inlineStr">
        <is>
          <t>JÄMTLANDS LÄN</t>
        </is>
      </c>
      <c r="E6223" t="inlineStr">
        <is>
          <t>RAGUNDA</t>
        </is>
      </c>
      <c r="F6223" t="inlineStr">
        <is>
          <t>SCA</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32996-2022</t>
        </is>
      </c>
      <c r="B6224" s="1" t="n">
        <v>44784</v>
      </c>
      <c r="C6224" s="1" t="n">
        <v>45363</v>
      </c>
      <c r="D6224" t="inlineStr">
        <is>
          <t>JÄMTLANDS LÄN</t>
        </is>
      </c>
      <c r="E6224" t="inlineStr">
        <is>
          <t>STRÖMSUND</t>
        </is>
      </c>
      <c r="F6224" t="inlineStr">
        <is>
          <t>SCA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32997-2022</t>
        </is>
      </c>
      <c r="B6225" s="1" t="n">
        <v>44785</v>
      </c>
      <c r="C6225" s="1" t="n">
        <v>45363</v>
      </c>
      <c r="D6225" t="inlineStr">
        <is>
          <t>JÄMTLANDS LÄN</t>
        </is>
      </c>
      <c r="E6225" t="inlineStr">
        <is>
          <t>STRÖMSUND</t>
        </is>
      </c>
      <c r="F6225" t="inlineStr">
        <is>
          <t>SCA</t>
        </is>
      </c>
      <c r="G6225" t="n">
        <v>12.7</v>
      </c>
      <c r="H6225" t="n">
        <v>0</v>
      </c>
      <c r="I6225" t="n">
        <v>0</v>
      </c>
      <c r="J6225" t="n">
        <v>0</v>
      </c>
      <c r="K6225" t="n">
        <v>0</v>
      </c>
      <c r="L6225" t="n">
        <v>0</v>
      </c>
      <c r="M6225" t="n">
        <v>0</v>
      </c>
      <c r="N6225" t="n">
        <v>0</v>
      </c>
      <c r="O6225" t="n">
        <v>0</v>
      </c>
      <c r="P6225" t="n">
        <v>0</v>
      </c>
      <c r="Q6225" t="n">
        <v>0</v>
      </c>
      <c r="R6225" s="2" t="inlineStr"/>
    </row>
    <row r="6226" ht="15" customHeight="1">
      <c r="A6226" t="inlineStr">
        <is>
          <t>A 33003-2022</t>
        </is>
      </c>
      <c r="B6226" s="1" t="n">
        <v>44784</v>
      </c>
      <c r="C6226" s="1" t="n">
        <v>45363</v>
      </c>
      <c r="D6226" t="inlineStr">
        <is>
          <t>JÄMTLANDS LÄN</t>
        </is>
      </c>
      <c r="E6226" t="inlineStr">
        <is>
          <t>ÅRE</t>
        </is>
      </c>
      <c r="G6226" t="n">
        <v>6.1</v>
      </c>
      <c r="H6226" t="n">
        <v>0</v>
      </c>
      <c r="I6226" t="n">
        <v>0</v>
      </c>
      <c r="J6226" t="n">
        <v>0</v>
      </c>
      <c r="K6226" t="n">
        <v>0</v>
      </c>
      <c r="L6226" t="n">
        <v>0</v>
      </c>
      <c r="M6226" t="n">
        <v>0</v>
      </c>
      <c r="N6226" t="n">
        <v>0</v>
      </c>
      <c r="O6226" t="n">
        <v>0</v>
      </c>
      <c r="P6226" t="n">
        <v>0</v>
      </c>
      <c r="Q6226" t="n">
        <v>0</v>
      </c>
      <c r="R6226" s="2" t="inlineStr"/>
    </row>
    <row r="6227" ht="15" customHeight="1">
      <c r="A6227" t="inlineStr">
        <is>
          <t>A 33015-2022</t>
        </is>
      </c>
      <c r="B6227" s="1" t="n">
        <v>44784</v>
      </c>
      <c r="C6227" s="1" t="n">
        <v>45363</v>
      </c>
      <c r="D6227" t="inlineStr">
        <is>
          <t>JÄMTLANDS LÄN</t>
        </is>
      </c>
      <c r="E6227" t="inlineStr">
        <is>
          <t>ÅRE</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33068-2022</t>
        </is>
      </c>
      <c r="B6228" s="1" t="n">
        <v>44785</v>
      </c>
      <c r="C6228" s="1" t="n">
        <v>45363</v>
      </c>
      <c r="D6228" t="inlineStr">
        <is>
          <t>JÄMTLANDS LÄN</t>
        </is>
      </c>
      <c r="E6228" t="inlineStr">
        <is>
          <t>BERG</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33054-2022</t>
        </is>
      </c>
      <c r="B6229" s="1" t="n">
        <v>44785</v>
      </c>
      <c r="C6229" s="1" t="n">
        <v>45363</v>
      </c>
      <c r="D6229" t="inlineStr">
        <is>
          <t>JÄMTLANDS LÄN</t>
        </is>
      </c>
      <c r="E6229" t="inlineStr">
        <is>
          <t>STRÖMSUND</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33223-2022</t>
        </is>
      </c>
      <c r="B6230" s="1" t="n">
        <v>44785</v>
      </c>
      <c r="C6230" s="1" t="n">
        <v>45363</v>
      </c>
      <c r="D6230" t="inlineStr">
        <is>
          <t>JÄMTLANDS LÄN</t>
        </is>
      </c>
      <c r="E6230" t="inlineStr">
        <is>
          <t>STRÖMSUND</t>
        </is>
      </c>
      <c r="F6230" t="inlineStr">
        <is>
          <t>SCA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33219-2022</t>
        </is>
      </c>
      <c r="B6231" s="1" t="n">
        <v>44786</v>
      </c>
      <c r="C6231" s="1" t="n">
        <v>45363</v>
      </c>
      <c r="D6231" t="inlineStr">
        <is>
          <t>JÄMTLANDS LÄN</t>
        </is>
      </c>
      <c r="E6231" t="inlineStr">
        <is>
          <t>STRÖMSUND</t>
        </is>
      </c>
      <c r="F6231" t="inlineStr">
        <is>
          <t>SCA</t>
        </is>
      </c>
      <c r="G6231" t="n">
        <v>15.8</v>
      </c>
      <c r="H6231" t="n">
        <v>0</v>
      </c>
      <c r="I6231" t="n">
        <v>0</v>
      </c>
      <c r="J6231" t="n">
        <v>0</v>
      </c>
      <c r="K6231" t="n">
        <v>0</v>
      </c>
      <c r="L6231" t="n">
        <v>0</v>
      </c>
      <c r="M6231" t="n">
        <v>0</v>
      </c>
      <c r="N6231" t="n">
        <v>0</v>
      </c>
      <c r="O6231" t="n">
        <v>0</v>
      </c>
      <c r="P6231" t="n">
        <v>0</v>
      </c>
      <c r="Q6231" t="n">
        <v>0</v>
      </c>
      <c r="R6231" s="2" t="inlineStr"/>
    </row>
    <row r="6232" ht="15" customHeight="1">
      <c r="A6232" t="inlineStr">
        <is>
          <t>A 33225-2022</t>
        </is>
      </c>
      <c r="B6232" s="1" t="n">
        <v>44786</v>
      </c>
      <c r="C6232" s="1" t="n">
        <v>45363</v>
      </c>
      <c r="D6232" t="inlineStr">
        <is>
          <t>JÄMTLANDS LÄN</t>
        </is>
      </c>
      <c r="E6232" t="inlineStr">
        <is>
          <t>STRÖMSUND</t>
        </is>
      </c>
      <c r="F6232" t="inlineStr">
        <is>
          <t>SCA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33231-2022</t>
        </is>
      </c>
      <c r="B6233" s="1" t="n">
        <v>44786</v>
      </c>
      <c r="C6233" s="1" t="n">
        <v>45363</v>
      </c>
      <c r="D6233" t="inlineStr">
        <is>
          <t>JÄMTLANDS LÄN</t>
        </is>
      </c>
      <c r="E6233" t="inlineStr">
        <is>
          <t>STRÖMSUND</t>
        </is>
      </c>
      <c r="F6233" t="inlineStr">
        <is>
          <t>SCA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33218-2022</t>
        </is>
      </c>
      <c r="B6234" s="1" t="n">
        <v>44786</v>
      </c>
      <c r="C6234" s="1" t="n">
        <v>45363</v>
      </c>
      <c r="D6234" t="inlineStr">
        <is>
          <t>JÄMTLANDS LÄN</t>
        </is>
      </c>
      <c r="E6234" t="inlineStr">
        <is>
          <t>RAGUNDA</t>
        </is>
      </c>
      <c r="F6234" t="inlineStr">
        <is>
          <t>SCA</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33224-2022</t>
        </is>
      </c>
      <c r="B6235" s="1" t="n">
        <v>44785</v>
      </c>
      <c r="C6235" s="1" t="n">
        <v>45363</v>
      </c>
      <c r="D6235" t="inlineStr">
        <is>
          <t>JÄMTLANDS LÄN</t>
        </is>
      </c>
      <c r="E6235" t="inlineStr">
        <is>
          <t>STRÖMSUND</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33230-2022</t>
        </is>
      </c>
      <c r="B6236" s="1" t="n">
        <v>44786</v>
      </c>
      <c r="C6236" s="1" t="n">
        <v>45363</v>
      </c>
      <c r="D6236" t="inlineStr">
        <is>
          <t>JÄMTLANDS LÄN</t>
        </is>
      </c>
      <c r="E6236" t="inlineStr">
        <is>
          <t>STRÖMSUND</t>
        </is>
      </c>
      <c r="F6236" t="inlineStr">
        <is>
          <t>SCA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33232-2022</t>
        </is>
      </c>
      <c r="B6237" s="1" t="n">
        <v>44786</v>
      </c>
      <c r="C6237" s="1" t="n">
        <v>45363</v>
      </c>
      <c r="D6237" t="inlineStr">
        <is>
          <t>JÄMTLANDS LÄN</t>
        </is>
      </c>
      <c r="E6237" t="inlineStr">
        <is>
          <t>BERG</t>
        </is>
      </c>
      <c r="F6237" t="inlineStr">
        <is>
          <t>SCA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33234-2022</t>
        </is>
      </c>
      <c r="B6238" s="1" t="n">
        <v>44786</v>
      </c>
      <c r="C6238" s="1" t="n">
        <v>45363</v>
      </c>
      <c r="D6238" t="inlineStr">
        <is>
          <t>JÄMTLANDS LÄN</t>
        </is>
      </c>
      <c r="E6238" t="inlineStr">
        <is>
          <t>BRÄCKE</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33243-2022</t>
        </is>
      </c>
      <c r="B6239" s="1" t="n">
        <v>44787</v>
      </c>
      <c r="C6239" s="1" t="n">
        <v>45363</v>
      </c>
      <c r="D6239" t="inlineStr">
        <is>
          <t>JÄMTLANDS LÄN</t>
        </is>
      </c>
      <c r="E6239" t="inlineStr">
        <is>
          <t>BRÄCKE</t>
        </is>
      </c>
      <c r="F6239" t="inlineStr">
        <is>
          <t>SCA</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33278-2022</t>
        </is>
      </c>
      <c r="B6240" s="1" t="n">
        <v>44788</v>
      </c>
      <c r="C6240" s="1" t="n">
        <v>45363</v>
      </c>
      <c r="D6240" t="inlineStr">
        <is>
          <t>JÄMTLANDS LÄN</t>
        </is>
      </c>
      <c r="E6240" t="inlineStr">
        <is>
          <t>RAGUNDA</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33359-2022</t>
        </is>
      </c>
      <c r="B6241" s="1" t="n">
        <v>44788</v>
      </c>
      <c r="C6241" s="1" t="n">
        <v>45363</v>
      </c>
      <c r="D6241" t="inlineStr">
        <is>
          <t>JÄMTLANDS LÄN</t>
        </is>
      </c>
      <c r="E6241" t="inlineStr">
        <is>
          <t>KROKOM</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33327-2022</t>
        </is>
      </c>
      <c r="B6242" s="1" t="n">
        <v>44788</v>
      </c>
      <c r="C6242" s="1" t="n">
        <v>45363</v>
      </c>
      <c r="D6242" t="inlineStr">
        <is>
          <t>JÄMTLANDS LÄN</t>
        </is>
      </c>
      <c r="E6242" t="inlineStr">
        <is>
          <t>KROKOM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33395-2022</t>
        </is>
      </c>
      <c r="B6243" s="1" t="n">
        <v>44788</v>
      </c>
      <c r="C6243" s="1" t="n">
        <v>45363</v>
      </c>
      <c r="D6243" t="inlineStr">
        <is>
          <t>JÄMTLANDS LÄN</t>
        </is>
      </c>
      <c r="E6243" t="inlineStr">
        <is>
          <t>KROKOM</t>
        </is>
      </c>
      <c r="F6243" t="inlineStr">
        <is>
          <t>Övriga Aktiebolag</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33279-2022</t>
        </is>
      </c>
      <c r="B6244" s="1" t="n">
        <v>44788</v>
      </c>
      <c r="C6244" s="1" t="n">
        <v>45363</v>
      </c>
      <c r="D6244" t="inlineStr">
        <is>
          <t>JÄMTLANDS LÄN</t>
        </is>
      </c>
      <c r="E6244" t="inlineStr">
        <is>
          <t>RAGUNDA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33314-2022</t>
        </is>
      </c>
      <c r="B6245" s="1" t="n">
        <v>44788</v>
      </c>
      <c r="C6245" s="1" t="n">
        <v>45363</v>
      </c>
      <c r="D6245" t="inlineStr">
        <is>
          <t>JÄMTLANDS LÄN</t>
        </is>
      </c>
      <c r="E6245" t="inlineStr">
        <is>
          <t>KROKOM</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33362-2022</t>
        </is>
      </c>
      <c r="B6246" s="1" t="n">
        <v>44788</v>
      </c>
      <c r="C6246" s="1" t="n">
        <v>45363</v>
      </c>
      <c r="D6246" t="inlineStr">
        <is>
          <t>JÄMTLANDS LÄN</t>
        </is>
      </c>
      <c r="E6246" t="inlineStr">
        <is>
          <t>KROKOM</t>
        </is>
      </c>
      <c r="F6246" t="inlineStr">
        <is>
          <t>Övriga Aktiebolag</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33465-2022</t>
        </is>
      </c>
      <c r="B6247" s="1" t="n">
        <v>44788</v>
      </c>
      <c r="C6247" s="1" t="n">
        <v>45363</v>
      </c>
      <c r="D6247" t="inlineStr">
        <is>
          <t>JÄMTLANDS LÄN</t>
        </is>
      </c>
      <c r="E6247" t="inlineStr">
        <is>
          <t>HÄRJEDALEN</t>
        </is>
      </c>
      <c r="F6247" t="inlineStr">
        <is>
          <t>Sveaskog</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33481-2022</t>
        </is>
      </c>
      <c r="B6248" s="1" t="n">
        <v>44788</v>
      </c>
      <c r="C6248" s="1" t="n">
        <v>45363</v>
      </c>
      <c r="D6248" t="inlineStr">
        <is>
          <t>JÄMTLANDS LÄN</t>
        </is>
      </c>
      <c r="E6248" t="inlineStr">
        <is>
          <t>BRÄCKE</t>
        </is>
      </c>
      <c r="F6248" t="inlineStr">
        <is>
          <t>Sveaskog</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33482-2022</t>
        </is>
      </c>
      <c r="B6249" s="1" t="n">
        <v>44788</v>
      </c>
      <c r="C6249" s="1" t="n">
        <v>45363</v>
      </c>
      <c r="D6249" t="inlineStr">
        <is>
          <t>JÄMTLANDS LÄN</t>
        </is>
      </c>
      <c r="E6249" t="inlineStr">
        <is>
          <t>BRÄCKE</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33479-2022</t>
        </is>
      </c>
      <c r="B6250" s="1" t="n">
        <v>44788</v>
      </c>
      <c r="C6250" s="1" t="n">
        <v>45363</v>
      </c>
      <c r="D6250" t="inlineStr">
        <is>
          <t>JÄMTLANDS LÄN</t>
        </is>
      </c>
      <c r="E6250" t="inlineStr">
        <is>
          <t>ÅRE</t>
        </is>
      </c>
      <c r="F6250" t="inlineStr">
        <is>
          <t>Sveaskog</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33483-2022</t>
        </is>
      </c>
      <c r="B6251" s="1" t="n">
        <v>44788</v>
      </c>
      <c r="C6251" s="1" t="n">
        <v>45363</v>
      </c>
      <c r="D6251" t="inlineStr">
        <is>
          <t>JÄMTLANDS LÄN</t>
        </is>
      </c>
      <c r="E6251" t="inlineStr">
        <is>
          <t>BRÄCKE</t>
        </is>
      </c>
      <c r="F6251" t="inlineStr">
        <is>
          <t>Sveaskog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33501-2022</t>
        </is>
      </c>
      <c r="B6252" s="1" t="n">
        <v>44788</v>
      </c>
      <c r="C6252" s="1" t="n">
        <v>45363</v>
      </c>
      <c r="D6252" t="inlineStr">
        <is>
          <t>JÄMTLANDS LÄN</t>
        </is>
      </c>
      <c r="E6252" t="inlineStr">
        <is>
          <t>STRÖMSUND</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33507-2022</t>
        </is>
      </c>
      <c r="B6253" s="1" t="n">
        <v>44788</v>
      </c>
      <c r="C6253" s="1" t="n">
        <v>45363</v>
      </c>
      <c r="D6253" t="inlineStr">
        <is>
          <t>JÄMTLANDS LÄN</t>
        </is>
      </c>
      <c r="E6253" t="inlineStr">
        <is>
          <t>KROKOM</t>
        </is>
      </c>
      <c r="F6253" t="inlineStr">
        <is>
          <t>SCA</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33502-2022</t>
        </is>
      </c>
      <c r="B6254" s="1" t="n">
        <v>44789</v>
      </c>
      <c r="C6254" s="1" t="n">
        <v>45363</v>
      </c>
      <c r="D6254" t="inlineStr">
        <is>
          <t>JÄMTLANDS LÄN</t>
        </is>
      </c>
      <c r="E6254" t="inlineStr">
        <is>
          <t>STRÖMSUND</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33509-2022</t>
        </is>
      </c>
      <c r="B6255" s="1" t="n">
        <v>44789</v>
      </c>
      <c r="C6255" s="1" t="n">
        <v>45363</v>
      </c>
      <c r="D6255" t="inlineStr">
        <is>
          <t>JÄMTLANDS LÄN</t>
        </is>
      </c>
      <c r="E6255" t="inlineStr">
        <is>
          <t>KROKOM</t>
        </is>
      </c>
      <c r="F6255" t="inlineStr">
        <is>
          <t>SCA</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33480-2022</t>
        </is>
      </c>
      <c r="B6256" s="1" t="n">
        <v>44788</v>
      </c>
      <c r="C6256" s="1" t="n">
        <v>45363</v>
      </c>
      <c r="D6256" t="inlineStr">
        <is>
          <t>JÄMTLANDS LÄN</t>
        </is>
      </c>
      <c r="E6256" t="inlineStr">
        <is>
          <t>ÅRE</t>
        </is>
      </c>
      <c r="F6256" t="inlineStr">
        <is>
          <t>Sveaskog</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33520-2022</t>
        </is>
      </c>
      <c r="B6257" s="1" t="n">
        <v>44789</v>
      </c>
      <c r="C6257" s="1" t="n">
        <v>45363</v>
      </c>
      <c r="D6257" t="inlineStr">
        <is>
          <t>JÄMTLANDS LÄN</t>
        </is>
      </c>
      <c r="E6257" t="inlineStr">
        <is>
          <t>STRÖMSUND</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33625-2022</t>
        </is>
      </c>
      <c r="B6258" s="1" t="n">
        <v>44789</v>
      </c>
      <c r="C6258" s="1" t="n">
        <v>45363</v>
      </c>
      <c r="D6258" t="inlineStr">
        <is>
          <t>JÄMTLANDS LÄN</t>
        </is>
      </c>
      <c r="E6258" t="inlineStr">
        <is>
          <t>ÅRE</t>
        </is>
      </c>
      <c r="G6258" t="n">
        <v>20.7</v>
      </c>
      <c r="H6258" t="n">
        <v>0</v>
      </c>
      <c r="I6258" t="n">
        <v>0</v>
      </c>
      <c r="J6258" t="n">
        <v>0</v>
      </c>
      <c r="K6258" t="n">
        <v>0</v>
      </c>
      <c r="L6258" t="n">
        <v>0</v>
      </c>
      <c r="M6258" t="n">
        <v>0</v>
      </c>
      <c r="N6258" t="n">
        <v>0</v>
      </c>
      <c r="O6258" t="n">
        <v>0</v>
      </c>
      <c r="P6258" t="n">
        <v>0</v>
      </c>
      <c r="Q6258" t="n">
        <v>0</v>
      </c>
      <c r="R6258" s="2" t="inlineStr"/>
    </row>
    <row r="6259" ht="15" customHeight="1">
      <c r="A6259" t="inlineStr">
        <is>
          <t>A 33565-2022</t>
        </is>
      </c>
      <c r="B6259" s="1" t="n">
        <v>44789</v>
      </c>
      <c r="C6259" s="1" t="n">
        <v>45363</v>
      </c>
      <c r="D6259" t="inlineStr">
        <is>
          <t>JÄMTLANDS LÄN</t>
        </is>
      </c>
      <c r="E6259" t="inlineStr">
        <is>
          <t>ÅRE</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33732-2022</t>
        </is>
      </c>
      <c r="B6260" s="1" t="n">
        <v>44790</v>
      </c>
      <c r="C6260" s="1" t="n">
        <v>45363</v>
      </c>
      <c r="D6260" t="inlineStr">
        <is>
          <t>JÄMTLANDS LÄN</t>
        </is>
      </c>
      <c r="E6260" t="inlineStr">
        <is>
          <t>STRÖMSUND</t>
        </is>
      </c>
      <c r="F6260" t="inlineStr">
        <is>
          <t>SCA</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33728-2022</t>
        </is>
      </c>
      <c r="B6261" s="1" t="n">
        <v>44790</v>
      </c>
      <c r="C6261" s="1" t="n">
        <v>45363</v>
      </c>
      <c r="D6261" t="inlineStr">
        <is>
          <t>JÄMTLANDS LÄN</t>
        </is>
      </c>
      <c r="E6261" t="inlineStr">
        <is>
          <t>STRÖMSUND</t>
        </is>
      </c>
      <c r="F6261" t="inlineStr">
        <is>
          <t>SCA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36714-2022</t>
        </is>
      </c>
      <c r="B6262" s="1" t="n">
        <v>44789</v>
      </c>
      <c r="C6262" s="1" t="n">
        <v>45363</v>
      </c>
      <c r="D6262" t="inlineStr">
        <is>
          <t>JÄMTLANDS LÄN</t>
        </is>
      </c>
      <c r="E6262" t="inlineStr">
        <is>
          <t>BRÄCKE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33730-2022</t>
        </is>
      </c>
      <c r="B6263" s="1" t="n">
        <v>44790</v>
      </c>
      <c r="C6263" s="1" t="n">
        <v>45363</v>
      </c>
      <c r="D6263" t="inlineStr">
        <is>
          <t>JÄMTLANDS LÄN</t>
        </is>
      </c>
      <c r="E6263" t="inlineStr">
        <is>
          <t>STRÖMSUND</t>
        </is>
      </c>
      <c r="F6263" t="inlineStr">
        <is>
          <t>SCA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33804-2022</t>
        </is>
      </c>
      <c r="B6264" s="1" t="n">
        <v>44790</v>
      </c>
      <c r="C6264" s="1" t="n">
        <v>45363</v>
      </c>
      <c r="D6264" t="inlineStr">
        <is>
          <t>JÄMTLANDS LÄN</t>
        </is>
      </c>
      <c r="E6264" t="inlineStr">
        <is>
          <t>ÖSTERSUND</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33876-2022</t>
        </is>
      </c>
      <c r="B6265" s="1" t="n">
        <v>44790</v>
      </c>
      <c r="C6265" s="1" t="n">
        <v>45363</v>
      </c>
      <c r="D6265" t="inlineStr">
        <is>
          <t>JÄMTLANDS LÄN</t>
        </is>
      </c>
      <c r="E6265" t="inlineStr">
        <is>
          <t>STRÖMSUND</t>
        </is>
      </c>
      <c r="F6265" t="inlineStr">
        <is>
          <t>Holmen skog AB</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33900-2022</t>
        </is>
      </c>
      <c r="B6266" s="1" t="n">
        <v>44790</v>
      </c>
      <c r="C6266" s="1" t="n">
        <v>45363</v>
      </c>
      <c r="D6266" t="inlineStr">
        <is>
          <t>JÄMTLANDS LÄN</t>
        </is>
      </c>
      <c r="E6266" t="inlineStr">
        <is>
          <t>HÄRJEDALEN</t>
        </is>
      </c>
      <c r="F6266" t="inlineStr">
        <is>
          <t>Bergvik skog väst AB</t>
        </is>
      </c>
      <c r="G6266" t="n">
        <v>15.2</v>
      </c>
      <c r="H6266" t="n">
        <v>0</v>
      </c>
      <c r="I6266" t="n">
        <v>0</v>
      </c>
      <c r="J6266" t="n">
        <v>0</v>
      </c>
      <c r="K6266" t="n">
        <v>0</v>
      </c>
      <c r="L6266" t="n">
        <v>0</v>
      </c>
      <c r="M6266" t="n">
        <v>0</v>
      </c>
      <c r="N6266" t="n">
        <v>0</v>
      </c>
      <c r="O6266" t="n">
        <v>0</v>
      </c>
      <c r="P6266" t="n">
        <v>0</v>
      </c>
      <c r="Q6266" t="n">
        <v>0</v>
      </c>
      <c r="R6266" s="2" t="inlineStr"/>
    </row>
    <row r="6267" ht="15" customHeight="1">
      <c r="A6267" t="inlineStr">
        <is>
          <t>A 33889-2022</t>
        </is>
      </c>
      <c r="B6267" s="1" t="n">
        <v>44790</v>
      </c>
      <c r="C6267" s="1" t="n">
        <v>45363</v>
      </c>
      <c r="D6267" t="inlineStr">
        <is>
          <t>JÄMTLANDS LÄN</t>
        </is>
      </c>
      <c r="E6267" t="inlineStr">
        <is>
          <t>HÄRJEDALEN</t>
        </is>
      </c>
      <c r="F6267" t="inlineStr">
        <is>
          <t>Bergvik skog väst AB</t>
        </is>
      </c>
      <c r="G6267" t="n">
        <v>6.6</v>
      </c>
      <c r="H6267" t="n">
        <v>0</v>
      </c>
      <c r="I6267" t="n">
        <v>0</v>
      </c>
      <c r="J6267" t="n">
        <v>0</v>
      </c>
      <c r="K6267" t="n">
        <v>0</v>
      </c>
      <c r="L6267" t="n">
        <v>0</v>
      </c>
      <c r="M6267" t="n">
        <v>0</v>
      </c>
      <c r="N6267" t="n">
        <v>0</v>
      </c>
      <c r="O6267" t="n">
        <v>0</v>
      </c>
      <c r="P6267" t="n">
        <v>0</v>
      </c>
      <c r="Q6267" t="n">
        <v>0</v>
      </c>
      <c r="R6267" s="2" t="inlineStr"/>
    </row>
    <row r="6268" ht="15" customHeight="1">
      <c r="A6268" t="inlineStr">
        <is>
          <t>A 33808-2022</t>
        </is>
      </c>
      <c r="B6268" s="1" t="n">
        <v>44790</v>
      </c>
      <c r="C6268" s="1" t="n">
        <v>45363</v>
      </c>
      <c r="D6268" t="inlineStr">
        <is>
          <t>JÄMTLANDS LÄN</t>
        </is>
      </c>
      <c r="E6268" t="inlineStr">
        <is>
          <t>ÖSTERSUND</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33813-2022</t>
        </is>
      </c>
      <c r="B6269" s="1" t="n">
        <v>44790</v>
      </c>
      <c r="C6269" s="1" t="n">
        <v>45363</v>
      </c>
      <c r="D6269" t="inlineStr">
        <is>
          <t>JÄMTLANDS LÄN</t>
        </is>
      </c>
      <c r="E6269" t="inlineStr">
        <is>
          <t>ÖSTERSUND</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33786-2022</t>
        </is>
      </c>
      <c r="B6270" s="1" t="n">
        <v>44790</v>
      </c>
      <c r="C6270" s="1" t="n">
        <v>45363</v>
      </c>
      <c r="D6270" t="inlineStr">
        <is>
          <t>JÄMTLANDS LÄN</t>
        </is>
      </c>
      <c r="E6270" t="inlineStr">
        <is>
          <t>ÖSTERSUND</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33801-2022</t>
        </is>
      </c>
      <c r="B6271" s="1" t="n">
        <v>44790</v>
      </c>
      <c r="C6271" s="1" t="n">
        <v>45363</v>
      </c>
      <c r="D6271" t="inlineStr">
        <is>
          <t>JÄMTLANDS LÄN</t>
        </is>
      </c>
      <c r="E6271" t="inlineStr">
        <is>
          <t>ÖSTERSUND</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33987-2022</t>
        </is>
      </c>
      <c r="B6272" s="1" t="n">
        <v>44790</v>
      </c>
      <c r="C6272" s="1" t="n">
        <v>45363</v>
      </c>
      <c r="D6272" t="inlineStr">
        <is>
          <t>JÄMTLANDS LÄN</t>
        </is>
      </c>
      <c r="E6272" t="inlineStr">
        <is>
          <t>STRÖMSUND</t>
        </is>
      </c>
      <c r="F6272" t="inlineStr">
        <is>
          <t>SCA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33992-2022</t>
        </is>
      </c>
      <c r="B6273" s="1" t="n">
        <v>44791</v>
      </c>
      <c r="C6273" s="1" t="n">
        <v>45363</v>
      </c>
      <c r="D6273" t="inlineStr">
        <is>
          <t>JÄMTLANDS LÄN</t>
        </is>
      </c>
      <c r="E6273" t="inlineStr">
        <is>
          <t>BRÄCKE</t>
        </is>
      </c>
      <c r="F6273" t="inlineStr">
        <is>
          <t>SCA</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33998-2022</t>
        </is>
      </c>
      <c r="B6274" s="1" t="n">
        <v>44791</v>
      </c>
      <c r="C6274" s="1" t="n">
        <v>45363</v>
      </c>
      <c r="D6274" t="inlineStr">
        <is>
          <t>JÄMTLANDS LÄN</t>
        </is>
      </c>
      <c r="E6274" t="inlineStr">
        <is>
          <t>BRÄCKE</t>
        </is>
      </c>
      <c r="G6274" t="n">
        <v>9.300000000000001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34008-2022</t>
        </is>
      </c>
      <c r="B6275" s="1" t="n">
        <v>44791</v>
      </c>
      <c r="C6275" s="1" t="n">
        <v>45363</v>
      </c>
      <c r="D6275" t="inlineStr">
        <is>
          <t>JÄMTLANDS LÄN</t>
        </is>
      </c>
      <c r="E6275" t="inlineStr">
        <is>
          <t>STRÖMSUND</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33988-2022</t>
        </is>
      </c>
      <c r="B6276" s="1" t="n">
        <v>44790</v>
      </c>
      <c r="C6276" s="1" t="n">
        <v>45363</v>
      </c>
      <c r="D6276" t="inlineStr">
        <is>
          <t>JÄMTLANDS LÄN</t>
        </is>
      </c>
      <c r="E6276" t="inlineStr">
        <is>
          <t>STRÖMSUND</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33993-2022</t>
        </is>
      </c>
      <c r="B6277" s="1" t="n">
        <v>44790</v>
      </c>
      <c r="C6277" s="1" t="n">
        <v>45363</v>
      </c>
      <c r="D6277" t="inlineStr">
        <is>
          <t>JÄMTLANDS LÄN</t>
        </is>
      </c>
      <c r="E6277" t="inlineStr">
        <is>
          <t>BRÄCKE</t>
        </is>
      </c>
      <c r="F6277" t="inlineStr">
        <is>
          <t>SCA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34004-2022</t>
        </is>
      </c>
      <c r="B6278" s="1" t="n">
        <v>44791</v>
      </c>
      <c r="C6278" s="1" t="n">
        <v>45363</v>
      </c>
      <c r="D6278" t="inlineStr">
        <is>
          <t>JÄMTLANDS LÄN</t>
        </is>
      </c>
      <c r="E6278" t="inlineStr">
        <is>
          <t>STRÖMSUND</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33985-2022</t>
        </is>
      </c>
      <c r="B6279" s="1" t="n">
        <v>44790</v>
      </c>
      <c r="C6279" s="1" t="n">
        <v>45363</v>
      </c>
      <c r="D6279" t="inlineStr">
        <is>
          <t>JÄMTLANDS LÄN</t>
        </is>
      </c>
      <c r="E6279" t="inlineStr">
        <is>
          <t>STRÖMSUND</t>
        </is>
      </c>
      <c r="F6279" t="inlineStr">
        <is>
          <t>SCA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34023-2022</t>
        </is>
      </c>
      <c r="B6280" s="1" t="n">
        <v>44790</v>
      </c>
      <c r="C6280" s="1" t="n">
        <v>45363</v>
      </c>
      <c r="D6280" t="inlineStr">
        <is>
          <t>JÄMTLANDS LÄN</t>
        </is>
      </c>
      <c r="E6280" t="inlineStr">
        <is>
          <t>STRÖMSUND</t>
        </is>
      </c>
      <c r="G6280" t="n">
        <v>34.5</v>
      </c>
      <c r="H6280" t="n">
        <v>0</v>
      </c>
      <c r="I6280" t="n">
        <v>0</v>
      </c>
      <c r="J6280" t="n">
        <v>0</v>
      </c>
      <c r="K6280" t="n">
        <v>0</v>
      </c>
      <c r="L6280" t="n">
        <v>0</v>
      </c>
      <c r="M6280" t="n">
        <v>0</v>
      </c>
      <c r="N6280" t="n">
        <v>0</v>
      </c>
      <c r="O6280" t="n">
        <v>0</v>
      </c>
      <c r="P6280" t="n">
        <v>0</v>
      </c>
      <c r="Q6280" t="n">
        <v>0</v>
      </c>
      <c r="R6280" s="2" t="inlineStr"/>
    </row>
    <row r="6281" ht="15" customHeight="1">
      <c r="A6281" t="inlineStr">
        <is>
          <t>A 34005-2022</t>
        </is>
      </c>
      <c r="B6281" s="1" t="n">
        <v>44791</v>
      </c>
      <c r="C6281" s="1" t="n">
        <v>45363</v>
      </c>
      <c r="D6281" t="inlineStr">
        <is>
          <t>JÄMTLANDS LÄN</t>
        </is>
      </c>
      <c r="E6281" t="inlineStr">
        <is>
          <t>STRÖMSUND</t>
        </is>
      </c>
      <c r="F6281" t="inlineStr">
        <is>
          <t>SCA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34011-2022</t>
        </is>
      </c>
      <c r="B6282" s="1" t="n">
        <v>44790</v>
      </c>
      <c r="C6282" s="1" t="n">
        <v>45363</v>
      </c>
      <c r="D6282" t="inlineStr">
        <is>
          <t>JÄMTLANDS LÄN</t>
        </is>
      </c>
      <c r="E6282" t="inlineStr">
        <is>
          <t>STRÖMSUND</t>
        </is>
      </c>
      <c r="F6282" t="inlineStr">
        <is>
          <t>SCA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34033-2022</t>
        </is>
      </c>
      <c r="B6283" s="1" t="n">
        <v>44790</v>
      </c>
      <c r="C6283" s="1" t="n">
        <v>45363</v>
      </c>
      <c r="D6283" t="inlineStr">
        <is>
          <t>JÄMTLANDS LÄN</t>
        </is>
      </c>
      <c r="E6283" t="inlineStr">
        <is>
          <t>ÅRE</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34112-2022</t>
        </is>
      </c>
      <c r="B6284" s="1" t="n">
        <v>44791</v>
      </c>
      <c r="C6284" s="1" t="n">
        <v>45363</v>
      </c>
      <c r="D6284" t="inlineStr">
        <is>
          <t>JÄMTLANDS LÄN</t>
        </is>
      </c>
      <c r="E6284" t="inlineStr">
        <is>
          <t>HÄRJEDALEN</t>
        </is>
      </c>
      <c r="F6284" t="inlineStr">
        <is>
          <t>Holmen skog AB</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34245-2022</t>
        </is>
      </c>
      <c r="B6285" s="1" t="n">
        <v>44792</v>
      </c>
      <c r="C6285" s="1" t="n">
        <v>45363</v>
      </c>
      <c r="D6285" t="inlineStr">
        <is>
          <t>JÄMTLANDS LÄN</t>
        </is>
      </c>
      <c r="E6285" t="inlineStr">
        <is>
          <t>STRÖMSUND</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34243-2022</t>
        </is>
      </c>
      <c r="B6286" s="1" t="n">
        <v>44792</v>
      </c>
      <c r="C6286" s="1" t="n">
        <v>45363</v>
      </c>
      <c r="D6286" t="inlineStr">
        <is>
          <t>JÄMTLANDS LÄN</t>
        </is>
      </c>
      <c r="E6286" t="inlineStr">
        <is>
          <t>STRÖMSUND</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34247-2022</t>
        </is>
      </c>
      <c r="B6287" s="1" t="n">
        <v>44792</v>
      </c>
      <c r="C6287" s="1" t="n">
        <v>45363</v>
      </c>
      <c r="D6287" t="inlineStr">
        <is>
          <t>JÄMTLANDS LÄN</t>
        </is>
      </c>
      <c r="E6287" t="inlineStr">
        <is>
          <t>STRÖMSUND</t>
        </is>
      </c>
      <c r="F6287" t="inlineStr">
        <is>
          <t>SCA</t>
        </is>
      </c>
      <c r="G6287" t="n">
        <v>6.8</v>
      </c>
      <c r="H6287" t="n">
        <v>0</v>
      </c>
      <c r="I6287" t="n">
        <v>0</v>
      </c>
      <c r="J6287" t="n">
        <v>0</v>
      </c>
      <c r="K6287" t="n">
        <v>0</v>
      </c>
      <c r="L6287" t="n">
        <v>0</v>
      </c>
      <c r="M6287" t="n">
        <v>0</v>
      </c>
      <c r="N6287" t="n">
        <v>0</v>
      </c>
      <c r="O6287" t="n">
        <v>0</v>
      </c>
      <c r="P6287" t="n">
        <v>0</v>
      </c>
      <c r="Q6287" t="n">
        <v>0</v>
      </c>
      <c r="R6287" s="2" t="inlineStr"/>
    </row>
    <row r="6288" ht="15" customHeight="1">
      <c r="A6288" t="inlineStr">
        <is>
          <t>A 34260-2022</t>
        </is>
      </c>
      <c r="B6288" s="1" t="n">
        <v>44791</v>
      </c>
      <c r="C6288" s="1" t="n">
        <v>45363</v>
      </c>
      <c r="D6288" t="inlineStr">
        <is>
          <t>JÄMTLANDS LÄN</t>
        </is>
      </c>
      <c r="E6288" t="inlineStr">
        <is>
          <t>BERG</t>
        </is>
      </c>
      <c r="F6288" t="inlineStr">
        <is>
          <t>Övriga Aktiebolag</t>
        </is>
      </c>
      <c r="G6288" t="n">
        <v>32.2</v>
      </c>
      <c r="H6288" t="n">
        <v>0</v>
      </c>
      <c r="I6288" t="n">
        <v>0</v>
      </c>
      <c r="J6288" t="n">
        <v>0</v>
      </c>
      <c r="K6288" t="n">
        <v>0</v>
      </c>
      <c r="L6288" t="n">
        <v>0</v>
      </c>
      <c r="M6288" t="n">
        <v>0</v>
      </c>
      <c r="N6288" t="n">
        <v>0</v>
      </c>
      <c r="O6288" t="n">
        <v>0</v>
      </c>
      <c r="P6288" t="n">
        <v>0</v>
      </c>
      <c r="Q6288" t="n">
        <v>0</v>
      </c>
      <c r="R6288" s="2" t="inlineStr"/>
    </row>
    <row r="6289" ht="15" customHeight="1">
      <c r="A6289" t="inlineStr">
        <is>
          <t>A 34251-2022</t>
        </is>
      </c>
      <c r="B6289" s="1" t="n">
        <v>44792</v>
      </c>
      <c r="C6289" s="1" t="n">
        <v>45363</v>
      </c>
      <c r="D6289" t="inlineStr">
        <is>
          <t>JÄMTLANDS LÄN</t>
        </is>
      </c>
      <c r="E6289" t="inlineStr">
        <is>
          <t>STRÖMSUND</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34273-2022</t>
        </is>
      </c>
      <c r="B6290" s="1" t="n">
        <v>44792</v>
      </c>
      <c r="C6290" s="1" t="n">
        <v>45363</v>
      </c>
      <c r="D6290" t="inlineStr">
        <is>
          <t>JÄMTLANDS LÄN</t>
        </is>
      </c>
      <c r="E6290" t="inlineStr">
        <is>
          <t>BERG</t>
        </is>
      </c>
      <c r="F6290" t="inlineStr">
        <is>
          <t>SCA</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34244-2022</t>
        </is>
      </c>
      <c r="B6291" s="1" t="n">
        <v>44791</v>
      </c>
      <c r="C6291" s="1" t="n">
        <v>45363</v>
      </c>
      <c r="D6291" t="inlineStr">
        <is>
          <t>JÄMTLANDS LÄN</t>
        </is>
      </c>
      <c r="E6291" t="inlineStr">
        <is>
          <t>STRÖMSUND</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34272-2022</t>
        </is>
      </c>
      <c r="B6292" s="1" t="n">
        <v>44791</v>
      </c>
      <c r="C6292" s="1" t="n">
        <v>45363</v>
      </c>
      <c r="D6292" t="inlineStr">
        <is>
          <t>JÄMTLANDS LÄN</t>
        </is>
      </c>
      <c r="E6292" t="inlineStr">
        <is>
          <t>BERG</t>
        </is>
      </c>
      <c r="F6292" t="inlineStr">
        <is>
          <t>SCA</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34264-2022</t>
        </is>
      </c>
      <c r="B6293" s="1" t="n">
        <v>44791</v>
      </c>
      <c r="C6293" s="1" t="n">
        <v>45363</v>
      </c>
      <c r="D6293" t="inlineStr">
        <is>
          <t>JÄMTLANDS LÄN</t>
        </is>
      </c>
      <c r="E6293" t="inlineStr">
        <is>
          <t>STRÖMSUND</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34294-2022</t>
        </is>
      </c>
      <c r="B6294" s="1" t="n">
        <v>44792</v>
      </c>
      <c r="C6294" s="1" t="n">
        <v>45363</v>
      </c>
      <c r="D6294" t="inlineStr">
        <is>
          <t>JÄMTLANDS LÄN</t>
        </is>
      </c>
      <c r="E6294" t="inlineStr">
        <is>
          <t>STRÖMSUND</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34359-2022</t>
        </is>
      </c>
      <c r="B6295" s="1" t="n">
        <v>44792</v>
      </c>
      <c r="C6295" s="1" t="n">
        <v>45363</v>
      </c>
      <c r="D6295" t="inlineStr">
        <is>
          <t>JÄMTLANDS LÄN</t>
        </is>
      </c>
      <c r="E6295" t="inlineStr">
        <is>
          <t>HÄRJEDALEN</t>
        </is>
      </c>
      <c r="F6295" t="inlineStr">
        <is>
          <t>Bergvik skog väst AB</t>
        </is>
      </c>
      <c r="G6295" t="n">
        <v>23.1</v>
      </c>
      <c r="H6295" t="n">
        <v>0</v>
      </c>
      <c r="I6295" t="n">
        <v>0</v>
      </c>
      <c r="J6295" t="n">
        <v>0</v>
      </c>
      <c r="K6295" t="n">
        <v>0</v>
      </c>
      <c r="L6295" t="n">
        <v>0</v>
      </c>
      <c r="M6295" t="n">
        <v>0</v>
      </c>
      <c r="N6295" t="n">
        <v>0</v>
      </c>
      <c r="O6295" t="n">
        <v>0</v>
      </c>
      <c r="P6295" t="n">
        <v>0</v>
      </c>
      <c r="Q6295" t="n">
        <v>0</v>
      </c>
      <c r="R6295" s="2" t="inlineStr"/>
    </row>
    <row r="6296" ht="15" customHeight="1">
      <c r="A6296" t="inlineStr">
        <is>
          <t>A 34315-2022</t>
        </is>
      </c>
      <c r="B6296" s="1" t="n">
        <v>44792</v>
      </c>
      <c r="C6296" s="1" t="n">
        <v>45363</v>
      </c>
      <c r="D6296" t="inlineStr">
        <is>
          <t>JÄMTLANDS LÄN</t>
        </is>
      </c>
      <c r="E6296" t="inlineStr">
        <is>
          <t>BRÄCKE</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34361-2022</t>
        </is>
      </c>
      <c r="B6297" s="1" t="n">
        <v>44792</v>
      </c>
      <c r="C6297" s="1" t="n">
        <v>45363</v>
      </c>
      <c r="D6297" t="inlineStr">
        <is>
          <t>JÄMTLANDS LÄN</t>
        </is>
      </c>
      <c r="E6297" t="inlineStr">
        <is>
          <t>HÄRJEDALEN</t>
        </is>
      </c>
      <c r="F6297" t="inlineStr">
        <is>
          <t>Bergvik skog väst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34392-2022</t>
        </is>
      </c>
      <c r="B6298" s="1" t="n">
        <v>44792</v>
      </c>
      <c r="C6298" s="1" t="n">
        <v>45363</v>
      </c>
      <c r="D6298" t="inlineStr">
        <is>
          <t>JÄMTLANDS LÄN</t>
        </is>
      </c>
      <c r="E6298" t="inlineStr">
        <is>
          <t>HÄRJEDALEN</t>
        </is>
      </c>
      <c r="G6298" t="n">
        <v>23.5</v>
      </c>
      <c r="H6298" t="n">
        <v>0</v>
      </c>
      <c r="I6298" t="n">
        <v>0</v>
      </c>
      <c r="J6298" t="n">
        <v>0</v>
      </c>
      <c r="K6298" t="n">
        <v>0</v>
      </c>
      <c r="L6298" t="n">
        <v>0</v>
      </c>
      <c r="M6298" t="n">
        <v>0</v>
      </c>
      <c r="N6298" t="n">
        <v>0</v>
      </c>
      <c r="O6298" t="n">
        <v>0</v>
      </c>
      <c r="P6298" t="n">
        <v>0</v>
      </c>
      <c r="Q6298" t="n">
        <v>0</v>
      </c>
      <c r="R6298" s="2" t="inlineStr"/>
    </row>
    <row r="6299" ht="15" customHeight="1">
      <c r="A6299" t="inlineStr">
        <is>
          <t>A 34293-2022</t>
        </is>
      </c>
      <c r="B6299" s="1" t="n">
        <v>44792</v>
      </c>
      <c r="C6299" s="1" t="n">
        <v>45363</v>
      </c>
      <c r="D6299" t="inlineStr">
        <is>
          <t>JÄMTLANDS LÄN</t>
        </is>
      </c>
      <c r="E6299" t="inlineStr">
        <is>
          <t>STRÖMSUND</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34278-2022</t>
        </is>
      </c>
      <c r="B6300" s="1" t="n">
        <v>44792</v>
      </c>
      <c r="C6300" s="1" t="n">
        <v>45363</v>
      </c>
      <c r="D6300" t="inlineStr">
        <is>
          <t>JÄMTLANDS LÄN</t>
        </is>
      </c>
      <c r="E6300" t="inlineStr">
        <is>
          <t>KROKOM</t>
        </is>
      </c>
      <c r="G6300" t="n">
        <v>19.5</v>
      </c>
      <c r="H6300" t="n">
        <v>0</v>
      </c>
      <c r="I6300" t="n">
        <v>0</v>
      </c>
      <c r="J6300" t="n">
        <v>0</v>
      </c>
      <c r="K6300" t="n">
        <v>0</v>
      </c>
      <c r="L6300" t="n">
        <v>0</v>
      </c>
      <c r="M6300" t="n">
        <v>0</v>
      </c>
      <c r="N6300" t="n">
        <v>0</v>
      </c>
      <c r="O6300" t="n">
        <v>0</v>
      </c>
      <c r="P6300" t="n">
        <v>0</v>
      </c>
      <c r="Q6300" t="n">
        <v>0</v>
      </c>
      <c r="R6300" s="2" t="inlineStr"/>
    </row>
    <row r="6301" ht="15" customHeight="1">
      <c r="A6301" t="inlineStr">
        <is>
          <t>A 34492-2022</t>
        </is>
      </c>
      <c r="B6301" s="1" t="n">
        <v>44792</v>
      </c>
      <c r="C6301" s="1" t="n">
        <v>45363</v>
      </c>
      <c r="D6301" t="inlineStr">
        <is>
          <t>JÄMTLANDS LÄN</t>
        </is>
      </c>
      <c r="E6301" t="inlineStr">
        <is>
          <t>HÄRJEDALEN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34512-2022</t>
        </is>
      </c>
      <c r="B6302" s="1" t="n">
        <v>44793</v>
      </c>
      <c r="C6302" s="1" t="n">
        <v>45363</v>
      </c>
      <c r="D6302" t="inlineStr">
        <is>
          <t>JÄMTLANDS LÄN</t>
        </is>
      </c>
      <c r="E6302" t="inlineStr">
        <is>
          <t>STRÖMSUND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34522-2022</t>
        </is>
      </c>
      <c r="B6303" s="1" t="n">
        <v>44793</v>
      </c>
      <c r="C6303" s="1" t="n">
        <v>45363</v>
      </c>
      <c r="D6303" t="inlineStr">
        <is>
          <t>JÄMTLANDS LÄN</t>
        </is>
      </c>
      <c r="E6303" t="inlineStr">
        <is>
          <t>STRÖMSUND</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34531-2022</t>
        </is>
      </c>
      <c r="B6304" s="1" t="n">
        <v>44793</v>
      </c>
      <c r="C6304" s="1" t="n">
        <v>45363</v>
      </c>
      <c r="D6304" t="inlineStr">
        <is>
          <t>JÄMTLANDS LÄN</t>
        </is>
      </c>
      <c r="E6304" t="inlineStr">
        <is>
          <t>BRÄCKE</t>
        </is>
      </c>
      <c r="F6304" t="inlineStr">
        <is>
          <t>SCA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34523-2022</t>
        </is>
      </c>
      <c r="B6305" s="1" t="n">
        <v>44793</v>
      </c>
      <c r="C6305" s="1" t="n">
        <v>45363</v>
      </c>
      <c r="D6305" t="inlineStr">
        <is>
          <t>JÄMTLANDS LÄN</t>
        </is>
      </c>
      <c r="E6305" t="inlineStr">
        <is>
          <t>STRÖMSUND</t>
        </is>
      </c>
      <c r="F6305" t="inlineStr">
        <is>
          <t>SCA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34524-2022</t>
        </is>
      </c>
      <c r="B6306" s="1" t="n">
        <v>44793</v>
      </c>
      <c r="C6306" s="1" t="n">
        <v>45363</v>
      </c>
      <c r="D6306" t="inlineStr">
        <is>
          <t>JÄMTLANDS LÄN</t>
        </is>
      </c>
      <c r="E6306" t="inlineStr">
        <is>
          <t>STRÖMSUND</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34521-2022</t>
        </is>
      </c>
      <c r="B6307" s="1" t="n">
        <v>44793</v>
      </c>
      <c r="C6307" s="1" t="n">
        <v>45363</v>
      </c>
      <c r="D6307" t="inlineStr">
        <is>
          <t>JÄMTLANDS LÄN</t>
        </is>
      </c>
      <c r="E6307" t="inlineStr">
        <is>
          <t>STRÖMSUND</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34525-2022</t>
        </is>
      </c>
      <c r="B6308" s="1" t="n">
        <v>44793</v>
      </c>
      <c r="C6308" s="1" t="n">
        <v>45363</v>
      </c>
      <c r="D6308" t="inlineStr">
        <is>
          <t>JÄMTLANDS LÄN</t>
        </is>
      </c>
      <c r="E6308" t="inlineStr">
        <is>
          <t>STRÖMSUND</t>
        </is>
      </c>
      <c r="F6308" t="inlineStr">
        <is>
          <t>SCA</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34530-2022</t>
        </is>
      </c>
      <c r="B6309" s="1" t="n">
        <v>44793</v>
      </c>
      <c r="C6309" s="1" t="n">
        <v>45363</v>
      </c>
      <c r="D6309" t="inlineStr">
        <is>
          <t>JÄMTLANDS LÄN</t>
        </is>
      </c>
      <c r="E6309" t="inlineStr">
        <is>
          <t>BRÄCKE</t>
        </is>
      </c>
      <c r="F6309" t="inlineStr">
        <is>
          <t>SCA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34550-2022</t>
        </is>
      </c>
      <c r="B6310" s="1" t="n">
        <v>44793</v>
      </c>
      <c r="C6310" s="1" t="n">
        <v>45363</v>
      </c>
      <c r="D6310" t="inlineStr">
        <is>
          <t>JÄMTLANDS LÄN</t>
        </is>
      </c>
      <c r="E6310" t="inlineStr">
        <is>
          <t>STRÖMSUND</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34627-2022</t>
        </is>
      </c>
      <c r="B6311" s="1" t="n">
        <v>44795</v>
      </c>
      <c r="C6311" s="1" t="n">
        <v>45363</v>
      </c>
      <c r="D6311" t="inlineStr">
        <is>
          <t>JÄMTLANDS LÄN</t>
        </is>
      </c>
      <c r="E6311" t="inlineStr">
        <is>
          <t>HÄRJEDALEN</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34621-2022</t>
        </is>
      </c>
      <c r="B6312" s="1" t="n">
        <v>44795</v>
      </c>
      <c r="C6312" s="1" t="n">
        <v>45363</v>
      </c>
      <c r="D6312" t="inlineStr">
        <is>
          <t>JÄMTLANDS LÄN</t>
        </is>
      </c>
      <c r="E6312" t="inlineStr">
        <is>
          <t>HÄRJEDALEN</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34805-2022</t>
        </is>
      </c>
      <c r="B6313" s="1" t="n">
        <v>44796</v>
      </c>
      <c r="C6313" s="1" t="n">
        <v>45363</v>
      </c>
      <c r="D6313" t="inlineStr">
        <is>
          <t>JÄMTLANDS LÄN</t>
        </is>
      </c>
      <c r="E6313" t="inlineStr">
        <is>
          <t>STRÖMSUND</t>
        </is>
      </c>
      <c r="F6313" t="inlineStr">
        <is>
          <t>SCA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34794-2022</t>
        </is>
      </c>
      <c r="B6314" s="1" t="n">
        <v>44795</v>
      </c>
      <c r="C6314" s="1" t="n">
        <v>45363</v>
      </c>
      <c r="D6314" t="inlineStr">
        <is>
          <t>JÄMTLANDS LÄN</t>
        </is>
      </c>
      <c r="E6314" t="inlineStr">
        <is>
          <t>KROKOM</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34803-2022</t>
        </is>
      </c>
      <c r="B6315" s="1" t="n">
        <v>44796</v>
      </c>
      <c r="C6315" s="1" t="n">
        <v>45363</v>
      </c>
      <c r="D6315" t="inlineStr">
        <is>
          <t>JÄMTLANDS LÄN</t>
        </is>
      </c>
      <c r="E6315" t="inlineStr">
        <is>
          <t>BERG</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34793-2022</t>
        </is>
      </c>
      <c r="B6316" s="1" t="n">
        <v>44795</v>
      </c>
      <c r="C6316" s="1" t="n">
        <v>45363</v>
      </c>
      <c r="D6316" t="inlineStr">
        <is>
          <t>JÄMTLANDS LÄN</t>
        </is>
      </c>
      <c r="E6316" t="inlineStr">
        <is>
          <t>KROKOM</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34890-2022</t>
        </is>
      </c>
      <c r="B6317" s="1" t="n">
        <v>44796</v>
      </c>
      <c r="C6317" s="1" t="n">
        <v>45363</v>
      </c>
      <c r="D6317" t="inlineStr">
        <is>
          <t>JÄMTLANDS LÄN</t>
        </is>
      </c>
      <c r="E6317" t="inlineStr">
        <is>
          <t>STRÖMSUND</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34920-2022</t>
        </is>
      </c>
      <c r="B6318" s="1" t="n">
        <v>44796</v>
      </c>
      <c r="C6318" s="1" t="n">
        <v>45363</v>
      </c>
      <c r="D6318" t="inlineStr">
        <is>
          <t>JÄMTLANDS LÄN</t>
        </is>
      </c>
      <c r="E6318" t="inlineStr">
        <is>
          <t>STRÖMSUND</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34916-2022</t>
        </is>
      </c>
      <c r="B6319" s="1" t="n">
        <v>44796</v>
      </c>
      <c r="C6319" s="1" t="n">
        <v>45363</v>
      </c>
      <c r="D6319" t="inlineStr">
        <is>
          <t>JÄMTLANDS LÄN</t>
        </is>
      </c>
      <c r="E6319" t="inlineStr">
        <is>
          <t>ÅRE</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35015-2022</t>
        </is>
      </c>
      <c r="B6320" s="1" t="n">
        <v>44797</v>
      </c>
      <c r="C6320" s="1" t="n">
        <v>45363</v>
      </c>
      <c r="D6320" t="inlineStr">
        <is>
          <t>JÄMTLANDS LÄN</t>
        </is>
      </c>
      <c r="E6320" t="inlineStr">
        <is>
          <t>STRÖMSUND</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35010-2022</t>
        </is>
      </c>
      <c r="B6321" s="1" t="n">
        <v>44797</v>
      </c>
      <c r="C6321" s="1" t="n">
        <v>45363</v>
      </c>
      <c r="D6321" t="inlineStr">
        <is>
          <t>JÄMTLANDS LÄN</t>
        </is>
      </c>
      <c r="E6321" t="inlineStr">
        <is>
          <t>BRÄCKE</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35018-2022</t>
        </is>
      </c>
      <c r="B6322" s="1" t="n">
        <v>44797</v>
      </c>
      <c r="C6322" s="1" t="n">
        <v>45363</v>
      </c>
      <c r="D6322" t="inlineStr">
        <is>
          <t>JÄMTLANDS LÄN</t>
        </is>
      </c>
      <c r="E6322" t="inlineStr">
        <is>
          <t>RAGUNDA</t>
        </is>
      </c>
      <c r="F6322" t="inlineStr">
        <is>
          <t>SCA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35058-2022</t>
        </is>
      </c>
      <c r="B6323" s="1" t="n">
        <v>44796</v>
      </c>
      <c r="C6323" s="1" t="n">
        <v>45363</v>
      </c>
      <c r="D6323" t="inlineStr">
        <is>
          <t>JÄMTLANDS LÄN</t>
        </is>
      </c>
      <c r="E6323" t="inlineStr">
        <is>
          <t>KROKOM</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35126-2022</t>
        </is>
      </c>
      <c r="B6324" s="1" t="n">
        <v>44797</v>
      </c>
      <c r="C6324" s="1" t="n">
        <v>45363</v>
      </c>
      <c r="D6324" t="inlineStr">
        <is>
          <t>JÄMTLANDS LÄN</t>
        </is>
      </c>
      <c r="E6324" t="inlineStr">
        <is>
          <t>BERG</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35182-2022</t>
        </is>
      </c>
      <c r="B6325" s="1" t="n">
        <v>44797</v>
      </c>
      <c r="C6325" s="1" t="n">
        <v>45363</v>
      </c>
      <c r="D6325" t="inlineStr">
        <is>
          <t>JÄMTLANDS LÄN</t>
        </is>
      </c>
      <c r="E6325" t="inlineStr">
        <is>
          <t>BRÄCKE</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35221-2022</t>
        </is>
      </c>
      <c r="B6326" s="1" t="n">
        <v>44798</v>
      </c>
      <c r="C6326" s="1" t="n">
        <v>45363</v>
      </c>
      <c r="D6326" t="inlineStr">
        <is>
          <t>JÄMTLANDS LÄN</t>
        </is>
      </c>
      <c r="E6326" t="inlineStr">
        <is>
          <t>STRÖMSUND</t>
        </is>
      </c>
      <c r="F6326" t="inlineStr">
        <is>
          <t>SCA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35232-2022</t>
        </is>
      </c>
      <c r="B6327" s="1" t="n">
        <v>44797</v>
      </c>
      <c r="C6327" s="1" t="n">
        <v>45363</v>
      </c>
      <c r="D6327" t="inlineStr">
        <is>
          <t>JÄMTLANDS LÄN</t>
        </is>
      </c>
      <c r="E6327" t="inlineStr">
        <is>
          <t>BRÄCKE</t>
        </is>
      </c>
      <c r="F6327" t="inlineStr">
        <is>
          <t>SCA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35226-2022</t>
        </is>
      </c>
      <c r="B6328" s="1" t="n">
        <v>44797</v>
      </c>
      <c r="C6328" s="1" t="n">
        <v>45363</v>
      </c>
      <c r="D6328" t="inlineStr">
        <is>
          <t>JÄMTLANDS LÄN</t>
        </is>
      </c>
      <c r="E6328" t="inlineStr">
        <is>
          <t>KROKOM</t>
        </is>
      </c>
      <c r="F6328" t="inlineStr">
        <is>
          <t>SCA</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35233-2022</t>
        </is>
      </c>
      <c r="B6329" s="1" t="n">
        <v>44797</v>
      </c>
      <c r="C6329" s="1" t="n">
        <v>45363</v>
      </c>
      <c r="D6329" t="inlineStr">
        <is>
          <t>JÄMTLANDS LÄN</t>
        </is>
      </c>
      <c r="E6329" t="inlineStr">
        <is>
          <t>STRÖMSUND</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35235-2022</t>
        </is>
      </c>
      <c r="B6330" s="1" t="n">
        <v>44797</v>
      </c>
      <c r="C6330" s="1" t="n">
        <v>45363</v>
      </c>
      <c r="D6330" t="inlineStr">
        <is>
          <t>JÄMTLANDS LÄN</t>
        </is>
      </c>
      <c r="E6330" t="inlineStr">
        <is>
          <t>RAGUNDA</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35240-2022</t>
        </is>
      </c>
      <c r="B6331" s="1" t="n">
        <v>44797</v>
      </c>
      <c r="C6331" s="1" t="n">
        <v>45363</v>
      </c>
      <c r="D6331" t="inlineStr">
        <is>
          <t>JÄMTLANDS LÄN</t>
        </is>
      </c>
      <c r="E6331" t="inlineStr">
        <is>
          <t>STRÖMSUND</t>
        </is>
      </c>
      <c r="F6331" t="inlineStr">
        <is>
          <t>SCA</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35275-2022</t>
        </is>
      </c>
      <c r="B6332" s="1" t="n">
        <v>44797</v>
      </c>
      <c r="C6332" s="1" t="n">
        <v>45363</v>
      </c>
      <c r="D6332" t="inlineStr">
        <is>
          <t>JÄMTLANDS LÄN</t>
        </is>
      </c>
      <c r="E6332" t="inlineStr">
        <is>
          <t>KROKOM</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35241-2022</t>
        </is>
      </c>
      <c r="B6333" s="1" t="n">
        <v>44797</v>
      </c>
      <c r="C6333" s="1" t="n">
        <v>45363</v>
      </c>
      <c r="D6333" t="inlineStr">
        <is>
          <t>JÄMTLANDS LÄN</t>
        </is>
      </c>
      <c r="E6333" t="inlineStr">
        <is>
          <t>STRÖMSUND</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35308-2022</t>
        </is>
      </c>
      <c r="B6334" s="1" t="n">
        <v>44798</v>
      </c>
      <c r="C6334" s="1" t="n">
        <v>45363</v>
      </c>
      <c r="D6334" t="inlineStr">
        <is>
          <t>JÄMTLANDS LÄN</t>
        </is>
      </c>
      <c r="E6334" t="inlineStr">
        <is>
          <t>STRÖMSUND</t>
        </is>
      </c>
      <c r="F6334" t="inlineStr">
        <is>
          <t>Kommuner</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35295-2022</t>
        </is>
      </c>
      <c r="B6335" s="1" t="n">
        <v>44798</v>
      </c>
      <c r="C6335" s="1" t="n">
        <v>45363</v>
      </c>
      <c r="D6335" t="inlineStr">
        <is>
          <t>JÄMTLANDS LÄN</t>
        </is>
      </c>
      <c r="E6335" t="inlineStr">
        <is>
          <t>STRÖMSUND</t>
        </is>
      </c>
      <c r="F6335" t="inlineStr">
        <is>
          <t>Kommuner</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35321-2022</t>
        </is>
      </c>
      <c r="B6336" s="1" t="n">
        <v>44798</v>
      </c>
      <c r="C6336" s="1" t="n">
        <v>45363</v>
      </c>
      <c r="D6336" t="inlineStr">
        <is>
          <t>JÄMTLANDS LÄN</t>
        </is>
      </c>
      <c r="E6336" t="inlineStr">
        <is>
          <t>STRÖMSUND</t>
        </is>
      </c>
      <c r="F6336" t="inlineStr">
        <is>
          <t>Kommuner</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35329-2022</t>
        </is>
      </c>
      <c r="B6337" s="1" t="n">
        <v>44798</v>
      </c>
      <c r="C6337" s="1" t="n">
        <v>45363</v>
      </c>
      <c r="D6337" t="inlineStr">
        <is>
          <t>JÄMTLANDS LÄN</t>
        </is>
      </c>
      <c r="E6337" t="inlineStr">
        <is>
          <t>STRÖMSUND</t>
        </is>
      </c>
      <c r="F6337" t="inlineStr">
        <is>
          <t>Kommuner</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35377-2022</t>
        </is>
      </c>
      <c r="B6338" s="1" t="n">
        <v>44798</v>
      </c>
      <c r="C6338" s="1" t="n">
        <v>45363</v>
      </c>
      <c r="D6338" t="inlineStr">
        <is>
          <t>JÄMTLANDS LÄN</t>
        </is>
      </c>
      <c r="E6338" t="inlineStr">
        <is>
          <t>STRÖMSUND</t>
        </is>
      </c>
      <c r="F6338" t="inlineStr">
        <is>
          <t>Kommuner</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35375-2022</t>
        </is>
      </c>
      <c r="B6339" s="1" t="n">
        <v>44798</v>
      </c>
      <c r="C6339" s="1" t="n">
        <v>45363</v>
      </c>
      <c r="D6339" t="inlineStr">
        <is>
          <t>JÄMTLANDS LÄN</t>
        </is>
      </c>
      <c r="E6339" t="inlineStr">
        <is>
          <t>STRÖMSUND</t>
        </is>
      </c>
      <c r="F6339" t="inlineStr">
        <is>
          <t>Kommuner</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35495-2022</t>
        </is>
      </c>
      <c r="B6340" s="1" t="n">
        <v>44798</v>
      </c>
      <c r="C6340" s="1" t="n">
        <v>45363</v>
      </c>
      <c r="D6340" t="inlineStr">
        <is>
          <t>JÄMTLANDS LÄN</t>
        </is>
      </c>
      <c r="E6340" t="inlineStr">
        <is>
          <t>RAGUNDA</t>
        </is>
      </c>
      <c r="F6340" t="inlineStr">
        <is>
          <t>SCA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35501-2022</t>
        </is>
      </c>
      <c r="B6341" s="1" t="n">
        <v>44799</v>
      </c>
      <c r="C6341" s="1" t="n">
        <v>45363</v>
      </c>
      <c r="D6341" t="inlineStr">
        <is>
          <t>JÄMTLANDS LÄN</t>
        </is>
      </c>
      <c r="E6341" t="inlineStr">
        <is>
          <t>BRÄCKE</t>
        </is>
      </c>
      <c r="F6341" t="inlineStr">
        <is>
          <t>SCA</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35511-2022</t>
        </is>
      </c>
      <c r="B6342" s="1" t="n">
        <v>44798</v>
      </c>
      <c r="C6342" s="1" t="n">
        <v>45363</v>
      </c>
      <c r="D6342" t="inlineStr">
        <is>
          <t>JÄMTLANDS LÄN</t>
        </is>
      </c>
      <c r="E6342" t="inlineStr">
        <is>
          <t>BRÄCKE</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35512-2022</t>
        </is>
      </c>
      <c r="B6343" s="1" t="n">
        <v>44799</v>
      </c>
      <c r="C6343" s="1" t="n">
        <v>45363</v>
      </c>
      <c r="D6343" t="inlineStr">
        <is>
          <t>JÄMTLANDS LÄN</t>
        </is>
      </c>
      <c r="E6343" t="inlineStr">
        <is>
          <t>BRÄCKE</t>
        </is>
      </c>
      <c r="F6343" t="inlineStr">
        <is>
          <t>SCA</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35492-2022</t>
        </is>
      </c>
      <c r="B6344" s="1" t="n">
        <v>44799</v>
      </c>
      <c r="C6344" s="1" t="n">
        <v>45363</v>
      </c>
      <c r="D6344" t="inlineStr">
        <is>
          <t>JÄMTLANDS LÄN</t>
        </is>
      </c>
      <c r="E6344" t="inlineStr">
        <is>
          <t>RAGUNDA</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35556-2022</t>
        </is>
      </c>
      <c r="B6345" s="1" t="n">
        <v>44799</v>
      </c>
      <c r="C6345" s="1" t="n">
        <v>45363</v>
      </c>
      <c r="D6345" t="inlineStr">
        <is>
          <t>JÄMTLANDS LÄN</t>
        </is>
      </c>
      <c r="E6345" t="inlineStr">
        <is>
          <t>ÖSTERSUND</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35614-2022</t>
        </is>
      </c>
      <c r="B6346" s="1" t="n">
        <v>44799</v>
      </c>
      <c r="C6346" s="1" t="n">
        <v>45363</v>
      </c>
      <c r="D6346" t="inlineStr">
        <is>
          <t>JÄMTLANDS LÄN</t>
        </is>
      </c>
      <c r="E6346" t="inlineStr">
        <is>
          <t>HÄRJEDALEN</t>
        </is>
      </c>
      <c r="F6346" t="inlineStr">
        <is>
          <t>Bergvik skog väst AB</t>
        </is>
      </c>
      <c r="G6346" t="n">
        <v>72.09999999999999</v>
      </c>
      <c r="H6346" t="n">
        <v>0</v>
      </c>
      <c r="I6346" t="n">
        <v>0</v>
      </c>
      <c r="J6346" t="n">
        <v>0</v>
      </c>
      <c r="K6346" t="n">
        <v>0</v>
      </c>
      <c r="L6346" t="n">
        <v>0</v>
      </c>
      <c r="M6346" t="n">
        <v>0</v>
      </c>
      <c r="N6346" t="n">
        <v>0</v>
      </c>
      <c r="O6346" t="n">
        <v>0</v>
      </c>
      <c r="P6346" t="n">
        <v>0</v>
      </c>
      <c r="Q6346" t="n">
        <v>0</v>
      </c>
      <c r="R6346" s="2" t="inlineStr"/>
    </row>
    <row r="6347" ht="15" customHeight="1">
      <c r="A6347" t="inlineStr">
        <is>
          <t>A 35746-2022</t>
        </is>
      </c>
      <c r="B6347" s="1" t="n">
        <v>44800</v>
      </c>
      <c r="C6347" s="1" t="n">
        <v>45363</v>
      </c>
      <c r="D6347" t="inlineStr">
        <is>
          <t>JÄMTLANDS LÄN</t>
        </is>
      </c>
      <c r="E6347" t="inlineStr">
        <is>
          <t>BRÄCKE</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35757-2022</t>
        </is>
      </c>
      <c r="B6348" s="1" t="n">
        <v>44799</v>
      </c>
      <c r="C6348" s="1" t="n">
        <v>45363</v>
      </c>
      <c r="D6348" t="inlineStr">
        <is>
          <t>JÄMTLANDS LÄN</t>
        </is>
      </c>
      <c r="E6348" t="inlineStr">
        <is>
          <t>RAGUNDA</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35694-2022</t>
        </is>
      </c>
      <c r="B6349" s="1" t="n">
        <v>44799</v>
      </c>
      <c r="C6349" s="1" t="n">
        <v>45363</v>
      </c>
      <c r="D6349" t="inlineStr">
        <is>
          <t>JÄMTLANDS LÄN</t>
        </is>
      </c>
      <c r="E6349" t="inlineStr">
        <is>
          <t>STRÖMSUND</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35743-2022</t>
        </is>
      </c>
      <c r="B6350" s="1" t="n">
        <v>44800</v>
      </c>
      <c r="C6350" s="1" t="n">
        <v>45363</v>
      </c>
      <c r="D6350" t="inlineStr">
        <is>
          <t>JÄMTLANDS LÄN</t>
        </is>
      </c>
      <c r="E6350" t="inlineStr">
        <is>
          <t>STRÖMSUND</t>
        </is>
      </c>
      <c r="F6350" t="inlineStr">
        <is>
          <t>SCA</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35740-2022</t>
        </is>
      </c>
      <c r="B6351" s="1" t="n">
        <v>44800</v>
      </c>
      <c r="C6351" s="1" t="n">
        <v>45363</v>
      </c>
      <c r="D6351" t="inlineStr">
        <is>
          <t>JÄMTLANDS LÄN</t>
        </is>
      </c>
      <c r="E6351" t="inlineStr">
        <is>
          <t>BERG</t>
        </is>
      </c>
      <c r="F6351" t="inlineStr">
        <is>
          <t>SCA</t>
        </is>
      </c>
      <c r="G6351" t="n">
        <v>7.1</v>
      </c>
      <c r="H6351" t="n">
        <v>0</v>
      </c>
      <c r="I6351" t="n">
        <v>0</v>
      </c>
      <c r="J6351" t="n">
        <v>0</v>
      </c>
      <c r="K6351" t="n">
        <v>0</v>
      </c>
      <c r="L6351" t="n">
        <v>0</v>
      </c>
      <c r="M6351" t="n">
        <v>0</v>
      </c>
      <c r="N6351" t="n">
        <v>0</v>
      </c>
      <c r="O6351" t="n">
        <v>0</v>
      </c>
      <c r="P6351" t="n">
        <v>0</v>
      </c>
      <c r="Q6351" t="n">
        <v>0</v>
      </c>
      <c r="R6351" s="2" t="inlineStr"/>
    </row>
    <row r="6352" ht="15" customHeight="1">
      <c r="A6352" t="inlineStr">
        <is>
          <t>A 35749-2022</t>
        </is>
      </c>
      <c r="B6352" s="1" t="n">
        <v>44800</v>
      </c>
      <c r="C6352" s="1" t="n">
        <v>45363</v>
      </c>
      <c r="D6352" t="inlineStr">
        <is>
          <t>JÄMTLANDS LÄN</t>
        </is>
      </c>
      <c r="E6352" t="inlineStr">
        <is>
          <t>RAGUNDA</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35989-2022</t>
        </is>
      </c>
      <c r="B6353" s="1" t="n">
        <v>44802</v>
      </c>
      <c r="C6353" s="1" t="n">
        <v>45363</v>
      </c>
      <c r="D6353" t="inlineStr">
        <is>
          <t>JÄMTLANDS LÄN</t>
        </is>
      </c>
      <c r="E6353" t="inlineStr">
        <is>
          <t>STRÖMSUND</t>
        </is>
      </c>
      <c r="F6353" t="inlineStr">
        <is>
          <t>Sveaskog</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35853-2022</t>
        </is>
      </c>
      <c r="B6354" s="1" t="n">
        <v>44802</v>
      </c>
      <c r="C6354" s="1" t="n">
        <v>45363</v>
      </c>
      <c r="D6354" t="inlineStr">
        <is>
          <t>JÄMTLANDS LÄN</t>
        </is>
      </c>
      <c r="E6354" t="inlineStr">
        <is>
          <t>STRÖMSUND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35998-2022</t>
        </is>
      </c>
      <c r="B6355" s="1" t="n">
        <v>44802</v>
      </c>
      <c r="C6355" s="1" t="n">
        <v>45363</v>
      </c>
      <c r="D6355" t="inlineStr">
        <is>
          <t>JÄMTLANDS LÄN</t>
        </is>
      </c>
      <c r="E6355" t="inlineStr">
        <is>
          <t>RAGUNDA</t>
        </is>
      </c>
      <c r="G6355" t="n">
        <v>25.4</v>
      </c>
      <c r="H6355" t="n">
        <v>0</v>
      </c>
      <c r="I6355" t="n">
        <v>0</v>
      </c>
      <c r="J6355" t="n">
        <v>0</v>
      </c>
      <c r="K6355" t="n">
        <v>0</v>
      </c>
      <c r="L6355" t="n">
        <v>0</v>
      </c>
      <c r="M6355" t="n">
        <v>0</v>
      </c>
      <c r="N6355" t="n">
        <v>0</v>
      </c>
      <c r="O6355" t="n">
        <v>0</v>
      </c>
      <c r="P6355" t="n">
        <v>0</v>
      </c>
      <c r="Q6355" t="n">
        <v>0</v>
      </c>
      <c r="R6355" s="2" t="inlineStr"/>
    </row>
    <row r="6356" ht="15" customHeight="1">
      <c r="A6356" t="inlineStr">
        <is>
          <t>A 36071-2022</t>
        </is>
      </c>
      <c r="B6356" s="1" t="n">
        <v>44802</v>
      </c>
      <c r="C6356" s="1" t="n">
        <v>45363</v>
      </c>
      <c r="D6356" t="inlineStr">
        <is>
          <t>JÄMTLANDS LÄN</t>
        </is>
      </c>
      <c r="E6356" t="inlineStr">
        <is>
          <t>BERG</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35850-2022</t>
        </is>
      </c>
      <c r="B6357" s="1" t="n">
        <v>44802</v>
      </c>
      <c r="C6357" s="1" t="n">
        <v>45363</v>
      </c>
      <c r="D6357" t="inlineStr">
        <is>
          <t>JÄMTLANDS LÄN</t>
        </is>
      </c>
      <c r="E6357" t="inlineStr">
        <is>
          <t>STRÖMSUND</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35972-2022</t>
        </is>
      </c>
      <c r="B6358" s="1" t="n">
        <v>44802</v>
      </c>
      <c r="C6358" s="1" t="n">
        <v>45363</v>
      </c>
      <c r="D6358" t="inlineStr">
        <is>
          <t>JÄMTLANDS LÄN</t>
        </is>
      </c>
      <c r="E6358" t="inlineStr">
        <is>
          <t>STRÖMSUND</t>
        </is>
      </c>
      <c r="F6358" t="inlineStr">
        <is>
          <t>Sveaskog</t>
        </is>
      </c>
      <c r="G6358" t="n">
        <v>22.9</v>
      </c>
      <c r="H6358" t="n">
        <v>0</v>
      </c>
      <c r="I6358" t="n">
        <v>0</v>
      </c>
      <c r="J6358" t="n">
        <v>0</v>
      </c>
      <c r="K6358" t="n">
        <v>0</v>
      </c>
      <c r="L6358" t="n">
        <v>0</v>
      </c>
      <c r="M6358" t="n">
        <v>0</v>
      </c>
      <c r="N6358" t="n">
        <v>0</v>
      </c>
      <c r="O6358" t="n">
        <v>0</v>
      </c>
      <c r="P6358" t="n">
        <v>0</v>
      </c>
      <c r="Q6358" t="n">
        <v>0</v>
      </c>
      <c r="R6358" s="2" t="inlineStr"/>
    </row>
    <row r="6359" ht="15" customHeight="1">
      <c r="A6359" t="inlineStr">
        <is>
          <t>A 36084-2022</t>
        </is>
      </c>
      <c r="B6359" s="1" t="n">
        <v>44802</v>
      </c>
      <c r="C6359" s="1" t="n">
        <v>45363</v>
      </c>
      <c r="D6359" t="inlineStr">
        <is>
          <t>JÄMTLANDS LÄN</t>
        </is>
      </c>
      <c r="E6359" t="inlineStr">
        <is>
          <t>RAGUNDA</t>
        </is>
      </c>
      <c r="F6359" t="inlineStr">
        <is>
          <t>SCA</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36079-2022</t>
        </is>
      </c>
      <c r="B6360" s="1" t="n">
        <v>44803</v>
      </c>
      <c r="C6360" s="1" t="n">
        <v>45363</v>
      </c>
      <c r="D6360" t="inlineStr">
        <is>
          <t>JÄMTLANDS LÄN</t>
        </is>
      </c>
      <c r="E6360" t="inlineStr">
        <is>
          <t>STRÖMSUND</t>
        </is>
      </c>
      <c r="F6360" t="inlineStr">
        <is>
          <t>SCA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36106-2022</t>
        </is>
      </c>
      <c r="B6361" s="1" t="n">
        <v>44803</v>
      </c>
      <c r="C6361" s="1" t="n">
        <v>45363</v>
      </c>
      <c r="D6361" t="inlineStr">
        <is>
          <t>JÄMTLANDS LÄN</t>
        </is>
      </c>
      <c r="E6361" t="inlineStr">
        <is>
          <t>RAGUNDA</t>
        </is>
      </c>
      <c r="F6361" t="inlineStr">
        <is>
          <t>SCA</t>
        </is>
      </c>
      <c r="G6361" t="n">
        <v>7.3</v>
      </c>
      <c r="H6361" t="n">
        <v>0</v>
      </c>
      <c r="I6361" t="n">
        <v>0</v>
      </c>
      <c r="J6361" t="n">
        <v>0</v>
      </c>
      <c r="K6361" t="n">
        <v>0</v>
      </c>
      <c r="L6361" t="n">
        <v>0</v>
      </c>
      <c r="M6361" t="n">
        <v>0</v>
      </c>
      <c r="N6361" t="n">
        <v>0</v>
      </c>
      <c r="O6361" t="n">
        <v>0</v>
      </c>
      <c r="P6361" t="n">
        <v>0</v>
      </c>
      <c r="Q6361" t="n">
        <v>0</v>
      </c>
      <c r="R6361" s="2" t="inlineStr"/>
    </row>
    <row r="6362" ht="15" customHeight="1">
      <c r="A6362" t="inlineStr">
        <is>
          <t>A 35971-2022</t>
        </is>
      </c>
      <c r="B6362" s="1" t="n">
        <v>44802</v>
      </c>
      <c r="C6362" s="1" t="n">
        <v>45363</v>
      </c>
      <c r="D6362" t="inlineStr">
        <is>
          <t>JÄMTLANDS LÄN</t>
        </is>
      </c>
      <c r="E6362" t="inlineStr">
        <is>
          <t>STRÖMSUND</t>
        </is>
      </c>
      <c r="F6362" t="inlineStr">
        <is>
          <t>Sveaskog</t>
        </is>
      </c>
      <c r="G6362" t="n">
        <v>17.2</v>
      </c>
      <c r="H6362" t="n">
        <v>0</v>
      </c>
      <c r="I6362" t="n">
        <v>0</v>
      </c>
      <c r="J6362" t="n">
        <v>0</v>
      </c>
      <c r="K6362" t="n">
        <v>0</v>
      </c>
      <c r="L6362" t="n">
        <v>0</v>
      </c>
      <c r="M6362" t="n">
        <v>0</v>
      </c>
      <c r="N6362" t="n">
        <v>0</v>
      </c>
      <c r="O6362" t="n">
        <v>0</v>
      </c>
      <c r="P6362" t="n">
        <v>0</v>
      </c>
      <c r="Q6362" t="n">
        <v>0</v>
      </c>
      <c r="R6362" s="2" t="inlineStr"/>
    </row>
    <row r="6363" ht="15" customHeight="1">
      <c r="A6363" t="inlineStr">
        <is>
          <t>A 36096-2022</t>
        </is>
      </c>
      <c r="B6363" s="1" t="n">
        <v>44803</v>
      </c>
      <c r="C6363" s="1" t="n">
        <v>45363</v>
      </c>
      <c r="D6363" t="inlineStr">
        <is>
          <t>JÄMTLANDS LÄN</t>
        </is>
      </c>
      <c r="E6363" t="inlineStr">
        <is>
          <t>STRÖMSUND</t>
        </is>
      </c>
      <c r="F6363" t="inlineStr">
        <is>
          <t>SCA</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36129-2022</t>
        </is>
      </c>
      <c r="B6364" s="1" t="n">
        <v>44803</v>
      </c>
      <c r="C6364" s="1" t="n">
        <v>45363</v>
      </c>
      <c r="D6364" t="inlineStr">
        <is>
          <t>JÄMTLANDS LÄN</t>
        </is>
      </c>
      <c r="E6364" t="inlineStr">
        <is>
          <t>BRÄCKE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36219-2022</t>
        </is>
      </c>
      <c r="B6365" s="1" t="n">
        <v>44803</v>
      </c>
      <c r="C6365" s="1" t="n">
        <v>45363</v>
      </c>
      <c r="D6365" t="inlineStr">
        <is>
          <t>JÄMTLANDS LÄN</t>
        </is>
      </c>
      <c r="E6365" t="inlineStr">
        <is>
          <t>ÅRE</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36249-2022</t>
        </is>
      </c>
      <c r="B6366" s="1" t="n">
        <v>44803</v>
      </c>
      <c r="C6366" s="1" t="n">
        <v>45363</v>
      </c>
      <c r="D6366" t="inlineStr">
        <is>
          <t>JÄMTLANDS LÄN</t>
        </is>
      </c>
      <c r="E6366" t="inlineStr">
        <is>
          <t>HÄRJEDALEN</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36170-2022</t>
        </is>
      </c>
      <c r="B6367" s="1" t="n">
        <v>44803</v>
      </c>
      <c r="C6367" s="1" t="n">
        <v>45363</v>
      </c>
      <c r="D6367" t="inlineStr">
        <is>
          <t>JÄMTLANDS LÄN</t>
        </is>
      </c>
      <c r="E6367" t="inlineStr">
        <is>
          <t>HÄRJEDALEN</t>
        </is>
      </c>
      <c r="G6367" t="n">
        <v>14.7</v>
      </c>
      <c r="H6367" t="n">
        <v>0</v>
      </c>
      <c r="I6367" t="n">
        <v>0</v>
      </c>
      <c r="J6367" t="n">
        <v>0</v>
      </c>
      <c r="K6367" t="n">
        <v>0</v>
      </c>
      <c r="L6367" t="n">
        <v>0</v>
      </c>
      <c r="M6367" t="n">
        <v>0</v>
      </c>
      <c r="N6367" t="n">
        <v>0</v>
      </c>
      <c r="O6367" t="n">
        <v>0</v>
      </c>
      <c r="P6367" t="n">
        <v>0</v>
      </c>
      <c r="Q6367" t="n">
        <v>0</v>
      </c>
      <c r="R6367" s="2" t="inlineStr"/>
    </row>
    <row r="6368" ht="15" customHeight="1">
      <c r="A6368" t="inlineStr">
        <is>
          <t>A 36182-2022</t>
        </is>
      </c>
      <c r="B6368" s="1" t="n">
        <v>44803</v>
      </c>
      <c r="C6368" s="1" t="n">
        <v>45363</v>
      </c>
      <c r="D6368" t="inlineStr">
        <is>
          <t>JÄMTLANDS LÄN</t>
        </is>
      </c>
      <c r="E6368" t="inlineStr">
        <is>
          <t>HÄRJEDALEN</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36187-2022</t>
        </is>
      </c>
      <c r="B6369" s="1" t="n">
        <v>44803</v>
      </c>
      <c r="C6369" s="1" t="n">
        <v>45363</v>
      </c>
      <c r="D6369" t="inlineStr">
        <is>
          <t>JÄMTLANDS LÄN</t>
        </is>
      </c>
      <c r="E6369" t="inlineStr">
        <is>
          <t>HÄRJEDALEN</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36364-2022</t>
        </is>
      </c>
      <c r="B6370" s="1" t="n">
        <v>44804</v>
      </c>
      <c r="C6370" s="1" t="n">
        <v>45363</v>
      </c>
      <c r="D6370" t="inlineStr">
        <is>
          <t>JÄMTLANDS LÄN</t>
        </is>
      </c>
      <c r="E6370" t="inlineStr">
        <is>
          <t>BRÄCKE</t>
        </is>
      </c>
      <c r="F6370" t="inlineStr">
        <is>
          <t>SCA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36373-2022</t>
        </is>
      </c>
      <c r="B6371" s="1" t="n">
        <v>44803</v>
      </c>
      <c r="C6371" s="1" t="n">
        <v>45363</v>
      </c>
      <c r="D6371" t="inlineStr">
        <is>
          <t>JÄMTLANDS LÄN</t>
        </is>
      </c>
      <c r="E6371" t="inlineStr">
        <is>
          <t>BERG</t>
        </is>
      </c>
      <c r="F6371" t="inlineStr">
        <is>
          <t>SCA</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36369-2022</t>
        </is>
      </c>
      <c r="B6372" s="1" t="n">
        <v>44804</v>
      </c>
      <c r="C6372" s="1" t="n">
        <v>45363</v>
      </c>
      <c r="D6372" t="inlineStr">
        <is>
          <t>JÄMTLANDS LÄN</t>
        </is>
      </c>
      <c r="E6372" t="inlineStr">
        <is>
          <t>STRÖMSUND</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36374-2022</t>
        </is>
      </c>
      <c r="B6373" s="1" t="n">
        <v>44804</v>
      </c>
      <c r="C6373" s="1" t="n">
        <v>45363</v>
      </c>
      <c r="D6373" t="inlineStr">
        <is>
          <t>JÄMTLANDS LÄN</t>
        </is>
      </c>
      <c r="E6373" t="inlineStr">
        <is>
          <t>STRÖMSUND</t>
        </is>
      </c>
      <c r="F6373" t="inlineStr">
        <is>
          <t>SCA</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36375-2022</t>
        </is>
      </c>
      <c r="B6374" s="1" t="n">
        <v>44804</v>
      </c>
      <c r="C6374" s="1" t="n">
        <v>45363</v>
      </c>
      <c r="D6374" t="inlineStr">
        <is>
          <t>JÄMTLANDS LÄN</t>
        </is>
      </c>
      <c r="E6374" t="inlineStr">
        <is>
          <t>RAGUNDA</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36275-2022</t>
        </is>
      </c>
      <c r="B6375" s="1" t="n">
        <v>44803</v>
      </c>
      <c r="C6375" s="1" t="n">
        <v>45363</v>
      </c>
      <c r="D6375" t="inlineStr">
        <is>
          <t>JÄMTLANDS LÄN</t>
        </is>
      </c>
      <c r="E6375" t="inlineStr">
        <is>
          <t>STRÖMSUND</t>
        </is>
      </c>
      <c r="F6375" t="inlineStr">
        <is>
          <t>Holmen skog AB</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36383-2022</t>
        </is>
      </c>
      <c r="B6376" s="1" t="n">
        <v>44804</v>
      </c>
      <c r="C6376" s="1" t="n">
        <v>45363</v>
      </c>
      <c r="D6376" t="inlineStr">
        <is>
          <t>JÄMTLANDS LÄN</t>
        </is>
      </c>
      <c r="E6376" t="inlineStr">
        <is>
          <t>STRÖMSUND</t>
        </is>
      </c>
      <c r="F6376" t="inlineStr">
        <is>
          <t>SCA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36390-2022</t>
        </is>
      </c>
      <c r="B6377" s="1" t="n">
        <v>44804</v>
      </c>
      <c r="C6377" s="1" t="n">
        <v>45363</v>
      </c>
      <c r="D6377" t="inlineStr">
        <is>
          <t>JÄMTLANDS LÄN</t>
        </is>
      </c>
      <c r="E6377" t="inlineStr">
        <is>
          <t>STRÖMSUND</t>
        </is>
      </c>
      <c r="F6377" t="inlineStr">
        <is>
          <t>SCA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36122-2022</t>
        </is>
      </c>
      <c r="B6378" s="1" t="n">
        <v>44803</v>
      </c>
      <c r="C6378" s="1" t="n">
        <v>45363</v>
      </c>
      <c r="D6378" t="inlineStr">
        <is>
          <t>JÄMTLANDS LÄN</t>
        </is>
      </c>
      <c r="E6378" t="inlineStr">
        <is>
          <t>KROKOM</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36384-2022</t>
        </is>
      </c>
      <c r="B6379" s="1" t="n">
        <v>44804</v>
      </c>
      <c r="C6379" s="1" t="n">
        <v>45363</v>
      </c>
      <c r="D6379" t="inlineStr">
        <is>
          <t>JÄMTLANDS LÄN</t>
        </is>
      </c>
      <c r="E6379" t="inlineStr">
        <is>
          <t>STRÖMSUND</t>
        </is>
      </c>
      <c r="F6379" t="inlineStr">
        <is>
          <t>SCA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36392-2022</t>
        </is>
      </c>
      <c r="B6380" s="1" t="n">
        <v>44804</v>
      </c>
      <c r="C6380" s="1" t="n">
        <v>45363</v>
      </c>
      <c r="D6380" t="inlineStr">
        <is>
          <t>JÄMTLANDS LÄN</t>
        </is>
      </c>
      <c r="E6380" t="inlineStr">
        <is>
          <t>BRÄCKE</t>
        </is>
      </c>
      <c r="F6380" t="inlineStr">
        <is>
          <t>SCA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36372-2022</t>
        </is>
      </c>
      <c r="B6381" s="1" t="n">
        <v>44804</v>
      </c>
      <c r="C6381" s="1" t="n">
        <v>45363</v>
      </c>
      <c r="D6381" t="inlineStr">
        <is>
          <t>JÄMTLANDS LÄN</t>
        </is>
      </c>
      <c r="E6381" t="inlineStr">
        <is>
          <t>STRÖMSUND</t>
        </is>
      </c>
      <c r="F6381" t="inlineStr">
        <is>
          <t>SCA</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36382-2022</t>
        </is>
      </c>
      <c r="B6382" s="1" t="n">
        <v>44803</v>
      </c>
      <c r="C6382" s="1" t="n">
        <v>45363</v>
      </c>
      <c r="D6382" t="inlineStr">
        <is>
          <t>JÄMTLANDS LÄN</t>
        </is>
      </c>
      <c r="E6382" t="inlineStr">
        <is>
          <t>STRÖMSUND</t>
        </is>
      </c>
      <c r="F6382" t="inlineStr">
        <is>
          <t>SCA</t>
        </is>
      </c>
      <c r="G6382" t="n">
        <v>12.6</v>
      </c>
      <c r="H6382" t="n">
        <v>0</v>
      </c>
      <c r="I6382" t="n">
        <v>0</v>
      </c>
      <c r="J6382" t="n">
        <v>0</v>
      </c>
      <c r="K6382" t="n">
        <v>0</v>
      </c>
      <c r="L6382" t="n">
        <v>0</v>
      </c>
      <c r="M6382" t="n">
        <v>0</v>
      </c>
      <c r="N6382" t="n">
        <v>0</v>
      </c>
      <c r="O6382" t="n">
        <v>0</v>
      </c>
      <c r="P6382" t="n">
        <v>0</v>
      </c>
      <c r="Q6382" t="n">
        <v>0</v>
      </c>
      <c r="R6382" s="2" t="inlineStr"/>
    </row>
    <row r="6383" ht="15" customHeight="1">
      <c r="A6383" t="inlineStr">
        <is>
          <t>A 36389-2022</t>
        </is>
      </c>
      <c r="B6383" s="1" t="n">
        <v>44803</v>
      </c>
      <c r="C6383" s="1" t="n">
        <v>45363</v>
      </c>
      <c r="D6383" t="inlineStr">
        <is>
          <t>JÄMTLANDS LÄN</t>
        </is>
      </c>
      <c r="E6383" t="inlineStr">
        <is>
          <t>BRÄCKE</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36581-2022</t>
        </is>
      </c>
      <c r="B6384" s="1" t="n">
        <v>44804</v>
      </c>
      <c r="C6384" s="1" t="n">
        <v>45363</v>
      </c>
      <c r="D6384" t="inlineStr">
        <is>
          <t>JÄMTLANDS LÄN</t>
        </is>
      </c>
      <c r="E6384" t="inlineStr">
        <is>
          <t>STRÖMSUND</t>
        </is>
      </c>
      <c r="F6384" t="inlineStr">
        <is>
          <t>Holmen skog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36612-2022</t>
        </is>
      </c>
      <c r="B6385" s="1" t="n">
        <v>44804</v>
      </c>
      <c r="C6385" s="1" t="n">
        <v>45363</v>
      </c>
      <c r="D6385" t="inlineStr">
        <is>
          <t>JÄMTLANDS LÄN</t>
        </is>
      </c>
      <c r="E6385" t="inlineStr">
        <is>
          <t>RAGUNDA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36448-2022</t>
        </is>
      </c>
      <c r="B6386" s="1" t="n">
        <v>44804</v>
      </c>
      <c r="C6386" s="1" t="n">
        <v>45363</v>
      </c>
      <c r="D6386" t="inlineStr">
        <is>
          <t>JÄMTLANDS LÄN</t>
        </is>
      </c>
      <c r="E6386" t="inlineStr">
        <is>
          <t>HÄRJEDALEN</t>
        </is>
      </c>
      <c r="F6386" t="inlineStr">
        <is>
          <t>Bergvik skog väst AB</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36559-2022</t>
        </is>
      </c>
      <c r="B6387" s="1" t="n">
        <v>44804</v>
      </c>
      <c r="C6387" s="1" t="n">
        <v>45363</v>
      </c>
      <c r="D6387" t="inlineStr">
        <is>
          <t>JÄMTLANDS LÄN</t>
        </is>
      </c>
      <c r="E6387" t="inlineStr">
        <is>
          <t>STRÖMSUND</t>
        </is>
      </c>
      <c r="F6387" t="inlineStr">
        <is>
          <t>Holmen skog AB</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36685-2022</t>
        </is>
      </c>
      <c r="B6388" s="1" t="n">
        <v>44804</v>
      </c>
      <c r="C6388" s="1" t="n">
        <v>45363</v>
      </c>
      <c r="D6388" t="inlineStr">
        <is>
          <t>JÄMTLANDS LÄN</t>
        </is>
      </c>
      <c r="E6388" t="inlineStr">
        <is>
          <t>BRÄCKE</t>
        </is>
      </c>
      <c r="F6388" t="inlineStr">
        <is>
          <t>SCA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36690-2022</t>
        </is>
      </c>
      <c r="B6389" s="1" t="n">
        <v>44805</v>
      </c>
      <c r="C6389" s="1" t="n">
        <v>45363</v>
      </c>
      <c r="D6389" t="inlineStr">
        <is>
          <t>JÄMTLANDS LÄN</t>
        </is>
      </c>
      <c r="E6389" t="inlineStr">
        <is>
          <t>STRÖMSUND</t>
        </is>
      </c>
      <c r="F6389" t="inlineStr">
        <is>
          <t>SCA</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36692-2022</t>
        </is>
      </c>
      <c r="B6390" s="1" t="n">
        <v>44804</v>
      </c>
      <c r="C6390" s="1" t="n">
        <v>45363</v>
      </c>
      <c r="D6390" t="inlineStr">
        <is>
          <t>JÄMTLANDS LÄN</t>
        </is>
      </c>
      <c r="E6390" t="inlineStr">
        <is>
          <t>RAGUNDA</t>
        </is>
      </c>
      <c r="F6390" t="inlineStr">
        <is>
          <t>SCA</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36698-2022</t>
        </is>
      </c>
      <c r="B6391" s="1" t="n">
        <v>44805</v>
      </c>
      <c r="C6391" s="1" t="n">
        <v>45363</v>
      </c>
      <c r="D6391" t="inlineStr">
        <is>
          <t>JÄMTLANDS LÄN</t>
        </is>
      </c>
      <c r="E6391" t="inlineStr">
        <is>
          <t>STRÖMSUND</t>
        </is>
      </c>
      <c r="F6391" t="inlineStr">
        <is>
          <t>SCA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36689-2022</t>
        </is>
      </c>
      <c r="B6392" s="1" t="n">
        <v>44804</v>
      </c>
      <c r="C6392" s="1" t="n">
        <v>45363</v>
      </c>
      <c r="D6392" t="inlineStr">
        <is>
          <t>JÄMTLANDS LÄN</t>
        </is>
      </c>
      <c r="E6392" t="inlineStr">
        <is>
          <t>STRÖMSUND</t>
        </is>
      </c>
      <c r="F6392" t="inlineStr">
        <is>
          <t>SCA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36699-2022</t>
        </is>
      </c>
      <c r="B6393" s="1" t="n">
        <v>44805</v>
      </c>
      <c r="C6393" s="1" t="n">
        <v>45363</v>
      </c>
      <c r="D6393" t="inlineStr">
        <is>
          <t>JÄMTLANDS LÄN</t>
        </is>
      </c>
      <c r="E6393" t="inlineStr">
        <is>
          <t>STRÖMSUND</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36696-2022</t>
        </is>
      </c>
      <c r="B6394" s="1" t="n">
        <v>44805</v>
      </c>
      <c r="C6394" s="1" t="n">
        <v>45363</v>
      </c>
      <c r="D6394" t="inlineStr">
        <is>
          <t>JÄMTLANDS LÄN</t>
        </is>
      </c>
      <c r="E6394" t="inlineStr">
        <is>
          <t>RAGUNDA</t>
        </is>
      </c>
      <c r="F6394" t="inlineStr">
        <is>
          <t>SCA</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36840-2022</t>
        </is>
      </c>
      <c r="B6395" s="1" t="n">
        <v>44805</v>
      </c>
      <c r="C6395" s="1" t="n">
        <v>45363</v>
      </c>
      <c r="D6395" t="inlineStr">
        <is>
          <t>JÄMTLANDS LÄN</t>
        </is>
      </c>
      <c r="E6395" t="inlineStr">
        <is>
          <t>BRÄCKE</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36922-2022</t>
        </is>
      </c>
      <c r="B6396" s="1" t="n">
        <v>44806</v>
      </c>
      <c r="C6396" s="1" t="n">
        <v>45363</v>
      </c>
      <c r="D6396" t="inlineStr">
        <is>
          <t>JÄMTLANDS LÄN</t>
        </is>
      </c>
      <c r="E6396" t="inlineStr">
        <is>
          <t>RAGUNDA</t>
        </is>
      </c>
      <c r="F6396" t="inlineStr">
        <is>
          <t>SCA</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36941-2022</t>
        </is>
      </c>
      <c r="B6397" s="1" t="n">
        <v>44805</v>
      </c>
      <c r="C6397" s="1" t="n">
        <v>45363</v>
      </c>
      <c r="D6397" t="inlineStr">
        <is>
          <t>JÄMTLANDS LÄN</t>
        </is>
      </c>
      <c r="E6397" t="inlineStr">
        <is>
          <t>RAGUNDA</t>
        </is>
      </c>
      <c r="F6397" t="inlineStr">
        <is>
          <t>SCA</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36943-2022</t>
        </is>
      </c>
      <c r="B6398" s="1" t="n">
        <v>44805</v>
      </c>
      <c r="C6398" s="1" t="n">
        <v>45363</v>
      </c>
      <c r="D6398" t="inlineStr">
        <is>
          <t>JÄMTLANDS LÄN</t>
        </is>
      </c>
      <c r="E6398" t="inlineStr">
        <is>
          <t>RAGUNDA</t>
        </is>
      </c>
      <c r="F6398" t="inlineStr">
        <is>
          <t>SCA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37090-2022</t>
        </is>
      </c>
      <c r="B6399" s="1" t="n">
        <v>44806</v>
      </c>
      <c r="C6399" s="1" t="n">
        <v>45363</v>
      </c>
      <c r="D6399" t="inlineStr">
        <is>
          <t>JÄMTLANDS LÄN</t>
        </is>
      </c>
      <c r="E6399" t="inlineStr">
        <is>
          <t>STRÖMSUND</t>
        </is>
      </c>
      <c r="F6399" t="inlineStr">
        <is>
          <t>Kommuner</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37100-2022</t>
        </is>
      </c>
      <c r="B6400" s="1" t="n">
        <v>44806</v>
      </c>
      <c r="C6400" s="1" t="n">
        <v>45363</v>
      </c>
      <c r="D6400" t="inlineStr">
        <is>
          <t>JÄMTLANDS LÄN</t>
        </is>
      </c>
      <c r="E6400" t="inlineStr">
        <is>
          <t>STRÖMSUND</t>
        </is>
      </c>
      <c r="F6400" t="inlineStr">
        <is>
          <t>Kommuner</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37107-2022</t>
        </is>
      </c>
      <c r="B6401" s="1" t="n">
        <v>44806</v>
      </c>
      <c r="C6401" s="1" t="n">
        <v>45363</v>
      </c>
      <c r="D6401" t="inlineStr">
        <is>
          <t>JÄMTLANDS LÄN</t>
        </is>
      </c>
      <c r="E6401" t="inlineStr">
        <is>
          <t>STRÖMSUND</t>
        </is>
      </c>
      <c r="F6401" t="inlineStr">
        <is>
          <t>Kommuner</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37032-2022</t>
        </is>
      </c>
      <c r="B6402" s="1" t="n">
        <v>44806</v>
      </c>
      <c r="C6402" s="1" t="n">
        <v>45363</v>
      </c>
      <c r="D6402" t="inlineStr">
        <is>
          <t>JÄMTLANDS LÄN</t>
        </is>
      </c>
      <c r="E6402" t="inlineStr">
        <is>
          <t>BRÄCKE</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37084-2022</t>
        </is>
      </c>
      <c r="B6403" s="1" t="n">
        <v>44806</v>
      </c>
      <c r="C6403" s="1" t="n">
        <v>45363</v>
      </c>
      <c r="D6403" t="inlineStr">
        <is>
          <t>JÄMTLANDS LÄN</t>
        </is>
      </c>
      <c r="E6403" t="inlineStr">
        <is>
          <t>STRÖMSUND</t>
        </is>
      </c>
      <c r="F6403" t="inlineStr">
        <is>
          <t>Kommuner</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37093-2022</t>
        </is>
      </c>
      <c r="B6404" s="1" t="n">
        <v>44806</v>
      </c>
      <c r="C6404" s="1" t="n">
        <v>45363</v>
      </c>
      <c r="D6404" t="inlineStr">
        <is>
          <t>JÄMTLANDS LÄN</t>
        </is>
      </c>
      <c r="E6404" t="inlineStr">
        <is>
          <t>STRÖMSUND</t>
        </is>
      </c>
      <c r="F6404" t="inlineStr">
        <is>
          <t>Kommuner</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37097-2022</t>
        </is>
      </c>
      <c r="B6405" s="1" t="n">
        <v>44806</v>
      </c>
      <c r="C6405" s="1" t="n">
        <v>45363</v>
      </c>
      <c r="D6405" t="inlineStr">
        <is>
          <t>JÄMTLANDS LÄN</t>
        </is>
      </c>
      <c r="E6405" t="inlineStr">
        <is>
          <t>STRÖMSUND</t>
        </is>
      </c>
      <c r="F6405" t="inlineStr">
        <is>
          <t>Kommuner</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37102-2022</t>
        </is>
      </c>
      <c r="B6406" s="1" t="n">
        <v>44806</v>
      </c>
      <c r="C6406" s="1" t="n">
        <v>45363</v>
      </c>
      <c r="D6406" t="inlineStr">
        <is>
          <t>JÄMTLANDS LÄN</t>
        </is>
      </c>
      <c r="E6406" t="inlineStr">
        <is>
          <t>STRÖMSUND</t>
        </is>
      </c>
      <c r="F6406" t="inlineStr">
        <is>
          <t>Kommuner</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37078-2022</t>
        </is>
      </c>
      <c r="B6407" s="1" t="n">
        <v>44806</v>
      </c>
      <c r="C6407" s="1" t="n">
        <v>45363</v>
      </c>
      <c r="D6407" t="inlineStr">
        <is>
          <t>JÄMTLANDS LÄN</t>
        </is>
      </c>
      <c r="E6407" t="inlineStr">
        <is>
          <t>STRÖMSUND</t>
        </is>
      </c>
      <c r="F6407" t="inlineStr">
        <is>
          <t>Kommuner</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37104-2022</t>
        </is>
      </c>
      <c r="B6408" s="1" t="n">
        <v>44806</v>
      </c>
      <c r="C6408" s="1" t="n">
        <v>45363</v>
      </c>
      <c r="D6408" t="inlineStr">
        <is>
          <t>JÄMTLANDS LÄN</t>
        </is>
      </c>
      <c r="E6408" t="inlineStr">
        <is>
          <t>STRÖMSUND</t>
        </is>
      </c>
      <c r="F6408" t="inlineStr">
        <is>
          <t>Kommuner</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37232-2022</t>
        </is>
      </c>
      <c r="B6409" s="1" t="n">
        <v>44806</v>
      </c>
      <c r="C6409" s="1" t="n">
        <v>45363</v>
      </c>
      <c r="D6409" t="inlineStr">
        <is>
          <t>JÄMTLANDS LÄN</t>
        </is>
      </c>
      <c r="E6409" t="inlineStr">
        <is>
          <t>BRÄCKE</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37229-2022</t>
        </is>
      </c>
      <c r="B6410" s="1" t="n">
        <v>44807</v>
      </c>
      <c r="C6410" s="1" t="n">
        <v>45363</v>
      </c>
      <c r="D6410" t="inlineStr">
        <is>
          <t>JÄMTLANDS LÄN</t>
        </is>
      </c>
      <c r="E6410" t="inlineStr">
        <is>
          <t>BRÄCKE</t>
        </is>
      </c>
      <c r="F6410" t="inlineStr">
        <is>
          <t>SCA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37231-2022</t>
        </is>
      </c>
      <c r="B6411" s="1" t="n">
        <v>44806</v>
      </c>
      <c r="C6411" s="1" t="n">
        <v>45363</v>
      </c>
      <c r="D6411" t="inlineStr">
        <is>
          <t>JÄMTLANDS LÄN</t>
        </is>
      </c>
      <c r="E6411" t="inlineStr">
        <is>
          <t>STRÖMSUND</t>
        </is>
      </c>
      <c r="F6411" t="inlineStr">
        <is>
          <t>SCA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37234-2022</t>
        </is>
      </c>
      <c r="B6412" s="1" t="n">
        <v>44807</v>
      </c>
      <c r="C6412" s="1" t="n">
        <v>45363</v>
      </c>
      <c r="D6412" t="inlineStr">
        <is>
          <t>JÄMTLANDS LÄN</t>
        </is>
      </c>
      <c r="E6412" t="inlineStr">
        <is>
          <t>BRÄCKE</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37324-2022</t>
        </is>
      </c>
      <c r="B6413" s="1" t="n">
        <v>44806</v>
      </c>
      <c r="C6413" s="1" t="n">
        <v>45363</v>
      </c>
      <c r="D6413" t="inlineStr">
        <is>
          <t>JÄMTLANDS LÄN</t>
        </is>
      </c>
      <c r="E6413" t="inlineStr">
        <is>
          <t>RAGUNDA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37333-2022</t>
        </is>
      </c>
      <c r="B6414" s="1" t="n">
        <v>44806</v>
      </c>
      <c r="C6414" s="1" t="n">
        <v>45363</v>
      </c>
      <c r="D6414" t="inlineStr">
        <is>
          <t>JÄMTLANDS LÄN</t>
        </is>
      </c>
      <c r="E6414" t="inlineStr">
        <is>
          <t>BERG</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37515-2022</t>
        </is>
      </c>
      <c r="B6415" s="1" t="n">
        <v>44809</v>
      </c>
      <c r="C6415" s="1" t="n">
        <v>45363</v>
      </c>
      <c r="D6415" t="inlineStr">
        <is>
          <t>JÄMTLANDS LÄN</t>
        </is>
      </c>
      <c r="E6415" t="inlineStr">
        <is>
          <t>HÄRJEDALEN</t>
        </is>
      </c>
      <c r="F6415" t="inlineStr">
        <is>
          <t>Bergvik skog väst AB</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37666-2022</t>
        </is>
      </c>
      <c r="B6416" s="1" t="n">
        <v>44810</v>
      </c>
      <c r="C6416" s="1" t="n">
        <v>45363</v>
      </c>
      <c r="D6416" t="inlineStr">
        <is>
          <t>JÄMTLANDS LÄN</t>
        </is>
      </c>
      <c r="E6416" t="inlineStr">
        <is>
          <t>HÄRJEDALEN</t>
        </is>
      </c>
      <c r="F6416" t="inlineStr">
        <is>
          <t>Holmen skog AB</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37690-2022</t>
        </is>
      </c>
      <c r="B6417" s="1" t="n">
        <v>44810</v>
      </c>
      <c r="C6417" s="1" t="n">
        <v>45363</v>
      </c>
      <c r="D6417" t="inlineStr">
        <is>
          <t>JÄMTLANDS LÄN</t>
        </is>
      </c>
      <c r="E6417" t="inlineStr">
        <is>
          <t>HÄRJEDALEN</t>
        </is>
      </c>
      <c r="F6417" t="inlineStr">
        <is>
          <t>Holmen skog AB</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37711-2022</t>
        </is>
      </c>
      <c r="B6418" s="1" t="n">
        <v>44810</v>
      </c>
      <c r="C6418" s="1" t="n">
        <v>45363</v>
      </c>
      <c r="D6418" t="inlineStr">
        <is>
          <t>JÄMTLANDS LÄN</t>
        </is>
      </c>
      <c r="E6418" t="inlineStr">
        <is>
          <t>BERG</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37726-2022</t>
        </is>
      </c>
      <c r="B6419" s="1" t="n">
        <v>44810</v>
      </c>
      <c r="C6419" s="1" t="n">
        <v>45363</v>
      </c>
      <c r="D6419" t="inlineStr">
        <is>
          <t>JÄMTLANDS LÄN</t>
        </is>
      </c>
      <c r="E6419" t="inlineStr">
        <is>
          <t>BERG</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37678-2022</t>
        </is>
      </c>
      <c r="B6420" s="1" t="n">
        <v>44810</v>
      </c>
      <c r="C6420" s="1" t="n">
        <v>45363</v>
      </c>
      <c r="D6420" t="inlineStr">
        <is>
          <t>JÄMTLANDS LÄN</t>
        </is>
      </c>
      <c r="E6420" t="inlineStr">
        <is>
          <t>HÄRJEDALEN</t>
        </is>
      </c>
      <c r="F6420" t="inlineStr">
        <is>
          <t>Bergvik skog väst AB</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37650-2022</t>
        </is>
      </c>
      <c r="B6421" s="1" t="n">
        <v>44810</v>
      </c>
      <c r="C6421" s="1" t="n">
        <v>45363</v>
      </c>
      <c r="D6421" t="inlineStr">
        <is>
          <t>JÄMTLANDS LÄN</t>
        </is>
      </c>
      <c r="E6421" t="inlineStr">
        <is>
          <t>BRÄCKE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37791-2022</t>
        </is>
      </c>
      <c r="B6422" s="1" t="n">
        <v>44810</v>
      </c>
      <c r="C6422" s="1" t="n">
        <v>45363</v>
      </c>
      <c r="D6422" t="inlineStr">
        <is>
          <t>JÄMTLANDS LÄN</t>
        </is>
      </c>
      <c r="E6422" t="inlineStr">
        <is>
          <t>STRÖMSUND</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37829-2022</t>
        </is>
      </c>
      <c r="B6423" s="1" t="n">
        <v>44811</v>
      </c>
      <c r="C6423" s="1" t="n">
        <v>45363</v>
      </c>
      <c r="D6423" t="inlineStr">
        <is>
          <t>JÄMTLANDS LÄN</t>
        </is>
      </c>
      <c r="E6423" t="inlineStr">
        <is>
          <t>BRÄCKE</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37828-2022</t>
        </is>
      </c>
      <c r="B6424" s="1" t="n">
        <v>44811</v>
      </c>
      <c r="C6424" s="1" t="n">
        <v>45363</v>
      </c>
      <c r="D6424" t="inlineStr">
        <is>
          <t>JÄMTLANDS LÄN</t>
        </is>
      </c>
      <c r="E6424" t="inlineStr">
        <is>
          <t>BRÄCKE</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37645-2022</t>
        </is>
      </c>
      <c r="B6425" s="1" t="n">
        <v>44810</v>
      </c>
      <c r="C6425" s="1" t="n">
        <v>45363</v>
      </c>
      <c r="D6425" t="inlineStr">
        <is>
          <t>JÄMTLANDS LÄN</t>
        </is>
      </c>
      <c r="E6425" t="inlineStr">
        <is>
          <t>ÅRE</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37873-2022</t>
        </is>
      </c>
      <c r="B6426" s="1" t="n">
        <v>44811</v>
      </c>
      <c r="C6426" s="1" t="n">
        <v>45363</v>
      </c>
      <c r="D6426" t="inlineStr">
        <is>
          <t>JÄMTLANDS LÄN</t>
        </is>
      </c>
      <c r="E6426" t="inlineStr">
        <is>
          <t>HÄRJEDALEN</t>
        </is>
      </c>
      <c r="F6426" t="inlineStr">
        <is>
          <t>Bergvik skog väst AB</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37990-2022</t>
        </is>
      </c>
      <c r="B6427" s="1" t="n">
        <v>44811</v>
      </c>
      <c r="C6427" s="1" t="n">
        <v>45363</v>
      </c>
      <c r="D6427" t="inlineStr">
        <is>
          <t>JÄMTLANDS LÄN</t>
        </is>
      </c>
      <c r="E6427" t="inlineStr">
        <is>
          <t>HÄRJEDALEN</t>
        </is>
      </c>
      <c r="F6427" t="inlineStr">
        <is>
          <t>Bergvik skog väst AB</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37988-2022</t>
        </is>
      </c>
      <c r="B6428" s="1" t="n">
        <v>44811</v>
      </c>
      <c r="C6428" s="1" t="n">
        <v>45363</v>
      </c>
      <c r="D6428" t="inlineStr">
        <is>
          <t>JÄMTLANDS LÄN</t>
        </is>
      </c>
      <c r="E6428" t="inlineStr">
        <is>
          <t>HÄRJEDALEN</t>
        </is>
      </c>
      <c r="F6428" t="inlineStr">
        <is>
          <t>Bergvik skog väst AB</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38265-2022</t>
        </is>
      </c>
      <c r="B6429" s="1" t="n">
        <v>44812</v>
      </c>
      <c r="C6429" s="1" t="n">
        <v>45363</v>
      </c>
      <c r="D6429" t="inlineStr">
        <is>
          <t>JÄMTLANDS LÄN</t>
        </is>
      </c>
      <c r="E6429" t="inlineStr">
        <is>
          <t>ÅRE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38415-2022</t>
        </is>
      </c>
      <c r="B6430" s="1" t="n">
        <v>44812</v>
      </c>
      <c r="C6430" s="1" t="n">
        <v>45363</v>
      </c>
      <c r="D6430" t="inlineStr">
        <is>
          <t>JÄMTLANDS LÄN</t>
        </is>
      </c>
      <c r="E6430" t="inlineStr">
        <is>
          <t>STRÖMSUND</t>
        </is>
      </c>
      <c r="F6430" t="inlineStr">
        <is>
          <t>SCA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38426-2022</t>
        </is>
      </c>
      <c r="B6431" s="1" t="n">
        <v>44812</v>
      </c>
      <c r="C6431" s="1" t="n">
        <v>45363</v>
      </c>
      <c r="D6431" t="inlineStr">
        <is>
          <t>JÄMTLANDS LÄN</t>
        </is>
      </c>
      <c r="E6431" t="inlineStr">
        <is>
          <t>RAGUNDA</t>
        </is>
      </c>
      <c r="F6431" t="inlineStr">
        <is>
          <t>SCA</t>
        </is>
      </c>
      <c r="G6431" t="n">
        <v>11.3</v>
      </c>
      <c r="H6431" t="n">
        <v>0</v>
      </c>
      <c r="I6431" t="n">
        <v>0</v>
      </c>
      <c r="J6431" t="n">
        <v>0</v>
      </c>
      <c r="K6431" t="n">
        <v>0</v>
      </c>
      <c r="L6431" t="n">
        <v>0</v>
      </c>
      <c r="M6431" t="n">
        <v>0</v>
      </c>
      <c r="N6431" t="n">
        <v>0</v>
      </c>
      <c r="O6431" t="n">
        <v>0</v>
      </c>
      <c r="P6431" t="n">
        <v>0</v>
      </c>
      <c r="Q6431" t="n">
        <v>0</v>
      </c>
      <c r="R6431" s="2" t="inlineStr"/>
    </row>
    <row r="6432" ht="15" customHeight="1">
      <c r="A6432" t="inlineStr">
        <is>
          <t>A 38414-2022</t>
        </is>
      </c>
      <c r="B6432" s="1" t="n">
        <v>44812</v>
      </c>
      <c r="C6432" s="1" t="n">
        <v>45363</v>
      </c>
      <c r="D6432" t="inlineStr">
        <is>
          <t>JÄMTLANDS LÄN</t>
        </is>
      </c>
      <c r="E6432" t="inlineStr">
        <is>
          <t>STRÖMSUND</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38425-2022</t>
        </is>
      </c>
      <c r="B6433" s="1" t="n">
        <v>44813</v>
      </c>
      <c r="C6433" s="1" t="n">
        <v>45363</v>
      </c>
      <c r="D6433" t="inlineStr">
        <is>
          <t>JÄMTLANDS LÄN</t>
        </is>
      </c>
      <c r="E6433" t="inlineStr">
        <is>
          <t>RAGUNDA</t>
        </is>
      </c>
      <c r="F6433" t="inlineStr">
        <is>
          <t>SCA</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38413-2022</t>
        </is>
      </c>
      <c r="B6434" s="1" t="n">
        <v>44812</v>
      </c>
      <c r="C6434" s="1" t="n">
        <v>45363</v>
      </c>
      <c r="D6434" t="inlineStr">
        <is>
          <t>JÄMTLANDS LÄN</t>
        </is>
      </c>
      <c r="E6434" t="inlineStr">
        <is>
          <t>STRÖMSUND</t>
        </is>
      </c>
      <c r="F6434" t="inlineStr">
        <is>
          <t>SCA</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38661-2022</t>
        </is>
      </c>
      <c r="B6435" s="1" t="n">
        <v>44813</v>
      </c>
      <c r="C6435" s="1" t="n">
        <v>45363</v>
      </c>
      <c r="D6435" t="inlineStr">
        <is>
          <t>JÄMTLANDS LÄN</t>
        </is>
      </c>
      <c r="E6435" t="inlineStr">
        <is>
          <t>STRÖMSUND</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38683-2022</t>
        </is>
      </c>
      <c r="B6436" s="1" t="n">
        <v>44813</v>
      </c>
      <c r="C6436" s="1" t="n">
        <v>45363</v>
      </c>
      <c r="D6436" t="inlineStr">
        <is>
          <t>JÄMTLANDS LÄN</t>
        </is>
      </c>
      <c r="E6436" t="inlineStr">
        <is>
          <t>RAGUNDA</t>
        </is>
      </c>
      <c r="F6436" t="inlineStr">
        <is>
          <t>SCA</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38664-2022</t>
        </is>
      </c>
      <c r="B6437" s="1" t="n">
        <v>44813</v>
      </c>
      <c r="C6437" s="1" t="n">
        <v>45363</v>
      </c>
      <c r="D6437" t="inlineStr">
        <is>
          <t>JÄMTLANDS LÄN</t>
        </is>
      </c>
      <c r="E6437" t="inlineStr">
        <is>
          <t>RAGUNDA</t>
        </is>
      </c>
      <c r="F6437" t="inlineStr">
        <is>
          <t>SCA</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38733-2022</t>
        </is>
      </c>
      <c r="B6438" s="1" t="n">
        <v>44815</v>
      </c>
      <c r="C6438" s="1" t="n">
        <v>45363</v>
      </c>
      <c r="D6438" t="inlineStr">
        <is>
          <t>JÄMTLANDS LÄN</t>
        </is>
      </c>
      <c r="E6438" t="inlineStr">
        <is>
          <t>RAGUNDA</t>
        </is>
      </c>
      <c r="F6438" t="inlineStr">
        <is>
          <t>SCA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39000-2022</t>
        </is>
      </c>
      <c r="B6439" s="1" t="n">
        <v>44817</v>
      </c>
      <c r="C6439" s="1" t="n">
        <v>45363</v>
      </c>
      <c r="D6439" t="inlineStr">
        <is>
          <t>JÄMTLANDS LÄN</t>
        </is>
      </c>
      <c r="E6439" t="inlineStr">
        <is>
          <t>STRÖMSUND</t>
        </is>
      </c>
      <c r="F6439" t="inlineStr">
        <is>
          <t>SCA</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39010-2022</t>
        </is>
      </c>
      <c r="B6440" s="1" t="n">
        <v>44816</v>
      </c>
      <c r="C6440" s="1" t="n">
        <v>45363</v>
      </c>
      <c r="D6440" t="inlineStr">
        <is>
          <t>JÄMTLANDS LÄN</t>
        </is>
      </c>
      <c r="E6440" t="inlineStr">
        <is>
          <t>STRÖMSUND</t>
        </is>
      </c>
      <c r="F6440" t="inlineStr">
        <is>
          <t>SCA</t>
        </is>
      </c>
      <c r="G6440" t="n">
        <v>11.2</v>
      </c>
      <c r="H6440" t="n">
        <v>0</v>
      </c>
      <c r="I6440" t="n">
        <v>0</v>
      </c>
      <c r="J6440" t="n">
        <v>0</v>
      </c>
      <c r="K6440" t="n">
        <v>0</v>
      </c>
      <c r="L6440" t="n">
        <v>0</v>
      </c>
      <c r="M6440" t="n">
        <v>0</v>
      </c>
      <c r="N6440" t="n">
        <v>0</v>
      </c>
      <c r="O6440" t="n">
        <v>0</v>
      </c>
      <c r="P6440" t="n">
        <v>0</v>
      </c>
      <c r="Q6440" t="n">
        <v>0</v>
      </c>
      <c r="R6440" s="2" t="inlineStr"/>
    </row>
    <row r="6441" ht="15" customHeight="1">
      <c r="A6441" t="inlineStr">
        <is>
          <t>A 39003-2022</t>
        </is>
      </c>
      <c r="B6441" s="1" t="n">
        <v>44817</v>
      </c>
      <c r="C6441" s="1" t="n">
        <v>45363</v>
      </c>
      <c r="D6441" t="inlineStr">
        <is>
          <t>JÄMTLANDS LÄN</t>
        </is>
      </c>
      <c r="E6441" t="inlineStr">
        <is>
          <t>RAGUNDA</t>
        </is>
      </c>
      <c r="F6441" t="inlineStr">
        <is>
          <t>SCA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39007-2022</t>
        </is>
      </c>
      <c r="B6442" s="1" t="n">
        <v>44817</v>
      </c>
      <c r="C6442" s="1" t="n">
        <v>45363</v>
      </c>
      <c r="D6442" t="inlineStr">
        <is>
          <t>JÄMTLANDS LÄN</t>
        </is>
      </c>
      <c r="E6442" t="inlineStr">
        <is>
          <t>STRÖMSUND</t>
        </is>
      </c>
      <c r="F6442" t="inlineStr">
        <is>
          <t>SCA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39011-2022</t>
        </is>
      </c>
      <c r="B6443" s="1" t="n">
        <v>44816</v>
      </c>
      <c r="C6443" s="1" t="n">
        <v>45363</v>
      </c>
      <c r="D6443" t="inlineStr">
        <is>
          <t>JÄMTLANDS LÄN</t>
        </is>
      </c>
      <c r="E6443" t="inlineStr">
        <is>
          <t>RAGUNDA</t>
        </is>
      </c>
      <c r="F6443" t="inlineStr">
        <is>
          <t>SCA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39004-2022</t>
        </is>
      </c>
      <c r="B6444" s="1" t="n">
        <v>44816</v>
      </c>
      <c r="C6444" s="1" t="n">
        <v>45363</v>
      </c>
      <c r="D6444" t="inlineStr">
        <is>
          <t>JÄMTLANDS LÄN</t>
        </is>
      </c>
      <c r="E6444" t="inlineStr">
        <is>
          <t>RAGUNDA</t>
        </is>
      </c>
      <c r="F6444" t="inlineStr">
        <is>
          <t>SCA</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39009-2022</t>
        </is>
      </c>
      <c r="B6445" s="1" t="n">
        <v>44817</v>
      </c>
      <c r="C6445" s="1" t="n">
        <v>45363</v>
      </c>
      <c r="D6445" t="inlineStr">
        <is>
          <t>JÄMTLANDS LÄN</t>
        </is>
      </c>
      <c r="E6445" t="inlineStr">
        <is>
          <t>STRÖMSUND</t>
        </is>
      </c>
      <c r="F6445" t="inlineStr">
        <is>
          <t>SCA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39402-2022</t>
        </is>
      </c>
      <c r="B6446" s="1" t="n">
        <v>44818</v>
      </c>
      <c r="C6446" s="1" t="n">
        <v>45363</v>
      </c>
      <c r="D6446" t="inlineStr">
        <is>
          <t>JÄMTLANDS LÄN</t>
        </is>
      </c>
      <c r="E6446" t="inlineStr">
        <is>
          <t>RAGUNDA</t>
        </is>
      </c>
      <c r="F6446" t="inlineStr">
        <is>
          <t>SCA</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39396-2022</t>
        </is>
      </c>
      <c r="B6447" s="1" t="n">
        <v>44818</v>
      </c>
      <c r="C6447" s="1" t="n">
        <v>45363</v>
      </c>
      <c r="D6447" t="inlineStr">
        <is>
          <t>JÄMTLANDS LÄN</t>
        </is>
      </c>
      <c r="E6447" t="inlineStr">
        <is>
          <t>HÄRJEDALEN</t>
        </is>
      </c>
      <c r="F6447" t="inlineStr">
        <is>
          <t>SCA</t>
        </is>
      </c>
      <c r="G6447" t="n">
        <v>11.4</v>
      </c>
      <c r="H6447" t="n">
        <v>0</v>
      </c>
      <c r="I6447" t="n">
        <v>0</v>
      </c>
      <c r="J6447" t="n">
        <v>0</v>
      </c>
      <c r="K6447" t="n">
        <v>0</v>
      </c>
      <c r="L6447" t="n">
        <v>0</v>
      </c>
      <c r="M6447" t="n">
        <v>0</v>
      </c>
      <c r="N6447" t="n">
        <v>0</v>
      </c>
      <c r="O6447" t="n">
        <v>0</v>
      </c>
      <c r="P6447" t="n">
        <v>0</v>
      </c>
      <c r="Q6447" t="n">
        <v>0</v>
      </c>
      <c r="R6447" s="2" t="inlineStr"/>
    </row>
    <row r="6448" ht="15" customHeight="1">
      <c r="A6448" t="inlineStr">
        <is>
          <t>A 39388-2022</t>
        </is>
      </c>
      <c r="B6448" s="1" t="n">
        <v>44817</v>
      </c>
      <c r="C6448" s="1" t="n">
        <v>45363</v>
      </c>
      <c r="D6448" t="inlineStr">
        <is>
          <t>JÄMTLANDS LÄN</t>
        </is>
      </c>
      <c r="E6448" t="inlineStr">
        <is>
          <t>STRÖMSUND</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39828-2022</t>
        </is>
      </c>
      <c r="B6449" s="1" t="n">
        <v>44817</v>
      </c>
      <c r="C6449" s="1" t="n">
        <v>45363</v>
      </c>
      <c r="D6449" t="inlineStr">
        <is>
          <t>JÄMTLANDS LÄN</t>
        </is>
      </c>
      <c r="E6449" t="inlineStr">
        <is>
          <t>ÖSTERSUND</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39408-2022</t>
        </is>
      </c>
      <c r="B6450" s="1" t="n">
        <v>44817</v>
      </c>
      <c r="C6450" s="1" t="n">
        <v>45363</v>
      </c>
      <c r="D6450" t="inlineStr">
        <is>
          <t>JÄMTLANDS LÄN</t>
        </is>
      </c>
      <c r="E6450" t="inlineStr">
        <is>
          <t>RAGUNDA</t>
        </is>
      </c>
      <c r="F6450" t="inlineStr">
        <is>
          <t>SCA</t>
        </is>
      </c>
      <c r="G6450" t="n">
        <v>9.800000000000001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39490-2022</t>
        </is>
      </c>
      <c r="B6451" s="1" t="n">
        <v>44818</v>
      </c>
      <c r="C6451" s="1" t="n">
        <v>45363</v>
      </c>
      <c r="D6451" t="inlineStr">
        <is>
          <t>JÄMTLANDS LÄN</t>
        </is>
      </c>
      <c r="E6451" t="inlineStr">
        <is>
          <t>KROKOM</t>
        </is>
      </c>
      <c r="G6451" t="n">
        <v>11.9</v>
      </c>
      <c r="H6451" t="n">
        <v>0</v>
      </c>
      <c r="I6451" t="n">
        <v>0</v>
      </c>
      <c r="J6451" t="n">
        <v>0</v>
      </c>
      <c r="K6451" t="n">
        <v>0</v>
      </c>
      <c r="L6451" t="n">
        <v>0</v>
      </c>
      <c r="M6451" t="n">
        <v>0</v>
      </c>
      <c r="N6451" t="n">
        <v>0</v>
      </c>
      <c r="O6451" t="n">
        <v>0</v>
      </c>
      <c r="P6451" t="n">
        <v>0</v>
      </c>
      <c r="Q6451" t="n">
        <v>0</v>
      </c>
      <c r="R6451" s="2" t="inlineStr"/>
    </row>
    <row r="6452" ht="15" customHeight="1">
      <c r="A6452" t="inlineStr">
        <is>
          <t>A 39625-2022</t>
        </is>
      </c>
      <c r="B6452" s="1" t="n">
        <v>44818</v>
      </c>
      <c r="C6452" s="1" t="n">
        <v>45363</v>
      </c>
      <c r="D6452" t="inlineStr">
        <is>
          <t>JÄMTLANDS LÄN</t>
        </is>
      </c>
      <c r="E6452" t="inlineStr">
        <is>
          <t>HÄRJEDALEN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39689-2022</t>
        </is>
      </c>
      <c r="B6453" s="1" t="n">
        <v>44818</v>
      </c>
      <c r="C6453" s="1" t="n">
        <v>45363</v>
      </c>
      <c r="D6453" t="inlineStr">
        <is>
          <t>JÄMTLANDS LÄN</t>
        </is>
      </c>
      <c r="E6453" t="inlineStr">
        <is>
          <t>STRÖMSUND</t>
        </is>
      </c>
      <c r="F6453" t="inlineStr">
        <is>
          <t>SCA</t>
        </is>
      </c>
      <c r="G6453" t="n">
        <v>7.7</v>
      </c>
      <c r="H6453" t="n">
        <v>0</v>
      </c>
      <c r="I6453" t="n">
        <v>0</v>
      </c>
      <c r="J6453" t="n">
        <v>0</v>
      </c>
      <c r="K6453" t="n">
        <v>0</v>
      </c>
      <c r="L6453" t="n">
        <v>0</v>
      </c>
      <c r="M6453" t="n">
        <v>0</v>
      </c>
      <c r="N6453" t="n">
        <v>0</v>
      </c>
      <c r="O6453" t="n">
        <v>0</v>
      </c>
      <c r="P6453" t="n">
        <v>0</v>
      </c>
      <c r="Q6453" t="n">
        <v>0</v>
      </c>
      <c r="R6453" s="2" t="inlineStr"/>
    </row>
    <row r="6454" ht="15" customHeight="1">
      <c r="A6454" t="inlineStr">
        <is>
          <t>A 39690-2022</t>
        </is>
      </c>
      <c r="B6454" s="1" t="n">
        <v>44819</v>
      </c>
      <c r="C6454" s="1" t="n">
        <v>45363</v>
      </c>
      <c r="D6454" t="inlineStr">
        <is>
          <t>JÄMTLANDS LÄN</t>
        </is>
      </c>
      <c r="E6454" t="inlineStr">
        <is>
          <t>STRÖMSUND</t>
        </is>
      </c>
      <c r="F6454" t="inlineStr">
        <is>
          <t>SCA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39701-2022</t>
        </is>
      </c>
      <c r="B6455" s="1" t="n">
        <v>44818</v>
      </c>
      <c r="C6455" s="1" t="n">
        <v>45363</v>
      </c>
      <c r="D6455" t="inlineStr">
        <is>
          <t>JÄMTLANDS LÄN</t>
        </is>
      </c>
      <c r="E6455" t="inlineStr">
        <is>
          <t>BRÄCKE</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39702-2022</t>
        </is>
      </c>
      <c r="B6456" s="1" t="n">
        <v>44818</v>
      </c>
      <c r="C6456" s="1" t="n">
        <v>45363</v>
      </c>
      <c r="D6456" t="inlineStr">
        <is>
          <t>JÄMTLANDS LÄN</t>
        </is>
      </c>
      <c r="E6456" t="inlineStr">
        <is>
          <t>BRÄCKE</t>
        </is>
      </c>
      <c r="F6456" t="inlineStr">
        <is>
          <t>SCA</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39700-2022</t>
        </is>
      </c>
      <c r="B6457" s="1" t="n">
        <v>44819</v>
      </c>
      <c r="C6457" s="1" t="n">
        <v>45363</v>
      </c>
      <c r="D6457" t="inlineStr">
        <is>
          <t>JÄMTLANDS LÄN</t>
        </is>
      </c>
      <c r="E6457" t="inlineStr">
        <is>
          <t>STRÖMSUND</t>
        </is>
      </c>
      <c r="F6457" t="inlineStr">
        <is>
          <t>SCA</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39704-2022</t>
        </is>
      </c>
      <c r="B6458" s="1" t="n">
        <v>44818</v>
      </c>
      <c r="C6458" s="1" t="n">
        <v>45363</v>
      </c>
      <c r="D6458" t="inlineStr">
        <is>
          <t>JÄMTLANDS LÄN</t>
        </is>
      </c>
      <c r="E6458" t="inlineStr">
        <is>
          <t>BRÄCKE</t>
        </is>
      </c>
      <c r="F6458" t="inlineStr">
        <is>
          <t>SCA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39618-2022</t>
        </is>
      </c>
      <c r="B6459" s="1" t="n">
        <v>44818</v>
      </c>
      <c r="C6459" s="1" t="n">
        <v>45363</v>
      </c>
      <c r="D6459" t="inlineStr">
        <is>
          <t>JÄMTLANDS LÄN</t>
        </is>
      </c>
      <c r="E6459" t="inlineStr">
        <is>
          <t>HÄRJEDALEN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39693-2022</t>
        </is>
      </c>
      <c r="B6460" s="1" t="n">
        <v>44819</v>
      </c>
      <c r="C6460" s="1" t="n">
        <v>45363</v>
      </c>
      <c r="D6460" t="inlineStr">
        <is>
          <t>JÄMTLANDS LÄN</t>
        </is>
      </c>
      <c r="E6460" t="inlineStr">
        <is>
          <t>RAGUNDA</t>
        </is>
      </c>
      <c r="F6460" t="inlineStr">
        <is>
          <t>SCA</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39703-2022</t>
        </is>
      </c>
      <c r="B6461" s="1" t="n">
        <v>44818</v>
      </c>
      <c r="C6461" s="1" t="n">
        <v>45363</v>
      </c>
      <c r="D6461" t="inlineStr">
        <is>
          <t>JÄMTLANDS LÄN</t>
        </is>
      </c>
      <c r="E6461" t="inlineStr">
        <is>
          <t>BRÄCKE</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40200-2022</t>
        </is>
      </c>
      <c r="B6462" s="1" t="n">
        <v>44818</v>
      </c>
      <c r="C6462" s="1" t="n">
        <v>45363</v>
      </c>
      <c r="D6462" t="inlineStr">
        <is>
          <t>JÄMTLANDS LÄN</t>
        </is>
      </c>
      <c r="E6462" t="inlineStr">
        <is>
          <t>RAGUNDA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40159-2022</t>
        </is>
      </c>
      <c r="B6463" s="1" t="n">
        <v>44818</v>
      </c>
      <c r="C6463" s="1" t="n">
        <v>45363</v>
      </c>
      <c r="D6463" t="inlineStr">
        <is>
          <t>JÄMTLANDS LÄN</t>
        </is>
      </c>
      <c r="E6463" t="inlineStr">
        <is>
          <t>ÅRE</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39698-2022</t>
        </is>
      </c>
      <c r="B6464" s="1" t="n">
        <v>44818</v>
      </c>
      <c r="C6464" s="1" t="n">
        <v>45363</v>
      </c>
      <c r="D6464" t="inlineStr">
        <is>
          <t>JÄMTLANDS LÄN</t>
        </is>
      </c>
      <c r="E6464" t="inlineStr">
        <is>
          <t>RAGUNDA</t>
        </is>
      </c>
      <c r="F6464" t="inlineStr">
        <is>
          <t>SCA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40653-2022</t>
        </is>
      </c>
      <c r="B6465" s="1" t="n">
        <v>44818</v>
      </c>
      <c r="C6465" s="1" t="n">
        <v>45363</v>
      </c>
      <c r="D6465" t="inlineStr">
        <is>
          <t>JÄMTLANDS LÄN</t>
        </is>
      </c>
      <c r="E6465" t="inlineStr">
        <is>
          <t>ÅRE</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39882-2022</t>
        </is>
      </c>
      <c r="B6466" s="1" t="n">
        <v>44819</v>
      </c>
      <c r="C6466" s="1" t="n">
        <v>45363</v>
      </c>
      <c r="D6466" t="inlineStr">
        <is>
          <t>JÄMTLANDS LÄN</t>
        </is>
      </c>
      <c r="E6466" t="inlineStr">
        <is>
          <t>STRÖMSUND</t>
        </is>
      </c>
      <c r="F6466" t="inlineStr">
        <is>
          <t>Sveaskog</t>
        </is>
      </c>
      <c r="G6466" t="n">
        <v>32.6</v>
      </c>
      <c r="H6466" t="n">
        <v>0</v>
      </c>
      <c r="I6466" t="n">
        <v>0</v>
      </c>
      <c r="J6466" t="n">
        <v>0</v>
      </c>
      <c r="K6466" t="n">
        <v>0</v>
      </c>
      <c r="L6466" t="n">
        <v>0</v>
      </c>
      <c r="M6466" t="n">
        <v>0</v>
      </c>
      <c r="N6466" t="n">
        <v>0</v>
      </c>
      <c r="O6466" t="n">
        <v>0</v>
      </c>
      <c r="P6466" t="n">
        <v>0</v>
      </c>
      <c r="Q6466" t="n">
        <v>0</v>
      </c>
      <c r="R6466" s="2" t="inlineStr"/>
    </row>
    <row r="6467" ht="15" customHeight="1">
      <c r="A6467" t="inlineStr">
        <is>
          <t>A 39890-2022</t>
        </is>
      </c>
      <c r="B6467" s="1" t="n">
        <v>44819</v>
      </c>
      <c r="C6467" s="1" t="n">
        <v>45363</v>
      </c>
      <c r="D6467" t="inlineStr">
        <is>
          <t>JÄMTLANDS LÄN</t>
        </is>
      </c>
      <c r="E6467" t="inlineStr">
        <is>
          <t>STRÖMSUND</t>
        </is>
      </c>
      <c r="F6467" t="inlineStr">
        <is>
          <t>Sveaskog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39889-2022</t>
        </is>
      </c>
      <c r="B6468" s="1" t="n">
        <v>44819</v>
      </c>
      <c r="C6468" s="1" t="n">
        <v>45363</v>
      </c>
      <c r="D6468" t="inlineStr">
        <is>
          <t>JÄMTLANDS LÄN</t>
        </is>
      </c>
      <c r="E6468" t="inlineStr">
        <is>
          <t>STRÖMSUND</t>
        </is>
      </c>
      <c r="F6468" t="inlineStr">
        <is>
          <t>Sveaskog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39713-2022</t>
        </is>
      </c>
      <c r="B6469" s="1" t="n">
        <v>44819</v>
      </c>
      <c r="C6469" s="1" t="n">
        <v>45363</v>
      </c>
      <c r="D6469" t="inlineStr">
        <is>
          <t>JÄMTLANDS LÄN</t>
        </is>
      </c>
      <c r="E6469" t="inlineStr">
        <is>
          <t>ÅRE</t>
        </is>
      </c>
      <c r="G6469" t="n">
        <v>10.4</v>
      </c>
      <c r="H6469" t="n">
        <v>0</v>
      </c>
      <c r="I6469" t="n">
        <v>0</v>
      </c>
      <c r="J6469" t="n">
        <v>0</v>
      </c>
      <c r="K6469" t="n">
        <v>0</v>
      </c>
      <c r="L6469" t="n">
        <v>0</v>
      </c>
      <c r="M6469" t="n">
        <v>0</v>
      </c>
      <c r="N6469" t="n">
        <v>0</v>
      </c>
      <c r="O6469" t="n">
        <v>0</v>
      </c>
      <c r="P6469" t="n">
        <v>0</v>
      </c>
      <c r="Q6469" t="n">
        <v>0</v>
      </c>
      <c r="R6469" s="2" t="inlineStr"/>
    </row>
    <row r="6470" ht="15" customHeight="1">
      <c r="A6470" t="inlineStr">
        <is>
          <t>A 39820-2022</t>
        </is>
      </c>
      <c r="B6470" s="1" t="n">
        <v>44819</v>
      </c>
      <c r="C6470" s="1" t="n">
        <v>45363</v>
      </c>
      <c r="D6470" t="inlineStr">
        <is>
          <t>JÄMTLANDS LÄN</t>
        </is>
      </c>
      <c r="E6470" t="inlineStr">
        <is>
          <t>HÄRJEDALEN</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39892-2022</t>
        </is>
      </c>
      <c r="B6471" s="1" t="n">
        <v>44819</v>
      </c>
      <c r="C6471" s="1" t="n">
        <v>45363</v>
      </c>
      <c r="D6471" t="inlineStr">
        <is>
          <t>JÄMTLANDS LÄN</t>
        </is>
      </c>
      <c r="E6471" t="inlineStr">
        <is>
          <t>STRÖMSUND</t>
        </is>
      </c>
      <c r="F6471" t="inlineStr">
        <is>
          <t>Sveaskog</t>
        </is>
      </c>
      <c r="G6471" t="n">
        <v>16.7</v>
      </c>
      <c r="H6471" t="n">
        <v>0</v>
      </c>
      <c r="I6471" t="n">
        <v>0</v>
      </c>
      <c r="J6471" t="n">
        <v>0</v>
      </c>
      <c r="K6471" t="n">
        <v>0</v>
      </c>
      <c r="L6471" t="n">
        <v>0</v>
      </c>
      <c r="M6471" t="n">
        <v>0</v>
      </c>
      <c r="N6471" t="n">
        <v>0</v>
      </c>
      <c r="O6471" t="n">
        <v>0</v>
      </c>
      <c r="P6471" t="n">
        <v>0</v>
      </c>
      <c r="Q6471" t="n">
        <v>0</v>
      </c>
      <c r="R6471" s="2" t="inlineStr"/>
    </row>
    <row r="6472" ht="15" customHeight="1">
      <c r="A6472" t="inlineStr">
        <is>
          <t>A 39928-2022</t>
        </is>
      </c>
      <c r="B6472" s="1" t="n">
        <v>44819</v>
      </c>
      <c r="C6472" s="1" t="n">
        <v>45363</v>
      </c>
      <c r="D6472" t="inlineStr">
        <is>
          <t>JÄMTLANDS LÄN</t>
        </is>
      </c>
      <c r="E6472" t="inlineStr">
        <is>
          <t>ÖSTERSUND</t>
        </is>
      </c>
      <c r="F6472" t="inlineStr">
        <is>
          <t>SCA</t>
        </is>
      </c>
      <c r="G6472" t="n">
        <v>8.9</v>
      </c>
      <c r="H6472" t="n">
        <v>0</v>
      </c>
      <c r="I6472" t="n">
        <v>0</v>
      </c>
      <c r="J6472" t="n">
        <v>0</v>
      </c>
      <c r="K6472" t="n">
        <v>0</v>
      </c>
      <c r="L6472" t="n">
        <v>0</v>
      </c>
      <c r="M6472" t="n">
        <v>0</v>
      </c>
      <c r="N6472" t="n">
        <v>0</v>
      </c>
      <c r="O6472" t="n">
        <v>0</v>
      </c>
      <c r="P6472" t="n">
        <v>0</v>
      </c>
      <c r="Q6472" t="n">
        <v>0</v>
      </c>
      <c r="R6472" s="2" t="inlineStr"/>
    </row>
    <row r="6473" ht="15" customHeight="1">
      <c r="A6473" t="inlineStr">
        <is>
          <t>A 39937-2022</t>
        </is>
      </c>
      <c r="B6473" s="1" t="n">
        <v>44820</v>
      </c>
      <c r="C6473" s="1" t="n">
        <v>45363</v>
      </c>
      <c r="D6473" t="inlineStr">
        <is>
          <t>JÄMTLANDS LÄN</t>
        </is>
      </c>
      <c r="E6473" t="inlineStr">
        <is>
          <t>BRÄCKE</t>
        </is>
      </c>
      <c r="F6473" t="inlineStr">
        <is>
          <t>SCA</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39930-2022</t>
        </is>
      </c>
      <c r="B6474" s="1" t="n">
        <v>44819</v>
      </c>
      <c r="C6474" s="1" t="n">
        <v>45363</v>
      </c>
      <c r="D6474" t="inlineStr">
        <is>
          <t>JÄMTLANDS LÄN</t>
        </is>
      </c>
      <c r="E6474" t="inlineStr">
        <is>
          <t>BRÄCKE</t>
        </is>
      </c>
      <c r="F6474" t="inlineStr">
        <is>
          <t>SCA</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39939-2022</t>
        </is>
      </c>
      <c r="B6475" s="1" t="n">
        <v>44820</v>
      </c>
      <c r="C6475" s="1" t="n">
        <v>45363</v>
      </c>
      <c r="D6475" t="inlineStr">
        <is>
          <t>JÄMTLANDS LÄN</t>
        </is>
      </c>
      <c r="E6475" t="inlineStr">
        <is>
          <t>STRÖMSUND</t>
        </is>
      </c>
      <c r="F6475" t="inlineStr">
        <is>
          <t>SCA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39957-2022</t>
        </is>
      </c>
      <c r="B6476" s="1" t="n">
        <v>44820</v>
      </c>
      <c r="C6476" s="1" t="n">
        <v>45363</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40084-2022</t>
        </is>
      </c>
      <c r="B6477" s="1" t="n">
        <v>44820</v>
      </c>
      <c r="C6477" s="1" t="n">
        <v>45363</v>
      </c>
      <c r="D6477" t="inlineStr">
        <is>
          <t>JÄMTLANDS LÄN</t>
        </is>
      </c>
      <c r="E6477" t="inlineStr">
        <is>
          <t>HÄRJEDALEN</t>
        </is>
      </c>
      <c r="F6477" t="inlineStr">
        <is>
          <t>Bergvik skog väst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40265-2022</t>
        </is>
      </c>
      <c r="B6478" s="1" t="n">
        <v>44821</v>
      </c>
      <c r="C6478" s="1" t="n">
        <v>45363</v>
      </c>
      <c r="D6478" t="inlineStr">
        <is>
          <t>JÄMTLANDS LÄN</t>
        </is>
      </c>
      <c r="E6478" t="inlineStr">
        <is>
          <t>RAGUNDA</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40269-2022</t>
        </is>
      </c>
      <c r="B6479" s="1" t="n">
        <v>44820</v>
      </c>
      <c r="C6479" s="1" t="n">
        <v>45363</v>
      </c>
      <c r="D6479" t="inlineStr">
        <is>
          <t>JÄMTLANDS LÄN</t>
        </is>
      </c>
      <c r="E6479" t="inlineStr">
        <is>
          <t>RAGUNDA</t>
        </is>
      </c>
      <c r="F6479" t="inlineStr">
        <is>
          <t>SCA</t>
        </is>
      </c>
      <c r="G6479" t="n">
        <v>77.8</v>
      </c>
      <c r="H6479" t="n">
        <v>0</v>
      </c>
      <c r="I6479" t="n">
        <v>0</v>
      </c>
      <c r="J6479" t="n">
        <v>0</v>
      </c>
      <c r="K6479" t="n">
        <v>0</v>
      </c>
      <c r="L6479" t="n">
        <v>0</v>
      </c>
      <c r="M6479" t="n">
        <v>0</v>
      </c>
      <c r="N6479" t="n">
        <v>0</v>
      </c>
      <c r="O6479" t="n">
        <v>0</v>
      </c>
      <c r="P6479" t="n">
        <v>0</v>
      </c>
      <c r="Q6479" t="n">
        <v>0</v>
      </c>
      <c r="R6479" s="2" t="inlineStr"/>
    </row>
    <row r="6480" ht="15" customHeight="1">
      <c r="A6480" t="inlineStr">
        <is>
          <t>A 40267-2022</t>
        </is>
      </c>
      <c r="B6480" s="1" t="n">
        <v>44820</v>
      </c>
      <c r="C6480" s="1" t="n">
        <v>45363</v>
      </c>
      <c r="D6480" t="inlineStr">
        <is>
          <t>JÄMTLANDS LÄN</t>
        </is>
      </c>
      <c r="E6480" t="inlineStr">
        <is>
          <t>RAGUNDA</t>
        </is>
      </c>
      <c r="F6480" t="inlineStr">
        <is>
          <t>SCA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40271-2022</t>
        </is>
      </c>
      <c r="B6481" s="1" t="n">
        <v>44821</v>
      </c>
      <c r="C6481" s="1" t="n">
        <v>45363</v>
      </c>
      <c r="D6481" t="inlineStr">
        <is>
          <t>JÄMTLANDS LÄN</t>
        </is>
      </c>
      <c r="E6481" t="inlineStr">
        <is>
          <t>STRÖMSUND</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40278-2022</t>
        </is>
      </c>
      <c r="B6482" s="1" t="n">
        <v>44820</v>
      </c>
      <c r="C6482" s="1" t="n">
        <v>45363</v>
      </c>
      <c r="D6482" t="inlineStr">
        <is>
          <t>JÄMTLANDS LÄN</t>
        </is>
      </c>
      <c r="E6482" t="inlineStr">
        <is>
          <t>BRÄCKE</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40287-2022</t>
        </is>
      </c>
      <c r="B6483" s="1" t="n">
        <v>44821</v>
      </c>
      <c r="C6483" s="1" t="n">
        <v>45363</v>
      </c>
      <c r="D6483" t="inlineStr">
        <is>
          <t>JÄMTLANDS LÄN</t>
        </is>
      </c>
      <c r="E6483" t="inlineStr">
        <is>
          <t>STRÖMSUND</t>
        </is>
      </c>
      <c r="F6483" t="inlineStr">
        <is>
          <t>SCA</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40201-2022</t>
        </is>
      </c>
      <c r="B6484" s="1" t="n">
        <v>44820</v>
      </c>
      <c r="C6484" s="1" t="n">
        <v>45363</v>
      </c>
      <c r="D6484" t="inlineStr">
        <is>
          <t>JÄMTLANDS LÄN</t>
        </is>
      </c>
      <c r="E6484" t="inlineStr">
        <is>
          <t>HÄRJEDALEN</t>
        </is>
      </c>
      <c r="F6484" t="inlineStr">
        <is>
          <t>Kyrkan</t>
        </is>
      </c>
      <c r="G6484" t="n">
        <v>14.6</v>
      </c>
      <c r="H6484" t="n">
        <v>0</v>
      </c>
      <c r="I6484" t="n">
        <v>0</v>
      </c>
      <c r="J6484" t="n">
        <v>0</v>
      </c>
      <c r="K6484" t="n">
        <v>0</v>
      </c>
      <c r="L6484" t="n">
        <v>0</v>
      </c>
      <c r="M6484" t="n">
        <v>0</v>
      </c>
      <c r="N6484" t="n">
        <v>0</v>
      </c>
      <c r="O6484" t="n">
        <v>0</v>
      </c>
      <c r="P6484" t="n">
        <v>0</v>
      </c>
      <c r="Q6484" t="n">
        <v>0</v>
      </c>
      <c r="R6484" s="2" t="inlineStr"/>
    </row>
    <row r="6485" ht="15" customHeight="1">
      <c r="A6485" t="inlineStr">
        <is>
          <t>A 40268-2022</t>
        </is>
      </c>
      <c r="B6485" s="1" t="n">
        <v>44821</v>
      </c>
      <c r="C6485" s="1" t="n">
        <v>45363</v>
      </c>
      <c r="D6485" t="inlineStr">
        <is>
          <t>JÄMTLANDS LÄN</t>
        </is>
      </c>
      <c r="E6485" t="inlineStr">
        <is>
          <t>BRÄCKE</t>
        </is>
      </c>
      <c r="F6485" t="inlineStr">
        <is>
          <t>SCA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40266-2022</t>
        </is>
      </c>
      <c r="B6486" s="1" t="n">
        <v>44820</v>
      </c>
      <c r="C6486" s="1" t="n">
        <v>45363</v>
      </c>
      <c r="D6486" t="inlineStr">
        <is>
          <t>JÄMTLANDS LÄN</t>
        </is>
      </c>
      <c r="E6486" t="inlineStr">
        <is>
          <t>RAGUNDA</t>
        </is>
      </c>
      <c r="F6486" t="inlineStr">
        <is>
          <t>SCA</t>
        </is>
      </c>
      <c r="G6486" t="n">
        <v>9</v>
      </c>
      <c r="H6486" t="n">
        <v>0</v>
      </c>
      <c r="I6486" t="n">
        <v>0</v>
      </c>
      <c r="J6486" t="n">
        <v>0</v>
      </c>
      <c r="K6486" t="n">
        <v>0</v>
      </c>
      <c r="L6486" t="n">
        <v>0</v>
      </c>
      <c r="M6486" t="n">
        <v>0</v>
      </c>
      <c r="N6486" t="n">
        <v>0</v>
      </c>
      <c r="O6486" t="n">
        <v>0</v>
      </c>
      <c r="P6486" t="n">
        <v>0</v>
      </c>
      <c r="Q6486" t="n">
        <v>0</v>
      </c>
      <c r="R6486" s="2" t="inlineStr"/>
    </row>
    <row r="6487" ht="15" customHeight="1">
      <c r="A6487" t="inlineStr">
        <is>
          <t>A 40275-2022</t>
        </is>
      </c>
      <c r="B6487" s="1" t="n">
        <v>44820</v>
      </c>
      <c r="C6487" s="1" t="n">
        <v>45363</v>
      </c>
      <c r="D6487" t="inlineStr">
        <is>
          <t>JÄMTLANDS LÄN</t>
        </is>
      </c>
      <c r="E6487" t="inlineStr">
        <is>
          <t>STRÖMSUND</t>
        </is>
      </c>
      <c r="F6487" t="inlineStr">
        <is>
          <t>SCA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40285-2022</t>
        </is>
      </c>
      <c r="B6488" s="1" t="n">
        <v>44821</v>
      </c>
      <c r="C6488" s="1" t="n">
        <v>45363</v>
      </c>
      <c r="D6488" t="inlineStr">
        <is>
          <t>JÄMTLANDS LÄN</t>
        </is>
      </c>
      <c r="E6488" t="inlineStr">
        <is>
          <t>BRÄCKE</t>
        </is>
      </c>
      <c r="F6488" t="inlineStr">
        <is>
          <t>SCA</t>
        </is>
      </c>
      <c r="G6488" t="n">
        <v>9.5</v>
      </c>
      <c r="H6488" t="n">
        <v>0</v>
      </c>
      <c r="I6488" t="n">
        <v>0</v>
      </c>
      <c r="J6488" t="n">
        <v>0</v>
      </c>
      <c r="K6488" t="n">
        <v>0</v>
      </c>
      <c r="L6488" t="n">
        <v>0</v>
      </c>
      <c r="M6488" t="n">
        <v>0</v>
      </c>
      <c r="N6488" t="n">
        <v>0</v>
      </c>
      <c r="O6488" t="n">
        <v>0</v>
      </c>
      <c r="P6488" t="n">
        <v>0</v>
      </c>
      <c r="Q6488" t="n">
        <v>0</v>
      </c>
      <c r="R6488" s="2" t="inlineStr"/>
    </row>
    <row r="6489" ht="15" customHeight="1">
      <c r="A6489" t="inlineStr">
        <is>
          <t>A 40862-2022</t>
        </is>
      </c>
      <c r="B6489" s="1" t="n">
        <v>44820</v>
      </c>
      <c r="C6489" s="1" t="n">
        <v>45363</v>
      </c>
      <c r="D6489" t="inlineStr">
        <is>
          <t>JÄMTLANDS LÄN</t>
        </is>
      </c>
      <c r="E6489" t="inlineStr">
        <is>
          <t>STRÖMSUND</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40272-2022</t>
        </is>
      </c>
      <c r="B6490" s="1" t="n">
        <v>44820</v>
      </c>
      <c r="C6490" s="1" t="n">
        <v>45363</v>
      </c>
      <c r="D6490" t="inlineStr">
        <is>
          <t>JÄMTLANDS LÄN</t>
        </is>
      </c>
      <c r="E6490" t="inlineStr">
        <is>
          <t>STRÖMSUND</t>
        </is>
      </c>
      <c r="F6490" t="inlineStr">
        <is>
          <t>SCA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40290-2022</t>
        </is>
      </c>
      <c r="B6491" s="1" t="n">
        <v>44821</v>
      </c>
      <c r="C6491" s="1" t="n">
        <v>45363</v>
      </c>
      <c r="D6491" t="inlineStr">
        <is>
          <t>JÄMTLANDS LÄN</t>
        </is>
      </c>
      <c r="E6491" t="inlineStr">
        <is>
          <t>STRÖMSUND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40885-2022</t>
        </is>
      </c>
      <c r="B6492" s="1" t="n">
        <v>44820</v>
      </c>
      <c r="C6492" s="1" t="n">
        <v>45363</v>
      </c>
      <c r="D6492" t="inlineStr">
        <is>
          <t>JÄMTLANDS LÄN</t>
        </is>
      </c>
      <c r="E6492" t="inlineStr">
        <is>
          <t>ÖSTERSUND</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40951-2022</t>
        </is>
      </c>
      <c r="B6493" s="1" t="n">
        <v>44820</v>
      </c>
      <c r="C6493" s="1" t="n">
        <v>45363</v>
      </c>
      <c r="D6493" t="inlineStr">
        <is>
          <t>JÄMTLANDS LÄN</t>
        </is>
      </c>
      <c r="E6493" t="inlineStr">
        <is>
          <t>RAGUNDA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40711-2022</t>
        </is>
      </c>
      <c r="B6494" s="1" t="n">
        <v>44820</v>
      </c>
      <c r="C6494" s="1" t="n">
        <v>45363</v>
      </c>
      <c r="D6494" t="inlineStr">
        <is>
          <t>JÄMTLANDS LÄN</t>
        </is>
      </c>
      <c r="E6494" t="inlineStr">
        <is>
          <t>BRÄCKE</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40866-2022</t>
        </is>
      </c>
      <c r="B6495" s="1" t="n">
        <v>44820</v>
      </c>
      <c r="C6495" s="1" t="n">
        <v>45363</v>
      </c>
      <c r="D6495" t="inlineStr">
        <is>
          <t>JÄMTLANDS LÄN</t>
        </is>
      </c>
      <c r="E6495" t="inlineStr">
        <is>
          <t>KROKOM</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41015-2022</t>
        </is>
      </c>
      <c r="B6496" s="1" t="n">
        <v>44820</v>
      </c>
      <c r="C6496" s="1" t="n">
        <v>45363</v>
      </c>
      <c r="D6496" t="inlineStr">
        <is>
          <t>JÄMTLANDS LÄN</t>
        </is>
      </c>
      <c r="E6496" t="inlineStr">
        <is>
          <t>ÅRE</t>
        </is>
      </c>
      <c r="F6496" t="inlineStr">
        <is>
          <t>Övriga statliga verk och myndigheter</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40440-2022</t>
        </is>
      </c>
      <c r="B6497" s="1" t="n">
        <v>44823</v>
      </c>
      <c r="C6497" s="1" t="n">
        <v>45363</v>
      </c>
      <c r="D6497" t="inlineStr">
        <is>
          <t>JÄMTLANDS LÄN</t>
        </is>
      </c>
      <c r="E6497" t="inlineStr">
        <is>
          <t>BRÄCKE</t>
        </is>
      </c>
      <c r="F6497" t="inlineStr">
        <is>
          <t>Övriga Aktiebolag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40596-2022</t>
        </is>
      </c>
      <c r="B6498" s="1" t="n">
        <v>44823</v>
      </c>
      <c r="C6498" s="1" t="n">
        <v>45363</v>
      </c>
      <c r="D6498" t="inlineStr">
        <is>
          <t>JÄMTLANDS LÄN</t>
        </is>
      </c>
      <c r="E6498" t="inlineStr">
        <is>
          <t>HÄRJEDALEN</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40601-2022</t>
        </is>
      </c>
      <c r="B6499" s="1" t="n">
        <v>44823</v>
      </c>
      <c r="C6499" s="1" t="n">
        <v>45363</v>
      </c>
      <c r="D6499" t="inlineStr">
        <is>
          <t>JÄMTLANDS LÄN</t>
        </is>
      </c>
      <c r="E6499" t="inlineStr">
        <is>
          <t>BERG</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40436-2022</t>
        </is>
      </c>
      <c r="B6500" s="1" t="n">
        <v>44823</v>
      </c>
      <c r="C6500" s="1" t="n">
        <v>45363</v>
      </c>
      <c r="D6500" t="inlineStr">
        <is>
          <t>JÄMTLANDS LÄN</t>
        </is>
      </c>
      <c r="E6500" t="inlineStr">
        <is>
          <t>RAGUNDA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40561-2022</t>
        </is>
      </c>
      <c r="B6501" s="1" t="n">
        <v>44823</v>
      </c>
      <c r="C6501" s="1" t="n">
        <v>45363</v>
      </c>
      <c r="D6501" t="inlineStr">
        <is>
          <t>JÄMTLANDS LÄN</t>
        </is>
      </c>
      <c r="E6501" t="inlineStr">
        <is>
          <t>HÄRJEDALEN</t>
        </is>
      </c>
      <c r="F6501" t="inlineStr">
        <is>
          <t>Bergvik skog väst AB</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40602-2022</t>
        </is>
      </c>
      <c r="B6502" s="1" t="n">
        <v>44823</v>
      </c>
      <c r="C6502" s="1" t="n">
        <v>45363</v>
      </c>
      <c r="D6502" t="inlineStr">
        <is>
          <t>JÄMTLANDS LÄN</t>
        </is>
      </c>
      <c r="E6502" t="inlineStr">
        <is>
          <t>STRÖMSUND</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40617-2022</t>
        </is>
      </c>
      <c r="B6503" s="1" t="n">
        <v>44823</v>
      </c>
      <c r="C6503" s="1" t="n">
        <v>45363</v>
      </c>
      <c r="D6503" t="inlineStr">
        <is>
          <t>JÄMTLANDS LÄN</t>
        </is>
      </c>
      <c r="E6503" t="inlineStr">
        <is>
          <t>STRÖMSUND</t>
        </is>
      </c>
      <c r="F6503" t="inlineStr">
        <is>
          <t>SCA</t>
        </is>
      </c>
      <c r="G6503" t="n">
        <v>9.199999999999999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40578-2022</t>
        </is>
      </c>
      <c r="B6504" s="1" t="n">
        <v>44823</v>
      </c>
      <c r="C6504" s="1" t="n">
        <v>45363</v>
      </c>
      <c r="D6504" t="inlineStr">
        <is>
          <t>JÄMTLANDS LÄN</t>
        </is>
      </c>
      <c r="E6504" t="inlineStr">
        <is>
          <t>HÄRJEDALEN</t>
        </is>
      </c>
      <c r="F6504" t="inlineStr">
        <is>
          <t>Sveaskog</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40990-2022</t>
        </is>
      </c>
      <c r="B6505" s="1" t="n">
        <v>44823</v>
      </c>
      <c r="C6505" s="1" t="n">
        <v>45363</v>
      </c>
      <c r="D6505" t="inlineStr">
        <is>
          <t>JÄMTLANDS LÄN</t>
        </is>
      </c>
      <c r="E6505" t="inlineStr">
        <is>
          <t>BERG</t>
        </is>
      </c>
      <c r="G6505" t="n">
        <v>11.7</v>
      </c>
      <c r="H6505" t="n">
        <v>0</v>
      </c>
      <c r="I6505" t="n">
        <v>0</v>
      </c>
      <c r="J6505" t="n">
        <v>0</v>
      </c>
      <c r="K6505" t="n">
        <v>0</v>
      </c>
      <c r="L6505" t="n">
        <v>0</v>
      </c>
      <c r="M6505" t="n">
        <v>0</v>
      </c>
      <c r="N6505" t="n">
        <v>0</v>
      </c>
      <c r="O6505" t="n">
        <v>0</v>
      </c>
      <c r="P6505" t="n">
        <v>0</v>
      </c>
      <c r="Q6505" t="n">
        <v>0</v>
      </c>
      <c r="R6505" s="2" t="inlineStr"/>
    </row>
    <row r="6506" ht="15" customHeight="1">
      <c r="A6506" t="inlineStr">
        <is>
          <t>A 40936-2022</t>
        </is>
      </c>
      <c r="B6506" s="1" t="n">
        <v>44823</v>
      </c>
      <c r="C6506" s="1" t="n">
        <v>45363</v>
      </c>
      <c r="D6506" t="inlineStr">
        <is>
          <t>JÄMTLANDS LÄN</t>
        </is>
      </c>
      <c r="E6506" t="inlineStr">
        <is>
          <t>STRÖMSUND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40612-2022</t>
        </is>
      </c>
      <c r="B6507" s="1" t="n">
        <v>44824</v>
      </c>
      <c r="C6507" s="1" t="n">
        <v>45363</v>
      </c>
      <c r="D6507" t="inlineStr">
        <is>
          <t>JÄMTLANDS LÄN</t>
        </is>
      </c>
      <c r="E6507" t="inlineStr">
        <is>
          <t>RAGUNDA</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40978-2022</t>
        </is>
      </c>
      <c r="B6508" s="1" t="n">
        <v>44823</v>
      </c>
      <c r="C6508" s="1" t="n">
        <v>45363</v>
      </c>
      <c r="D6508" t="inlineStr">
        <is>
          <t>JÄMTLANDS LÄN</t>
        </is>
      </c>
      <c r="E6508" t="inlineStr">
        <is>
          <t>RAGUNDA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40675-2022</t>
        </is>
      </c>
      <c r="B6509" s="1" t="n">
        <v>44824</v>
      </c>
      <c r="C6509" s="1" t="n">
        <v>45363</v>
      </c>
      <c r="D6509" t="inlineStr">
        <is>
          <t>JÄMTLANDS LÄN</t>
        </is>
      </c>
      <c r="E6509" t="inlineStr">
        <is>
          <t>BRÄCKE</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40840-2022</t>
        </is>
      </c>
      <c r="B6510" s="1" t="n">
        <v>44824</v>
      </c>
      <c r="C6510" s="1" t="n">
        <v>45363</v>
      </c>
      <c r="D6510" t="inlineStr">
        <is>
          <t>JÄMTLANDS LÄN</t>
        </is>
      </c>
      <c r="E6510" t="inlineStr">
        <is>
          <t>STRÖMSUND</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40847-2022</t>
        </is>
      </c>
      <c r="B6511" s="1" t="n">
        <v>44824</v>
      </c>
      <c r="C6511" s="1" t="n">
        <v>45363</v>
      </c>
      <c r="D6511" t="inlineStr">
        <is>
          <t>JÄMTLANDS LÄN</t>
        </is>
      </c>
      <c r="E6511" t="inlineStr">
        <is>
          <t>BERG</t>
        </is>
      </c>
      <c r="F6511" t="inlineStr">
        <is>
          <t>SCA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40829-2022</t>
        </is>
      </c>
      <c r="B6512" s="1" t="n">
        <v>44825</v>
      </c>
      <c r="C6512" s="1" t="n">
        <v>45363</v>
      </c>
      <c r="D6512" t="inlineStr">
        <is>
          <t>JÄMTLANDS LÄN</t>
        </is>
      </c>
      <c r="E6512" t="inlineStr">
        <is>
          <t>RAGUNDA</t>
        </is>
      </c>
      <c r="F6512" t="inlineStr">
        <is>
          <t>SCA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40841-2022</t>
        </is>
      </c>
      <c r="B6513" s="1" t="n">
        <v>44825</v>
      </c>
      <c r="C6513" s="1" t="n">
        <v>45363</v>
      </c>
      <c r="D6513" t="inlineStr">
        <is>
          <t>JÄMTLANDS LÄN</t>
        </is>
      </c>
      <c r="E6513" t="inlineStr">
        <is>
          <t>STRÖMSUND</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41063-2022</t>
        </is>
      </c>
      <c r="B6514" s="1" t="n">
        <v>44824</v>
      </c>
      <c r="C6514" s="1" t="n">
        <v>45363</v>
      </c>
      <c r="D6514" t="inlineStr">
        <is>
          <t>JÄMTLANDS LÄN</t>
        </is>
      </c>
      <c r="E6514" t="inlineStr">
        <is>
          <t>BERG</t>
        </is>
      </c>
      <c r="G6514" t="n">
        <v>13.6</v>
      </c>
      <c r="H6514" t="n">
        <v>0</v>
      </c>
      <c r="I6514" t="n">
        <v>0</v>
      </c>
      <c r="J6514" t="n">
        <v>0</v>
      </c>
      <c r="K6514" t="n">
        <v>0</v>
      </c>
      <c r="L6514" t="n">
        <v>0</v>
      </c>
      <c r="M6514" t="n">
        <v>0</v>
      </c>
      <c r="N6514" t="n">
        <v>0</v>
      </c>
      <c r="O6514" t="n">
        <v>0</v>
      </c>
      <c r="P6514" t="n">
        <v>0</v>
      </c>
      <c r="Q6514" t="n">
        <v>0</v>
      </c>
      <c r="R6514" s="2" t="inlineStr"/>
    </row>
    <row r="6515" ht="15" customHeight="1">
      <c r="A6515" t="inlineStr">
        <is>
          <t>A 40903-2022</t>
        </is>
      </c>
      <c r="B6515" s="1" t="n">
        <v>44825</v>
      </c>
      <c r="C6515" s="1" t="n">
        <v>45363</v>
      </c>
      <c r="D6515" t="inlineStr">
        <is>
          <t>JÄMTLANDS LÄN</t>
        </is>
      </c>
      <c r="E6515" t="inlineStr">
        <is>
          <t>BRÄCKE</t>
        </is>
      </c>
      <c r="G6515" t="n">
        <v>65.59999999999999</v>
      </c>
      <c r="H6515" t="n">
        <v>0</v>
      </c>
      <c r="I6515" t="n">
        <v>0</v>
      </c>
      <c r="J6515" t="n">
        <v>0</v>
      </c>
      <c r="K6515" t="n">
        <v>0</v>
      </c>
      <c r="L6515" t="n">
        <v>0</v>
      </c>
      <c r="M6515" t="n">
        <v>0</v>
      </c>
      <c r="N6515" t="n">
        <v>0</v>
      </c>
      <c r="O6515" t="n">
        <v>0</v>
      </c>
      <c r="P6515" t="n">
        <v>0</v>
      </c>
      <c r="Q6515" t="n">
        <v>0</v>
      </c>
      <c r="R6515" s="2" t="inlineStr"/>
    </row>
    <row r="6516" ht="15" customHeight="1">
      <c r="A6516" t="inlineStr">
        <is>
          <t>A 41069-2022</t>
        </is>
      </c>
      <c r="B6516" s="1" t="n">
        <v>44825</v>
      </c>
      <c r="C6516" s="1" t="n">
        <v>45363</v>
      </c>
      <c r="D6516" t="inlineStr">
        <is>
          <t>JÄMTLANDS LÄN</t>
        </is>
      </c>
      <c r="E6516" t="inlineStr">
        <is>
          <t>BERG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41080-2022</t>
        </is>
      </c>
      <c r="B6517" s="1" t="n">
        <v>44825</v>
      </c>
      <c r="C6517" s="1" t="n">
        <v>45363</v>
      </c>
      <c r="D6517" t="inlineStr">
        <is>
          <t>JÄMTLANDS LÄN</t>
        </is>
      </c>
      <c r="E6517" t="inlineStr">
        <is>
          <t>HÄRJEDALEN</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41162-2022</t>
        </is>
      </c>
      <c r="B6518" s="1" t="n">
        <v>44825</v>
      </c>
      <c r="C6518" s="1" t="n">
        <v>45363</v>
      </c>
      <c r="D6518" t="inlineStr">
        <is>
          <t>JÄMTLANDS LÄN</t>
        </is>
      </c>
      <c r="E6518" t="inlineStr">
        <is>
          <t>ÅRE</t>
        </is>
      </c>
      <c r="G6518" t="n">
        <v>11.3</v>
      </c>
      <c r="H6518" t="n">
        <v>0</v>
      </c>
      <c r="I6518" t="n">
        <v>0</v>
      </c>
      <c r="J6518" t="n">
        <v>0</v>
      </c>
      <c r="K6518" t="n">
        <v>0</v>
      </c>
      <c r="L6518" t="n">
        <v>0</v>
      </c>
      <c r="M6518" t="n">
        <v>0</v>
      </c>
      <c r="N6518" t="n">
        <v>0</v>
      </c>
      <c r="O6518" t="n">
        <v>0</v>
      </c>
      <c r="P6518" t="n">
        <v>0</v>
      </c>
      <c r="Q6518" t="n">
        <v>0</v>
      </c>
      <c r="R6518" s="2" t="inlineStr"/>
    </row>
    <row r="6519" ht="15" customHeight="1">
      <c r="A6519" t="inlineStr">
        <is>
          <t>A 41164-2022</t>
        </is>
      </c>
      <c r="B6519" s="1" t="n">
        <v>44825</v>
      </c>
      <c r="C6519" s="1" t="n">
        <v>45363</v>
      </c>
      <c r="D6519" t="inlineStr">
        <is>
          <t>JÄMTLANDS LÄN</t>
        </is>
      </c>
      <c r="E6519" t="inlineStr">
        <is>
          <t>HÄRJEDALEN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41170-2022</t>
        </is>
      </c>
      <c r="B6520" s="1" t="n">
        <v>44825</v>
      </c>
      <c r="C6520" s="1" t="n">
        <v>45363</v>
      </c>
      <c r="D6520" t="inlineStr">
        <is>
          <t>JÄMTLANDS LÄN</t>
        </is>
      </c>
      <c r="E6520" t="inlineStr">
        <is>
          <t>KROKOM</t>
        </is>
      </c>
      <c r="F6520" t="inlineStr">
        <is>
          <t>SCA</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41180-2022</t>
        </is>
      </c>
      <c r="B6521" s="1" t="n">
        <v>44825</v>
      </c>
      <c r="C6521" s="1" t="n">
        <v>45363</v>
      </c>
      <c r="D6521" t="inlineStr">
        <is>
          <t>JÄMTLANDS LÄN</t>
        </is>
      </c>
      <c r="E6521" t="inlineStr">
        <is>
          <t>RAGUNDA</t>
        </is>
      </c>
      <c r="F6521" t="inlineStr">
        <is>
          <t>SCA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41171-2022</t>
        </is>
      </c>
      <c r="B6522" s="1" t="n">
        <v>44826</v>
      </c>
      <c r="C6522" s="1" t="n">
        <v>45363</v>
      </c>
      <c r="D6522" t="inlineStr">
        <is>
          <t>JÄMTLANDS LÄN</t>
        </is>
      </c>
      <c r="E6522" t="inlineStr">
        <is>
          <t>STRÖMSUND</t>
        </is>
      </c>
      <c r="F6522" t="inlineStr">
        <is>
          <t>SCA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41175-2022</t>
        </is>
      </c>
      <c r="B6523" s="1" t="n">
        <v>44826</v>
      </c>
      <c r="C6523" s="1" t="n">
        <v>45363</v>
      </c>
      <c r="D6523" t="inlineStr">
        <is>
          <t>JÄMTLANDS LÄN</t>
        </is>
      </c>
      <c r="E6523" t="inlineStr">
        <is>
          <t>BRÄCKE</t>
        </is>
      </c>
      <c r="F6523" t="inlineStr">
        <is>
          <t>SCA</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41182-2022</t>
        </is>
      </c>
      <c r="B6524" s="1" t="n">
        <v>44826</v>
      </c>
      <c r="C6524" s="1" t="n">
        <v>45363</v>
      </c>
      <c r="D6524" t="inlineStr">
        <is>
          <t>JÄMTLANDS LÄN</t>
        </is>
      </c>
      <c r="E6524" t="inlineStr">
        <is>
          <t>BRÄCKE</t>
        </is>
      </c>
      <c r="F6524" t="inlineStr">
        <is>
          <t>SCA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41197-2022</t>
        </is>
      </c>
      <c r="B6525" s="1" t="n">
        <v>44825</v>
      </c>
      <c r="C6525" s="1" t="n">
        <v>45363</v>
      </c>
      <c r="D6525" t="inlineStr">
        <is>
          <t>JÄMTLANDS LÄN</t>
        </is>
      </c>
      <c r="E6525" t="inlineStr">
        <is>
          <t>KROKOM</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41179-2022</t>
        </is>
      </c>
      <c r="B6526" s="1" t="n">
        <v>44825</v>
      </c>
      <c r="C6526" s="1" t="n">
        <v>45363</v>
      </c>
      <c r="D6526" t="inlineStr">
        <is>
          <t>JÄMTLANDS LÄN</t>
        </is>
      </c>
      <c r="E6526" t="inlineStr">
        <is>
          <t>RAGUNDA</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41194-2022</t>
        </is>
      </c>
      <c r="B6527" s="1" t="n">
        <v>44826</v>
      </c>
      <c r="C6527" s="1" t="n">
        <v>45363</v>
      </c>
      <c r="D6527" t="inlineStr">
        <is>
          <t>JÄMTLANDS LÄN</t>
        </is>
      </c>
      <c r="E6527" t="inlineStr">
        <is>
          <t>STRÖMSUND</t>
        </is>
      </c>
      <c r="F6527" t="inlineStr">
        <is>
          <t>SCA</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41209-2022</t>
        </is>
      </c>
      <c r="B6528" s="1" t="n">
        <v>44825</v>
      </c>
      <c r="C6528" s="1" t="n">
        <v>45363</v>
      </c>
      <c r="D6528" t="inlineStr">
        <is>
          <t>JÄMTLANDS LÄN</t>
        </is>
      </c>
      <c r="E6528" t="inlineStr">
        <is>
          <t>HÄRJEDALEN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41293-2022</t>
        </is>
      </c>
      <c r="B6529" s="1" t="n">
        <v>44826</v>
      </c>
      <c r="C6529" s="1" t="n">
        <v>45363</v>
      </c>
      <c r="D6529" t="inlineStr">
        <is>
          <t>JÄMTLANDS LÄN</t>
        </is>
      </c>
      <c r="E6529" t="inlineStr">
        <is>
          <t>HÄRJEDALEN</t>
        </is>
      </c>
      <c r="F6529" t="inlineStr">
        <is>
          <t>Bergvik skog väst AB</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41490-2022</t>
        </is>
      </c>
      <c r="B6530" s="1" t="n">
        <v>44827</v>
      </c>
      <c r="C6530" s="1" t="n">
        <v>45363</v>
      </c>
      <c r="D6530" t="inlineStr">
        <is>
          <t>JÄMTLANDS LÄN</t>
        </is>
      </c>
      <c r="E6530" t="inlineStr">
        <is>
          <t>RAGUNDA</t>
        </is>
      </c>
      <c r="F6530" t="inlineStr">
        <is>
          <t>SCA</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41655-2022</t>
        </is>
      </c>
      <c r="B6531" s="1" t="n">
        <v>44827</v>
      </c>
      <c r="C6531" s="1" t="n">
        <v>45363</v>
      </c>
      <c r="D6531" t="inlineStr">
        <is>
          <t>JÄMTLANDS LÄN</t>
        </is>
      </c>
      <c r="E6531" t="inlineStr">
        <is>
          <t>ÅRE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41654-2022</t>
        </is>
      </c>
      <c r="B6532" s="1" t="n">
        <v>44827</v>
      </c>
      <c r="C6532" s="1" t="n">
        <v>45363</v>
      </c>
      <c r="D6532" t="inlineStr">
        <is>
          <t>JÄMTLANDS LÄN</t>
        </is>
      </c>
      <c r="E6532" t="inlineStr">
        <is>
          <t>ÅRE</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41657-2022</t>
        </is>
      </c>
      <c r="B6533" s="1" t="n">
        <v>44827</v>
      </c>
      <c r="C6533" s="1" t="n">
        <v>45363</v>
      </c>
      <c r="D6533" t="inlineStr">
        <is>
          <t>JÄMTLANDS LÄN</t>
        </is>
      </c>
      <c r="E6533" t="inlineStr">
        <is>
          <t>ÅRE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41759-2022</t>
        </is>
      </c>
      <c r="B6534" s="1" t="n">
        <v>44827</v>
      </c>
      <c r="C6534" s="1" t="n">
        <v>45363</v>
      </c>
      <c r="D6534" t="inlineStr">
        <is>
          <t>JÄMTLANDS LÄN</t>
        </is>
      </c>
      <c r="E6534" t="inlineStr">
        <is>
          <t>HÄRJEDALEN</t>
        </is>
      </c>
      <c r="G6534" t="n">
        <v>20</v>
      </c>
      <c r="H6534" t="n">
        <v>0</v>
      </c>
      <c r="I6534" t="n">
        <v>0</v>
      </c>
      <c r="J6534" t="n">
        <v>0</v>
      </c>
      <c r="K6534" t="n">
        <v>0</v>
      </c>
      <c r="L6534" t="n">
        <v>0</v>
      </c>
      <c r="M6534" t="n">
        <v>0</v>
      </c>
      <c r="N6534" t="n">
        <v>0</v>
      </c>
      <c r="O6534" t="n">
        <v>0</v>
      </c>
      <c r="P6534" t="n">
        <v>0</v>
      </c>
      <c r="Q6534" t="n">
        <v>0</v>
      </c>
      <c r="R6534" s="2" t="inlineStr"/>
    </row>
    <row r="6535" ht="15" customHeight="1">
      <c r="A6535" t="inlineStr">
        <is>
          <t>A 41711-2022</t>
        </is>
      </c>
      <c r="B6535" s="1" t="n">
        <v>44827</v>
      </c>
      <c r="C6535" s="1" t="n">
        <v>45363</v>
      </c>
      <c r="D6535" t="inlineStr">
        <is>
          <t>JÄMTLANDS LÄN</t>
        </is>
      </c>
      <c r="E6535" t="inlineStr">
        <is>
          <t>HÄRJEDALEN</t>
        </is>
      </c>
      <c r="G6535" t="n">
        <v>18.3</v>
      </c>
      <c r="H6535" t="n">
        <v>0</v>
      </c>
      <c r="I6535" t="n">
        <v>0</v>
      </c>
      <c r="J6535" t="n">
        <v>0</v>
      </c>
      <c r="K6535" t="n">
        <v>0</v>
      </c>
      <c r="L6535" t="n">
        <v>0</v>
      </c>
      <c r="M6535" t="n">
        <v>0</v>
      </c>
      <c r="N6535" t="n">
        <v>0</v>
      </c>
      <c r="O6535" t="n">
        <v>0</v>
      </c>
      <c r="P6535" t="n">
        <v>0</v>
      </c>
      <c r="Q6535" t="n">
        <v>0</v>
      </c>
      <c r="R6535" s="2" t="inlineStr"/>
    </row>
    <row r="6536" ht="15" customHeight="1">
      <c r="A6536" t="inlineStr">
        <is>
          <t>A 41818-2022</t>
        </is>
      </c>
      <c r="B6536" s="1" t="n">
        <v>44828</v>
      </c>
      <c r="C6536" s="1" t="n">
        <v>45363</v>
      </c>
      <c r="D6536" t="inlineStr">
        <is>
          <t>JÄMTLANDS LÄN</t>
        </is>
      </c>
      <c r="E6536" t="inlineStr">
        <is>
          <t>STRÖMSUND</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41771-2022</t>
        </is>
      </c>
      <c r="B6537" s="1" t="n">
        <v>44827</v>
      </c>
      <c r="C6537" s="1" t="n">
        <v>45363</v>
      </c>
      <c r="D6537" t="inlineStr">
        <is>
          <t>JÄMTLANDS LÄN</t>
        </is>
      </c>
      <c r="E6537" t="inlineStr">
        <is>
          <t>HÄRJEDALEN</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41820-2022</t>
        </is>
      </c>
      <c r="B6538" s="1" t="n">
        <v>44828</v>
      </c>
      <c r="C6538" s="1" t="n">
        <v>45363</v>
      </c>
      <c r="D6538" t="inlineStr">
        <is>
          <t>JÄMTLANDS LÄN</t>
        </is>
      </c>
      <c r="E6538" t="inlineStr">
        <is>
          <t>STRÖMSUND</t>
        </is>
      </c>
      <c r="F6538" t="inlineStr">
        <is>
          <t>SCA</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41817-2022</t>
        </is>
      </c>
      <c r="B6539" s="1" t="n">
        <v>44827</v>
      </c>
      <c r="C6539" s="1" t="n">
        <v>45363</v>
      </c>
      <c r="D6539" t="inlineStr">
        <is>
          <t>JÄMTLANDS LÄN</t>
        </is>
      </c>
      <c r="E6539" t="inlineStr">
        <is>
          <t>BRÄCKE</t>
        </is>
      </c>
      <c r="F6539" t="inlineStr">
        <is>
          <t>SCA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41822-2022</t>
        </is>
      </c>
      <c r="B6540" s="1" t="n">
        <v>44828</v>
      </c>
      <c r="C6540" s="1" t="n">
        <v>45363</v>
      </c>
      <c r="D6540" t="inlineStr">
        <is>
          <t>JÄMTLANDS LÄN</t>
        </is>
      </c>
      <c r="E6540" t="inlineStr">
        <is>
          <t>STRÖMSUND</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41828-2022</t>
        </is>
      </c>
      <c r="B6541" s="1" t="n">
        <v>44828</v>
      </c>
      <c r="C6541" s="1" t="n">
        <v>45363</v>
      </c>
      <c r="D6541" t="inlineStr">
        <is>
          <t>JÄMTLANDS LÄN</t>
        </is>
      </c>
      <c r="E6541" t="inlineStr">
        <is>
          <t>STRÖMSUND</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41766-2022</t>
        </is>
      </c>
      <c r="B6542" s="1" t="n">
        <v>44827</v>
      </c>
      <c r="C6542" s="1" t="n">
        <v>45363</v>
      </c>
      <c r="D6542" t="inlineStr">
        <is>
          <t>JÄMTLANDS LÄN</t>
        </is>
      </c>
      <c r="E6542" t="inlineStr">
        <is>
          <t>HÄRJEDALEN</t>
        </is>
      </c>
      <c r="G6542" t="n">
        <v>12.5</v>
      </c>
      <c r="H6542" t="n">
        <v>0</v>
      </c>
      <c r="I6542" t="n">
        <v>0</v>
      </c>
      <c r="J6542" t="n">
        <v>0</v>
      </c>
      <c r="K6542" t="n">
        <v>0</v>
      </c>
      <c r="L6542" t="n">
        <v>0</v>
      </c>
      <c r="M6542" t="n">
        <v>0</v>
      </c>
      <c r="N6542" t="n">
        <v>0</v>
      </c>
      <c r="O6542" t="n">
        <v>0</v>
      </c>
      <c r="P6542" t="n">
        <v>0</v>
      </c>
      <c r="Q6542" t="n">
        <v>0</v>
      </c>
      <c r="R6542" s="2" t="inlineStr"/>
    </row>
    <row r="6543" ht="15" customHeight="1">
      <c r="A6543" t="inlineStr">
        <is>
          <t>A 41829-2022</t>
        </is>
      </c>
      <c r="B6543" s="1" t="n">
        <v>44828</v>
      </c>
      <c r="C6543" s="1" t="n">
        <v>45363</v>
      </c>
      <c r="D6543" t="inlineStr">
        <is>
          <t>JÄMTLANDS LÄN</t>
        </is>
      </c>
      <c r="E6543" t="inlineStr">
        <is>
          <t>STRÖMSUND</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41821-2022</t>
        </is>
      </c>
      <c r="B6544" s="1" t="n">
        <v>44827</v>
      </c>
      <c r="C6544" s="1" t="n">
        <v>45363</v>
      </c>
      <c r="D6544" t="inlineStr">
        <is>
          <t>JÄMTLANDS LÄN</t>
        </is>
      </c>
      <c r="E6544" t="inlineStr">
        <is>
          <t>STRÖMSUND</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41827-2022</t>
        </is>
      </c>
      <c r="B6545" s="1" t="n">
        <v>44828</v>
      </c>
      <c r="C6545" s="1" t="n">
        <v>45363</v>
      </c>
      <c r="D6545" t="inlineStr">
        <is>
          <t>JÄMTLANDS LÄN</t>
        </is>
      </c>
      <c r="E6545" t="inlineStr">
        <is>
          <t>STRÖMSUND</t>
        </is>
      </c>
      <c r="F6545" t="inlineStr">
        <is>
          <t>SCA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42113-2022</t>
        </is>
      </c>
      <c r="B6546" s="1" t="n">
        <v>44830</v>
      </c>
      <c r="C6546" s="1" t="n">
        <v>45363</v>
      </c>
      <c r="D6546" t="inlineStr">
        <is>
          <t>JÄMTLANDS LÄN</t>
        </is>
      </c>
      <c r="E6546" t="inlineStr">
        <is>
          <t>BRÄCKE</t>
        </is>
      </c>
      <c r="F6546" t="inlineStr">
        <is>
          <t>Övriga Aktiebolag</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42155-2022</t>
        </is>
      </c>
      <c r="B6547" s="1" t="n">
        <v>44830</v>
      </c>
      <c r="C6547" s="1" t="n">
        <v>45363</v>
      </c>
      <c r="D6547" t="inlineStr">
        <is>
          <t>JÄMTLANDS LÄN</t>
        </is>
      </c>
      <c r="E6547" t="inlineStr">
        <is>
          <t>STRÖMSUND</t>
        </is>
      </c>
      <c r="F6547" t="inlineStr">
        <is>
          <t>Holmen skog AB</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41972-2022</t>
        </is>
      </c>
      <c r="B6548" s="1" t="n">
        <v>44830</v>
      </c>
      <c r="C6548" s="1" t="n">
        <v>45363</v>
      </c>
      <c r="D6548" t="inlineStr">
        <is>
          <t>JÄMTLANDS LÄN</t>
        </is>
      </c>
      <c r="E6548" t="inlineStr">
        <is>
          <t>STRÖMSUND</t>
        </is>
      </c>
      <c r="F6548" t="inlineStr">
        <is>
          <t>Sveaskog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42136-2022</t>
        </is>
      </c>
      <c r="B6549" s="1" t="n">
        <v>44830</v>
      </c>
      <c r="C6549" s="1" t="n">
        <v>45363</v>
      </c>
      <c r="D6549" t="inlineStr">
        <is>
          <t>JÄMTLANDS LÄN</t>
        </is>
      </c>
      <c r="E6549" t="inlineStr">
        <is>
          <t>ÅRE</t>
        </is>
      </c>
      <c r="F6549" t="inlineStr">
        <is>
          <t>Bergvik skog öst AB</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42210-2022</t>
        </is>
      </c>
      <c r="B6550" s="1" t="n">
        <v>44830</v>
      </c>
      <c r="C6550" s="1" t="n">
        <v>45363</v>
      </c>
      <c r="D6550" t="inlineStr">
        <is>
          <t>JÄMTLANDS LÄN</t>
        </is>
      </c>
      <c r="E6550" t="inlineStr">
        <is>
          <t>KROKOM</t>
        </is>
      </c>
      <c r="F6550" t="inlineStr">
        <is>
          <t>Övriga Aktiebolag</t>
        </is>
      </c>
      <c r="G6550" t="n">
        <v>11.6</v>
      </c>
      <c r="H6550" t="n">
        <v>0</v>
      </c>
      <c r="I6550" t="n">
        <v>0</v>
      </c>
      <c r="J6550" t="n">
        <v>0</v>
      </c>
      <c r="K6550" t="n">
        <v>0</v>
      </c>
      <c r="L6550" t="n">
        <v>0</v>
      </c>
      <c r="M6550" t="n">
        <v>0</v>
      </c>
      <c r="N6550" t="n">
        <v>0</v>
      </c>
      <c r="O6550" t="n">
        <v>0</v>
      </c>
      <c r="P6550" t="n">
        <v>0</v>
      </c>
      <c r="Q6550" t="n">
        <v>0</v>
      </c>
      <c r="R6550" s="2" t="inlineStr"/>
    </row>
    <row r="6551" ht="15" customHeight="1">
      <c r="A6551" t="inlineStr">
        <is>
          <t>A 42267-2022</t>
        </is>
      </c>
      <c r="B6551" s="1" t="n">
        <v>44830</v>
      </c>
      <c r="C6551" s="1" t="n">
        <v>45363</v>
      </c>
      <c r="D6551" t="inlineStr">
        <is>
          <t>JÄMTLANDS LÄN</t>
        </is>
      </c>
      <c r="E6551" t="inlineStr">
        <is>
          <t>RAGUNDA</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42237-2022</t>
        </is>
      </c>
      <c r="B6552" s="1" t="n">
        <v>44830</v>
      </c>
      <c r="C6552" s="1" t="n">
        <v>45363</v>
      </c>
      <c r="D6552" t="inlineStr">
        <is>
          <t>JÄMTLANDS LÄN</t>
        </is>
      </c>
      <c r="E6552" t="inlineStr">
        <is>
          <t>STRÖMSUND</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42266-2022</t>
        </is>
      </c>
      <c r="B6553" s="1" t="n">
        <v>44831</v>
      </c>
      <c r="C6553" s="1" t="n">
        <v>45363</v>
      </c>
      <c r="D6553" t="inlineStr">
        <is>
          <t>JÄMTLANDS LÄN</t>
        </is>
      </c>
      <c r="E6553" t="inlineStr">
        <is>
          <t>RAGUNDA</t>
        </is>
      </c>
      <c r="F6553" t="inlineStr">
        <is>
          <t>SCA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42288-2022</t>
        </is>
      </c>
      <c r="B6554" s="1" t="n">
        <v>44830</v>
      </c>
      <c r="C6554" s="1" t="n">
        <v>45363</v>
      </c>
      <c r="D6554" t="inlineStr">
        <is>
          <t>JÄMTLANDS LÄN</t>
        </is>
      </c>
      <c r="E6554" t="inlineStr">
        <is>
          <t>BRÄCKE</t>
        </is>
      </c>
      <c r="F6554" t="inlineStr">
        <is>
          <t>SCA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42280-2022</t>
        </is>
      </c>
      <c r="B6555" s="1" t="n">
        <v>44831</v>
      </c>
      <c r="C6555" s="1" t="n">
        <v>45363</v>
      </c>
      <c r="D6555" t="inlineStr">
        <is>
          <t>JÄMTLANDS LÄN</t>
        </is>
      </c>
      <c r="E6555" t="inlineStr">
        <is>
          <t>STRÖMSUND</t>
        </is>
      </c>
      <c r="F6555" t="inlineStr">
        <is>
          <t>SCA</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42290-2022</t>
        </is>
      </c>
      <c r="B6556" s="1" t="n">
        <v>44830</v>
      </c>
      <c r="C6556" s="1" t="n">
        <v>45363</v>
      </c>
      <c r="D6556" t="inlineStr">
        <is>
          <t>JÄMTLANDS LÄN</t>
        </is>
      </c>
      <c r="E6556" t="inlineStr">
        <is>
          <t>BRÄCKE</t>
        </is>
      </c>
      <c r="F6556" t="inlineStr">
        <is>
          <t>SCA</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42294-2022</t>
        </is>
      </c>
      <c r="B6557" s="1" t="n">
        <v>44831</v>
      </c>
      <c r="C6557" s="1" t="n">
        <v>45363</v>
      </c>
      <c r="D6557" t="inlineStr">
        <is>
          <t>JÄMTLANDS LÄN</t>
        </is>
      </c>
      <c r="E6557" t="inlineStr">
        <is>
          <t>STRÖMSUND</t>
        </is>
      </c>
      <c r="F6557" t="inlineStr">
        <is>
          <t>SCA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42360-2022</t>
        </is>
      </c>
      <c r="B6558" s="1" t="n">
        <v>44831</v>
      </c>
      <c r="C6558" s="1" t="n">
        <v>45363</v>
      </c>
      <c r="D6558" t="inlineStr">
        <is>
          <t>JÄMTLANDS LÄN</t>
        </is>
      </c>
      <c r="E6558" t="inlineStr">
        <is>
          <t>KROKOM</t>
        </is>
      </c>
      <c r="F6558" t="inlineStr">
        <is>
          <t>Övriga Aktiebolag</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42576-2022</t>
        </is>
      </c>
      <c r="B6559" s="1" t="n">
        <v>44831</v>
      </c>
      <c r="C6559" s="1" t="n">
        <v>45363</v>
      </c>
      <c r="D6559" t="inlineStr">
        <is>
          <t>JÄMTLANDS LÄN</t>
        </is>
      </c>
      <c r="E6559" t="inlineStr">
        <is>
          <t>HÄRJEDALEN</t>
        </is>
      </c>
      <c r="F6559" t="inlineStr">
        <is>
          <t>Sveaskog</t>
        </is>
      </c>
      <c r="G6559" t="n">
        <v>24.4</v>
      </c>
      <c r="H6559" t="n">
        <v>0</v>
      </c>
      <c r="I6559" t="n">
        <v>0</v>
      </c>
      <c r="J6559" t="n">
        <v>0</v>
      </c>
      <c r="K6559" t="n">
        <v>0</v>
      </c>
      <c r="L6559" t="n">
        <v>0</v>
      </c>
      <c r="M6559" t="n">
        <v>0</v>
      </c>
      <c r="N6559" t="n">
        <v>0</v>
      </c>
      <c r="O6559" t="n">
        <v>0</v>
      </c>
      <c r="P6559" t="n">
        <v>0</v>
      </c>
      <c r="Q6559" t="n">
        <v>0</v>
      </c>
      <c r="R6559" s="2" t="inlineStr"/>
    </row>
    <row r="6560" ht="15" customHeight="1">
      <c r="A6560" t="inlineStr">
        <is>
          <t>A 42652-2022</t>
        </is>
      </c>
      <c r="B6560" s="1" t="n">
        <v>44832</v>
      </c>
      <c r="C6560" s="1" t="n">
        <v>45363</v>
      </c>
      <c r="D6560" t="inlineStr">
        <is>
          <t>JÄMTLANDS LÄN</t>
        </is>
      </c>
      <c r="E6560" t="inlineStr">
        <is>
          <t>RAGUNDA</t>
        </is>
      </c>
      <c r="F6560" t="inlineStr">
        <is>
          <t>SCA</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42656-2022</t>
        </is>
      </c>
      <c r="B6561" s="1" t="n">
        <v>44831</v>
      </c>
      <c r="C6561" s="1" t="n">
        <v>45363</v>
      </c>
      <c r="D6561" t="inlineStr">
        <is>
          <t>JÄMTLANDS LÄN</t>
        </is>
      </c>
      <c r="E6561" t="inlineStr">
        <is>
          <t>BRÄCKE</t>
        </is>
      </c>
      <c r="F6561" t="inlineStr">
        <is>
          <t>SCA</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42644-2022</t>
        </is>
      </c>
      <c r="B6562" s="1" t="n">
        <v>44831</v>
      </c>
      <c r="C6562" s="1" t="n">
        <v>45363</v>
      </c>
      <c r="D6562" t="inlineStr">
        <is>
          <t>JÄMTLANDS LÄN</t>
        </is>
      </c>
      <c r="E6562" t="inlineStr">
        <is>
          <t>RAGUNDA</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42655-2022</t>
        </is>
      </c>
      <c r="B6563" s="1" t="n">
        <v>44831</v>
      </c>
      <c r="C6563" s="1" t="n">
        <v>45363</v>
      </c>
      <c r="D6563" t="inlineStr">
        <is>
          <t>JÄMTLANDS LÄN</t>
        </is>
      </c>
      <c r="E6563" t="inlineStr">
        <is>
          <t>RAGUNDA</t>
        </is>
      </c>
      <c r="F6563" t="inlineStr">
        <is>
          <t>Naturvårdsverket</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42661-2022</t>
        </is>
      </c>
      <c r="B6564" s="1" t="n">
        <v>44832</v>
      </c>
      <c r="C6564" s="1" t="n">
        <v>45363</v>
      </c>
      <c r="D6564" t="inlineStr">
        <is>
          <t>JÄMTLANDS LÄN</t>
        </is>
      </c>
      <c r="E6564" t="inlineStr">
        <is>
          <t>KROKOM</t>
        </is>
      </c>
      <c r="G6564" t="n">
        <v>14.4</v>
      </c>
      <c r="H6564" t="n">
        <v>0</v>
      </c>
      <c r="I6564" t="n">
        <v>0</v>
      </c>
      <c r="J6564" t="n">
        <v>0</v>
      </c>
      <c r="K6564" t="n">
        <v>0</v>
      </c>
      <c r="L6564" t="n">
        <v>0</v>
      </c>
      <c r="M6564" t="n">
        <v>0</v>
      </c>
      <c r="N6564" t="n">
        <v>0</v>
      </c>
      <c r="O6564" t="n">
        <v>0</v>
      </c>
      <c r="P6564" t="n">
        <v>0</v>
      </c>
      <c r="Q6564" t="n">
        <v>0</v>
      </c>
      <c r="R6564" s="2" t="inlineStr"/>
    </row>
    <row r="6565" ht="15" customHeight="1">
      <c r="A6565" t="inlineStr">
        <is>
          <t>A 42653-2022</t>
        </is>
      </c>
      <c r="B6565" s="1" t="n">
        <v>44832</v>
      </c>
      <c r="C6565" s="1" t="n">
        <v>45363</v>
      </c>
      <c r="D6565" t="inlineStr">
        <is>
          <t>JÄMTLANDS LÄN</t>
        </is>
      </c>
      <c r="E6565" t="inlineStr">
        <is>
          <t>RAGUNDA</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42660-2022</t>
        </is>
      </c>
      <c r="B6566" s="1" t="n">
        <v>44832</v>
      </c>
      <c r="C6566" s="1" t="n">
        <v>45363</v>
      </c>
      <c r="D6566" t="inlineStr">
        <is>
          <t>JÄMTLANDS LÄN</t>
        </is>
      </c>
      <c r="E6566" t="inlineStr">
        <is>
          <t>STRÖMSUND</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42673-2022</t>
        </is>
      </c>
      <c r="B6567" s="1" t="n">
        <v>44832</v>
      </c>
      <c r="C6567" s="1" t="n">
        <v>45363</v>
      </c>
      <c r="D6567" t="inlineStr">
        <is>
          <t>JÄMTLANDS LÄN</t>
        </is>
      </c>
      <c r="E6567" t="inlineStr">
        <is>
          <t>HÄRJEDALEN</t>
        </is>
      </c>
      <c r="F6567" t="inlineStr">
        <is>
          <t>Bergvik skog väst AB</t>
        </is>
      </c>
      <c r="G6567" t="n">
        <v>18.6</v>
      </c>
      <c r="H6567" t="n">
        <v>0</v>
      </c>
      <c r="I6567" t="n">
        <v>0</v>
      </c>
      <c r="J6567" t="n">
        <v>0</v>
      </c>
      <c r="K6567" t="n">
        <v>0</v>
      </c>
      <c r="L6567" t="n">
        <v>0</v>
      </c>
      <c r="M6567" t="n">
        <v>0</v>
      </c>
      <c r="N6567" t="n">
        <v>0</v>
      </c>
      <c r="O6567" t="n">
        <v>0</v>
      </c>
      <c r="P6567" t="n">
        <v>0</v>
      </c>
      <c r="Q6567" t="n">
        <v>0</v>
      </c>
      <c r="R6567" s="2" t="inlineStr"/>
    </row>
    <row r="6568" ht="15" customHeight="1">
      <c r="A6568" t="inlineStr">
        <is>
          <t>A 42770-2022</t>
        </is>
      </c>
      <c r="B6568" s="1" t="n">
        <v>44832</v>
      </c>
      <c r="C6568" s="1" t="n">
        <v>45363</v>
      </c>
      <c r="D6568" t="inlineStr">
        <is>
          <t>JÄMTLANDS LÄN</t>
        </is>
      </c>
      <c r="E6568" t="inlineStr">
        <is>
          <t>STRÖMSUND</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42790-2022</t>
        </is>
      </c>
      <c r="B6569" s="1" t="n">
        <v>44832</v>
      </c>
      <c r="C6569" s="1" t="n">
        <v>45363</v>
      </c>
      <c r="D6569" t="inlineStr">
        <is>
          <t>JÄMTLANDS LÄN</t>
        </is>
      </c>
      <c r="E6569" t="inlineStr">
        <is>
          <t>STRÖMSUND</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42760-2022</t>
        </is>
      </c>
      <c r="B6570" s="1" t="n">
        <v>44832</v>
      </c>
      <c r="C6570" s="1" t="n">
        <v>45363</v>
      </c>
      <c r="D6570" t="inlineStr">
        <is>
          <t>JÄMTLANDS LÄN</t>
        </is>
      </c>
      <c r="E6570" t="inlineStr">
        <is>
          <t>STRÖMSUND</t>
        </is>
      </c>
      <c r="F6570" t="inlineStr">
        <is>
          <t>Holmen skog AB</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42806-2022</t>
        </is>
      </c>
      <c r="B6571" s="1" t="n">
        <v>44832</v>
      </c>
      <c r="C6571" s="1" t="n">
        <v>45363</v>
      </c>
      <c r="D6571" t="inlineStr">
        <is>
          <t>JÄMTLANDS LÄN</t>
        </is>
      </c>
      <c r="E6571" t="inlineStr">
        <is>
          <t>STRÖMSUND</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42882-2022</t>
        </is>
      </c>
      <c r="B6572" s="1" t="n">
        <v>44833</v>
      </c>
      <c r="C6572" s="1" t="n">
        <v>45363</v>
      </c>
      <c r="D6572" t="inlineStr">
        <is>
          <t>JÄMTLANDS LÄN</t>
        </is>
      </c>
      <c r="E6572" t="inlineStr">
        <is>
          <t>RAGUNDA</t>
        </is>
      </c>
      <c r="F6572" t="inlineStr">
        <is>
          <t>SCA</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42892-2022</t>
        </is>
      </c>
      <c r="B6573" s="1" t="n">
        <v>44832</v>
      </c>
      <c r="C6573" s="1" t="n">
        <v>45363</v>
      </c>
      <c r="D6573" t="inlineStr">
        <is>
          <t>JÄMTLANDS LÄN</t>
        </is>
      </c>
      <c r="E6573" t="inlineStr">
        <is>
          <t>RAGUNDA</t>
        </is>
      </c>
      <c r="F6573" t="inlineStr">
        <is>
          <t>SCA</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42893-2022</t>
        </is>
      </c>
      <c r="B6574" s="1" t="n">
        <v>44832</v>
      </c>
      <c r="C6574" s="1" t="n">
        <v>45363</v>
      </c>
      <c r="D6574" t="inlineStr">
        <is>
          <t>JÄMTLANDS LÄN</t>
        </is>
      </c>
      <c r="E6574" t="inlineStr">
        <is>
          <t>RAGUNDA</t>
        </is>
      </c>
      <c r="F6574" t="inlineStr">
        <is>
          <t>SCA</t>
        </is>
      </c>
      <c r="G6574" t="n">
        <v>28.4</v>
      </c>
      <c r="H6574" t="n">
        <v>0</v>
      </c>
      <c r="I6574" t="n">
        <v>0</v>
      </c>
      <c r="J6574" t="n">
        <v>0</v>
      </c>
      <c r="K6574" t="n">
        <v>0</v>
      </c>
      <c r="L6574" t="n">
        <v>0</v>
      </c>
      <c r="M6574" t="n">
        <v>0</v>
      </c>
      <c r="N6574" t="n">
        <v>0</v>
      </c>
      <c r="O6574" t="n">
        <v>0</v>
      </c>
      <c r="P6574" t="n">
        <v>0</v>
      </c>
      <c r="Q6574" t="n">
        <v>0</v>
      </c>
      <c r="R6574" s="2" t="inlineStr"/>
    </row>
    <row r="6575" ht="15" customHeight="1">
      <c r="A6575" t="inlineStr">
        <is>
          <t>A 42900-2022</t>
        </is>
      </c>
      <c r="B6575" s="1" t="n">
        <v>44833</v>
      </c>
      <c r="C6575" s="1" t="n">
        <v>45363</v>
      </c>
      <c r="D6575" t="inlineStr">
        <is>
          <t>JÄMTLANDS LÄN</t>
        </is>
      </c>
      <c r="E6575" t="inlineStr">
        <is>
          <t>RAGUNDA</t>
        </is>
      </c>
      <c r="F6575" t="inlineStr">
        <is>
          <t>SCA</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42901-2022</t>
        </is>
      </c>
      <c r="B6576" s="1" t="n">
        <v>44832</v>
      </c>
      <c r="C6576" s="1" t="n">
        <v>45363</v>
      </c>
      <c r="D6576" t="inlineStr">
        <is>
          <t>JÄMTLANDS LÄN</t>
        </is>
      </c>
      <c r="E6576" t="inlineStr">
        <is>
          <t>RAGUNDA</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42894-2022</t>
        </is>
      </c>
      <c r="B6577" s="1" t="n">
        <v>44833</v>
      </c>
      <c r="C6577" s="1" t="n">
        <v>45363</v>
      </c>
      <c r="D6577" t="inlineStr">
        <is>
          <t>JÄMTLANDS LÄN</t>
        </is>
      </c>
      <c r="E6577" t="inlineStr">
        <is>
          <t>BRÄCKE</t>
        </is>
      </c>
      <c r="F6577" t="inlineStr">
        <is>
          <t>SCA</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42896-2022</t>
        </is>
      </c>
      <c r="B6578" s="1" t="n">
        <v>44832</v>
      </c>
      <c r="C6578" s="1" t="n">
        <v>45363</v>
      </c>
      <c r="D6578" t="inlineStr">
        <is>
          <t>JÄMTLANDS LÄN</t>
        </is>
      </c>
      <c r="E6578" t="inlineStr">
        <is>
          <t>STRÖMSUND</t>
        </is>
      </c>
      <c r="F6578" t="inlineStr">
        <is>
          <t>SCA</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42902-2022</t>
        </is>
      </c>
      <c r="B6579" s="1" t="n">
        <v>44832</v>
      </c>
      <c r="C6579" s="1" t="n">
        <v>45363</v>
      </c>
      <c r="D6579" t="inlineStr">
        <is>
          <t>JÄMTLANDS LÄN</t>
        </is>
      </c>
      <c r="E6579" t="inlineStr">
        <is>
          <t>STRÖMSUND</t>
        </is>
      </c>
      <c r="F6579" t="inlineStr">
        <is>
          <t>SCA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42916-2022</t>
        </is>
      </c>
      <c r="B6580" s="1" t="n">
        <v>44833</v>
      </c>
      <c r="C6580" s="1" t="n">
        <v>45363</v>
      </c>
      <c r="D6580" t="inlineStr">
        <is>
          <t>JÄMTLANDS LÄN</t>
        </is>
      </c>
      <c r="E6580" t="inlineStr">
        <is>
          <t>HÄRJEDALEN</t>
        </is>
      </c>
      <c r="F6580" t="inlineStr">
        <is>
          <t>Bergvik skog väst AB</t>
        </is>
      </c>
      <c r="G6580" t="n">
        <v>8.6</v>
      </c>
      <c r="H6580" t="n">
        <v>0</v>
      </c>
      <c r="I6580" t="n">
        <v>0</v>
      </c>
      <c r="J6580" t="n">
        <v>0</v>
      </c>
      <c r="K6580" t="n">
        <v>0</v>
      </c>
      <c r="L6580" t="n">
        <v>0</v>
      </c>
      <c r="M6580" t="n">
        <v>0</v>
      </c>
      <c r="N6580" t="n">
        <v>0</v>
      </c>
      <c r="O6580" t="n">
        <v>0</v>
      </c>
      <c r="P6580" t="n">
        <v>0</v>
      </c>
      <c r="Q6580" t="n">
        <v>0</v>
      </c>
      <c r="R6580" s="2" t="inlineStr"/>
    </row>
    <row r="6581" ht="15" customHeight="1">
      <c r="A6581" t="inlineStr">
        <is>
          <t>A 42980-2022</t>
        </is>
      </c>
      <c r="B6581" s="1" t="n">
        <v>44833</v>
      </c>
      <c r="C6581" s="1" t="n">
        <v>45363</v>
      </c>
      <c r="D6581" t="inlineStr">
        <is>
          <t>JÄMTLANDS LÄN</t>
        </is>
      </c>
      <c r="E6581" t="inlineStr">
        <is>
          <t>KROKOM</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43147-2022</t>
        </is>
      </c>
      <c r="B6582" s="1" t="n">
        <v>44834</v>
      </c>
      <c r="C6582" s="1" t="n">
        <v>45363</v>
      </c>
      <c r="D6582" t="inlineStr">
        <is>
          <t>JÄMTLANDS LÄN</t>
        </is>
      </c>
      <c r="E6582" t="inlineStr">
        <is>
          <t>RAGUNDA</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43142-2022</t>
        </is>
      </c>
      <c r="B6583" s="1" t="n">
        <v>44834</v>
      </c>
      <c r="C6583" s="1" t="n">
        <v>45363</v>
      </c>
      <c r="D6583" t="inlineStr">
        <is>
          <t>JÄMTLANDS LÄN</t>
        </is>
      </c>
      <c r="E6583" t="inlineStr">
        <is>
          <t>BRÄCKE</t>
        </is>
      </c>
      <c r="F6583" t="inlineStr">
        <is>
          <t>SCA</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43160-2022</t>
        </is>
      </c>
      <c r="B6584" s="1" t="n">
        <v>44834</v>
      </c>
      <c r="C6584" s="1" t="n">
        <v>45363</v>
      </c>
      <c r="D6584" t="inlineStr">
        <is>
          <t>JÄMTLANDS LÄN</t>
        </is>
      </c>
      <c r="E6584" t="inlineStr">
        <is>
          <t>STRÖMSUND</t>
        </is>
      </c>
      <c r="F6584" t="inlineStr">
        <is>
          <t>SCA</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43163-2022</t>
        </is>
      </c>
      <c r="B6585" s="1" t="n">
        <v>44834</v>
      </c>
      <c r="C6585" s="1" t="n">
        <v>45363</v>
      </c>
      <c r="D6585" t="inlineStr">
        <is>
          <t>JÄMTLANDS LÄN</t>
        </is>
      </c>
      <c r="E6585" t="inlineStr">
        <is>
          <t>RAGUNDA</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43180-2022</t>
        </is>
      </c>
      <c r="B6586" s="1" t="n">
        <v>44833</v>
      </c>
      <c r="C6586" s="1" t="n">
        <v>45363</v>
      </c>
      <c r="D6586" t="inlineStr">
        <is>
          <t>JÄMTLANDS LÄN</t>
        </is>
      </c>
      <c r="E6586" t="inlineStr">
        <is>
          <t>ÅRE</t>
        </is>
      </c>
      <c r="G6586" t="n">
        <v>17.9</v>
      </c>
      <c r="H6586" t="n">
        <v>0</v>
      </c>
      <c r="I6586" t="n">
        <v>0</v>
      </c>
      <c r="J6586" t="n">
        <v>0</v>
      </c>
      <c r="K6586" t="n">
        <v>0</v>
      </c>
      <c r="L6586" t="n">
        <v>0</v>
      </c>
      <c r="M6586" t="n">
        <v>0</v>
      </c>
      <c r="N6586" t="n">
        <v>0</v>
      </c>
      <c r="O6586" t="n">
        <v>0</v>
      </c>
      <c r="P6586" t="n">
        <v>0</v>
      </c>
      <c r="Q6586" t="n">
        <v>0</v>
      </c>
      <c r="R6586" s="2" t="inlineStr"/>
    </row>
    <row r="6587" ht="15" customHeight="1">
      <c r="A6587" t="inlineStr">
        <is>
          <t>A 43126-2022</t>
        </is>
      </c>
      <c r="B6587" s="1" t="n">
        <v>44833</v>
      </c>
      <c r="C6587" s="1" t="n">
        <v>45363</v>
      </c>
      <c r="D6587" t="inlineStr">
        <is>
          <t>JÄMTLANDS LÄN</t>
        </is>
      </c>
      <c r="E6587" t="inlineStr">
        <is>
          <t>BRÄCKE</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43140-2022</t>
        </is>
      </c>
      <c r="B6588" s="1" t="n">
        <v>44834</v>
      </c>
      <c r="C6588" s="1" t="n">
        <v>45363</v>
      </c>
      <c r="D6588" t="inlineStr">
        <is>
          <t>JÄMTLANDS LÄN</t>
        </is>
      </c>
      <c r="E6588" t="inlineStr">
        <is>
          <t>STRÖMSUND</t>
        </is>
      </c>
      <c r="F6588" t="inlineStr">
        <is>
          <t>SCA</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43168-2022</t>
        </is>
      </c>
      <c r="B6589" s="1" t="n">
        <v>44834</v>
      </c>
      <c r="C6589" s="1" t="n">
        <v>45363</v>
      </c>
      <c r="D6589" t="inlineStr">
        <is>
          <t>JÄMTLANDS LÄN</t>
        </is>
      </c>
      <c r="E6589" t="inlineStr">
        <is>
          <t>BERG</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43146-2022</t>
        </is>
      </c>
      <c r="B6590" s="1" t="n">
        <v>44833</v>
      </c>
      <c r="C6590" s="1" t="n">
        <v>45363</v>
      </c>
      <c r="D6590" t="inlineStr">
        <is>
          <t>JÄMTLANDS LÄN</t>
        </is>
      </c>
      <c r="E6590" t="inlineStr">
        <is>
          <t>STRÖMSUND</t>
        </is>
      </c>
      <c r="F6590" t="inlineStr">
        <is>
          <t>SCA</t>
        </is>
      </c>
      <c r="G6590" t="n">
        <v>33.3</v>
      </c>
      <c r="H6590" t="n">
        <v>0</v>
      </c>
      <c r="I6590" t="n">
        <v>0</v>
      </c>
      <c r="J6590" t="n">
        <v>0</v>
      </c>
      <c r="K6590" t="n">
        <v>0</v>
      </c>
      <c r="L6590" t="n">
        <v>0</v>
      </c>
      <c r="M6590" t="n">
        <v>0</v>
      </c>
      <c r="N6590" t="n">
        <v>0</v>
      </c>
      <c r="O6590" t="n">
        <v>0</v>
      </c>
      <c r="P6590" t="n">
        <v>0</v>
      </c>
      <c r="Q6590" t="n">
        <v>0</v>
      </c>
      <c r="R6590" s="2" t="inlineStr"/>
    </row>
    <row r="6591" ht="15" customHeight="1">
      <c r="A6591" t="inlineStr">
        <is>
          <t>A 43165-2022</t>
        </is>
      </c>
      <c r="B6591" s="1" t="n">
        <v>44833</v>
      </c>
      <c r="C6591" s="1" t="n">
        <v>45363</v>
      </c>
      <c r="D6591" t="inlineStr">
        <is>
          <t>JÄMTLANDS LÄN</t>
        </is>
      </c>
      <c r="E6591" t="inlineStr">
        <is>
          <t>STRÖMSUND</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43296-2022</t>
        </is>
      </c>
      <c r="B6592" s="1" t="n">
        <v>44834</v>
      </c>
      <c r="C6592" s="1" t="n">
        <v>45363</v>
      </c>
      <c r="D6592" t="inlineStr">
        <is>
          <t>JÄMTLANDS LÄN</t>
        </is>
      </c>
      <c r="E6592" t="inlineStr">
        <is>
          <t>BERG</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43293-2022</t>
        </is>
      </c>
      <c r="B6593" s="1" t="n">
        <v>44834</v>
      </c>
      <c r="C6593" s="1" t="n">
        <v>45363</v>
      </c>
      <c r="D6593" t="inlineStr">
        <is>
          <t>JÄMTLANDS LÄN</t>
        </is>
      </c>
      <c r="E6593" t="inlineStr">
        <is>
          <t>HÄRJEDALEN</t>
        </is>
      </c>
      <c r="F6593" t="inlineStr">
        <is>
          <t>Bergvik skog väst AB</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43298-2022</t>
        </is>
      </c>
      <c r="B6594" s="1" t="n">
        <v>44834</v>
      </c>
      <c r="C6594" s="1" t="n">
        <v>45363</v>
      </c>
      <c r="D6594" t="inlineStr">
        <is>
          <t>JÄMTLANDS LÄN</t>
        </is>
      </c>
      <c r="E6594" t="inlineStr">
        <is>
          <t>BERG</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43324-2022</t>
        </is>
      </c>
      <c r="B6595" s="1" t="n">
        <v>44834</v>
      </c>
      <c r="C6595" s="1" t="n">
        <v>45363</v>
      </c>
      <c r="D6595" t="inlineStr">
        <is>
          <t>JÄMTLANDS LÄN</t>
        </is>
      </c>
      <c r="E6595" t="inlineStr">
        <is>
          <t>ÅRE</t>
        </is>
      </c>
      <c r="F6595" t="inlineStr">
        <is>
          <t>Bergvik skog öst AB</t>
        </is>
      </c>
      <c r="G6595" t="n">
        <v>8.699999999999999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43426-2022</t>
        </is>
      </c>
      <c r="B6596" s="1" t="n">
        <v>44835</v>
      </c>
      <c r="C6596" s="1" t="n">
        <v>45363</v>
      </c>
      <c r="D6596" t="inlineStr">
        <is>
          <t>JÄMTLANDS LÄN</t>
        </is>
      </c>
      <c r="E6596" t="inlineStr">
        <is>
          <t>KROKOM</t>
        </is>
      </c>
      <c r="F6596" t="inlineStr">
        <is>
          <t>SCA</t>
        </is>
      </c>
      <c r="G6596" t="n">
        <v>34.4</v>
      </c>
      <c r="H6596" t="n">
        <v>0</v>
      </c>
      <c r="I6596" t="n">
        <v>0</v>
      </c>
      <c r="J6596" t="n">
        <v>0</v>
      </c>
      <c r="K6596" t="n">
        <v>0</v>
      </c>
      <c r="L6596" t="n">
        <v>0</v>
      </c>
      <c r="M6596" t="n">
        <v>0</v>
      </c>
      <c r="N6596" t="n">
        <v>0</v>
      </c>
      <c r="O6596" t="n">
        <v>0</v>
      </c>
      <c r="P6596" t="n">
        <v>0</v>
      </c>
      <c r="Q6596" t="n">
        <v>0</v>
      </c>
      <c r="R6596" s="2" t="inlineStr"/>
    </row>
    <row r="6597" ht="15" customHeight="1">
      <c r="A6597" t="inlineStr">
        <is>
          <t>A 43583-2022</t>
        </is>
      </c>
      <c r="B6597" s="1" t="n">
        <v>44834</v>
      </c>
      <c r="C6597" s="1" t="n">
        <v>45363</v>
      </c>
      <c r="D6597" t="inlineStr">
        <is>
          <t>JÄMTLANDS LÄN</t>
        </is>
      </c>
      <c r="E6597" t="inlineStr">
        <is>
          <t>ÅRE</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43432-2022</t>
        </is>
      </c>
      <c r="B6598" s="1" t="n">
        <v>44834</v>
      </c>
      <c r="C6598" s="1" t="n">
        <v>45363</v>
      </c>
      <c r="D6598" t="inlineStr">
        <is>
          <t>JÄMTLANDS LÄN</t>
        </is>
      </c>
      <c r="E6598" t="inlineStr">
        <is>
          <t>STRÖMSUND</t>
        </is>
      </c>
      <c r="F6598" t="inlineStr">
        <is>
          <t>SCA</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43421-2022</t>
        </is>
      </c>
      <c r="B6599" s="1" t="n">
        <v>44834</v>
      </c>
      <c r="C6599" s="1" t="n">
        <v>45363</v>
      </c>
      <c r="D6599" t="inlineStr">
        <is>
          <t>JÄMTLANDS LÄN</t>
        </is>
      </c>
      <c r="E6599" t="inlineStr">
        <is>
          <t>BRÄCKE</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43607-2022</t>
        </is>
      </c>
      <c r="B6600" s="1" t="n">
        <v>44834</v>
      </c>
      <c r="C6600" s="1" t="n">
        <v>45363</v>
      </c>
      <c r="D6600" t="inlineStr">
        <is>
          <t>JÄMTLANDS LÄN</t>
        </is>
      </c>
      <c r="E6600" t="inlineStr">
        <is>
          <t>STRÖMSUND</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45969-2022</t>
        </is>
      </c>
      <c r="B6601" s="1" t="n">
        <v>44834</v>
      </c>
      <c r="C6601" s="1" t="n">
        <v>45363</v>
      </c>
      <c r="D6601" t="inlineStr">
        <is>
          <t>JÄMTLANDS LÄN</t>
        </is>
      </c>
      <c r="E6601" t="inlineStr">
        <is>
          <t>STRÖMSUND</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43458-2022</t>
        </is>
      </c>
      <c r="B6602" s="1" t="n">
        <v>44836</v>
      </c>
      <c r="C6602" s="1" t="n">
        <v>45363</v>
      </c>
      <c r="D6602" t="inlineStr">
        <is>
          <t>JÄMTLANDS LÄN</t>
        </is>
      </c>
      <c r="E6602" t="inlineStr">
        <is>
          <t>STRÖMSUND</t>
        </is>
      </c>
      <c r="F6602" t="inlineStr">
        <is>
          <t>SCA</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43453-2022</t>
        </is>
      </c>
      <c r="B6603" s="1" t="n">
        <v>44835</v>
      </c>
      <c r="C6603" s="1" t="n">
        <v>45363</v>
      </c>
      <c r="D6603" t="inlineStr">
        <is>
          <t>JÄMTLANDS LÄN</t>
        </is>
      </c>
      <c r="E6603" t="inlineStr">
        <is>
          <t>STRÖMSUND</t>
        </is>
      </c>
      <c r="F6603" t="inlineStr">
        <is>
          <t>SCA</t>
        </is>
      </c>
      <c r="G6603" t="n">
        <v>10.9</v>
      </c>
      <c r="H6603" t="n">
        <v>0</v>
      </c>
      <c r="I6603" t="n">
        <v>0</v>
      </c>
      <c r="J6603" t="n">
        <v>0</v>
      </c>
      <c r="K6603" t="n">
        <v>0</v>
      </c>
      <c r="L6603" t="n">
        <v>0</v>
      </c>
      <c r="M6603" t="n">
        <v>0</v>
      </c>
      <c r="N6603" t="n">
        <v>0</v>
      </c>
      <c r="O6603" t="n">
        <v>0</v>
      </c>
      <c r="P6603" t="n">
        <v>0</v>
      </c>
      <c r="Q6603" t="n">
        <v>0</v>
      </c>
      <c r="R6603" s="2" t="inlineStr"/>
    </row>
    <row r="6604" ht="15" customHeight="1">
      <c r="A6604" t="inlineStr">
        <is>
          <t>A 43460-2022</t>
        </is>
      </c>
      <c r="B6604" s="1" t="n">
        <v>44836</v>
      </c>
      <c r="C6604" s="1" t="n">
        <v>45363</v>
      </c>
      <c r="D6604" t="inlineStr">
        <is>
          <t>JÄMTLANDS LÄN</t>
        </is>
      </c>
      <c r="E6604" t="inlineStr">
        <is>
          <t>STRÖMSUND</t>
        </is>
      </c>
      <c r="F6604" t="inlineStr">
        <is>
          <t>SCA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43455-2022</t>
        </is>
      </c>
      <c r="B6605" s="1" t="n">
        <v>44836</v>
      </c>
      <c r="C6605" s="1" t="n">
        <v>45363</v>
      </c>
      <c r="D6605" t="inlineStr">
        <is>
          <t>JÄMTLANDS LÄN</t>
        </is>
      </c>
      <c r="E6605" t="inlineStr">
        <is>
          <t>STRÖMSUND</t>
        </is>
      </c>
      <c r="F6605" t="inlineStr">
        <is>
          <t>SCA</t>
        </is>
      </c>
      <c r="G6605" t="n">
        <v>7.9</v>
      </c>
      <c r="H6605" t="n">
        <v>0</v>
      </c>
      <c r="I6605" t="n">
        <v>0</v>
      </c>
      <c r="J6605" t="n">
        <v>0</v>
      </c>
      <c r="K6605" t="n">
        <v>0</v>
      </c>
      <c r="L6605" t="n">
        <v>0</v>
      </c>
      <c r="M6605" t="n">
        <v>0</v>
      </c>
      <c r="N6605" t="n">
        <v>0</v>
      </c>
      <c r="O6605" t="n">
        <v>0</v>
      </c>
      <c r="P6605" t="n">
        <v>0</v>
      </c>
      <c r="Q6605" t="n">
        <v>0</v>
      </c>
      <c r="R6605" s="2" t="inlineStr"/>
    </row>
    <row r="6606" ht="15" customHeight="1">
      <c r="A6606" t="inlineStr">
        <is>
          <t>A 43459-2022</t>
        </is>
      </c>
      <c r="B6606" s="1" t="n">
        <v>44836</v>
      </c>
      <c r="C6606" s="1" t="n">
        <v>45363</v>
      </c>
      <c r="D6606" t="inlineStr">
        <is>
          <t>JÄMTLANDS LÄN</t>
        </is>
      </c>
      <c r="E6606" t="inlineStr">
        <is>
          <t>STRÖMSUND</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43478-2022</t>
        </is>
      </c>
      <c r="B6607" s="1" t="n">
        <v>44837</v>
      </c>
      <c r="C6607" s="1" t="n">
        <v>45363</v>
      </c>
      <c r="D6607" t="inlineStr">
        <is>
          <t>JÄMTLANDS LÄN</t>
        </is>
      </c>
      <c r="E6607" t="inlineStr">
        <is>
          <t>RAGUNDA</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43511-2022</t>
        </is>
      </c>
      <c r="B6608" s="1" t="n">
        <v>44837</v>
      </c>
      <c r="C6608" s="1" t="n">
        <v>45363</v>
      </c>
      <c r="D6608" t="inlineStr">
        <is>
          <t>JÄMTLANDS LÄN</t>
        </is>
      </c>
      <c r="E6608" t="inlineStr">
        <is>
          <t>ÖSTERSUND</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43531-2022</t>
        </is>
      </c>
      <c r="B6609" s="1" t="n">
        <v>44837</v>
      </c>
      <c r="C6609" s="1" t="n">
        <v>45363</v>
      </c>
      <c r="D6609" t="inlineStr">
        <is>
          <t>JÄMTLANDS LÄN</t>
        </is>
      </c>
      <c r="E6609" t="inlineStr">
        <is>
          <t>HÄRJEDALEN</t>
        </is>
      </c>
      <c r="F6609" t="inlineStr">
        <is>
          <t>Bergvik skog väst AB</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43552-2022</t>
        </is>
      </c>
      <c r="B6610" s="1" t="n">
        <v>44837</v>
      </c>
      <c r="C6610" s="1" t="n">
        <v>45363</v>
      </c>
      <c r="D6610" t="inlineStr">
        <is>
          <t>JÄMTLANDS LÄN</t>
        </is>
      </c>
      <c r="E6610" t="inlineStr">
        <is>
          <t>HÄRJEDALEN</t>
        </is>
      </c>
      <c r="F6610" t="inlineStr">
        <is>
          <t>Bergvik skog väst AB</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43789-2022</t>
        </is>
      </c>
      <c r="B6611" s="1" t="n">
        <v>44837</v>
      </c>
      <c r="C6611" s="1" t="n">
        <v>45363</v>
      </c>
      <c r="D6611" t="inlineStr">
        <is>
          <t>JÄMTLANDS LÄN</t>
        </is>
      </c>
      <c r="E6611" t="inlineStr">
        <is>
          <t>BRÄCKE</t>
        </is>
      </c>
      <c r="F6611" t="inlineStr">
        <is>
          <t>SCA</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43773-2022</t>
        </is>
      </c>
      <c r="B6612" s="1" t="n">
        <v>44838</v>
      </c>
      <c r="C6612" s="1" t="n">
        <v>45363</v>
      </c>
      <c r="D6612" t="inlineStr">
        <is>
          <t>JÄMTLANDS LÄN</t>
        </is>
      </c>
      <c r="E6612" t="inlineStr">
        <is>
          <t>STRÖMSUND</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43793-2022</t>
        </is>
      </c>
      <c r="B6613" s="1" t="n">
        <v>44837</v>
      </c>
      <c r="C6613" s="1" t="n">
        <v>45363</v>
      </c>
      <c r="D6613" t="inlineStr">
        <is>
          <t>JÄMTLANDS LÄN</t>
        </is>
      </c>
      <c r="E6613" t="inlineStr">
        <is>
          <t>RAGUNDA</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43794-2022</t>
        </is>
      </c>
      <c r="B6614" s="1" t="n">
        <v>44837</v>
      </c>
      <c r="C6614" s="1" t="n">
        <v>45363</v>
      </c>
      <c r="D6614" t="inlineStr">
        <is>
          <t>JÄMTLANDS LÄN</t>
        </is>
      </c>
      <c r="E6614" t="inlineStr">
        <is>
          <t>RAGUNDA</t>
        </is>
      </c>
      <c r="F6614" t="inlineStr">
        <is>
          <t>SCA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44110-2022</t>
        </is>
      </c>
      <c r="B6615" s="1" t="n">
        <v>44837</v>
      </c>
      <c r="C6615" s="1" t="n">
        <v>45363</v>
      </c>
      <c r="D6615" t="inlineStr">
        <is>
          <t>JÄMTLANDS LÄN</t>
        </is>
      </c>
      <c r="E6615" t="inlineStr">
        <is>
          <t>BERG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43785-2022</t>
        </is>
      </c>
      <c r="B6616" s="1" t="n">
        <v>44837</v>
      </c>
      <c r="C6616" s="1" t="n">
        <v>45363</v>
      </c>
      <c r="D6616" t="inlineStr">
        <is>
          <t>JÄMTLANDS LÄN</t>
        </is>
      </c>
      <c r="E6616" t="inlineStr">
        <is>
          <t>BRÄCKE</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43790-2022</t>
        </is>
      </c>
      <c r="B6617" s="1" t="n">
        <v>44837</v>
      </c>
      <c r="C6617" s="1" t="n">
        <v>45363</v>
      </c>
      <c r="D6617" t="inlineStr">
        <is>
          <t>JÄMTLANDS LÄN</t>
        </is>
      </c>
      <c r="E6617" t="inlineStr">
        <is>
          <t>STRÖMSUND</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43951-2022</t>
        </is>
      </c>
      <c r="B6618" s="1" t="n">
        <v>44838</v>
      </c>
      <c r="C6618" s="1" t="n">
        <v>45363</v>
      </c>
      <c r="D6618" t="inlineStr">
        <is>
          <t>JÄMTLANDS LÄN</t>
        </is>
      </c>
      <c r="E6618" t="inlineStr">
        <is>
          <t>ÖSTERSUND</t>
        </is>
      </c>
      <c r="F6618" t="inlineStr">
        <is>
          <t>Övriga Aktiebolag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43825-2022</t>
        </is>
      </c>
      <c r="B6619" s="1" t="n">
        <v>44838</v>
      </c>
      <c r="C6619" s="1" t="n">
        <v>45363</v>
      </c>
      <c r="D6619" t="inlineStr">
        <is>
          <t>JÄMTLANDS LÄN</t>
        </is>
      </c>
      <c r="E6619" t="inlineStr">
        <is>
          <t>HÄRJEDALEN</t>
        </is>
      </c>
      <c r="F6619" t="inlineStr">
        <is>
          <t>Bergvik skog väst AB</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44050-2022</t>
        </is>
      </c>
      <c r="B6620" s="1" t="n">
        <v>44838</v>
      </c>
      <c r="C6620" s="1" t="n">
        <v>45363</v>
      </c>
      <c r="D6620" t="inlineStr">
        <is>
          <t>JÄMTLANDS LÄN</t>
        </is>
      </c>
      <c r="E6620" t="inlineStr">
        <is>
          <t>RAGUNDA</t>
        </is>
      </c>
      <c r="F6620" t="inlineStr">
        <is>
          <t>SCA</t>
        </is>
      </c>
      <c r="G6620" t="n">
        <v>9.6</v>
      </c>
      <c r="H6620" t="n">
        <v>0</v>
      </c>
      <c r="I6620" t="n">
        <v>0</v>
      </c>
      <c r="J6620" t="n">
        <v>0</v>
      </c>
      <c r="K6620" t="n">
        <v>0</v>
      </c>
      <c r="L6620" t="n">
        <v>0</v>
      </c>
      <c r="M6620" t="n">
        <v>0</v>
      </c>
      <c r="N6620" t="n">
        <v>0</v>
      </c>
      <c r="O6620" t="n">
        <v>0</v>
      </c>
      <c r="P6620" t="n">
        <v>0</v>
      </c>
      <c r="Q6620" t="n">
        <v>0</v>
      </c>
      <c r="R6620" s="2" t="inlineStr"/>
    </row>
    <row r="6621" ht="15" customHeight="1">
      <c r="A6621" t="inlineStr">
        <is>
          <t>A 44049-2022</t>
        </is>
      </c>
      <c r="B6621" s="1" t="n">
        <v>44839</v>
      </c>
      <c r="C6621" s="1" t="n">
        <v>45363</v>
      </c>
      <c r="D6621" t="inlineStr">
        <is>
          <t>JÄMTLANDS LÄN</t>
        </is>
      </c>
      <c r="E6621" t="inlineStr">
        <is>
          <t>STRÖMSUND</t>
        </is>
      </c>
      <c r="F6621" t="inlineStr">
        <is>
          <t>SCA</t>
        </is>
      </c>
      <c r="G6621" t="n">
        <v>9.800000000000001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44445-2022</t>
        </is>
      </c>
      <c r="B6622" s="1" t="n">
        <v>44840</v>
      </c>
      <c r="C6622" s="1" t="n">
        <v>45363</v>
      </c>
      <c r="D6622" t="inlineStr">
        <is>
          <t>JÄMTLANDS LÄN</t>
        </is>
      </c>
      <c r="E6622" t="inlineStr">
        <is>
          <t>BRÄCKE</t>
        </is>
      </c>
      <c r="F6622" t="inlineStr">
        <is>
          <t>SCA</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44453-2022</t>
        </is>
      </c>
      <c r="B6623" s="1" t="n">
        <v>44840</v>
      </c>
      <c r="C6623" s="1" t="n">
        <v>45363</v>
      </c>
      <c r="D6623" t="inlineStr">
        <is>
          <t>JÄMTLANDS LÄN</t>
        </is>
      </c>
      <c r="E6623" t="inlineStr">
        <is>
          <t>STRÖMSUND</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44096-2022</t>
        </is>
      </c>
      <c r="B6624" s="1" t="n">
        <v>44839</v>
      </c>
      <c r="C6624" s="1" t="n">
        <v>45363</v>
      </c>
      <c r="D6624" t="inlineStr">
        <is>
          <t>JÄMTLANDS LÄN</t>
        </is>
      </c>
      <c r="E6624" t="inlineStr">
        <is>
          <t>STRÖMSUND</t>
        </is>
      </c>
      <c r="F6624" t="inlineStr">
        <is>
          <t>Holmen skog AB</t>
        </is>
      </c>
      <c r="G6624" t="n">
        <v>6.2</v>
      </c>
      <c r="H6624" t="n">
        <v>0</v>
      </c>
      <c r="I6624" t="n">
        <v>0</v>
      </c>
      <c r="J6624" t="n">
        <v>0</v>
      </c>
      <c r="K6624" t="n">
        <v>0</v>
      </c>
      <c r="L6624" t="n">
        <v>0</v>
      </c>
      <c r="M6624" t="n">
        <v>0</v>
      </c>
      <c r="N6624" t="n">
        <v>0</v>
      </c>
      <c r="O6624" t="n">
        <v>0</v>
      </c>
      <c r="P6624" t="n">
        <v>0</v>
      </c>
      <c r="Q6624" t="n">
        <v>0</v>
      </c>
      <c r="R6624" s="2" t="inlineStr"/>
    </row>
    <row r="6625" ht="15" customHeight="1">
      <c r="A6625" t="inlineStr">
        <is>
          <t>A 44443-2022</t>
        </is>
      </c>
      <c r="B6625" s="1" t="n">
        <v>44840</v>
      </c>
      <c r="C6625" s="1" t="n">
        <v>45363</v>
      </c>
      <c r="D6625" t="inlineStr">
        <is>
          <t>JÄMTLANDS LÄN</t>
        </is>
      </c>
      <c r="E6625" t="inlineStr">
        <is>
          <t>BERG</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44429-2022</t>
        </is>
      </c>
      <c r="B6626" s="1" t="n">
        <v>44839</v>
      </c>
      <c r="C6626" s="1" t="n">
        <v>45363</v>
      </c>
      <c r="D6626" t="inlineStr">
        <is>
          <t>JÄMTLANDS LÄN</t>
        </is>
      </c>
      <c r="E6626" t="inlineStr">
        <is>
          <t>STRÖMSUND</t>
        </is>
      </c>
      <c r="F6626" t="inlineStr">
        <is>
          <t>SCA</t>
        </is>
      </c>
      <c r="G6626" t="n">
        <v>52.1</v>
      </c>
      <c r="H6626" t="n">
        <v>0</v>
      </c>
      <c r="I6626" t="n">
        <v>0</v>
      </c>
      <c r="J6626" t="n">
        <v>0</v>
      </c>
      <c r="K6626" t="n">
        <v>0</v>
      </c>
      <c r="L6626" t="n">
        <v>0</v>
      </c>
      <c r="M6626" t="n">
        <v>0</v>
      </c>
      <c r="N6626" t="n">
        <v>0</v>
      </c>
      <c r="O6626" t="n">
        <v>0</v>
      </c>
      <c r="P6626" t="n">
        <v>0</v>
      </c>
      <c r="Q6626" t="n">
        <v>0</v>
      </c>
      <c r="R6626" s="2" t="inlineStr"/>
    </row>
    <row r="6627" ht="15" customHeight="1">
      <c r="A6627" t="inlineStr">
        <is>
          <t>A 44442-2022</t>
        </is>
      </c>
      <c r="B6627" s="1" t="n">
        <v>44839</v>
      </c>
      <c r="C6627" s="1" t="n">
        <v>45363</v>
      </c>
      <c r="D6627" t="inlineStr">
        <is>
          <t>JÄMTLANDS LÄN</t>
        </is>
      </c>
      <c r="E6627" t="inlineStr">
        <is>
          <t>BERG</t>
        </is>
      </c>
      <c r="F6627" t="inlineStr">
        <is>
          <t>SCA</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44448-2022</t>
        </is>
      </c>
      <c r="B6628" s="1" t="n">
        <v>44840</v>
      </c>
      <c r="C6628" s="1" t="n">
        <v>45363</v>
      </c>
      <c r="D6628" t="inlineStr">
        <is>
          <t>JÄMTLANDS LÄN</t>
        </is>
      </c>
      <c r="E6628" t="inlineStr">
        <is>
          <t>STRÖMSUND</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44449-2022</t>
        </is>
      </c>
      <c r="B6629" s="1" t="n">
        <v>44839</v>
      </c>
      <c r="C6629" s="1" t="n">
        <v>45363</v>
      </c>
      <c r="D6629" t="inlineStr">
        <is>
          <t>JÄMTLANDS LÄN</t>
        </is>
      </c>
      <c r="E6629" t="inlineStr">
        <is>
          <t>STRÖMSUND</t>
        </is>
      </c>
      <c r="F6629" t="inlineStr">
        <is>
          <t>SCA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44536-2022</t>
        </is>
      </c>
      <c r="B6630" s="1" t="n">
        <v>44839</v>
      </c>
      <c r="C6630" s="1" t="n">
        <v>45363</v>
      </c>
      <c r="D6630" t="inlineStr">
        <is>
          <t>JÄMTLANDS LÄN</t>
        </is>
      </c>
      <c r="E6630" t="inlineStr">
        <is>
          <t>RAGUNDA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44600-2022</t>
        </is>
      </c>
      <c r="B6631" s="1" t="n">
        <v>44839</v>
      </c>
      <c r="C6631" s="1" t="n">
        <v>45363</v>
      </c>
      <c r="D6631" t="inlineStr">
        <is>
          <t>JÄMTLANDS LÄN</t>
        </is>
      </c>
      <c r="E6631" t="inlineStr">
        <is>
          <t>RAGUNDA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44249-2022</t>
        </is>
      </c>
      <c r="B6632" s="1" t="n">
        <v>44839</v>
      </c>
      <c r="C6632" s="1" t="n">
        <v>45363</v>
      </c>
      <c r="D6632" t="inlineStr">
        <is>
          <t>JÄMTLANDS LÄN</t>
        </is>
      </c>
      <c r="E6632" t="inlineStr">
        <is>
          <t>STRÖMSUND</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44444-2022</t>
        </is>
      </c>
      <c r="B6633" s="1" t="n">
        <v>44840</v>
      </c>
      <c r="C6633" s="1" t="n">
        <v>45363</v>
      </c>
      <c r="D6633" t="inlineStr">
        <is>
          <t>JÄMTLANDS LÄN</t>
        </is>
      </c>
      <c r="E6633" t="inlineStr">
        <is>
          <t>BRÄCKE</t>
        </is>
      </c>
      <c r="F6633" t="inlineStr">
        <is>
          <t>SCA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44451-2022</t>
        </is>
      </c>
      <c r="B6634" s="1" t="n">
        <v>44840</v>
      </c>
      <c r="C6634" s="1" t="n">
        <v>45363</v>
      </c>
      <c r="D6634" t="inlineStr">
        <is>
          <t>JÄMTLANDS LÄN</t>
        </is>
      </c>
      <c r="E6634" t="inlineStr">
        <is>
          <t>STRÖMSUND</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44641-2022</t>
        </is>
      </c>
      <c r="B6635" s="1" t="n">
        <v>44839</v>
      </c>
      <c r="C6635" s="1" t="n">
        <v>45363</v>
      </c>
      <c r="D6635" t="inlineStr">
        <is>
          <t>JÄMTLANDS LÄN</t>
        </is>
      </c>
      <c r="E6635" t="inlineStr">
        <is>
          <t>STRÖMSUND</t>
        </is>
      </c>
      <c r="F6635" t="inlineStr">
        <is>
          <t>Kommuner</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44743-2022</t>
        </is>
      </c>
      <c r="B6636" s="1" t="n">
        <v>44840</v>
      </c>
      <c r="C6636" s="1" t="n">
        <v>45363</v>
      </c>
      <c r="D6636" t="inlineStr">
        <is>
          <t>JÄMTLANDS LÄN</t>
        </is>
      </c>
      <c r="E6636" t="inlineStr">
        <is>
          <t>BRÄCKE</t>
        </is>
      </c>
      <c r="F6636" t="inlineStr">
        <is>
          <t>SCA</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44767-2022</t>
        </is>
      </c>
      <c r="B6637" s="1" t="n">
        <v>44840</v>
      </c>
      <c r="C6637" s="1" t="n">
        <v>45363</v>
      </c>
      <c r="D6637" t="inlineStr">
        <is>
          <t>JÄMTLANDS LÄN</t>
        </is>
      </c>
      <c r="E6637" t="inlineStr">
        <is>
          <t>RAGUNDA</t>
        </is>
      </c>
      <c r="F6637" t="inlineStr">
        <is>
          <t>SCA</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44502-2022</t>
        </is>
      </c>
      <c r="B6638" s="1" t="n">
        <v>44840</v>
      </c>
      <c r="C6638" s="1" t="n">
        <v>45363</v>
      </c>
      <c r="D6638" t="inlineStr">
        <is>
          <t>JÄMTLANDS LÄN</t>
        </is>
      </c>
      <c r="E6638" t="inlineStr">
        <is>
          <t>ÅRE</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44752-2022</t>
        </is>
      </c>
      <c r="B6639" s="1" t="n">
        <v>44840</v>
      </c>
      <c r="C6639" s="1" t="n">
        <v>45363</v>
      </c>
      <c r="D6639" t="inlineStr">
        <is>
          <t>JÄMTLANDS LÄN</t>
        </is>
      </c>
      <c r="E6639" t="inlineStr">
        <is>
          <t>BRÄCKE</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44909-2022</t>
        </is>
      </c>
      <c r="B6640" s="1" t="n">
        <v>44840</v>
      </c>
      <c r="C6640" s="1" t="n">
        <v>45363</v>
      </c>
      <c r="D6640" t="inlineStr">
        <is>
          <t>JÄMTLANDS LÄN</t>
        </is>
      </c>
      <c r="E6640" t="inlineStr">
        <is>
          <t>ÖSTERSUND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44753-2022</t>
        </is>
      </c>
      <c r="B6641" s="1" t="n">
        <v>44840</v>
      </c>
      <c r="C6641" s="1" t="n">
        <v>45363</v>
      </c>
      <c r="D6641" t="inlineStr">
        <is>
          <t>JÄMTLANDS LÄN</t>
        </is>
      </c>
      <c r="E6641" t="inlineStr">
        <is>
          <t>BRÄCKE</t>
        </is>
      </c>
      <c r="F6641" t="inlineStr">
        <is>
          <t>SCA</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44766-2022</t>
        </is>
      </c>
      <c r="B6642" s="1" t="n">
        <v>44841</v>
      </c>
      <c r="C6642" s="1" t="n">
        <v>45363</v>
      </c>
      <c r="D6642" t="inlineStr">
        <is>
          <t>JÄMTLANDS LÄN</t>
        </is>
      </c>
      <c r="E6642" t="inlineStr">
        <is>
          <t>RAGUNDA</t>
        </is>
      </c>
      <c r="F6642" t="inlineStr">
        <is>
          <t>SCA</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45004-2022</t>
        </is>
      </c>
      <c r="B6643" s="1" t="n">
        <v>44840</v>
      </c>
      <c r="C6643" s="1" t="n">
        <v>45363</v>
      </c>
      <c r="D6643" t="inlineStr">
        <is>
          <t>JÄMTLANDS LÄN</t>
        </is>
      </c>
      <c r="E6643" t="inlineStr">
        <is>
          <t>ÖSTERSUND</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45074-2022</t>
        </is>
      </c>
      <c r="B6644" s="1" t="n">
        <v>44842</v>
      </c>
      <c r="C6644" s="1" t="n">
        <v>45363</v>
      </c>
      <c r="D6644" t="inlineStr">
        <is>
          <t>JÄMTLANDS LÄN</t>
        </is>
      </c>
      <c r="E6644" t="inlineStr">
        <is>
          <t>STRÖMSUND</t>
        </is>
      </c>
      <c r="F6644" t="inlineStr">
        <is>
          <t>SCA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45308-2022</t>
        </is>
      </c>
      <c r="B6645" s="1" t="n">
        <v>44841</v>
      </c>
      <c r="C6645" s="1" t="n">
        <v>45363</v>
      </c>
      <c r="D6645" t="inlineStr">
        <is>
          <t>JÄMTLANDS LÄN</t>
        </is>
      </c>
      <c r="E6645" t="inlineStr">
        <is>
          <t>STRÖMSUND</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45076-2022</t>
        </is>
      </c>
      <c r="B6646" s="1" t="n">
        <v>44842</v>
      </c>
      <c r="C6646" s="1" t="n">
        <v>45363</v>
      </c>
      <c r="D6646" t="inlineStr">
        <is>
          <t>JÄMTLANDS LÄN</t>
        </is>
      </c>
      <c r="E6646" t="inlineStr">
        <is>
          <t>STRÖMSUND</t>
        </is>
      </c>
      <c r="F6646" t="inlineStr">
        <is>
          <t>SCA</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45398-2022</t>
        </is>
      </c>
      <c r="B6647" s="1" t="n">
        <v>44841</v>
      </c>
      <c r="C6647" s="1" t="n">
        <v>45363</v>
      </c>
      <c r="D6647" t="inlineStr">
        <is>
          <t>JÄMTLANDS LÄN</t>
        </is>
      </c>
      <c r="E6647" t="inlineStr">
        <is>
          <t>STRÖMSUND</t>
        </is>
      </c>
      <c r="G6647" t="n">
        <v>11.6</v>
      </c>
      <c r="H6647" t="n">
        <v>0</v>
      </c>
      <c r="I6647" t="n">
        <v>0</v>
      </c>
      <c r="J6647" t="n">
        <v>0</v>
      </c>
      <c r="K6647" t="n">
        <v>0</v>
      </c>
      <c r="L6647" t="n">
        <v>0</v>
      </c>
      <c r="M6647" t="n">
        <v>0</v>
      </c>
      <c r="N6647" t="n">
        <v>0</v>
      </c>
      <c r="O6647" t="n">
        <v>0</v>
      </c>
      <c r="P6647" t="n">
        <v>0</v>
      </c>
      <c r="Q6647" t="n">
        <v>0</v>
      </c>
      <c r="R6647" s="2" t="inlineStr"/>
    </row>
    <row r="6648" ht="15" customHeight="1">
      <c r="A6648" t="inlineStr">
        <is>
          <t>A 45017-2022</t>
        </is>
      </c>
      <c r="B6648" s="1" t="n">
        <v>44841</v>
      </c>
      <c r="C6648" s="1" t="n">
        <v>45363</v>
      </c>
      <c r="D6648" t="inlineStr">
        <is>
          <t>JÄMTLANDS LÄN</t>
        </is>
      </c>
      <c r="E6648" t="inlineStr">
        <is>
          <t>HÄRJEDALEN</t>
        </is>
      </c>
      <c r="F6648" t="inlineStr">
        <is>
          <t>Bergvik skog väst AB</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45326-2022</t>
        </is>
      </c>
      <c r="B6649" s="1" t="n">
        <v>44841</v>
      </c>
      <c r="C6649" s="1" t="n">
        <v>45363</v>
      </c>
      <c r="D6649" t="inlineStr">
        <is>
          <t>JÄMTLANDS LÄN</t>
        </is>
      </c>
      <c r="E6649" t="inlineStr">
        <is>
          <t>STRÖMSUND</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45071-2022</t>
        </is>
      </c>
      <c r="B6650" s="1" t="n">
        <v>44842</v>
      </c>
      <c r="C6650" s="1" t="n">
        <v>45363</v>
      </c>
      <c r="D6650" t="inlineStr">
        <is>
          <t>JÄMTLANDS LÄN</t>
        </is>
      </c>
      <c r="E6650" t="inlineStr">
        <is>
          <t>STRÖMSUND</t>
        </is>
      </c>
      <c r="F6650" t="inlineStr">
        <is>
          <t>SCA</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45081-2022</t>
        </is>
      </c>
      <c r="B6651" s="1" t="n">
        <v>44841</v>
      </c>
      <c r="C6651" s="1" t="n">
        <v>45363</v>
      </c>
      <c r="D6651" t="inlineStr">
        <is>
          <t>JÄMTLANDS LÄN</t>
        </is>
      </c>
      <c r="E6651" t="inlineStr">
        <is>
          <t>BERG</t>
        </is>
      </c>
      <c r="F6651" t="inlineStr">
        <is>
          <t>SCA</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45304-2022</t>
        </is>
      </c>
      <c r="B6652" s="1" t="n">
        <v>44841</v>
      </c>
      <c r="C6652" s="1" t="n">
        <v>45363</v>
      </c>
      <c r="D6652" t="inlineStr">
        <is>
          <t>JÄMTLANDS LÄN</t>
        </is>
      </c>
      <c r="E6652" t="inlineStr">
        <is>
          <t>BRÄCKE</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45331-2022</t>
        </is>
      </c>
      <c r="B6653" s="1" t="n">
        <v>44841</v>
      </c>
      <c r="C6653" s="1" t="n">
        <v>45363</v>
      </c>
      <c r="D6653" t="inlineStr">
        <is>
          <t>JÄMTLANDS LÄN</t>
        </is>
      </c>
      <c r="E6653" t="inlineStr">
        <is>
          <t>STRÖMSUND</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45461-2022</t>
        </is>
      </c>
      <c r="B6654" s="1" t="n">
        <v>44841</v>
      </c>
      <c r="C6654" s="1" t="n">
        <v>45363</v>
      </c>
      <c r="D6654" t="inlineStr">
        <is>
          <t>JÄMTLANDS LÄN</t>
        </is>
      </c>
      <c r="E6654" t="inlineStr">
        <is>
          <t>ÅRE</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45421-2022</t>
        </is>
      </c>
      <c r="B6655" s="1" t="n">
        <v>44845</v>
      </c>
      <c r="C6655" s="1" t="n">
        <v>45363</v>
      </c>
      <c r="D6655" t="inlineStr">
        <is>
          <t>JÄMTLANDS LÄN</t>
        </is>
      </c>
      <c r="E6655" t="inlineStr">
        <is>
          <t>STRÖMSUND</t>
        </is>
      </c>
      <c r="F6655" t="inlineStr">
        <is>
          <t>SCA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45426-2022</t>
        </is>
      </c>
      <c r="B6656" s="1" t="n">
        <v>44844</v>
      </c>
      <c r="C6656" s="1" t="n">
        <v>45363</v>
      </c>
      <c r="D6656" t="inlineStr">
        <is>
          <t>JÄMTLANDS LÄN</t>
        </is>
      </c>
      <c r="E6656" t="inlineStr">
        <is>
          <t>BRÄCKE</t>
        </is>
      </c>
      <c r="F6656" t="inlineStr">
        <is>
          <t>SCA</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45437-2022</t>
        </is>
      </c>
      <c r="B6657" s="1" t="n">
        <v>44844</v>
      </c>
      <c r="C6657" s="1" t="n">
        <v>45363</v>
      </c>
      <c r="D6657" t="inlineStr">
        <is>
          <t>JÄMTLANDS LÄN</t>
        </is>
      </c>
      <c r="E6657" t="inlineStr">
        <is>
          <t>RAGUNDA</t>
        </is>
      </c>
      <c r="F6657" t="inlineStr">
        <is>
          <t>SCA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45436-2022</t>
        </is>
      </c>
      <c r="B6658" s="1" t="n">
        <v>44845</v>
      </c>
      <c r="C6658" s="1" t="n">
        <v>45363</v>
      </c>
      <c r="D6658" t="inlineStr">
        <is>
          <t>JÄMTLANDS LÄN</t>
        </is>
      </c>
      <c r="E6658" t="inlineStr">
        <is>
          <t>BRÄCKE</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45435-2022</t>
        </is>
      </c>
      <c r="B6659" s="1" t="n">
        <v>44845</v>
      </c>
      <c r="C6659" s="1" t="n">
        <v>45363</v>
      </c>
      <c r="D6659" t="inlineStr">
        <is>
          <t>JÄMTLANDS LÄN</t>
        </is>
      </c>
      <c r="E6659" t="inlineStr">
        <is>
          <t>STRÖMSUND</t>
        </is>
      </c>
      <c r="F6659" t="inlineStr">
        <is>
          <t>SCA</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45438-2022</t>
        </is>
      </c>
      <c r="B6660" s="1" t="n">
        <v>44845</v>
      </c>
      <c r="C6660" s="1" t="n">
        <v>45363</v>
      </c>
      <c r="D6660" t="inlineStr">
        <is>
          <t>JÄMTLANDS LÄN</t>
        </is>
      </c>
      <c r="E6660" t="inlineStr">
        <is>
          <t>RAGUNDA</t>
        </is>
      </c>
      <c r="F6660" t="inlineStr">
        <is>
          <t>SCA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45487-2022</t>
        </is>
      </c>
      <c r="B6661" s="1" t="n">
        <v>44845</v>
      </c>
      <c r="C6661" s="1" t="n">
        <v>45363</v>
      </c>
      <c r="D6661" t="inlineStr">
        <is>
          <t>JÄMTLANDS LÄN</t>
        </is>
      </c>
      <c r="E6661" t="inlineStr">
        <is>
          <t>BERG</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45533-2022</t>
        </is>
      </c>
      <c r="B6662" s="1" t="n">
        <v>44845</v>
      </c>
      <c r="C6662" s="1" t="n">
        <v>45363</v>
      </c>
      <c r="D6662" t="inlineStr">
        <is>
          <t>JÄMTLANDS LÄN</t>
        </is>
      </c>
      <c r="E6662" t="inlineStr">
        <is>
          <t>BRÄCKE</t>
        </is>
      </c>
      <c r="F6662" t="inlineStr">
        <is>
          <t>Övriga Aktiebolag</t>
        </is>
      </c>
      <c r="G6662" t="n">
        <v>13.7</v>
      </c>
      <c r="H6662" t="n">
        <v>0</v>
      </c>
      <c r="I6662" t="n">
        <v>0</v>
      </c>
      <c r="J6662" t="n">
        <v>0</v>
      </c>
      <c r="K6662" t="n">
        <v>0</v>
      </c>
      <c r="L6662" t="n">
        <v>0</v>
      </c>
      <c r="M6662" t="n">
        <v>0</v>
      </c>
      <c r="N6662" t="n">
        <v>0</v>
      </c>
      <c r="O6662" t="n">
        <v>0</v>
      </c>
      <c r="P6662" t="n">
        <v>0</v>
      </c>
      <c r="Q6662" t="n">
        <v>0</v>
      </c>
      <c r="R6662" s="2" t="inlineStr"/>
    </row>
    <row r="6663" ht="15" customHeight="1">
      <c r="A6663" t="inlineStr">
        <is>
          <t>A 45660-2022</t>
        </is>
      </c>
      <c r="B6663" s="1" t="n">
        <v>44845</v>
      </c>
      <c r="C6663" s="1" t="n">
        <v>45363</v>
      </c>
      <c r="D6663" t="inlineStr">
        <is>
          <t>JÄMTLANDS LÄN</t>
        </is>
      </c>
      <c r="E6663" t="inlineStr">
        <is>
          <t>ÅRE</t>
        </is>
      </c>
      <c r="F6663" t="inlineStr">
        <is>
          <t>Kyrkan</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45654-2022</t>
        </is>
      </c>
      <c r="B6664" s="1" t="n">
        <v>44845</v>
      </c>
      <c r="C6664" s="1" t="n">
        <v>45363</v>
      </c>
      <c r="D6664" t="inlineStr">
        <is>
          <t>JÄMTLANDS LÄN</t>
        </is>
      </c>
      <c r="E6664" t="inlineStr">
        <is>
          <t>ÖSTERSUND</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45701-2022</t>
        </is>
      </c>
      <c r="B6665" s="1" t="n">
        <v>44845</v>
      </c>
      <c r="C6665" s="1" t="n">
        <v>45363</v>
      </c>
      <c r="D6665" t="inlineStr">
        <is>
          <t>JÄMTLANDS LÄN</t>
        </is>
      </c>
      <c r="E6665" t="inlineStr">
        <is>
          <t>BRÄCKE</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45691-2022</t>
        </is>
      </c>
      <c r="B6666" s="1" t="n">
        <v>44846</v>
      </c>
      <c r="C6666" s="1" t="n">
        <v>45363</v>
      </c>
      <c r="D6666" t="inlineStr">
        <is>
          <t>JÄMTLANDS LÄN</t>
        </is>
      </c>
      <c r="E6666" t="inlineStr">
        <is>
          <t>BRÄCKE</t>
        </is>
      </c>
      <c r="F6666" t="inlineStr">
        <is>
          <t>SCA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45708-2022</t>
        </is>
      </c>
      <c r="B6667" s="1" t="n">
        <v>44846</v>
      </c>
      <c r="C6667" s="1" t="n">
        <v>45363</v>
      </c>
      <c r="D6667" t="inlineStr">
        <is>
          <t>JÄMTLANDS LÄN</t>
        </is>
      </c>
      <c r="E6667" t="inlineStr">
        <is>
          <t>RAGUNDA</t>
        </is>
      </c>
      <c r="F6667" t="inlineStr">
        <is>
          <t>SCA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45706-2022</t>
        </is>
      </c>
      <c r="B6668" s="1" t="n">
        <v>44846</v>
      </c>
      <c r="C6668" s="1" t="n">
        <v>45363</v>
      </c>
      <c r="D6668" t="inlineStr">
        <is>
          <t>JÄMTLANDS LÄN</t>
        </is>
      </c>
      <c r="E6668" t="inlineStr">
        <is>
          <t>STRÖMSUND</t>
        </is>
      </c>
      <c r="F6668" t="inlineStr">
        <is>
          <t>SCA</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45712-2022</t>
        </is>
      </c>
      <c r="B6669" s="1" t="n">
        <v>44845</v>
      </c>
      <c r="C6669" s="1" t="n">
        <v>45363</v>
      </c>
      <c r="D6669" t="inlineStr">
        <is>
          <t>JÄMTLANDS LÄN</t>
        </is>
      </c>
      <c r="E6669" t="inlineStr">
        <is>
          <t>RAGUNDA</t>
        </is>
      </c>
      <c r="F6669" t="inlineStr">
        <is>
          <t>SCA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45710-2022</t>
        </is>
      </c>
      <c r="B6670" s="1" t="n">
        <v>44845</v>
      </c>
      <c r="C6670" s="1" t="n">
        <v>45363</v>
      </c>
      <c r="D6670" t="inlineStr">
        <is>
          <t>JÄMTLANDS LÄN</t>
        </is>
      </c>
      <c r="E6670" t="inlineStr">
        <is>
          <t>RAGUNDA</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45718-2022</t>
        </is>
      </c>
      <c r="B6671" s="1" t="n">
        <v>44845</v>
      </c>
      <c r="C6671" s="1" t="n">
        <v>45363</v>
      </c>
      <c r="D6671" t="inlineStr">
        <is>
          <t>JÄMTLANDS LÄN</t>
        </is>
      </c>
      <c r="E6671" t="inlineStr">
        <is>
          <t>RAGUNDA</t>
        </is>
      </c>
      <c r="F6671" t="inlineStr">
        <is>
          <t>SCA</t>
        </is>
      </c>
      <c r="G6671" t="n">
        <v>19.3</v>
      </c>
      <c r="H6671" t="n">
        <v>0</v>
      </c>
      <c r="I6671" t="n">
        <v>0</v>
      </c>
      <c r="J6671" t="n">
        <v>0</v>
      </c>
      <c r="K6671" t="n">
        <v>0</v>
      </c>
      <c r="L6671" t="n">
        <v>0</v>
      </c>
      <c r="M6671" t="n">
        <v>0</v>
      </c>
      <c r="N6671" t="n">
        <v>0</v>
      </c>
      <c r="O6671" t="n">
        <v>0</v>
      </c>
      <c r="P6671" t="n">
        <v>0</v>
      </c>
      <c r="Q6671" t="n">
        <v>0</v>
      </c>
      <c r="R6671" s="2" t="inlineStr"/>
    </row>
    <row r="6672" ht="15" customHeight="1">
      <c r="A6672" t="inlineStr">
        <is>
          <t>A 45913-2022</t>
        </is>
      </c>
      <c r="B6672" s="1" t="n">
        <v>44845</v>
      </c>
      <c r="C6672" s="1" t="n">
        <v>45363</v>
      </c>
      <c r="D6672" t="inlineStr">
        <is>
          <t>JÄMTLANDS LÄN</t>
        </is>
      </c>
      <c r="E6672" t="inlineStr">
        <is>
          <t>BRÄCKE</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45715-2022</t>
        </is>
      </c>
      <c r="B6673" s="1" t="n">
        <v>44845</v>
      </c>
      <c r="C6673" s="1" t="n">
        <v>45363</v>
      </c>
      <c r="D6673" t="inlineStr">
        <is>
          <t>JÄMTLANDS LÄN</t>
        </is>
      </c>
      <c r="E6673" t="inlineStr">
        <is>
          <t>RAGUNDA</t>
        </is>
      </c>
      <c r="F6673" t="inlineStr">
        <is>
          <t>SCA</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45720-2022</t>
        </is>
      </c>
      <c r="B6674" s="1" t="n">
        <v>44846</v>
      </c>
      <c r="C6674" s="1" t="n">
        <v>45363</v>
      </c>
      <c r="D6674" t="inlineStr">
        <is>
          <t>JÄMTLANDS LÄN</t>
        </is>
      </c>
      <c r="E6674" t="inlineStr">
        <is>
          <t>STRÖMSUND</t>
        </is>
      </c>
      <c r="F6674" t="inlineStr">
        <is>
          <t>SCA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46167-2022</t>
        </is>
      </c>
      <c r="B6675" s="1" t="n">
        <v>44845</v>
      </c>
      <c r="C6675" s="1" t="n">
        <v>45363</v>
      </c>
      <c r="D6675" t="inlineStr">
        <is>
          <t>JÄMTLANDS LÄN</t>
        </is>
      </c>
      <c r="E6675" t="inlineStr">
        <is>
          <t>BERG</t>
        </is>
      </c>
      <c r="G6675" t="n">
        <v>35.2</v>
      </c>
      <c r="H6675" t="n">
        <v>0</v>
      </c>
      <c r="I6675" t="n">
        <v>0</v>
      </c>
      <c r="J6675" t="n">
        <v>0</v>
      </c>
      <c r="K6675" t="n">
        <v>0</v>
      </c>
      <c r="L6675" t="n">
        <v>0</v>
      </c>
      <c r="M6675" t="n">
        <v>0</v>
      </c>
      <c r="N6675" t="n">
        <v>0</v>
      </c>
      <c r="O6675" t="n">
        <v>0</v>
      </c>
      <c r="P6675" t="n">
        <v>0</v>
      </c>
      <c r="Q6675" t="n">
        <v>0</v>
      </c>
      <c r="R6675" s="2" t="inlineStr"/>
    </row>
    <row r="6676" ht="15" customHeight="1">
      <c r="A6676" t="inlineStr">
        <is>
          <t>A 46151-2022</t>
        </is>
      </c>
      <c r="B6676" s="1" t="n">
        <v>44845</v>
      </c>
      <c r="C6676" s="1" t="n">
        <v>45363</v>
      </c>
      <c r="D6676" t="inlineStr">
        <is>
          <t>JÄMTLANDS LÄN</t>
        </is>
      </c>
      <c r="E6676" t="inlineStr">
        <is>
          <t>BERG</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45972-2022</t>
        </is>
      </c>
      <c r="B6677" s="1" t="n">
        <v>44846</v>
      </c>
      <c r="C6677" s="1" t="n">
        <v>45363</v>
      </c>
      <c r="D6677" t="inlineStr">
        <is>
          <t>JÄMTLANDS LÄN</t>
        </is>
      </c>
      <c r="E6677" t="inlineStr">
        <is>
          <t>BERG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46024-2022</t>
        </is>
      </c>
      <c r="B6678" s="1" t="n">
        <v>44847</v>
      </c>
      <c r="C6678" s="1" t="n">
        <v>45363</v>
      </c>
      <c r="D6678" t="inlineStr">
        <is>
          <t>JÄMTLANDS LÄN</t>
        </is>
      </c>
      <c r="E6678" t="inlineStr">
        <is>
          <t>BRÄCKE</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45967-2022</t>
        </is>
      </c>
      <c r="B6679" s="1" t="n">
        <v>44846</v>
      </c>
      <c r="C6679" s="1" t="n">
        <v>45363</v>
      </c>
      <c r="D6679" t="inlineStr">
        <is>
          <t>JÄMTLANDS LÄN</t>
        </is>
      </c>
      <c r="E6679" t="inlineStr">
        <is>
          <t>BERG</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46047-2022</t>
        </is>
      </c>
      <c r="B6680" s="1" t="n">
        <v>44847</v>
      </c>
      <c r="C6680" s="1" t="n">
        <v>45363</v>
      </c>
      <c r="D6680" t="inlineStr">
        <is>
          <t>JÄMTLANDS LÄN</t>
        </is>
      </c>
      <c r="E6680" t="inlineStr">
        <is>
          <t>RAGUNDA</t>
        </is>
      </c>
      <c r="F6680" t="inlineStr">
        <is>
          <t>SCA</t>
        </is>
      </c>
      <c r="G6680" t="n">
        <v>6.7</v>
      </c>
      <c r="H6680" t="n">
        <v>0</v>
      </c>
      <c r="I6680" t="n">
        <v>0</v>
      </c>
      <c r="J6680" t="n">
        <v>0</v>
      </c>
      <c r="K6680" t="n">
        <v>0</v>
      </c>
      <c r="L6680" t="n">
        <v>0</v>
      </c>
      <c r="M6680" t="n">
        <v>0</v>
      </c>
      <c r="N6680" t="n">
        <v>0</v>
      </c>
      <c r="O6680" t="n">
        <v>0</v>
      </c>
      <c r="P6680" t="n">
        <v>0</v>
      </c>
      <c r="Q6680" t="n">
        <v>0</v>
      </c>
      <c r="R6680" s="2" t="inlineStr"/>
    </row>
    <row r="6681" ht="15" customHeight="1">
      <c r="A6681" t="inlineStr">
        <is>
          <t>A 46040-2022</t>
        </is>
      </c>
      <c r="B6681" s="1" t="n">
        <v>44847</v>
      </c>
      <c r="C6681" s="1" t="n">
        <v>45363</v>
      </c>
      <c r="D6681" t="inlineStr">
        <is>
          <t>JÄMTLANDS LÄN</t>
        </is>
      </c>
      <c r="E6681" t="inlineStr">
        <is>
          <t>RAGUNDA</t>
        </is>
      </c>
      <c r="F6681" t="inlineStr">
        <is>
          <t>SCA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46050-2022</t>
        </is>
      </c>
      <c r="B6682" s="1" t="n">
        <v>44846</v>
      </c>
      <c r="C6682" s="1" t="n">
        <v>45363</v>
      </c>
      <c r="D6682" t="inlineStr">
        <is>
          <t>JÄMTLANDS LÄN</t>
        </is>
      </c>
      <c r="E6682" t="inlineStr">
        <is>
          <t>RAGUNDA</t>
        </is>
      </c>
      <c r="F6682" t="inlineStr">
        <is>
          <t>SCA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46049-2022</t>
        </is>
      </c>
      <c r="B6683" s="1" t="n">
        <v>44847</v>
      </c>
      <c r="C6683" s="1" t="n">
        <v>45363</v>
      </c>
      <c r="D6683" t="inlineStr">
        <is>
          <t>JÄMTLANDS LÄN</t>
        </is>
      </c>
      <c r="E6683" t="inlineStr">
        <is>
          <t>RAGUNDA</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46054-2022</t>
        </is>
      </c>
      <c r="B6684" s="1" t="n">
        <v>44846</v>
      </c>
      <c r="C6684" s="1" t="n">
        <v>45363</v>
      </c>
      <c r="D6684" t="inlineStr">
        <is>
          <t>JÄMTLANDS LÄN</t>
        </is>
      </c>
      <c r="E6684" t="inlineStr">
        <is>
          <t>STRÖMSUND</t>
        </is>
      </c>
      <c r="F6684" t="inlineStr">
        <is>
          <t>SCA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47320-2022</t>
        </is>
      </c>
      <c r="B6685" s="1" t="n">
        <v>44846</v>
      </c>
      <c r="C6685" s="1" t="n">
        <v>45363</v>
      </c>
      <c r="D6685" t="inlineStr">
        <is>
          <t>JÄMTLANDS LÄN</t>
        </is>
      </c>
      <c r="E6685" t="inlineStr">
        <is>
          <t>STRÖMSUND</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46042-2022</t>
        </is>
      </c>
      <c r="B6686" s="1" t="n">
        <v>44847</v>
      </c>
      <c r="C6686" s="1" t="n">
        <v>45363</v>
      </c>
      <c r="D6686" t="inlineStr">
        <is>
          <t>JÄMTLANDS LÄN</t>
        </is>
      </c>
      <c r="E6686" t="inlineStr">
        <is>
          <t>STRÖMSUND</t>
        </is>
      </c>
      <c r="F6686" t="inlineStr">
        <is>
          <t>SCA</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46048-2022</t>
        </is>
      </c>
      <c r="B6687" s="1" t="n">
        <v>44846</v>
      </c>
      <c r="C6687" s="1" t="n">
        <v>45363</v>
      </c>
      <c r="D6687" t="inlineStr">
        <is>
          <t>JÄMTLANDS LÄN</t>
        </is>
      </c>
      <c r="E6687" t="inlineStr">
        <is>
          <t>RAGUNDA</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46058-2022</t>
        </is>
      </c>
      <c r="B6688" s="1" t="n">
        <v>44847</v>
      </c>
      <c r="C6688" s="1" t="n">
        <v>45363</v>
      </c>
      <c r="D6688" t="inlineStr">
        <is>
          <t>JÄMTLANDS LÄN</t>
        </is>
      </c>
      <c r="E6688" t="inlineStr">
        <is>
          <t>STRÖMSUND</t>
        </is>
      </c>
      <c r="F6688" t="inlineStr">
        <is>
          <t>SCA</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46057-2022</t>
        </is>
      </c>
      <c r="B6689" s="1" t="n">
        <v>44847</v>
      </c>
      <c r="C6689" s="1" t="n">
        <v>45363</v>
      </c>
      <c r="D6689" t="inlineStr">
        <is>
          <t>JÄMTLANDS LÄN</t>
        </is>
      </c>
      <c r="E6689" t="inlineStr">
        <is>
          <t>STRÖMSUND</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46056-2022</t>
        </is>
      </c>
      <c r="B6690" s="1" t="n">
        <v>44847</v>
      </c>
      <c r="C6690" s="1" t="n">
        <v>45363</v>
      </c>
      <c r="D6690" t="inlineStr">
        <is>
          <t>JÄMTLANDS LÄN</t>
        </is>
      </c>
      <c r="E6690" t="inlineStr">
        <is>
          <t>STRÖMSUND</t>
        </is>
      </c>
      <c r="F6690" t="inlineStr">
        <is>
          <t>SCA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46199-2022</t>
        </is>
      </c>
      <c r="B6691" s="1" t="n">
        <v>44847</v>
      </c>
      <c r="C6691" s="1" t="n">
        <v>45363</v>
      </c>
      <c r="D6691" t="inlineStr">
        <is>
          <t>JÄMTLANDS LÄN</t>
        </is>
      </c>
      <c r="E6691" t="inlineStr">
        <is>
          <t>BERG</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46321-2022</t>
        </is>
      </c>
      <c r="B6692" s="1" t="n">
        <v>44848</v>
      </c>
      <c r="C6692" s="1" t="n">
        <v>45363</v>
      </c>
      <c r="D6692" t="inlineStr">
        <is>
          <t>JÄMTLANDS LÄN</t>
        </is>
      </c>
      <c r="E6692" t="inlineStr">
        <is>
          <t>STRÖMSUND</t>
        </is>
      </c>
      <c r="F6692" t="inlineStr">
        <is>
          <t>SCA</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46327-2022</t>
        </is>
      </c>
      <c r="B6693" s="1" t="n">
        <v>44848</v>
      </c>
      <c r="C6693" s="1" t="n">
        <v>45363</v>
      </c>
      <c r="D6693" t="inlineStr">
        <is>
          <t>JÄMTLANDS LÄN</t>
        </is>
      </c>
      <c r="E6693" t="inlineStr">
        <is>
          <t>STRÖMSUND</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46338-2022</t>
        </is>
      </c>
      <c r="B6694" s="1" t="n">
        <v>44848</v>
      </c>
      <c r="C6694" s="1" t="n">
        <v>45363</v>
      </c>
      <c r="D6694" t="inlineStr">
        <is>
          <t>JÄMTLANDS LÄN</t>
        </is>
      </c>
      <c r="E6694" t="inlineStr">
        <is>
          <t>STRÖMSUND</t>
        </is>
      </c>
      <c r="F6694" t="inlineStr">
        <is>
          <t>SCA</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46342-2022</t>
        </is>
      </c>
      <c r="B6695" s="1" t="n">
        <v>44848</v>
      </c>
      <c r="C6695" s="1" t="n">
        <v>45363</v>
      </c>
      <c r="D6695" t="inlineStr">
        <is>
          <t>JÄMTLANDS LÄN</t>
        </is>
      </c>
      <c r="E6695" t="inlineStr">
        <is>
          <t>STRÖMSUND</t>
        </is>
      </c>
      <c r="F6695" t="inlineStr">
        <is>
          <t>SCA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46326-2022</t>
        </is>
      </c>
      <c r="B6696" s="1" t="n">
        <v>44848</v>
      </c>
      <c r="C6696" s="1" t="n">
        <v>45363</v>
      </c>
      <c r="D6696" t="inlineStr">
        <is>
          <t>JÄMTLANDS LÄN</t>
        </is>
      </c>
      <c r="E6696" t="inlineStr">
        <is>
          <t>STRÖMSUND</t>
        </is>
      </c>
      <c r="F6696" t="inlineStr">
        <is>
          <t>SCA</t>
        </is>
      </c>
      <c r="G6696" t="n">
        <v>10.1</v>
      </c>
      <c r="H6696" t="n">
        <v>0</v>
      </c>
      <c r="I6696" t="n">
        <v>0</v>
      </c>
      <c r="J6696" t="n">
        <v>0</v>
      </c>
      <c r="K6696" t="n">
        <v>0</v>
      </c>
      <c r="L6696" t="n">
        <v>0</v>
      </c>
      <c r="M6696" t="n">
        <v>0</v>
      </c>
      <c r="N6696" t="n">
        <v>0</v>
      </c>
      <c r="O6696" t="n">
        <v>0</v>
      </c>
      <c r="P6696" t="n">
        <v>0</v>
      </c>
      <c r="Q6696" t="n">
        <v>0</v>
      </c>
      <c r="R6696" s="2" t="inlineStr"/>
    </row>
    <row r="6697" ht="15" customHeight="1">
      <c r="A6697" t="inlineStr">
        <is>
          <t>A 46332-2022</t>
        </is>
      </c>
      <c r="B6697" s="1" t="n">
        <v>44848</v>
      </c>
      <c r="C6697" s="1" t="n">
        <v>45363</v>
      </c>
      <c r="D6697" t="inlineStr">
        <is>
          <t>JÄMTLANDS LÄN</t>
        </is>
      </c>
      <c r="E6697" t="inlineStr">
        <is>
          <t>STRÖMSUND</t>
        </is>
      </c>
      <c r="F6697" t="inlineStr">
        <is>
          <t>SCA</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46337-2022</t>
        </is>
      </c>
      <c r="B6698" s="1" t="n">
        <v>44848</v>
      </c>
      <c r="C6698" s="1" t="n">
        <v>45363</v>
      </c>
      <c r="D6698" t="inlineStr">
        <is>
          <t>JÄMTLANDS LÄN</t>
        </is>
      </c>
      <c r="E6698" t="inlineStr">
        <is>
          <t>STRÖMSUND</t>
        </is>
      </c>
      <c r="F6698" t="inlineStr">
        <is>
          <t>SCA</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46346-2022</t>
        </is>
      </c>
      <c r="B6699" s="1" t="n">
        <v>44848</v>
      </c>
      <c r="C6699" s="1" t="n">
        <v>45363</v>
      </c>
      <c r="D6699" t="inlineStr">
        <is>
          <t>JÄMTLANDS LÄN</t>
        </is>
      </c>
      <c r="E6699" t="inlineStr">
        <is>
          <t>STRÖMSUND</t>
        </is>
      </c>
      <c r="F6699" t="inlineStr">
        <is>
          <t>SCA</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46278-2022</t>
        </is>
      </c>
      <c r="B6700" s="1" t="n">
        <v>44847</v>
      </c>
      <c r="C6700" s="1" t="n">
        <v>45363</v>
      </c>
      <c r="D6700" t="inlineStr">
        <is>
          <t>JÄMTLANDS LÄN</t>
        </is>
      </c>
      <c r="E6700" t="inlineStr">
        <is>
          <t>BERG</t>
        </is>
      </c>
      <c r="G6700" t="n">
        <v>11.7</v>
      </c>
      <c r="H6700" t="n">
        <v>0</v>
      </c>
      <c r="I6700" t="n">
        <v>0</v>
      </c>
      <c r="J6700" t="n">
        <v>0</v>
      </c>
      <c r="K6700" t="n">
        <v>0</v>
      </c>
      <c r="L6700" t="n">
        <v>0</v>
      </c>
      <c r="M6700" t="n">
        <v>0</v>
      </c>
      <c r="N6700" t="n">
        <v>0</v>
      </c>
      <c r="O6700" t="n">
        <v>0</v>
      </c>
      <c r="P6700" t="n">
        <v>0</v>
      </c>
      <c r="Q6700" t="n">
        <v>0</v>
      </c>
      <c r="R6700" s="2" t="inlineStr"/>
    </row>
    <row r="6701" ht="15" customHeight="1">
      <c r="A6701" t="inlineStr">
        <is>
          <t>A 46336-2022</t>
        </is>
      </c>
      <c r="B6701" s="1" t="n">
        <v>44848</v>
      </c>
      <c r="C6701" s="1" t="n">
        <v>45363</v>
      </c>
      <c r="D6701" t="inlineStr">
        <is>
          <t>JÄMTLANDS LÄN</t>
        </is>
      </c>
      <c r="E6701" t="inlineStr">
        <is>
          <t>STRÖMSUND</t>
        </is>
      </c>
      <c r="F6701" t="inlineStr">
        <is>
          <t>SCA</t>
        </is>
      </c>
      <c r="G6701" t="n">
        <v>6.6</v>
      </c>
      <c r="H6701" t="n">
        <v>0</v>
      </c>
      <c r="I6701" t="n">
        <v>0</v>
      </c>
      <c r="J6701" t="n">
        <v>0</v>
      </c>
      <c r="K6701" t="n">
        <v>0</v>
      </c>
      <c r="L6701" t="n">
        <v>0</v>
      </c>
      <c r="M6701" t="n">
        <v>0</v>
      </c>
      <c r="N6701" t="n">
        <v>0</v>
      </c>
      <c r="O6701" t="n">
        <v>0</v>
      </c>
      <c r="P6701" t="n">
        <v>0</v>
      </c>
      <c r="Q6701" t="n">
        <v>0</v>
      </c>
      <c r="R6701" s="2" t="inlineStr"/>
    </row>
    <row r="6702" ht="15" customHeight="1">
      <c r="A6702" t="inlineStr">
        <is>
          <t>A 46345-2022</t>
        </is>
      </c>
      <c r="B6702" s="1" t="n">
        <v>44848</v>
      </c>
      <c r="C6702" s="1" t="n">
        <v>45363</v>
      </c>
      <c r="D6702" t="inlineStr">
        <is>
          <t>JÄMTLANDS LÄN</t>
        </is>
      </c>
      <c r="E6702" t="inlineStr">
        <is>
          <t>STRÖMSUND</t>
        </is>
      </c>
      <c r="F6702" t="inlineStr">
        <is>
          <t>SCA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46322-2022</t>
        </is>
      </c>
      <c r="B6703" s="1" t="n">
        <v>44848</v>
      </c>
      <c r="C6703" s="1" t="n">
        <v>45363</v>
      </c>
      <c r="D6703" t="inlineStr">
        <is>
          <t>JÄMTLANDS LÄN</t>
        </is>
      </c>
      <c r="E6703" t="inlineStr">
        <is>
          <t>STRÖMSUND</t>
        </is>
      </c>
      <c r="F6703" t="inlineStr">
        <is>
          <t>SCA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46335-2022</t>
        </is>
      </c>
      <c r="B6704" s="1" t="n">
        <v>44848</v>
      </c>
      <c r="C6704" s="1" t="n">
        <v>45363</v>
      </c>
      <c r="D6704" t="inlineStr">
        <is>
          <t>JÄMTLANDS LÄN</t>
        </is>
      </c>
      <c r="E6704" t="inlineStr">
        <is>
          <t>STRÖMSUND</t>
        </is>
      </c>
      <c r="F6704" t="inlineStr">
        <is>
          <t>SCA</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46339-2022</t>
        </is>
      </c>
      <c r="B6705" s="1" t="n">
        <v>44848</v>
      </c>
      <c r="C6705" s="1" t="n">
        <v>45363</v>
      </c>
      <c r="D6705" t="inlineStr">
        <is>
          <t>JÄMTLANDS LÄN</t>
        </is>
      </c>
      <c r="E6705" t="inlineStr">
        <is>
          <t>STRÖMSUND</t>
        </is>
      </c>
      <c r="F6705" t="inlineStr">
        <is>
          <t>SCA</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46753-2022</t>
        </is>
      </c>
      <c r="B6706" s="1" t="n">
        <v>44847</v>
      </c>
      <c r="C6706" s="1" t="n">
        <v>45363</v>
      </c>
      <c r="D6706" t="inlineStr">
        <is>
          <t>JÄMTLANDS LÄN</t>
        </is>
      </c>
      <c r="E6706" t="inlineStr">
        <is>
          <t>KROKOM</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46761-2022</t>
        </is>
      </c>
      <c r="B6707" s="1" t="n">
        <v>44847</v>
      </c>
      <c r="C6707" s="1" t="n">
        <v>45363</v>
      </c>
      <c r="D6707" t="inlineStr">
        <is>
          <t>JÄMTLANDS LÄN</t>
        </is>
      </c>
      <c r="E6707" t="inlineStr">
        <is>
          <t>KROKOM</t>
        </is>
      </c>
      <c r="G6707" t="n">
        <v>0.2</v>
      </c>
      <c r="H6707" t="n">
        <v>0</v>
      </c>
      <c r="I6707" t="n">
        <v>0</v>
      </c>
      <c r="J6707" t="n">
        <v>0</v>
      </c>
      <c r="K6707" t="n">
        <v>0</v>
      </c>
      <c r="L6707" t="n">
        <v>0</v>
      </c>
      <c r="M6707" t="n">
        <v>0</v>
      </c>
      <c r="N6707" t="n">
        <v>0</v>
      </c>
      <c r="O6707" t="n">
        <v>0</v>
      </c>
      <c r="P6707" t="n">
        <v>0</v>
      </c>
      <c r="Q6707" t="n">
        <v>0</v>
      </c>
      <c r="R6707" s="2" t="inlineStr"/>
    </row>
    <row r="6708" ht="15" customHeight="1">
      <c r="A6708" t="inlineStr">
        <is>
          <t>A 46491-2022</t>
        </is>
      </c>
      <c r="B6708" s="1" t="n">
        <v>44848</v>
      </c>
      <c r="C6708" s="1" t="n">
        <v>45363</v>
      </c>
      <c r="D6708" t="inlineStr">
        <is>
          <t>JÄMTLANDS LÄN</t>
        </is>
      </c>
      <c r="E6708" t="inlineStr">
        <is>
          <t>ÅRE</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46497-2022</t>
        </is>
      </c>
      <c r="B6709" s="1" t="n">
        <v>44848</v>
      </c>
      <c r="C6709" s="1" t="n">
        <v>45363</v>
      </c>
      <c r="D6709" t="inlineStr">
        <is>
          <t>JÄMTLANDS LÄN</t>
        </is>
      </c>
      <c r="E6709" t="inlineStr">
        <is>
          <t>ÅRE</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46507-2022</t>
        </is>
      </c>
      <c r="B6710" s="1" t="n">
        <v>44848</v>
      </c>
      <c r="C6710" s="1" t="n">
        <v>45363</v>
      </c>
      <c r="D6710" t="inlineStr">
        <is>
          <t>JÄMTLANDS LÄN</t>
        </is>
      </c>
      <c r="E6710" t="inlineStr">
        <is>
          <t>KROKOM</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46488-2022</t>
        </is>
      </c>
      <c r="B6711" s="1" t="n">
        <v>44848</v>
      </c>
      <c r="C6711" s="1" t="n">
        <v>45363</v>
      </c>
      <c r="D6711" t="inlineStr">
        <is>
          <t>JÄMTLANDS LÄN</t>
        </is>
      </c>
      <c r="E6711" t="inlineStr">
        <is>
          <t>ÅRE</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46494-2022</t>
        </is>
      </c>
      <c r="B6712" s="1" t="n">
        <v>44848</v>
      </c>
      <c r="C6712" s="1" t="n">
        <v>45363</v>
      </c>
      <c r="D6712" t="inlineStr">
        <is>
          <t>JÄMTLANDS LÄN</t>
        </is>
      </c>
      <c r="E6712" t="inlineStr">
        <is>
          <t>ÅRE</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46506-2022</t>
        </is>
      </c>
      <c r="B6713" s="1" t="n">
        <v>44848</v>
      </c>
      <c r="C6713" s="1" t="n">
        <v>45363</v>
      </c>
      <c r="D6713" t="inlineStr">
        <is>
          <t>JÄMTLANDS LÄN</t>
        </is>
      </c>
      <c r="E6713" t="inlineStr">
        <is>
          <t>KROKOM</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46519-2022</t>
        </is>
      </c>
      <c r="B6714" s="1" t="n">
        <v>44848</v>
      </c>
      <c r="C6714" s="1" t="n">
        <v>45363</v>
      </c>
      <c r="D6714" t="inlineStr">
        <is>
          <t>JÄMTLANDS LÄN</t>
        </is>
      </c>
      <c r="E6714" t="inlineStr">
        <is>
          <t>KROKOM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46598-2022</t>
        </is>
      </c>
      <c r="B6715" s="1" t="n">
        <v>44848</v>
      </c>
      <c r="C6715" s="1" t="n">
        <v>45363</v>
      </c>
      <c r="D6715" t="inlineStr">
        <is>
          <t>JÄMTLANDS LÄN</t>
        </is>
      </c>
      <c r="E6715" t="inlineStr">
        <is>
          <t>BRÄCKE</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46623-2022</t>
        </is>
      </c>
      <c r="B6716" s="1" t="n">
        <v>44849</v>
      </c>
      <c r="C6716" s="1" t="n">
        <v>45363</v>
      </c>
      <c r="D6716" t="inlineStr">
        <is>
          <t>JÄMTLANDS LÄN</t>
        </is>
      </c>
      <c r="E6716" t="inlineStr">
        <is>
          <t>BRÄCKE</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46602-2022</t>
        </is>
      </c>
      <c r="B6717" s="1" t="n">
        <v>44848</v>
      </c>
      <c r="C6717" s="1" t="n">
        <v>45363</v>
      </c>
      <c r="D6717" t="inlineStr">
        <is>
          <t>JÄMTLANDS LÄN</t>
        </is>
      </c>
      <c r="E6717" t="inlineStr">
        <is>
          <t>BRÄCKE</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46597-2022</t>
        </is>
      </c>
      <c r="B6718" s="1" t="n">
        <v>44848</v>
      </c>
      <c r="C6718" s="1" t="n">
        <v>45363</v>
      </c>
      <c r="D6718" t="inlineStr">
        <is>
          <t>JÄMTLANDS LÄN</t>
        </is>
      </c>
      <c r="E6718" t="inlineStr">
        <is>
          <t>BRÄCKE</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46631-2022</t>
        </is>
      </c>
      <c r="B6719" s="1" t="n">
        <v>44848</v>
      </c>
      <c r="C6719" s="1" t="n">
        <v>45363</v>
      </c>
      <c r="D6719" t="inlineStr">
        <is>
          <t>JÄMTLANDS LÄN</t>
        </is>
      </c>
      <c r="E6719" t="inlineStr">
        <is>
          <t>KROKOM</t>
        </is>
      </c>
      <c r="G6719" t="n">
        <v>14.3</v>
      </c>
      <c r="H6719" t="n">
        <v>0</v>
      </c>
      <c r="I6719" t="n">
        <v>0</v>
      </c>
      <c r="J6719" t="n">
        <v>0</v>
      </c>
      <c r="K6719" t="n">
        <v>0</v>
      </c>
      <c r="L6719" t="n">
        <v>0</v>
      </c>
      <c r="M6719" t="n">
        <v>0</v>
      </c>
      <c r="N6719" t="n">
        <v>0</v>
      </c>
      <c r="O6719" t="n">
        <v>0</v>
      </c>
      <c r="P6719" t="n">
        <v>0</v>
      </c>
      <c r="Q6719" t="n">
        <v>0</v>
      </c>
      <c r="R6719" s="2" t="inlineStr"/>
    </row>
    <row r="6720" ht="15" customHeight="1">
      <c r="A6720" t="inlineStr">
        <is>
          <t>A 46601-2022</t>
        </is>
      </c>
      <c r="B6720" s="1" t="n">
        <v>44848</v>
      </c>
      <c r="C6720" s="1" t="n">
        <v>45363</v>
      </c>
      <c r="D6720" t="inlineStr">
        <is>
          <t>JÄMTLANDS LÄN</t>
        </is>
      </c>
      <c r="E6720" t="inlineStr">
        <is>
          <t>BRÄCKE</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46633-2022</t>
        </is>
      </c>
      <c r="B6721" s="1" t="n">
        <v>44849</v>
      </c>
      <c r="C6721" s="1" t="n">
        <v>45363</v>
      </c>
      <c r="D6721" t="inlineStr">
        <is>
          <t>JÄMTLANDS LÄN</t>
        </is>
      </c>
      <c r="E6721" t="inlineStr">
        <is>
          <t>STRÖMSUND</t>
        </is>
      </c>
      <c r="F6721" t="inlineStr">
        <is>
          <t>SCA</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46649-2022</t>
        </is>
      </c>
      <c r="B6722" s="1" t="n">
        <v>44849</v>
      </c>
      <c r="C6722" s="1" t="n">
        <v>45363</v>
      </c>
      <c r="D6722" t="inlineStr">
        <is>
          <t>JÄMTLANDS LÄN</t>
        </is>
      </c>
      <c r="E6722" t="inlineStr">
        <is>
          <t>BRÄCKE</t>
        </is>
      </c>
      <c r="F6722" t="inlineStr">
        <is>
          <t>SCA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46644-2022</t>
        </is>
      </c>
      <c r="B6723" s="1" t="n">
        <v>44849</v>
      </c>
      <c r="C6723" s="1" t="n">
        <v>45363</v>
      </c>
      <c r="D6723" t="inlineStr">
        <is>
          <t>JÄMTLANDS LÄN</t>
        </is>
      </c>
      <c r="E6723" t="inlineStr">
        <is>
          <t>KROKOM</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46744-2022</t>
        </is>
      </c>
      <c r="B6724" s="1" t="n">
        <v>44851</v>
      </c>
      <c r="C6724" s="1" t="n">
        <v>45363</v>
      </c>
      <c r="D6724" t="inlineStr">
        <is>
          <t>JÄMTLANDS LÄN</t>
        </is>
      </c>
      <c r="E6724" t="inlineStr">
        <is>
          <t>ÅRE</t>
        </is>
      </c>
      <c r="F6724" t="inlineStr">
        <is>
          <t>Övriga Aktiebolag</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46975-2022</t>
        </is>
      </c>
      <c r="B6725" s="1" t="n">
        <v>44851</v>
      </c>
      <c r="C6725" s="1" t="n">
        <v>45363</v>
      </c>
      <c r="D6725" t="inlineStr">
        <is>
          <t>JÄMTLANDS LÄN</t>
        </is>
      </c>
      <c r="E6725" t="inlineStr">
        <is>
          <t>STRÖMSUND</t>
        </is>
      </c>
      <c r="F6725" t="inlineStr">
        <is>
          <t>SCA</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46825-2022</t>
        </is>
      </c>
      <c r="B6726" s="1" t="n">
        <v>44851</v>
      </c>
      <c r="C6726" s="1" t="n">
        <v>45363</v>
      </c>
      <c r="D6726" t="inlineStr">
        <is>
          <t>JÄMTLANDS LÄN</t>
        </is>
      </c>
      <c r="E6726" t="inlineStr">
        <is>
          <t>KROKOM</t>
        </is>
      </c>
      <c r="F6726" t="inlineStr">
        <is>
          <t>Övriga Aktiebolag</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46953-2022</t>
        </is>
      </c>
      <c r="B6727" s="1" t="n">
        <v>44852</v>
      </c>
      <c r="C6727" s="1" t="n">
        <v>45363</v>
      </c>
      <c r="D6727" t="inlineStr">
        <is>
          <t>JÄMTLANDS LÄN</t>
        </is>
      </c>
      <c r="E6727" t="inlineStr">
        <is>
          <t>STRÖMSUND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46959-2022</t>
        </is>
      </c>
      <c r="B6728" s="1" t="n">
        <v>44851</v>
      </c>
      <c r="C6728" s="1" t="n">
        <v>45363</v>
      </c>
      <c r="D6728" t="inlineStr">
        <is>
          <t>JÄMTLANDS LÄN</t>
        </is>
      </c>
      <c r="E6728" t="inlineStr">
        <is>
          <t>STRÖMSUND</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46907-2022</t>
        </is>
      </c>
      <c r="B6729" s="1" t="n">
        <v>44851</v>
      </c>
      <c r="C6729" s="1" t="n">
        <v>45363</v>
      </c>
      <c r="D6729" t="inlineStr">
        <is>
          <t>JÄMTLANDS LÄN</t>
        </is>
      </c>
      <c r="E6729" t="inlineStr">
        <is>
          <t>BERG</t>
        </is>
      </c>
      <c r="G6729" t="n">
        <v>15.1</v>
      </c>
      <c r="H6729" t="n">
        <v>0</v>
      </c>
      <c r="I6729" t="n">
        <v>0</v>
      </c>
      <c r="J6729" t="n">
        <v>0</v>
      </c>
      <c r="K6729" t="n">
        <v>0</v>
      </c>
      <c r="L6729" t="n">
        <v>0</v>
      </c>
      <c r="M6729" t="n">
        <v>0</v>
      </c>
      <c r="N6729" t="n">
        <v>0</v>
      </c>
      <c r="O6729" t="n">
        <v>0</v>
      </c>
      <c r="P6729" t="n">
        <v>0</v>
      </c>
      <c r="Q6729" t="n">
        <v>0</v>
      </c>
      <c r="R6729" s="2" t="inlineStr"/>
    </row>
    <row r="6730" ht="15" customHeight="1">
      <c r="A6730" t="inlineStr">
        <is>
          <t>A 46913-2022</t>
        </is>
      </c>
      <c r="B6730" s="1" t="n">
        <v>44851</v>
      </c>
      <c r="C6730" s="1" t="n">
        <v>45363</v>
      </c>
      <c r="D6730" t="inlineStr">
        <is>
          <t>JÄMTLANDS LÄN</t>
        </is>
      </c>
      <c r="E6730" t="inlineStr">
        <is>
          <t>ÖSTERSUND</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46950-2022</t>
        </is>
      </c>
      <c r="B6731" s="1" t="n">
        <v>44851</v>
      </c>
      <c r="C6731" s="1" t="n">
        <v>45363</v>
      </c>
      <c r="D6731" t="inlineStr">
        <is>
          <t>JÄMTLANDS LÄN</t>
        </is>
      </c>
      <c r="E6731" t="inlineStr">
        <is>
          <t>STRÖMSUND</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46966-2022</t>
        </is>
      </c>
      <c r="B6732" s="1" t="n">
        <v>44852</v>
      </c>
      <c r="C6732" s="1" t="n">
        <v>45363</v>
      </c>
      <c r="D6732" t="inlineStr">
        <is>
          <t>JÄMTLANDS LÄN</t>
        </is>
      </c>
      <c r="E6732" t="inlineStr">
        <is>
          <t>BRÄCKE</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46976-2022</t>
        </is>
      </c>
      <c r="B6733" s="1" t="n">
        <v>44851</v>
      </c>
      <c r="C6733" s="1" t="n">
        <v>45363</v>
      </c>
      <c r="D6733" t="inlineStr">
        <is>
          <t>JÄMTLANDS LÄN</t>
        </is>
      </c>
      <c r="E6733" t="inlineStr">
        <is>
          <t>STRÖMSUND</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46991-2022</t>
        </is>
      </c>
      <c r="B6734" s="1" t="n">
        <v>44852</v>
      </c>
      <c r="C6734" s="1" t="n">
        <v>45363</v>
      </c>
      <c r="D6734" t="inlineStr">
        <is>
          <t>JÄMTLANDS LÄN</t>
        </is>
      </c>
      <c r="E6734" t="inlineStr">
        <is>
          <t>RAGUNDA</t>
        </is>
      </c>
      <c r="F6734" t="inlineStr">
        <is>
          <t>SCA</t>
        </is>
      </c>
      <c r="G6734" t="n">
        <v>17.3</v>
      </c>
      <c r="H6734" t="n">
        <v>0</v>
      </c>
      <c r="I6734" t="n">
        <v>0</v>
      </c>
      <c r="J6734" t="n">
        <v>0</v>
      </c>
      <c r="K6734" t="n">
        <v>0</v>
      </c>
      <c r="L6734" t="n">
        <v>0</v>
      </c>
      <c r="M6734" t="n">
        <v>0</v>
      </c>
      <c r="N6734" t="n">
        <v>0</v>
      </c>
      <c r="O6734" t="n">
        <v>0</v>
      </c>
      <c r="P6734" t="n">
        <v>0</v>
      </c>
      <c r="Q6734" t="n">
        <v>0</v>
      </c>
      <c r="R6734" s="2" t="inlineStr"/>
    </row>
    <row r="6735" ht="15" customHeight="1">
      <c r="A6735" t="inlineStr">
        <is>
          <t>A 47183-2022</t>
        </is>
      </c>
      <c r="B6735" s="1" t="n">
        <v>44851</v>
      </c>
      <c r="C6735" s="1" t="n">
        <v>45363</v>
      </c>
      <c r="D6735" t="inlineStr">
        <is>
          <t>JÄMTLANDS LÄN</t>
        </is>
      </c>
      <c r="E6735" t="inlineStr">
        <is>
          <t>BRÄCKE</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46987-2022</t>
        </is>
      </c>
      <c r="B6736" s="1" t="n">
        <v>44851</v>
      </c>
      <c r="C6736" s="1" t="n">
        <v>45363</v>
      </c>
      <c r="D6736" t="inlineStr">
        <is>
          <t>JÄMTLANDS LÄN</t>
        </is>
      </c>
      <c r="E6736" t="inlineStr">
        <is>
          <t>STRÖMSUND</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46992-2022</t>
        </is>
      </c>
      <c r="B6737" s="1" t="n">
        <v>44852</v>
      </c>
      <c r="C6737" s="1" t="n">
        <v>45363</v>
      </c>
      <c r="D6737" t="inlineStr">
        <is>
          <t>JÄMTLANDS LÄN</t>
        </is>
      </c>
      <c r="E6737" t="inlineStr">
        <is>
          <t>RAGUNDA</t>
        </is>
      </c>
      <c r="F6737" t="inlineStr">
        <is>
          <t>SCA</t>
        </is>
      </c>
      <c r="G6737" t="n">
        <v>26.4</v>
      </c>
      <c r="H6737" t="n">
        <v>0</v>
      </c>
      <c r="I6737" t="n">
        <v>0</v>
      </c>
      <c r="J6737" t="n">
        <v>0</v>
      </c>
      <c r="K6737" t="n">
        <v>0</v>
      </c>
      <c r="L6737" t="n">
        <v>0</v>
      </c>
      <c r="M6737" t="n">
        <v>0</v>
      </c>
      <c r="N6737" t="n">
        <v>0</v>
      </c>
      <c r="O6737" t="n">
        <v>0</v>
      </c>
      <c r="P6737" t="n">
        <v>0</v>
      </c>
      <c r="Q6737" t="n">
        <v>0</v>
      </c>
      <c r="R6737" s="2" t="inlineStr"/>
    </row>
    <row r="6738" ht="15" customHeight="1">
      <c r="A6738" t="inlineStr">
        <is>
          <t>A 47052-2022</t>
        </is>
      </c>
      <c r="B6738" s="1" t="n">
        <v>44851</v>
      </c>
      <c r="C6738" s="1" t="n">
        <v>45363</v>
      </c>
      <c r="D6738" t="inlineStr">
        <is>
          <t>JÄMTLANDS LÄN</t>
        </is>
      </c>
      <c r="E6738" t="inlineStr">
        <is>
          <t>ÅRE</t>
        </is>
      </c>
      <c r="G6738" t="n">
        <v>90.8</v>
      </c>
      <c r="H6738" t="n">
        <v>0</v>
      </c>
      <c r="I6738" t="n">
        <v>0</v>
      </c>
      <c r="J6738" t="n">
        <v>0</v>
      </c>
      <c r="K6738" t="n">
        <v>0</v>
      </c>
      <c r="L6738" t="n">
        <v>0</v>
      </c>
      <c r="M6738" t="n">
        <v>0</v>
      </c>
      <c r="N6738" t="n">
        <v>0</v>
      </c>
      <c r="O6738" t="n">
        <v>0</v>
      </c>
      <c r="P6738" t="n">
        <v>0</v>
      </c>
      <c r="Q6738" t="n">
        <v>0</v>
      </c>
      <c r="R6738" s="2" t="inlineStr"/>
    </row>
    <row r="6739" ht="15" customHeight="1">
      <c r="A6739" t="inlineStr">
        <is>
          <t>A 47156-2022</t>
        </is>
      </c>
      <c r="B6739" s="1" t="n">
        <v>44852</v>
      </c>
      <c r="C6739" s="1" t="n">
        <v>45363</v>
      </c>
      <c r="D6739" t="inlineStr">
        <is>
          <t>JÄMTLANDS LÄN</t>
        </is>
      </c>
      <c r="E6739" t="inlineStr">
        <is>
          <t>STRÖMSUND</t>
        </is>
      </c>
      <c r="F6739" t="inlineStr">
        <is>
          <t>Holmen skog AB</t>
        </is>
      </c>
      <c r="G6739" t="n">
        <v>15.1</v>
      </c>
      <c r="H6739" t="n">
        <v>0</v>
      </c>
      <c r="I6739" t="n">
        <v>0</v>
      </c>
      <c r="J6739" t="n">
        <v>0</v>
      </c>
      <c r="K6739" t="n">
        <v>0</v>
      </c>
      <c r="L6739" t="n">
        <v>0</v>
      </c>
      <c r="M6739" t="n">
        <v>0</v>
      </c>
      <c r="N6739" t="n">
        <v>0</v>
      </c>
      <c r="O6739" t="n">
        <v>0</v>
      </c>
      <c r="P6739" t="n">
        <v>0</v>
      </c>
      <c r="Q6739" t="n">
        <v>0</v>
      </c>
      <c r="R6739" s="2" t="inlineStr"/>
    </row>
    <row r="6740" ht="15" customHeight="1">
      <c r="A6740" t="inlineStr">
        <is>
          <t>A 47262-2022</t>
        </is>
      </c>
      <c r="B6740" s="1" t="n">
        <v>44852</v>
      </c>
      <c r="C6740" s="1" t="n">
        <v>45363</v>
      </c>
      <c r="D6740" t="inlineStr">
        <is>
          <t>JÄMTLANDS LÄN</t>
        </is>
      </c>
      <c r="E6740" t="inlineStr">
        <is>
          <t>RAGUNDA</t>
        </is>
      </c>
      <c r="F6740" t="inlineStr">
        <is>
          <t>SCA</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47267-2022</t>
        </is>
      </c>
      <c r="B6741" s="1" t="n">
        <v>44852</v>
      </c>
      <c r="C6741" s="1" t="n">
        <v>45363</v>
      </c>
      <c r="D6741" t="inlineStr">
        <is>
          <t>JÄMTLANDS LÄN</t>
        </is>
      </c>
      <c r="E6741" t="inlineStr">
        <is>
          <t>RAGUNDA</t>
        </is>
      </c>
      <c r="F6741" t="inlineStr">
        <is>
          <t>SCA</t>
        </is>
      </c>
      <c r="G6741" t="n">
        <v>82.8</v>
      </c>
      <c r="H6741" t="n">
        <v>0</v>
      </c>
      <c r="I6741" t="n">
        <v>0</v>
      </c>
      <c r="J6741" t="n">
        <v>0</v>
      </c>
      <c r="K6741" t="n">
        <v>0</v>
      </c>
      <c r="L6741" t="n">
        <v>0</v>
      </c>
      <c r="M6741" t="n">
        <v>0</v>
      </c>
      <c r="N6741" t="n">
        <v>0</v>
      </c>
      <c r="O6741" t="n">
        <v>0</v>
      </c>
      <c r="P6741" t="n">
        <v>0</v>
      </c>
      <c r="Q6741" t="n">
        <v>0</v>
      </c>
      <c r="R6741" s="2" t="inlineStr"/>
    </row>
    <row r="6742" ht="15" customHeight="1">
      <c r="A6742" t="inlineStr">
        <is>
          <t>A 47248-2022</t>
        </is>
      </c>
      <c r="B6742" s="1" t="n">
        <v>44853</v>
      </c>
      <c r="C6742" s="1" t="n">
        <v>45363</v>
      </c>
      <c r="D6742" t="inlineStr">
        <is>
          <t>JÄMTLANDS LÄN</t>
        </is>
      </c>
      <c r="E6742" t="inlineStr">
        <is>
          <t>STRÖMSUND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47257-2022</t>
        </is>
      </c>
      <c r="B6743" s="1" t="n">
        <v>44852</v>
      </c>
      <c r="C6743" s="1" t="n">
        <v>45363</v>
      </c>
      <c r="D6743" t="inlineStr">
        <is>
          <t>JÄMTLANDS LÄN</t>
        </is>
      </c>
      <c r="E6743" t="inlineStr">
        <is>
          <t>BRÄCKE</t>
        </is>
      </c>
      <c r="F6743" t="inlineStr">
        <is>
          <t>SCA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47256-2022</t>
        </is>
      </c>
      <c r="B6744" s="1" t="n">
        <v>44853</v>
      </c>
      <c r="C6744" s="1" t="n">
        <v>45363</v>
      </c>
      <c r="D6744" t="inlineStr">
        <is>
          <t>JÄMTLANDS LÄN</t>
        </is>
      </c>
      <c r="E6744" t="inlineStr">
        <is>
          <t>BRÄCKE</t>
        </is>
      </c>
      <c r="F6744" t="inlineStr">
        <is>
          <t>SCA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47264-2022</t>
        </is>
      </c>
      <c r="B6745" s="1" t="n">
        <v>44853</v>
      </c>
      <c r="C6745" s="1" t="n">
        <v>45363</v>
      </c>
      <c r="D6745" t="inlineStr">
        <is>
          <t>JÄMTLANDS LÄN</t>
        </is>
      </c>
      <c r="E6745" t="inlineStr">
        <is>
          <t>BRÄCKE</t>
        </is>
      </c>
      <c r="F6745" t="inlineStr">
        <is>
          <t>SCA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47276-2022</t>
        </is>
      </c>
      <c r="B6746" s="1" t="n">
        <v>44853</v>
      </c>
      <c r="C6746" s="1" t="n">
        <v>45363</v>
      </c>
      <c r="D6746" t="inlineStr">
        <is>
          <t>JÄMTLANDS LÄN</t>
        </is>
      </c>
      <c r="E6746" t="inlineStr">
        <is>
          <t>STRÖMSUND</t>
        </is>
      </c>
      <c r="F6746" t="inlineStr">
        <is>
          <t>SCA</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47280-2022</t>
        </is>
      </c>
      <c r="B6747" s="1" t="n">
        <v>44852</v>
      </c>
      <c r="C6747" s="1" t="n">
        <v>45363</v>
      </c>
      <c r="D6747" t="inlineStr">
        <is>
          <t>JÄMTLANDS LÄN</t>
        </is>
      </c>
      <c r="E6747" t="inlineStr">
        <is>
          <t>RAGUNDA</t>
        </is>
      </c>
      <c r="F6747" t="inlineStr">
        <is>
          <t>SCA</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47291-2022</t>
        </is>
      </c>
      <c r="B6748" s="1" t="n">
        <v>44852</v>
      </c>
      <c r="C6748" s="1" t="n">
        <v>45363</v>
      </c>
      <c r="D6748" t="inlineStr">
        <is>
          <t>JÄMTLANDS LÄN</t>
        </is>
      </c>
      <c r="E6748" t="inlineStr">
        <is>
          <t>STRÖMSUND</t>
        </is>
      </c>
      <c r="F6748" t="inlineStr">
        <is>
          <t>SCA</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47296-2022</t>
        </is>
      </c>
      <c r="B6749" s="1" t="n">
        <v>44853</v>
      </c>
      <c r="C6749" s="1" t="n">
        <v>45363</v>
      </c>
      <c r="D6749" t="inlineStr">
        <is>
          <t>JÄMTLANDS LÄN</t>
        </is>
      </c>
      <c r="E6749" t="inlineStr">
        <is>
          <t>ÖSTERSUND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47297-2022</t>
        </is>
      </c>
      <c r="B6750" s="1" t="n">
        <v>44853</v>
      </c>
      <c r="C6750" s="1" t="n">
        <v>45363</v>
      </c>
      <c r="D6750" t="inlineStr">
        <is>
          <t>JÄMTLANDS LÄN</t>
        </is>
      </c>
      <c r="E6750" t="inlineStr">
        <is>
          <t>STRÖMSUND</t>
        </is>
      </c>
      <c r="F6750" t="inlineStr">
        <is>
          <t>SCA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47271-2022</t>
        </is>
      </c>
      <c r="B6751" s="1" t="n">
        <v>44852</v>
      </c>
      <c r="C6751" s="1" t="n">
        <v>45363</v>
      </c>
      <c r="D6751" t="inlineStr">
        <is>
          <t>JÄMTLANDS LÄN</t>
        </is>
      </c>
      <c r="E6751" t="inlineStr">
        <is>
          <t>STRÖMSUND</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47289-2022</t>
        </is>
      </c>
      <c r="B6752" s="1" t="n">
        <v>44853</v>
      </c>
      <c r="C6752" s="1" t="n">
        <v>45363</v>
      </c>
      <c r="D6752" t="inlineStr">
        <is>
          <t>JÄMTLANDS LÄN</t>
        </is>
      </c>
      <c r="E6752" t="inlineStr">
        <is>
          <t>STRÖMSUND</t>
        </is>
      </c>
      <c r="F6752" t="inlineStr">
        <is>
          <t>SCA</t>
        </is>
      </c>
      <c r="G6752" t="n">
        <v>44.2</v>
      </c>
      <c r="H6752" t="n">
        <v>0</v>
      </c>
      <c r="I6752" t="n">
        <v>0</v>
      </c>
      <c r="J6752" t="n">
        <v>0</v>
      </c>
      <c r="K6752" t="n">
        <v>0</v>
      </c>
      <c r="L6752" t="n">
        <v>0</v>
      </c>
      <c r="M6752" t="n">
        <v>0</v>
      </c>
      <c r="N6752" t="n">
        <v>0</v>
      </c>
      <c r="O6752" t="n">
        <v>0</v>
      </c>
      <c r="P6752" t="n">
        <v>0</v>
      </c>
      <c r="Q6752" t="n">
        <v>0</v>
      </c>
      <c r="R6752" s="2" t="inlineStr"/>
    </row>
    <row r="6753" ht="15" customHeight="1">
      <c r="A6753" t="inlineStr">
        <is>
          <t>A 47294-2022</t>
        </is>
      </c>
      <c r="B6753" s="1" t="n">
        <v>44852</v>
      </c>
      <c r="C6753" s="1" t="n">
        <v>45363</v>
      </c>
      <c r="D6753" t="inlineStr">
        <is>
          <t>JÄMTLANDS LÄN</t>
        </is>
      </c>
      <c r="E6753" t="inlineStr">
        <is>
          <t>ÖSTERSUND</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47298-2022</t>
        </is>
      </c>
      <c r="B6754" s="1" t="n">
        <v>44852</v>
      </c>
      <c r="C6754" s="1" t="n">
        <v>45363</v>
      </c>
      <c r="D6754" t="inlineStr">
        <is>
          <t>JÄMTLANDS LÄN</t>
        </is>
      </c>
      <c r="E6754" t="inlineStr">
        <is>
          <t>BRÄCKE</t>
        </is>
      </c>
      <c r="F6754" t="inlineStr">
        <is>
          <t>SCA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47278-2022</t>
        </is>
      </c>
      <c r="B6755" s="1" t="n">
        <v>44852</v>
      </c>
      <c r="C6755" s="1" t="n">
        <v>45363</v>
      </c>
      <c r="D6755" t="inlineStr">
        <is>
          <t>JÄMTLANDS LÄN</t>
        </is>
      </c>
      <c r="E6755" t="inlineStr">
        <is>
          <t>RAGUNDA</t>
        </is>
      </c>
      <c r="F6755" t="inlineStr">
        <is>
          <t>SCA</t>
        </is>
      </c>
      <c r="G6755" t="n">
        <v>10.1</v>
      </c>
      <c r="H6755" t="n">
        <v>0</v>
      </c>
      <c r="I6755" t="n">
        <v>0</v>
      </c>
      <c r="J6755" t="n">
        <v>0</v>
      </c>
      <c r="K6755" t="n">
        <v>0</v>
      </c>
      <c r="L6755" t="n">
        <v>0</v>
      </c>
      <c r="M6755" t="n">
        <v>0</v>
      </c>
      <c r="N6755" t="n">
        <v>0</v>
      </c>
      <c r="O6755" t="n">
        <v>0</v>
      </c>
      <c r="P6755" t="n">
        <v>0</v>
      </c>
      <c r="Q6755" t="n">
        <v>0</v>
      </c>
      <c r="R6755" s="2" t="inlineStr"/>
    </row>
    <row r="6756" ht="15" customHeight="1">
      <c r="A6756" t="inlineStr">
        <is>
          <t>A 47290-2022</t>
        </is>
      </c>
      <c r="B6756" s="1" t="n">
        <v>44852</v>
      </c>
      <c r="C6756" s="1" t="n">
        <v>45363</v>
      </c>
      <c r="D6756" t="inlineStr">
        <is>
          <t>JÄMTLANDS LÄN</t>
        </is>
      </c>
      <c r="E6756" t="inlineStr">
        <is>
          <t>STRÖMSUND</t>
        </is>
      </c>
      <c r="F6756" t="inlineStr">
        <is>
          <t>SCA</t>
        </is>
      </c>
      <c r="G6756" t="n">
        <v>9</v>
      </c>
      <c r="H6756" t="n">
        <v>0</v>
      </c>
      <c r="I6756" t="n">
        <v>0</v>
      </c>
      <c r="J6756" t="n">
        <v>0</v>
      </c>
      <c r="K6756" t="n">
        <v>0</v>
      </c>
      <c r="L6756" t="n">
        <v>0</v>
      </c>
      <c r="M6756" t="n">
        <v>0</v>
      </c>
      <c r="N6756" t="n">
        <v>0</v>
      </c>
      <c r="O6756" t="n">
        <v>0</v>
      </c>
      <c r="P6756" t="n">
        <v>0</v>
      </c>
      <c r="Q6756" t="n">
        <v>0</v>
      </c>
      <c r="R6756" s="2" t="inlineStr"/>
    </row>
    <row r="6757" ht="15" customHeight="1">
      <c r="A6757" t="inlineStr">
        <is>
          <t>A 47295-2022</t>
        </is>
      </c>
      <c r="B6757" s="1" t="n">
        <v>44852</v>
      </c>
      <c r="C6757" s="1" t="n">
        <v>45363</v>
      </c>
      <c r="D6757" t="inlineStr">
        <is>
          <t>JÄMTLANDS LÄN</t>
        </is>
      </c>
      <c r="E6757" t="inlineStr">
        <is>
          <t>ÖSTERSUND</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47098-2022</t>
        </is>
      </c>
      <c r="B6758" s="1" t="n">
        <v>44852</v>
      </c>
      <c r="C6758" s="1" t="n">
        <v>45363</v>
      </c>
      <c r="D6758" t="inlineStr">
        <is>
          <t>JÄMTLANDS LÄN</t>
        </is>
      </c>
      <c r="E6758" t="inlineStr">
        <is>
          <t>STRÖMSUND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47561-2022</t>
        </is>
      </c>
      <c r="B6759" s="1" t="n">
        <v>44854</v>
      </c>
      <c r="C6759" s="1" t="n">
        <v>45363</v>
      </c>
      <c r="D6759" t="inlineStr">
        <is>
          <t>JÄMTLANDS LÄN</t>
        </is>
      </c>
      <c r="E6759" t="inlineStr">
        <is>
          <t>BRÄCKE</t>
        </is>
      </c>
      <c r="F6759" t="inlineStr">
        <is>
          <t>SCA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47567-2022</t>
        </is>
      </c>
      <c r="B6760" s="1" t="n">
        <v>44853</v>
      </c>
      <c r="C6760" s="1" t="n">
        <v>45363</v>
      </c>
      <c r="D6760" t="inlineStr">
        <is>
          <t>JÄMTLANDS LÄN</t>
        </is>
      </c>
      <c r="E6760" t="inlineStr">
        <is>
          <t>RAGUNDA</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47360-2022</t>
        </is>
      </c>
      <c r="B6761" s="1" t="n">
        <v>44853</v>
      </c>
      <c r="C6761" s="1" t="n">
        <v>45363</v>
      </c>
      <c r="D6761" t="inlineStr">
        <is>
          <t>JÄMTLANDS LÄN</t>
        </is>
      </c>
      <c r="E6761" t="inlineStr">
        <is>
          <t>STRÖMSUND</t>
        </is>
      </c>
      <c r="F6761" t="inlineStr">
        <is>
          <t>Holmen skog AB</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47351-2022</t>
        </is>
      </c>
      <c r="B6762" s="1" t="n">
        <v>44853</v>
      </c>
      <c r="C6762" s="1" t="n">
        <v>45363</v>
      </c>
      <c r="D6762" t="inlineStr">
        <is>
          <t>JÄMTLANDS LÄN</t>
        </is>
      </c>
      <c r="E6762" t="inlineStr">
        <is>
          <t>HÄRJEDALEN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47391-2022</t>
        </is>
      </c>
      <c r="B6763" s="1" t="n">
        <v>44853</v>
      </c>
      <c r="C6763" s="1" t="n">
        <v>45363</v>
      </c>
      <c r="D6763" t="inlineStr">
        <is>
          <t>JÄMTLANDS LÄN</t>
        </is>
      </c>
      <c r="E6763" t="inlineStr">
        <is>
          <t>STRÖMSUND</t>
        </is>
      </c>
      <c r="F6763" t="inlineStr">
        <is>
          <t>Holmen skog AB</t>
        </is>
      </c>
      <c r="G6763" t="n">
        <v>11.8</v>
      </c>
      <c r="H6763" t="n">
        <v>0</v>
      </c>
      <c r="I6763" t="n">
        <v>0</v>
      </c>
      <c r="J6763" t="n">
        <v>0</v>
      </c>
      <c r="K6763" t="n">
        <v>0</v>
      </c>
      <c r="L6763" t="n">
        <v>0</v>
      </c>
      <c r="M6763" t="n">
        <v>0</v>
      </c>
      <c r="N6763" t="n">
        <v>0</v>
      </c>
      <c r="O6763" t="n">
        <v>0</v>
      </c>
      <c r="P6763" t="n">
        <v>0</v>
      </c>
      <c r="Q6763" t="n">
        <v>0</v>
      </c>
      <c r="R6763" s="2" t="inlineStr"/>
    </row>
    <row r="6764" ht="15" customHeight="1">
      <c r="A6764" t="inlineStr">
        <is>
          <t>A 47432-2022</t>
        </is>
      </c>
      <c r="B6764" s="1" t="n">
        <v>44853</v>
      </c>
      <c r="C6764" s="1" t="n">
        <v>45363</v>
      </c>
      <c r="D6764" t="inlineStr">
        <is>
          <t>JÄMTLANDS LÄN</t>
        </is>
      </c>
      <c r="E6764" t="inlineStr">
        <is>
          <t>BERG</t>
        </is>
      </c>
      <c r="F6764" t="inlineStr">
        <is>
          <t>Sveaskog</t>
        </is>
      </c>
      <c r="G6764" t="n">
        <v>9.1</v>
      </c>
      <c r="H6764" t="n">
        <v>0</v>
      </c>
      <c r="I6764" t="n">
        <v>0</v>
      </c>
      <c r="J6764" t="n">
        <v>0</v>
      </c>
      <c r="K6764" t="n">
        <v>0</v>
      </c>
      <c r="L6764" t="n">
        <v>0</v>
      </c>
      <c r="M6764" t="n">
        <v>0</v>
      </c>
      <c r="N6764" t="n">
        <v>0</v>
      </c>
      <c r="O6764" t="n">
        <v>0</v>
      </c>
      <c r="P6764" t="n">
        <v>0</v>
      </c>
      <c r="Q6764" t="n">
        <v>0</v>
      </c>
      <c r="R6764" s="2" t="inlineStr"/>
    </row>
    <row r="6765" ht="15" customHeight="1">
      <c r="A6765" t="inlineStr">
        <is>
          <t>A 47577-2022</t>
        </is>
      </c>
      <c r="B6765" s="1" t="n">
        <v>44853</v>
      </c>
      <c r="C6765" s="1" t="n">
        <v>45363</v>
      </c>
      <c r="D6765" t="inlineStr">
        <is>
          <t>JÄMTLANDS LÄN</t>
        </is>
      </c>
      <c r="E6765" t="inlineStr">
        <is>
          <t>STRÖMSUND</t>
        </is>
      </c>
      <c r="F6765" t="inlineStr">
        <is>
          <t>SCA</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47450-2022</t>
        </is>
      </c>
      <c r="B6766" s="1" t="n">
        <v>44853</v>
      </c>
      <c r="C6766" s="1" t="n">
        <v>45363</v>
      </c>
      <c r="D6766" t="inlineStr">
        <is>
          <t>JÄMTLANDS LÄN</t>
        </is>
      </c>
      <c r="E6766" t="inlineStr">
        <is>
          <t>HÄRJEDALEN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47566-2022</t>
        </is>
      </c>
      <c r="B6767" s="1" t="n">
        <v>44854</v>
      </c>
      <c r="C6767" s="1" t="n">
        <v>45363</v>
      </c>
      <c r="D6767" t="inlineStr">
        <is>
          <t>JÄMTLANDS LÄN</t>
        </is>
      </c>
      <c r="E6767" t="inlineStr">
        <is>
          <t>STRÖMSUND</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47568-2022</t>
        </is>
      </c>
      <c r="B6768" s="1" t="n">
        <v>44854</v>
      </c>
      <c r="C6768" s="1" t="n">
        <v>45363</v>
      </c>
      <c r="D6768" t="inlineStr">
        <is>
          <t>JÄMTLANDS LÄN</t>
        </is>
      </c>
      <c r="E6768" t="inlineStr">
        <is>
          <t>RAGUNDA</t>
        </is>
      </c>
      <c r="F6768" t="inlineStr">
        <is>
          <t>SCA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47574-2022</t>
        </is>
      </c>
      <c r="B6769" s="1" t="n">
        <v>44853</v>
      </c>
      <c r="C6769" s="1" t="n">
        <v>45363</v>
      </c>
      <c r="D6769" t="inlineStr">
        <is>
          <t>JÄMTLANDS LÄN</t>
        </is>
      </c>
      <c r="E6769" t="inlineStr">
        <is>
          <t>BRÄCKE</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47578-2022</t>
        </is>
      </c>
      <c r="B6770" s="1" t="n">
        <v>44853</v>
      </c>
      <c r="C6770" s="1" t="n">
        <v>45363</v>
      </c>
      <c r="D6770" t="inlineStr">
        <is>
          <t>JÄMTLANDS LÄN</t>
        </is>
      </c>
      <c r="E6770" t="inlineStr">
        <is>
          <t>STRÖMSUND</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47579-2022</t>
        </is>
      </c>
      <c r="B6771" s="1" t="n">
        <v>44854</v>
      </c>
      <c r="C6771" s="1" t="n">
        <v>45363</v>
      </c>
      <c r="D6771" t="inlineStr">
        <is>
          <t>JÄMTLANDS LÄN</t>
        </is>
      </c>
      <c r="E6771" t="inlineStr">
        <is>
          <t>STRÖMSUND</t>
        </is>
      </c>
      <c r="F6771" t="inlineStr">
        <is>
          <t>SCA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47982-2022</t>
        </is>
      </c>
      <c r="B6772" s="1" t="n">
        <v>44853</v>
      </c>
      <c r="C6772" s="1" t="n">
        <v>45363</v>
      </c>
      <c r="D6772" t="inlineStr">
        <is>
          <t>JÄMTLANDS LÄN</t>
        </is>
      </c>
      <c r="E6772" t="inlineStr">
        <is>
          <t>BERG</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47967-2022</t>
        </is>
      </c>
      <c r="B6773" s="1" t="n">
        <v>44853</v>
      </c>
      <c r="C6773" s="1" t="n">
        <v>45363</v>
      </c>
      <c r="D6773" t="inlineStr">
        <is>
          <t>JÄMTLANDS LÄN</t>
        </is>
      </c>
      <c r="E6773" t="inlineStr">
        <is>
          <t>BERG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47986-2022</t>
        </is>
      </c>
      <c r="B6774" s="1" t="n">
        <v>44853</v>
      </c>
      <c r="C6774" s="1" t="n">
        <v>45363</v>
      </c>
      <c r="D6774" t="inlineStr">
        <is>
          <t>JÄMTLANDS LÄN</t>
        </is>
      </c>
      <c r="E6774" t="inlineStr">
        <is>
          <t>BERG</t>
        </is>
      </c>
      <c r="G6774" t="n">
        <v>22.1</v>
      </c>
      <c r="H6774" t="n">
        <v>0</v>
      </c>
      <c r="I6774" t="n">
        <v>0</v>
      </c>
      <c r="J6774" t="n">
        <v>0</v>
      </c>
      <c r="K6774" t="n">
        <v>0</v>
      </c>
      <c r="L6774" t="n">
        <v>0</v>
      </c>
      <c r="M6774" t="n">
        <v>0</v>
      </c>
      <c r="N6774" t="n">
        <v>0</v>
      </c>
      <c r="O6774" t="n">
        <v>0</v>
      </c>
      <c r="P6774" t="n">
        <v>0</v>
      </c>
      <c r="Q6774" t="n">
        <v>0</v>
      </c>
      <c r="R6774" s="2" t="inlineStr"/>
    </row>
    <row r="6775" ht="15" customHeight="1">
      <c r="A6775" t="inlineStr">
        <is>
          <t>A 47978-2022</t>
        </is>
      </c>
      <c r="B6775" s="1" t="n">
        <v>44853</v>
      </c>
      <c r="C6775" s="1" t="n">
        <v>45363</v>
      </c>
      <c r="D6775" t="inlineStr">
        <is>
          <t>JÄMTLANDS LÄN</t>
        </is>
      </c>
      <c r="E6775" t="inlineStr">
        <is>
          <t>BERG</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47635-2022</t>
        </is>
      </c>
      <c r="B6776" s="1" t="n">
        <v>44854</v>
      </c>
      <c r="C6776" s="1" t="n">
        <v>45363</v>
      </c>
      <c r="D6776" t="inlineStr">
        <is>
          <t>JÄMTLANDS LÄN</t>
        </is>
      </c>
      <c r="E6776" t="inlineStr">
        <is>
          <t>HÄRJEDALEN</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47664-2022</t>
        </is>
      </c>
      <c r="B6777" s="1" t="n">
        <v>44854</v>
      </c>
      <c r="C6777" s="1" t="n">
        <v>45363</v>
      </c>
      <c r="D6777" t="inlineStr">
        <is>
          <t>JÄMTLANDS LÄN</t>
        </is>
      </c>
      <c r="E6777" t="inlineStr">
        <is>
          <t>ÅRE</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47636-2022</t>
        </is>
      </c>
      <c r="B6778" s="1" t="n">
        <v>44854</v>
      </c>
      <c r="C6778" s="1" t="n">
        <v>45363</v>
      </c>
      <c r="D6778" t="inlineStr">
        <is>
          <t>JÄMTLANDS LÄN</t>
        </is>
      </c>
      <c r="E6778" t="inlineStr">
        <is>
          <t>STRÖMSUND</t>
        </is>
      </c>
      <c r="F6778" t="inlineStr">
        <is>
          <t>Holmen skog AB</t>
        </is>
      </c>
      <c r="G6778" t="n">
        <v>18.7</v>
      </c>
      <c r="H6778" t="n">
        <v>0</v>
      </c>
      <c r="I6778" t="n">
        <v>0</v>
      </c>
      <c r="J6778" t="n">
        <v>0</v>
      </c>
      <c r="K6778" t="n">
        <v>0</v>
      </c>
      <c r="L6778" t="n">
        <v>0</v>
      </c>
      <c r="M6778" t="n">
        <v>0</v>
      </c>
      <c r="N6778" t="n">
        <v>0</v>
      </c>
      <c r="O6778" t="n">
        <v>0</v>
      </c>
      <c r="P6778" t="n">
        <v>0</v>
      </c>
      <c r="Q6778" t="n">
        <v>0</v>
      </c>
      <c r="R6778" s="2" t="inlineStr"/>
    </row>
    <row r="6779" ht="15" customHeight="1">
      <c r="A6779" t="inlineStr">
        <is>
          <t>A 47738-2022</t>
        </is>
      </c>
      <c r="B6779" s="1" t="n">
        <v>44854</v>
      </c>
      <c r="C6779" s="1" t="n">
        <v>45363</v>
      </c>
      <c r="D6779" t="inlineStr">
        <is>
          <t>JÄMTLANDS LÄN</t>
        </is>
      </c>
      <c r="E6779" t="inlineStr">
        <is>
          <t>HÄRJEDALEN</t>
        </is>
      </c>
      <c r="F6779" t="inlineStr">
        <is>
          <t>Sveaskog</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47801-2022</t>
        </is>
      </c>
      <c r="B6780" s="1" t="n">
        <v>44854</v>
      </c>
      <c r="C6780" s="1" t="n">
        <v>45363</v>
      </c>
      <c r="D6780" t="inlineStr">
        <is>
          <t>JÄMTLANDS LÄN</t>
        </is>
      </c>
      <c r="E6780" t="inlineStr">
        <is>
          <t>RAGUNDA</t>
        </is>
      </c>
      <c r="F6780" t="inlineStr">
        <is>
          <t>SCA</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47803-2022</t>
        </is>
      </c>
      <c r="B6781" s="1" t="n">
        <v>44855</v>
      </c>
      <c r="C6781" s="1" t="n">
        <v>45363</v>
      </c>
      <c r="D6781" t="inlineStr">
        <is>
          <t>JÄMTLANDS LÄN</t>
        </is>
      </c>
      <c r="E6781" t="inlineStr">
        <is>
          <t>RAGUNDA</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47810-2022</t>
        </is>
      </c>
      <c r="B6782" s="1" t="n">
        <v>44855</v>
      </c>
      <c r="C6782" s="1" t="n">
        <v>45363</v>
      </c>
      <c r="D6782" t="inlineStr">
        <is>
          <t>JÄMTLANDS LÄN</t>
        </is>
      </c>
      <c r="E6782" t="inlineStr">
        <is>
          <t>STRÖMSUND</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48564-2022</t>
        </is>
      </c>
      <c r="B6783" s="1" t="n">
        <v>44854</v>
      </c>
      <c r="C6783" s="1" t="n">
        <v>45363</v>
      </c>
      <c r="D6783" t="inlineStr">
        <is>
          <t>JÄMTLANDS LÄN</t>
        </is>
      </c>
      <c r="E6783" t="inlineStr">
        <is>
          <t>STRÖMSUND</t>
        </is>
      </c>
      <c r="G6783" t="n">
        <v>10.2</v>
      </c>
      <c r="H6783" t="n">
        <v>0</v>
      </c>
      <c r="I6783" t="n">
        <v>0</v>
      </c>
      <c r="J6783" t="n">
        <v>0</v>
      </c>
      <c r="K6783" t="n">
        <v>0</v>
      </c>
      <c r="L6783" t="n">
        <v>0</v>
      </c>
      <c r="M6783" t="n">
        <v>0</v>
      </c>
      <c r="N6783" t="n">
        <v>0</v>
      </c>
      <c r="O6783" t="n">
        <v>0</v>
      </c>
      <c r="P6783" t="n">
        <v>0</v>
      </c>
      <c r="Q6783" t="n">
        <v>0</v>
      </c>
      <c r="R6783" s="2" t="inlineStr"/>
    </row>
    <row r="6784" ht="15" customHeight="1">
      <c r="A6784" t="inlineStr">
        <is>
          <t>A 47811-2022</t>
        </is>
      </c>
      <c r="B6784" s="1" t="n">
        <v>44855</v>
      </c>
      <c r="C6784" s="1" t="n">
        <v>45363</v>
      </c>
      <c r="D6784" t="inlineStr">
        <is>
          <t>JÄMTLANDS LÄN</t>
        </is>
      </c>
      <c r="E6784" t="inlineStr">
        <is>
          <t>STRÖMSUND</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48060-2022</t>
        </is>
      </c>
      <c r="B6785" s="1" t="n">
        <v>44856</v>
      </c>
      <c r="C6785" s="1" t="n">
        <v>45363</v>
      </c>
      <c r="D6785" t="inlineStr">
        <is>
          <t>JÄMTLANDS LÄN</t>
        </is>
      </c>
      <c r="E6785" t="inlineStr">
        <is>
          <t>RAGUNDA</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47873-2022</t>
        </is>
      </c>
      <c r="B6786" s="1" t="n">
        <v>44855</v>
      </c>
      <c r="C6786" s="1" t="n">
        <v>45363</v>
      </c>
      <c r="D6786" t="inlineStr">
        <is>
          <t>JÄMTLANDS LÄN</t>
        </is>
      </c>
      <c r="E6786" t="inlineStr">
        <is>
          <t>ÅRE</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47975-2022</t>
        </is>
      </c>
      <c r="B6787" s="1" t="n">
        <v>44855</v>
      </c>
      <c r="C6787" s="1" t="n">
        <v>45363</v>
      </c>
      <c r="D6787" t="inlineStr">
        <is>
          <t>JÄMTLANDS LÄN</t>
        </is>
      </c>
      <c r="E6787" t="inlineStr">
        <is>
          <t>HÄRJEDALEN</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48050-2022</t>
        </is>
      </c>
      <c r="B6788" s="1" t="n">
        <v>44856</v>
      </c>
      <c r="C6788" s="1" t="n">
        <v>45363</v>
      </c>
      <c r="D6788" t="inlineStr">
        <is>
          <t>JÄMTLANDS LÄN</t>
        </is>
      </c>
      <c r="E6788" t="inlineStr">
        <is>
          <t>STRÖMSUND</t>
        </is>
      </c>
      <c r="F6788" t="inlineStr">
        <is>
          <t>SCA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48055-2022</t>
        </is>
      </c>
      <c r="B6789" s="1" t="n">
        <v>44856</v>
      </c>
      <c r="C6789" s="1" t="n">
        <v>45363</v>
      </c>
      <c r="D6789" t="inlineStr">
        <is>
          <t>JÄMTLANDS LÄN</t>
        </is>
      </c>
      <c r="E6789" t="inlineStr">
        <is>
          <t>RAGUNDA</t>
        </is>
      </c>
      <c r="F6789" t="inlineStr">
        <is>
          <t>SCA</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48049-2022</t>
        </is>
      </c>
      <c r="B6790" s="1" t="n">
        <v>44856</v>
      </c>
      <c r="C6790" s="1" t="n">
        <v>45363</v>
      </c>
      <c r="D6790" t="inlineStr">
        <is>
          <t>JÄMTLANDS LÄN</t>
        </is>
      </c>
      <c r="E6790" t="inlineStr">
        <is>
          <t>STRÖMSUND</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48058-2022</t>
        </is>
      </c>
      <c r="B6791" s="1" t="n">
        <v>44856</v>
      </c>
      <c r="C6791" s="1" t="n">
        <v>45363</v>
      </c>
      <c r="D6791" t="inlineStr">
        <is>
          <t>JÄMTLANDS LÄN</t>
        </is>
      </c>
      <c r="E6791" t="inlineStr">
        <is>
          <t>RAGUNDA</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48066-2022</t>
        </is>
      </c>
      <c r="B6792" s="1" t="n">
        <v>44855</v>
      </c>
      <c r="C6792" s="1" t="n">
        <v>45363</v>
      </c>
      <c r="D6792" t="inlineStr">
        <is>
          <t>JÄMTLANDS LÄN</t>
        </is>
      </c>
      <c r="E6792" t="inlineStr">
        <is>
          <t>RAGUNDA</t>
        </is>
      </c>
      <c r="F6792" t="inlineStr">
        <is>
          <t>SCA</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48076-2022</t>
        </is>
      </c>
      <c r="B6793" s="1" t="n">
        <v>44856</v>
      </c>
      <c r="C6793" s="1" t="n">
        <v>45363</v>
      </c>
      <c r="D6793" t="inlineStr">
        <is>
          <t>JÄMTLANDS LÄN</t>
        </is>
      </c>
      <c r="E6793" t="inlineStr">
        <is>
          <t>RAGUNDA</t>
        </is>
      </c>
      <c r="F6793" t="inlineStr">
        <is>
          <t>SCA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48053-2022</t>
        </is>
      </c>
      <c r="B6794" s="1" t="n">
        <v>44856</v>
      </c>
      <c r="C6794" s="1" t="n">
        <v>45363</v>
      </c>
      <c r="D6794" t="inlineStr">
        <is>
          <t>JÄMTLANDS LÄN</t>
        </is>
      </c>
      <c r="E6794" t="inlineStr">
        <is>
          <t>RAGUNDA</t>
        </is>
      </c>
      <c r="F6794" t="inlineStr">
        <is>
          <t>SCA</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48075-2022</t>
        </is>
      </c>
      <c r="B6795" s="1" t="n">
        <v>44855</v>
      </c>
      <c r="C6795" s="1" t="n">
        <v>45363</v>
      </c>
      <c r="D6795" t="inlineStr">
        <is>
          <t>JÄMTLANDS LÄN</t>
        </is>
      </c>
      <c r="E6795" t="inlineStr">
        <is>
          <t>RAGUNDA</t>
        </is>
      </c>
      <c r="F6795" t="inlineStr">
        <is>
          <t>SCA</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48086-2022</t>
        </is>
      </c>
      <c r="B6796" s="1" t="n">
        <v>44856</v>
      </c>
      <c r="C6796" s="1" t="n">
        <v>45363</v>
      </c>
      <c r="D6796" t="inlineStr">
        <is>
          <t>JÄMTLANDS LÄN</t>
        </is>
      </c>
      <c r="E6796" t="inlineStr">
        <is>
          <t>RAGUNDA</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48729-2022</t>
        </is>
      </c>
      <c r="B6797" s="1" t="n">
        <v>44855</v>
      </c>
      <c r="C6797" s="1" t="n">
        <v>45363</v>
      </c>
      <c r="D6797" t="inlineStr">
        <is>
          <t>JÄMTLANDS LÄN</t>
        </is>
      </c>
      <c r="E6797" t="inlineStr">
        <is>
          <t>BERG</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48777-2022</t>
        </is>
      </c>
      <c r="B6798" s="1" t="n">
        <v>44855</v>
      </c>
      <c r="C6798" s="1" t="n">
        <v>45363</v>
      </c>
      <c r="D6798" t="inlineStr">
        <is>
          <t>JÄMTLANDS LÄN</t>
        </is>
      </c>
      <c r="E6798" t="inlineStr">
        <is>
          <t>KROKOM</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48085-2022</t>
        </is>
      </c>
      <c r="B6799" s="1" t="n">
        <v>44855</v>
      </c>
      <c r="C6799" s="1" t="n">
        <v>45363</v>
      </c>
      <c r="D6799" t="inlineStr">
        <is>
          <t>JÄMTLANDS LÄN</t>
        </is>
      </c>
      <c r="E6799" t="inlineStr">
        <is>
          <t>RAGUNDA</t>
        </is>
      </c>
      <c r="F6799" t="inlineStr">
        <is>
          <t>SCA</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48769-2022</t>
        </is>
      </c>
      <c r="B6800" s="1" t="n">
        <v>44855</v>
      </c>
      <c r="C6800" s="1" t="n">
        <v>45363</v>
      </c>
      <c r="D6800" t="inlineStr">
        <is>
          <t>JÄMTLANDS LÄN</t>
        </is>
      </c>
      <c r="E6800" t="inlineStr">
        <is>
          <t>KROKOM</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49035-2022</t>
        </is>
      </c>
      <c r="B6801" s="1" t="n">
        <v>44855</v>
      </c>
      <c r="C6801" s="1" t="n">
        <v>45363</v>
      </c>
      <c r="D6801" t="inlineStr">
        <is>
          <t>JÄMTLANDS LÄN</t>
        </is>
      </c>
      <c r="E6801" t="inlineStr">
        <is>
          <t>BERG</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49104-2022</t>
        </is>
      </c>
      <c r="B6802" s="1" t="n">
        <v>44855</v>
      </c>
      <c r="C6802" s="1" t="n">
        <v>45363</v>
      </c>
      <c r="D6802" t="inlineStr">
        <is>
          <t>JÄMTLANDS LÄN</t>
        </is>
      </c>
      <c r="E6802" t="inlineStr">
        <is>
          <t>BERG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48250-2022</t>
        </is>
      </c>
      <c r="B6803" s="1" t="n">
        <v>44858</v>
      </c>
      <c r="C6803" s="1" t="n">
        <v>45363</v>
      </c>
      <c r="D6803" t="inlineStr">
        <is>
          <t>JÄMTLANDS LÄN</t>
        </is>
      </c>
      <c r="E6803" t="inlineStr">
        <is>
          <t>KROKOM</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48502-2022</t>
        </is>
      </c>
      <c r="B6804" s="1" t="n">
        <v>44859</v>
      </c>
      <c r="C6804" s="1" t="n">
        <v>45363</v>
      </c>
      <c r="D6804" t="inlineStr">
        <is>
          <t>JÄMTLANDS LÄN</t>
        </is>
      </c>
      <c r="E6804" t="inlineStr">
        <is>
          <t>KROKOM</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48517-2022</t>
        </is>
      </c>
      <c r="B6805" s="1" t="n">
        <v>44859</v>
      </c>
      <c r="C6805" s="1" t="n">
        <v>45363</v>
      </c>
      <c r="D6805" t="inlineStr">
        <is>
          <t>JÄMTLANDS LÄN</t>
        </is>
      </c>
      <c r="E6805" t="inlineStr">
        <is>
          <t>BRÄCKE</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48531-2022</t>
        </is>
      </c>
      <c r="B6806" s="1" t="n">
        <v>44858</v>
      </c>
      <c r="C6806" s="1" t="n">
        <v>45363</v>
      </c>
      <c r="D6806" t="inlineStr">
        <is>
          <t>JÄMTLANDS LÄN</t>
        </is>
      </c>
      <c r="E6806" t="inlineStr">
        <is>
          <t>STRÖMSUND</t>
        </is>
      </c>
      <c r="F6806" t="inlineStr">
        <is>
          <t>SCA</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48536-2022</t>
        </is>
      </c>
      <c r="B6807" s="1" t="n">
        <v>44858</v>
      </c>
      <c r="C6807" s="1" t="n">
        <v>45363</v>
      </c>
      <c r="D6807" t="inlineStr">
        <is>
          <t>JÄMTLANDS LÄN</t>
        </is>
      </c>
      <c r="E6807" t="inlineStr">
        <is>
          <t>RAGUNDA</t>
        </is>
      </c>
      <c r="F6807" t="inlineStr">
        <is>
          <t>SCA</t>
        </is>
      </c>
      <c r="G6807" t="n">
        <v>9.5</v>
      </c>
      <c r="H6807" t="n">
        <v>0</v>
      </c>
      <c r="I6807" t="n">
        <v>0</v>
      </c>
      <c r="J6807" t="n">
        <v>0</v>
      </c>
      <c r="K6807" t="n">
        <v>0</v>
      </c>
      <c r="L6807" t="n">
        <v>0</v>
      </c>
      <c r="M6807" t="n">
        <v>0</v>
      </c>
      <c r="N6807" t="n">
        <v>0</v>
      </c>
      <c r="O6807" t="n">
        <v>0</v>
      </c>
      <c r="P6807" t="n">
        <v>0</v>
      </c>
      <c r="Q6807" t="n">
        <v>0</v>
      </c>
      <c r="R6807" s="2" t="inlineStr"/>
    </row>
    <row r="6808" ht="15" customHeight="1">
      <c r="A6808" t="inlineStr">
        <is>
          <t>A 48499-2022</t>
        </is>
      </c>
      <c r="B6808" s="1" t="n">
        <v>44859</v>
      </c>
      <c r="C6808" s="1" t="n">
        <v>45363</v>
      </c>
      <c r="D6808" t="inlineStr">
        <is>
          <t>JÄMTLANDS LÄN</t>
        </is>
      </c>
      <c r="E6808" t="inlineStr">
        <is>
          <t>BRÄCKE</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48538-2022</t>
        </is>
      </c>
      <c r="B6809" s="1" t="n">
        <v>44858</v>
      </c>
      <c r="C6809" s="1" t="n">
        <v>45363</v>
      </c>
      <c r="D6809" t="inlineStr">
        <is>
          <t>JÄMTLANDS LÄN</t>
        </is>
      </c>
      <c r="E6809" t="inlineStr">
        <is>
          <t>RAGUNDA</t>
        </is>
      </c>
      <c r="F6809" t="inlineStr">
        <is>
          <t>SCA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48543-2022</t>
        </is>
      </c>
      <c r="B6810" s="1" t="n">
        <v>44859</v>
      </c>
      <c r="C6810" s="1" t="n">
        <v>45363</v>
      </c>
      <c r="D6810" t="inlineStr">
        <is>
          <t>JÄMTLANDS LÄN</t>
        </is>
      </c>
      <c r="E6810" t="inlineStr">
        <is>
          <t>STRÖMSUND</t>
        </is>
      </c>
      <c r="F6810" t="inlineStr">
        <is>
          <t>SCA</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48547-2022</t>
        </is>
      </c>
      <c r="B6811" s="1" t="n">
        <v>44858</v>
      </c>
      <c r="C6811" s="1" t="n">
        <v>45363</v>
      </c>
      <c r="D6811" t="inlineStr">
        <is>
          <t>JÄMTLANDS LÄN</t>
        </is>
      </c>
      <c r="E6811" t="inlineStr">
        <is>
          <t>STRÖMSUND</t>
        </is>
      </c>
      <c r="F6811" t="inlineStr">
        <is>
          <t>SCA</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49287-2022</t>
        </is>
      </c>
      <c r="B6812" s="1" t="n">
        <v>44858</v>
      </c>
      <c r="C6812" s="1" t="n">
        <v>45363</v>
      </c>
      <c r="D6812" t="inlineStr">
        <is>
          <t>JÄMTLANDS LÄN</t>
        </is>
      </c>
      <c r="E6812" t="inlineStr">
        <is>
          <t>STRÖMSUND</t>
        </is>
      </c>
      <c r="G6812" t="n">
        <v>200</v>
      </c>
      <c r="H6812" t="n">
        <v>0</v>
      </c>
      <c r="I6812" t="n">
        <v>0</v>
      </c>
      <c r="J6812" t="n">
        <v>0</v>
      </c>
      <c r="K6812" t="n">
        <v>0</v>
      </c>
      <c r="L6812" t="n">
        <v>0</v>
      </c>
      <c r="M6812" t="n">
        <v>0</v>
      </c>
      <c r="N6812" t="n">
        <v>0</v>
      </c>
      <c r="O6812" t="n">
        <v>0</v>
      </c>
      <c r="P6812" t="n">
        <v>0</v>
      </c>
      <c r="Q6812" t="n">
        <v>0</v>
      </c>
      <c r="R6812" s="2" t="inlineStr"/>
    </row>
    <row r="6813" ht="15" customHeight="1">
      <c r="A6813" t="inlineStr">
        <is>
          <t>A 48333-2022</t>
        </is>
      </c>
      <c r="B6813" s="1" t="n">
        <v>44858</v>
      </c>
      <c r="C6813" s="1" t="n">
        <v>45363</v>
      </c>
      <c r="D6813" t="inlineStr">
        <is>
          <t>JÄMTLANDS LÄN</t>
        </is>
      </c>
      <c r="E6813" t="inlineStr">
        <is>
          <t>STRÖMSUND</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48334-2022</t>
        </is>
      </c>
      <c r="B6814" s="1" t="n">
        <v>44858</v>
      </c>
      <c r="C6814" s="1" t="n">
        <v>45363</v>
      </c>
      <c r="D6814" t="inlineStr">
        <is>
          <t>JÄMTLANDS LÄN</t>
        </is>
      </c>
      <c r="E6814" t="inlineStr">
        <is>
          <t>KROKOM</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48417-2022</t>
        </is>
      </c>
      <c r="B6815" s="1" t="n">
        <v>44858</v>
      </c>
      <c r="C6815" s="1" t="n">
        <v>45363</v>
      </c>
      <c r="D6815" t="inlineStr">
        <is>
          <t>JÄMTLANDS LÄN</t>
        </is>
      </c>
      <c r="E6815" t="inlineStr">
        <is>
          <t>KROKOM</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48522-2022</t>
        </is>
      </c>
      <c r="B6816" s="1" t="n">
        <v>44859</v>
      </c>
      <c r="C6816" s="1" t="n">
        <v>45363</v>
      </c>
      <c r="D6816" t="inlineStr">
        <is>
          <t>JÄMTLANDS LÄN</t>
        </is>
      </c>
      <c r="E6816" t="inlineStr">
        <is>
          <t>RAGUNDA</t>
        </is>
      </c>
      <c r="F6816" t="inlineStr">
        <is>
          <t>SCA</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48528-2022</t>
        </is>
      </c>
      <c r="B6817" s="1" t="n">
        <v>44859</v>
      </c>
      <c r="C6817" s="1" t="n">
        <v>45363</v>
      </c>
      <c r="D6817" t="inlineStr">
        <is>
          <t>JÄMTLANDS LÄN</t>
        </is>
      </c>
      <c r="E6817" t="inlineStr">
        <is>
          <t>STRÖMSUND</t>
        </is>
      </c>
      <c r="F6817" t="inlineStr">
        <is>
          <t>SCA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48545-2022</t>
        </is>
      </c>
      <c r="B6818" s="1" t="n">
        <v>44858</v>
      </c>
      <c r="C6818" s="1" t="n">
        <v>45363</v>
      </c>
      <c r="D6818" t="inlineStr">
        <is>
          <t>JÄMTLANDS LÄN</t>
        </is>
      </c>
      <c r="E6818" t="inlineStr">
        <is>
          <t>STRÖMSUND</t>
        </is>
      </c>
      <c r="F6818" t="inlineStr">
        <is>
          <t>SCA</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48438-2022</t>
        </is>
      </c>
      <c r="B6819" s="1" t="n">
        <v>44858</v>
      </c>
      <c r="C6819" s="1" t="n">
        <v>45363</v>
      </c>
      <c r="D6819" t="inlineStr">
        <is>
          <t>JÄMTLANDS LÄN</t>
        </is>
      </c>
      <c r="E6819" t="inlineStr">
        <is>
          <t>HÄRJEDALEN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48500-2022</t>
        </is>
      </c>
      <c r="B6820" s="1" t="n">
        <v>44859</v>
      </c>
      <c r="C6820" s="1" t="n">
        <v>45363</v>
      </c>
      <c r="D6820" t="inlineStr">
        <is>
          <t>JÄMTLANDS LÄN</t>
        </is>
      </c>
      <c r="E6820" t="inlineStr">
        <is>
          <t>KROKOM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48542-2022</t>
        </is>
      </c>
      <c r="B6821" s="1" t="n">
        <v>44859</v>
      </c>
      <c r="C6821" s="1" t="n">
        <v>45363</v>
      </c>
      <c r="D6821" t="inlineStr">
        <is>
          <t>JÄMTLANDS LÄN</t>
        </is>
      </c>
      <c r="E6821" t="inlineStr">
        <is>
          <t>STRÖMSUND</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48546-2022</t>
        </is>
      </c>
      <c r="B6822" s="1" t="n">
        <v>44858</v>
      </c>
      <c r="C6822" s="1" t="n">
        <v>45363</v>
      </c>
      <c r="D6822" t="inlineStr">
        <is>
          <t>JÄMTLANDS LÄN</t>
        </is>
      </c>
      <c r="E6822" t="inlineStr">
        <is>
          <t>STRÖMSUND</t>
        </is>
      </c>
      <c r="F6822" t="inlineStr">
        <is>
          <t>SCA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48534-2022</t>
        </is>
      </c>
      <c r="B6823" s="1" t="n">
        <v>44859</v>
      </c>
      <c r="C6823" s="1" t="n">
        <v>45363</v>
      </c>
      <c r="D6823" t="inlineStr">
        <is>
          <t>JÄMTLANDS LÄN</t>
        </is>
      </c>
      <c r="E6823" t="inlineStr">
        <is>
          <t>RAGUNDA</t>
        </is>
      </c>
      <c r="F6823" t="inlineStr">
        <is>
          <t>SCA</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48555-2022</t>
        </is>
      </c>
      <c r="B6824" s="1" t="n">
        <v>44859</v>
      </c>
      <c r="C6824" s="1" t="n">
        <v>45363</v>
      </c>
      <c r="D6824" t="inlineStr">
        <is>
          <t>JÄMTLANDS LÄN</t>
        </is>
      </c>
      <c r="E6824" t="inlineStr">
        <is>
          <t>BRÄCKE</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48583-2022</t>
        </is>
      </c>
      <c r="B6825" s="1" t="n">
        <v>44859</v>
      </c>
      <c r="C6825" s="1" t="n">
        <v>45363</v>
      </c>
      <c r="D6825" t="inlineStr">
        <is>
          <t>JÄMTLANDS LÄN</t>
        </is>
      </c>
      <c r="E6825" t="inlineStr">
        <is>
          <t>HÄRJEDALEN</t>
        </is>
      </c>
      <c r="F6825" t="inlineStr">
        <is>
          <t>Bergvik skog väst AB</t>
        </is>
      </c>
      <c r="G6825" t="n">
        <v>8.6</v>
      </c>
      <c r="H6825" t="n">
        <v>0</v>
      </c>
      <c r="I6825" t="n">
        <v>0</v>
      </c>
      <c r="J6825" t="n">
        <v>0</v>
      </c>
      <c r="K6825" t="n">
        <v>0</v>
      </c>
      <c r="L6825" t="n">
        <v>0</v>
      </c>
      <c r="M6825" t="n">
        <v>0</v>
      </c>
      <c r="N6825" t="n">
        <v>0</v>
      </c>
      <c r="O6825" t="n">
        <v>0</v>
      </c>
      <c r="P6825" t="n">
        <v>0</v>
      </c>
      <c r="Q6825" t="n">
        <v>0</v>
      </c>
      <c r="R6825" s="2" t="inlineStr"/>
    </row>
    <row r="6826" ht="15" customHeight="1">
      <c r="A6826" t="inlineStr">
        <is>
          <t>A 48756-2022</t>
        </is>
      </c>
      <c r="B6826" s="1" t="n">
        <v>44859</v>
      </c>
      <c r="C6826" s="1" t="n">
        <v>45363</v>
      </c>
      <c r="D6826" t="inlineStr">
        <is>
          <t>JÄMTLANDS LÄN</t>
        </is>
      </c>
      <c r="E6826" t="inlineStr">
        <is>
          <t>BERG</t>
        </is>
      </c>
      <c r="G6826" t="n">
        <v>10.8</v>
      </c>
      <c r="H6826" t="n">
        <v>0</v>
      </c>
      <c r="I6826" t="n">
        <v>0</v>
      </c>
      <c r="J6826" t="n">
        <v>0</v>
      </c>
      <c r="K6826" t="n">
        <v>0</v>
      </c>
      <c r="L6826" t="n">
        <v>0</v>
      </c>
      <c r="M6826" t="n">
        <v>0</v>
      </c>
      <c r="N6826" t="n">
        <v>0</v>
      </c>
      <c r="O6826" t="n">
        <v>0</v>
      </c>
      <c r="P6826" t="n">
        <v>0</v>
      </c>
      <c r="Q6826" t="n">
        <v>0</v>
      </c>
      <c r="R6826" s="2" t="inlineStr"/>
    </row>
    <row r="6827" ht="15" customHeight="1">
      <c r="A6827" t="inlineStr">
        <is>
          <t>A 48928-2022</t>
        </is>
      </c>
      <c r="B6827" s="1" t="n">
        <v>44860</v>
      </c>
      <c r="C6827" s="1" t="n">
        <v>45363</v>
      </c>
      <c r="D6827" t="inlineStr">
        <is>
          <t>JÄMTLANDS LÄN</t>
        </is>
      </c>
      <c r="E6827" t="inlineStr">
        <is>
          <t>BRÄCKE</t>
        </is>
      </c>
      <c r="F6827" t="inlineStr">
        <is>
          <t>SCA</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48926-2022</t>
        </is>
      </c>
      <c r="B6828" s="1" t="n">
        <v>44859</v>
      </c>
      <c r="C6828" s="1" t="n">
        <v>45363</v>
      </c>
      <c r="D6828" t="inlineStr">
        <is>
          <t>JÄMTLANDS LÄN</t>
        </is>
      </c>
      <c r="E6828" t="inlineStr">
        <is>
          <t>STRÖMSUND</t>
        </is>
      </c>
      <c r="F6828" t="inlineStr">
        <is>
          <t>SCA</t>
        </is>
      </c>
      <c r="G6828" t="n">
        <v>5.9</v>
      </c>
      <c r="H6828" t="n">
        <v>0</v>
      </c>
      <c r="I6828" t="n">
        <v>0</v>
      </c>
      <c r="J6828" t="n">
        <v>0</v>
      </c>
      <c r="K6828" t="n">
        <v>0</v>
      </c>
      <c r="L6828" t="n">
        <v>0</v>
      </c>
      <c r="M6828" t="n">
        <v>0</v>
      </c>
      <c r="N6828" t="n">
        <v>0</v>
      </c>
      <c r="O6828" t="n">
        <v>0</v>
      </c>
      <c r="P6828" t="n">
        <v>0</v>
      </c>
      <c r="Q6828" t="n">
        <v>0</v>
      </c>
      <c r="R6828" s="2" t="inlineStr"/>
    </row>
    <row r="6829" ht="15" customHeight="1">
      <c r="A6829" t="inlineStr">
        <is>
          <t>A 48816-2022</t>
        </is>
      </c>
      <c r="B6829" s="1" t="n">
        <v>44859</v>
      </c>
      <c r="C6829" s="1" t="n">
        <v>45363</v>
      </c>
      <c r="D6829" t="inlineStr">
        <is>
          <t>JÄMTLANDS LÄN</t>
        </is>
      </c>
      <c r="E6829" t="inlineStr">
        <is>
          <t>BRÄCKE</t>
        </is>
      </c>
      <c r="G6829" t="n">
        <v>13.3</v>
      </c>
      <c r="H6829" t="n">
        <v>0</v>
      </c>
      <c r="I6829" t="n">
        <v>0</v>
      </c>
      <c r="J6829" t="n">
        <v>0</v>
      </c>
      <c r="K6829" t="n">
        <v>0</v>
      </c>
      <c r="L6829" t="n">
        <v>0</v>
      </c>
      <c r="M6829" t="n">
        <v>0</v>
      </c>
      <c r="N6829" t="n">
        <v>0</v>
      </c>
      <c r="O6829" t="n">
        <v>0</v>
      </c>
      <c r="P6829" t="n">
        <v>0</v>
      </c>
      <c r="Q6829" t="n">
        <v>0</v>
      </c>
      <c r="R6829" s="2" t="inlineStr"/>
    </row>
    <row r="6830" ht="15" customHeight="1">
      <c r="A6830" t="inlineStr">
        <is>
          <t>A 48898-2022</t>
        </is>
      </c>
      <c r="B6830" s="1" t="n">
        <v>44860</v>
      </c>
      <c r="C6830" s="1" t="n">
        <v>45363</v>
      </c>
      <c r="D6830" t="inlineStr">
        <is>
          <t>JÄMTLANDS LÄN</t>
        </is>
      </c>
      <c r="E6830" t="inlineStr">
        <is>
          <t>ÅRE</t>
        </is>
      </c>
      <c r="F6830" t="inlineStr">
        <is>
          <t>Övriga Aktiebolag</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48938-2022</t>
        </is>
      </c>
      <c r="B6831" s="1" t="n">
        <v>44860</v>
      </c>
      <c r="C6831" s="1" t="n">
        <v>45363</v>
      </c>
      <c r="D6831" t="inlineStr">
        <is>
          <t>JÄMTLANDS LÄN</t>
        </is>
      </c>
      <c r="E6831" t="inlineStr">
        <is>
          <t>RAGUNDA</t>
        </is>
      </c>
      <c r="F6831" t="inlineStr">
        <is>
          <t>SCA</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48894-2022</t>
        </is>
      </c>
      <c r="B6832" s="1" t="n">
        <v>44860</v>
      </c>
      <c r="C6832" s="1" t="n">
        <v>45363</v>
      </c>
      <c r="D6832" t="inlineStr">
        <is>
          <t>JÄMTLANDS LÄN</t>
        </is>
      </c>
      <c r="E6832" t="inlineStr">
        <is>
          <t>STRÖMSUND</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48927-2022</t>
        </is>
      </c>
      <c r="B6833" s="1" t="n">
        <v>44860</v>
      </c>
      <c r="C6833" s="1" t="n">
        <v>45363</v>
      </c>
      <c r="D6833" t="inlineStr">
        <is>
          <t>JÄMTLANDS LÄN</t>
        </is>
      </c>
      <c r="E6833" t="inlineStr">
        <is>
          <t>BRÄCKE</t>
        </is>
      </c>
      <c r="F6833" t="inlineStr">
        <is>
          <t>SCA</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48933-2022</t>
        </is>
      </c>
      <c r="B6834" s="1" t="n">
        <v>44860</v>
      </c>
      <c r="C6834" s="1" t="n">
        <v>45363</v>
      </c>
      <c r="D6834" t="inlineStr">
        <is>
          <t>JÄMTLANDS LÄN</t>
        </is>
      </c>
      <c r="E6834" t="inlineStr">
        <is>
          <t>STRÖMSUND</t>
        </is>
      </c>
      <c r="F6834" t="inlineStr">
        <is>
          <t>SCA</t>
        </is>
      </c>
      <c r="G6834" t="n">
        <v>10.8</v>
      </c>
      <c r="H6834" t="n">
        <v>0</v>
      </c>
      <c r="I6834" t="n">
        <v>0</v>
      </c>
      <c r="J6834" t="n">
        <v>0</v>
      </c>
      <c r="K6834" t="n">
        <v>0</v>
      </c>
      <c r="L6834" t="n">
        <v>0</v>
      </c>
      <c r="M6834" t="n">
        <v>0</v>
      </c>
      <c r="N6834" t="n">
        <v>0</v>
      </c>
      <c r="O6834" t="n">
        <v>0</v>
      </c>
      <c r="P6834" t="n">
        <v>0</v>
      </c>
      <c r="Q6834" t="n">
        <v>0</v>
      </c>
      <c r="R6834" s="2" t="inlineStr"/>
    </row>
    <row r="6835" ht="15" customHeight="1">
      <c r="A6835" t="inlineStr">
        <is>
          <t>A 49752-2022</t>
        </is>
      </c>
      <c r="B6835" s="1" t="n">
        <v>44859</v>
      </c>
      <c r="C6835" s="1" t="n">
        <v>45363</v>
      </c>
      <c r="D6835" t="inlineStr">
        <is>
          <t>JÄMTLANDS LÄN</t>
        </is>
      </c>
      <c r="E6835" t="inlineStr">
        <is>
          <t>STRÖMSUND</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49818-2022</t>
        </is>
      </c>
      <c r="B6836" s="1" t="n">
        <v>44859</v>
      </c>
      <c r="C6836" s="1" t="n">
        <v>45363</v>
      </c>
      <c r="D6836" t="inlineStr">
        <is>
          <t>JÄMTLANDS LÄN</t>
        </is>
      </c>
      <c r="E6836" t="inlineStr">
        <is>
          <t>ÅRE</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49610-2022</t>
        </is>
      </c>
      <c r="B6837" s="1" t="n">
        <v>44859</v>
      </c>
      <c r="C6837" s="1" t="n">
        <v>45363</v>
      </c>
      <c r="D6837" t="inlineStr">
        <is>
          <t>JÄMTLANDS LÄN</t>
        </is>
      </c>
      <c r="E6837" t="inlineStr">
        <is>
          <t>ÅRE</t>
        </is>
      </c>
      <c r="G6837" t="n">
        <v>26.2</v>
      </c>
      <c r="H6837" t="n">
        <v>0</v>
      </c>
      <c r="I6837" t="n">
        <v>0</v>
      </c>
      <c r="J6837" t="n">
        <v>0</v>
      </c>
      <c r="K6837" t="n">
        <v>0</v>
      </c>
      <c r="L6837" t="n">
        <v>0</v>
      </c>
      <c r="M6837" t="n">
        <v>0</v>
      </c>
      <c r="N6837" t="n">
        <v>0</v>
      </c>
      <c r="O6837" t="n">
        <v>0</v>
      </c>
      <c r="P6837" t="n">
        <v>0</v>
      </c>
      <c r="Q6837" t="n">
        <v>0</v>
      </c>
      <c r="R6837" s="2" t="inlineStr"/>
    </row>
    <row r="6838" ht="15" customHeight="1">
      <c r="A6838" t="inlineStr">
        <is>
          <t>A 48963-2022</t>
        </is>
      </c>
      <c r="B6838" s="1" t="n">
        <v>44860</v>
      </c>
      <c r="C6838" s="1" t="n">
        <v>45363</v>
      </c>
      <c r="D6838" t="inlineStr">
        <is>
          <t>JÄMTLANDS LÄN</t>
        </is>
      </c>
      <c r="E6838" t="inlineStr">
        <is>
          <t>STRÖMSUND</t>
        </is>
      </c>
      <c r="F6838" t="inlineStr">
        <is>
          <t>Sveaskog</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49191-2022</t>
        </is>
      </c>
      <c r="B6839" s="1" t="n">
        <v>44861</v>
      </c>
      <c r="C6839" s="1" t="n">
        <v>45363</v>
      </c>
      <c r="D6839" t="inlineStr">
        <is>
          <t>JÄMTLANDS LÄN</t>
        </is>
      </c>
      <c r="E6839" t="inlineStr">
        <is>
          <t>BRÄCKE</t>
        </is>
      </c>
      <c r="F6839" t="inlineStr">
        <is>
          <t>SCA</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49183-2022</t>
        </is>
      </c>
      <c r="B6840" s="1" t="n">
        <v>44860</v>
      </c>
      <c r="C6840" s="1" t="n">
        <v>45363</v>
      </c>
      <c r="D6840" t="inlineStr">
        <is>
          <t>JÄMTLANDS LÄN</t>
        </is>
      </c>
      <c r="E6840" t="inlineStr">
        <is>
          <t>RAGUNDA</t>
        </is>
      </c>
      <c r="F6840" t="inlineStr">
        <is>
          <t>SCA</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49182-2022</t>
        </is>
      </c>
      <c r="B6841" s="1" t="n">
        <v>44861</v>
      </c>
      <c r="C6841" s="1" t="n">
        <v>45363</v>
      </c>
      <c r="D6841" t="inlineStr">
        <is>
          <t>JÄMTLANDS LÄN</t>
        </is>
      </c>
      <c r="E6841" t="inlineStr">
        <is>
          <t>RAGUNDA</t>
        </is>
      </c>
      <c r="F6841" t="inlineStr">
        <is>
          <t>SCA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49197-2022</t>
        </is>
      </c>
      <c r="B6842" s="1" t="n">
        <v>44860</v>
      </c>
      <c r="C6842" s="1" t="n">
        <v>45363</v>
      </c>
      <c r="D6842" t="inlineStr">
        <is>
          <t>JÄMTLANDS LÄN</t>
        </is>
      </c>
      <c r="E6842" t="inlineStr">
        <is>
          <t>RAGUNDA</t>
        </is>
      </c>
      <c r="F6842" t="inlineStr">
        <is>
          <t>SCA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49196-2022</t>
        </is>
      </c>
      <c r="B6843" s="1" t="n">
        <v>44861</v>
      </c>
      <c r="C6843" s="1" t="n">
        <v>45363</v>
      </c>
      <c r="D6843" t="inlineStr">
        <is>
          <t>JÄMTLANDS LÄN</t>
        </is>
      </c>
      <c r="E6843" t="inlineStr">
        <is>
          <t>BERG</t>
        </is>
      </c>
      <c r="F6843" t="inlineStr">
        <is>
          <t>SCA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50024-2022</t>
        </is>
      </c>
      <c r="B6844" s="1" t="n">
        <v>44860</v>
      </c>
      <c r="C6844" s="1" t="n">
        <v>45363</v>
      </c>
      <c r="D6844" t="inlineStr">
        <is>
          <t>JÄMTLANDS LÄN</t>
        </is>
      </c>
      <c r="E6844" t="inlineStr">
        <is>
          <t>BERG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49220-2022</t>
        </is>
      </c>
      <c r="B6845" s="1" t="n">
        <v>44861</v>
      </c>
      <c r="C6845" s="1" t="n">
        <v>45363</v>
      </c>
      <c r="D6845" t="inlineStr">
        <is>
          <t>JÄMTLANDS LÄN</t>
        </is>
      </c>
      <c r="E6845" t="inlineStr">
        <is>
          <t>KROKOM</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49237-2022</t>
        </is>
      </c>
      <c r="B6846" s="1" t="n">
        <v>44861</v>
      </c>
      <c r="C6846" s="1" t="n">
        <v>45363</v>
      </c>
      <c r="D6846" t="inlineStr">
        <is>
          <t>JÄMTLANDS LÄN</t>
        </is>
      </c>
      <c r="E6846" t="inlineStr">
        <is>
          <t>HÄRJEDALEN</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49295-2022</t>
        </is>
      </c>
      <c r="B6847" s="1" t="n">
        <v>44861</v>
      </c>
      <c r="C6847" s="1" t="n">
        <v>45363</v>
      </c>
      <c r="D6847" t="inlineStr">
        <is>
          <t>JÄMTLANDS LÄN</t>
        </is>
      </c>
      <c r="E6847" t="inlineStr">
        <is>
          <t>HÄRJEDALEN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49531-2022</t>
        </is>
      </c>
      <c r="B6848" s="1" t="n">
        <v>44861</v>
      </c>
      <c r="C6848" s="1" t="n">
        <v>45363</v>
      </c>
      <c r="D6848" t="inlineStr">
        <is>
          <t>JÄMTLANDS LÄN</t>
        </is>
      </c>
      <c r="E6848" t="inlineStr">
        <is>
          <t>RAGUNDA</t>
        </is>
      </c>
      <c r="F6848" t="inlineStr">
        <is>
          <t>SCA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49541-2022</t>
        </is>
      </c>
      <c r="B6849" s="1" t="n">
        <v>44862</v>
      </c>
      <c r="C6849" s="1" t="n">
        <v>45363</v>
      </c>
      <c r="D6849" t="inlineStr">
        <is>
          <t>JÄMTLANDS LÄN</t>
        </is>
      </c>
      <c r="E6849" t="inlineStr">
        <is>
          <t>STRÖMSUND</t>
        </is>
      </c>
      <c r="F6849" t="inlineStr">
        <is>
          <t>SCA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49530-2022</t>
        </is>
      </c>
      <c r="B6850" s="1" t="n">
        <v>44861</v>
      </c>
      <c r="C6850" s="1" t="n">
        <v>45363</v>
      </c>
      <c r="D6850" t="inlineStr">
        <is>
          <t>JÄMTLANDS LÄN</t>
        </is>
      </c>
      <c r="E6850" t="inlineStr">
        <is>
          <t>RAGUNDA</t>
        </is>
      </c>
      <c r="F6850" t="inlineStr">
        <is>
          <t>SCA</t>
        </is>
      </c>
      <c r="G6850" t="n">
        <v>13.4</v>
      </c>
      <c r="H6850" t="n">
        <v>0</v>
      </c>
      <c r="I6850" t="n">
        <v>0</v>
      </c>
      <c r="J6850" t="n">
        <v>0</v>
      </c>
      <c r="K6850" t="n">
        <v>0</v>
      </c>
      <c r="L6850" t="n">
        <v>0</v>
      </c>
      <c r="M6850" t="n">
        <v>0</v>
      </c>
      <c r="N6850" t="n">
        <v>0</v>
      </c>
      <c r="O6850" t="n">
        <v>0</v>
      </c>
      <c r="P6850" t="n">
        <v>0</v>
      </c>
      <c r="Q6850" t="n">
        <v>0</v>
      </c>
      <c r="R6850" s="2" t="inlineStr"/>
    </row>
    <row r="6851" ht="15" customHeight="1">
      <c r="A6851" t="inlineStr">
        <is>
          <t>A 49523-2022</t>
        </is>
      </c>
      <c r="B6851" s="1" t="n">
        <v>44862</v>
      </c>
      <c r="C6851" s="1" t="n">
        <v>45363</v>
      </c>
      <c r="D6851" t="inlineStr">
        <is>
          <t>JÄMTLANDS LÄN</t>
        </is>
      </c>
      <c r="E6851" t="inlineStr">
        <is>
          <t>BRÄCKE</t>
        </is>
      </c>
      <c r="F6851" t="inlineStr">
        <is>
          <t>SCA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49544-2022</t>
        </is>
      </c>
      <c r="B6852" s="1" t="n">
        <v>44862</v>
      </c>
      <c r="C6852" s="1" t="n">
        <v>45363</v>
      </c>
      <c r="D6852" t="inlineStr">
        <is>
          <t>JÄMTLANDS LÄN</t>
        </is>
      </c>
      <c r="E6852" t="inlineStr">
        <is>
          <t>RAGUNDA</t>
        </is>
      </c>
      <c r="F6852" t="inlineStr">
        <is>
          <t>SCA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49389-2022</t>
        </is>
      </c>
      <c r="B6853" s="1" t="n">
        <v>44861</v>
      </c>
      <c r="C6853" s="1" t="n">
        <v>45363</v>
      </c>
      <c r="D6853" t="inlineStr">
        <is>
          <t>JÄMTLANDS LÄN</t>
        </is>
      </c>
      <c r="E6853" t="inlineStr">
        <is>
          <t>ÖSTERSUND</t>
        </is>
      </c>
      <c r="F6853" t="inlineStr">
        <is>
          <t>Övriga Aktiebolag</t>
        </is>
      </c>
      <c r="G6853" t="n">
        <v>19.2</v>
      </c>
      <c r="H6853" t="n">
        <v>0</v>
      </c>
      <c r="I6853" t="n">
        <v>0</v>
      </c>
      <c r="J6853" t="n">
        <v>0</v>
      </c>
      <c r="K6853" t="n">
        <v>0</v>
      </c>
      <c r="L6853" t="n">
        <v>0</v>
      </c>
      <c r="M6853" t="n">
        <v>0</v>
      </c>
      <c r="N6853" t="n">
        <v>0</v>
      </c>
      <c r="O6853" t="n">
        <v>0</v>
      </c>
      <c r="P6853" t="n">
        <v>0</v>
      </c>
      <c r="Q6853" t="n">
        <v>0</v>
      </c>
      <c r="R6853" s="2" t="inlineStr"/>
    </row>
    <row r="6854" ht="15" customHeight="1">
      <c r="A6854" t="inlineStr">
        <is>
          <t>A 49516-2022</t>
        </is>
      </c>
      <c r="B6854" s="1" t="n">
        <v>44862</v>
      </c>
      <c r="C6854" s="1" t="n">
        <v>45363</v>
      </c>
      <c r="D6854" t="inlineStr">
        <is>
          <t>JÄMTLANDS LÄN</t>
        </is>
      </c>
      <c r="E6854" t="inlineStr">
        <is>
          <t>BRÄCKE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49543-2022</t>
        </is>
      </c>
      <c r="B6855" s="1" t="n">
        <v>44862</v>
      </c>
      <c r="C6855" s="1" t="n">
        <v>45363</v>
      </c>
      <c r="D6855" t="inlineStr">
        <is>
          <t>JÄMTLANDS LÄN</t>
        </is>
      </c>
      <c r="E6855" t="inlineStr">
        <is>
          <t>RAGUNDA</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49663-2022</t>
        </is>
      </c>
      <c r="B6856" s="1" t="n">
        <v>44862</v>
      </c>
      <c r="C6856" s="1" t="n">
        <v>45363</v>
      </c>
      <c r="D6856" t="inlineStr">
        <is>
          <t>JÄMTLANDS LÄN</t>
        </is>
      </c>
      <c r="E6856" t="inlineStr">
        <is>
          <t>HÄRJEDALEN</t>
        </is>
      </c>
      <c r="F6856" t="inlineStr">
        <is>
          <t>Bergvik skog väst AB</t>
        </is>
      </c>
      <c r="G6856" t="n">
        <v>17.5</v>
      </c>
      <c r="H6856" t="n">
        <v>0</v>
      </c>
      <c r="I6856" t="n">
        <v>0</v>
      </c>
      <c r="J6856" t="n">
        <v>0</v>
      </c>
      <c r="K6856" t="n">
        <v>0</v>
      </c>
      <c r="L6856" t="n">
        <v>0</v>
      </c>
      <c r="M6856" t="n">
        <v>0</v>
      </c>
      <c r="N6856" t="n">
        <v>0</v>
      </c>
      <c r="O6856" t="n">
        <v>0</v>
      </c>
      <c r="P6856" t="n">
        <v>0</v>
      </c>
      <c r="Q6856" t="n">
        <v>0</v>
      </c>
      <c r="R6856" s="2" t="inlineStr"/>
    </row>
    <row r="6857" ht="15" customHeight="1">
      <c r="A6857" t="inlineStr">
        <is>
          <t>A 49839-2022</t>
        </is>
      </c>
      <c r="B6857" s="1" t="n">
        <v>44863</v>
      </c>
      <c r="C6857" s="1" t="n">
        <v>45363</v>
      </c>
      <c r="D6857" t="inlineStr">
        <is>
          <t>JÄMTLANDS LÄN</t>
        </is>
      </c>
      <c r="E6857" t="inlineStr">
        <is>
          <t>BRÄCKE</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49844-2022</t>
        </is>
      </c>
      <c r="B6858" s="1" t="n">
        <v>44863</v>
      </c>
      <c r="C6858" s="1" t="n">
        <v>45363</v>
      </c>
      <c r="D6858" t="inlineStr">
        <is>
          <t>JÄMTLANDS LÄN</t>
        </is>
      </c>
      <c r="E6858" t="inlineStr">
        <is>
          <t>RAGUNDA</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49643-2022</t>
        </is>
      </c>
      <c r="B6859" s="1" t="n">
        <v>44862</v>
      </c>
      <c r="C6859" s="1" t="n">
        <v>45363</v>
      </c>
      <c r="D6859" t="inlineStr">
        <is>
          <t>JÄMTLANDS LÄN</t>
        </is>
      </c>
      <c r="E6859" t="inlineStr">
        <is>
          <t>BERG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49689-2022</t>
        </is>
      </c>
      <c r="B6860" s="1" t="n">
        <v>44862</v>
      </c>
      <c r="C6860" s="1" t="n">
        <v>45363</v>
      </c>
      <c r="D6860" t="inlineStr">
        <is>
          <t>JÄMTLANDS LÄN</t>
        </is>
      </c>
      <c r="E6860" t="inlineStr">
        <is>
          <t>HÄRJEDALEN</t>
        </is>
      </c>
      <c r="F6860" t="inlineStr">
        <is>
          <t>Sveaskog</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49858-2022</t>
        </is>
      </c>
      <c r="B6861" s="1" t="n">
        <v>44862</v>
      </c>
      <c r="C6861" s="1" t="n">
        <v>45363</v>
      </c>
      <c r="D6861" t="inlineStr">
        <is>
          <t>JÄMTLANDS LÄN</t>
        </is>
      </c>
      <c r="E6861" t="inlineStr">
        <is>
          <t>BRÄCKE</t>
        </is>
      </c>
      <c r="F6861" t="inlineStr">
        <is>
          <t>SCA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49838-2022</t>
        </is>
      </c>
      <c r="B6862" s="1" t="n">
        <v>44863</v>
      </c>
      <c r="C6862" s="1" t="n">
        <v>45363</v>
      </c>
      <c r="D6862" t="inlineStr">
        <is>
          <t>JÄMTLANDS LÄN</t>
        </is>
      </c>
      <c r="E6862" t="inlineStr">
        <is>
          <t>BRÄCKE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49851-2022</t>
        </is>
      </c>
      <c r="B6863" s="1" t="n">
        <v>44863</v>
      </c>
      <c r="C6863" s="1" t="n">
        <v>45363</v>
      </c>
      <c r="D6863" t="inlineStr">
        <is>
          <t>JÄMTLANDS LÄN</t>
        </is>
      </c>
      <c r="E6863" t="inlineStr">
        <is>
          <t>BERG</t>
        </is>
      </c>
      <c r="F6863" t="inlineStr">
        <is>
          <t>SCA</t>
        </is>
      </c>
      <c r="G6863" t="n">
        <v>8.9</v>
      </c>
      <c r="H6863" t="n">
        <v>0</v>
      </c>
      <c r="I6863" t="n">
        <v>0</v>
      </c>
      <c r="J6863" t="n">
        <v>0</v>
      </c>
      <c r="K6863" t="n">
        <v>0</v>
      </c>
      <c r="L6863" t="n">
        <v>0</v>
      </c>
      <c r="M6863" t="n">
        <v>0</v>
      </c>
      <c r="N6863" t="n">
        <v>0</v>
      </c>
      <c r="O6863" t="n">
        <v>0</v>
      </c>
      <c r="P6863" t="n">
        <v>0</v>
      </c>
      <c r="Q6863" t="n">
        <v>0</v>
      </c>
      <c r="R6863" s="2" t="inlineStr"/>
    </row>
    <row r="6864" ht="15" customHeight="1">
      <c r="A6864" t="inlineStr">
        <is>
          <t>A 49864-2022</t>
        </is>
      </c>
      <c r="B6864" s="1" t="n">
        <v>44862</v>
      </c>
      <c r="C6864" s="1" t="n">
        <v>45363</v>
      </c>
      <c r="D6864" t="inlineStr">
        <is>
          <t>JÄMTLANDS LÄN</t>
        </is>
      </c>
      <c r="E6864" t="inlineStr">
        <is>
          <t>BRÄCKE</t>
        </is>
      </c>
      <c r="F6864" t="inlineStr">
        <is>
          <t>SCA</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49853-2022</t>
        </is>
      </c>
      <c r="B6865" s="1" t="n">
        <v>44863</v>
      </c>
      <c r="C6865" s="1" t="n">
        <v>45363</v>
      </c>
      <c r="D6865" t="inlineStr">
        <is>
          <t>JÄMTLANDS LÄN</t>
        </is>
      </c>
      <c r="E6865" t="inlineStr">
        <is>
          <t>BRÄCKE</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49861-2022</t>
        </is>
      </c>
      <c r="B6866" s="1" t="n">
        <v>44862</v>
      </c>
      <c r="C6866" s="1" t="n">
        <v>45363</v>
      </c>
      <c r="D6866" t="inlineStr">
        <is>
          <t>JÄMTLANDS LÄN</t>
        </is>
      </c>
      <c r="E6866" t="inlineStr">
        <is>
          <t>BRÄCKE</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49904-2022</t>
        </is>
      </c>
      <c r="B6867" s="1" t="n">
        <v>44864</v>
      </c>
      <c r="C6867" s="1" t="n">
        <v>45363</v>
      </c>
      <c r="D6867" t="inlineStr">
        <is>
          <t>JÄMTLANDS LÄN</t>
        </is>
      </c>
      <c r="E6867" t="inlineStr">
        <is>
          <t>RAGUNDA</t>
        </is>
      </c>
      <c r="F6867" t="inlineStr">
        <is>
          <t>SCA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50089-2022</t>
        </is>
      </c>
      <c r="B6868" s="1" t="n">
        <v>44865</v>
      </c>
      <c r="C6868" s="1" t="n">
        <v>45363</v>
      </c>
      <c r="D6868" t="inlineStr">
        <is>
          <t>JÄMTLANDS LÄN</t>
        </is>
      </c>
      <c r="E6868" t="inlineStr">
        <is>
          <t>RAGUNDA</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50087-2022</t>
        </is>
      </c>
      <c r="B6869" s="1" t="n">
        <v>44865</v>
      </c>
      <c r="C6869" s="1" t="n">
        <v>45363</v>
      </c>
      <c r="D6869" t="inlineStr">
        <is>
          <t>JÄMTLANDS LÄN</t>
        </is>
      </c>
      <c r="E6869" t="inlineStr">
        <is>
          <t>RAGUNDA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50145-2022</t>
        </is>
      </c>
      <c r="B6870" s="1" t="n">
        <v>44865</v>
      </c>
      <c r="C6870" s="1" t="n">
        <v>45363</v>
      </c>
      <c r="D6870" t="inlineStr">
        <is>
          <t>JÄMTLANDS LÄN</t>
        </is>
      </c>
      <c r="E6870" t="inlineStr">
        <is>
          <t>HÄRJEDALEN</t>
        </is>
      </c>
      <c r="F6870" t="inlineStr">
        <is>
          <t>Bergvik skog väst AB</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49995-2022</t>
        </is>
      </c>
      <c r="B6871" s="1" t="n">
        <v>44865</v>
      </c>
      <c r="C6871" s="1" t="n">
        <v>45363</v>
      </c>
      <c r="D6871" t="inlineStr">
        <is>
          <t>JÄMTLANDS LÄN</t>
        </is>
      </c>
      <c r="E6871" t="inlineStr">
        <is>
          <t>HÄRJEDALEN</t>
        </is>
      </c>
      <c r="F6871" t="inlineStr">
        <is>
          <t>Bergvik skog väst AB</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50313-2022</t>
        </is>
      </c>
      <c r="B6872" s="1" t="n">
        <v>44865</v>
      </c>
      <c r="C6872" s="1" t="n">
        <v>45363</v>
      </c>
      <c r="D6872" t="inlineStr">
        <is>
          <t>JÄMTLANDS LÄN</t>
        </is>
      </c>
      <c r="E6872" t="inlineStr">
        <is>
          <t>STRÖMSUND</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50317-2022</t>
        </is>
      </c>
      <c r="B6873" s="1" t="n">
        <v>44865</v>
      </c>
      <c r="C6873" s="1" t="n">
        <v>45363</v>
      </c>
      <c r="D6873" t="inlineStr">
        <is>
          <t>JÄMTLANDS LÄN</t>
        </is>
      </c>
      <c r="E6873" t="inlineStr">
        <is>
          <t>STRÖMSUND</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50323-2022</t>
        </is>
      </c>
      <c r="B6874" s="1" t="n">
        <v>44865</v>
      </c>
      <c r="C6874" s="1" t="n">
        <v>45363</v>
      </c>
      <c r="D6874" t="inlineStr">
        <is>
          <t>JÄMTLANDS LÄN</t>
        </is>
      </c>
      <c r="E6874" t="inlineStr">
        <is>
          <t>BRÄCKE</t>
        </is>
      </c>
      <c r="F6874" t="inlineStr">
        <is>
          <t>SCA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50316-2022</t>
        </is>
      </c>
      <c r="B6875" s="1" t="n">
        <v>44865</v>
      </c>
      <c r="C6875" s="1" t="n">
        <v>45363</v>
      </c>
      <c r="D6875" t="inlineStr">
        <is>
          <t>JÄMTLANDS LÄN</t>
        </is>
      </c>
      <c r="E6875" t="inlineStr">
        <is>
          <t>STRÖMSUND</t>
        </is>
      </c>
      <c r="F6875" t="inlineStr">
        <is>
          <t>SCA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50305-2022</t>
        </is>
      </c>
      <c r="B6876" s="1" t="n">
        <v>44865</v>
      </c>
      <c r="C6876" s="1" t="n">
        <v>45363</v>
      </c>
      <c r="D6876" t="inlineStr">
        <is>
          <t>JÄMTLANDS LÄN</t>
        </is>
      </c>
      <c r="E6876" t="inlineStr">
        <is>
          <t>STRÖMSUND</t>
        </is>
      </c>
      <c r="G6876" t="n">
        <v>13.4</v>
      </c>
      <c r="H6876" t="n">
        <v>0</v>
      </c>
      <c r="I6876" t="n">
        <v>0</v>
      </c>
      <c r="J6876" t="n">
        <v>0</v>
      </c>
      <c r="K6876" t="n">
        <v>0</v>
      </c>
      <c r="L6876" t="n">
        <v>0</v>
      </c>
      <c r="M6876" t="n">
        <v>0</v>
      </c>
      <c r="N6876" t="n">
        <v>0</v>
      </c>
      <c r="O6876" t="n">
        <v>0</v>
      </c>
      <c r="P6876" t="n">
        <v>0</v>
      </c>
      <c r="Q6876" t="n">
        <v>0</v>
      </c>
      <c r="R6876" s="2" t="inlineStr"/>
    </row>
    <row r="6877" ht="15" customHeight="1">
      <c r="A6877" t="inlineStr">
        <is>
          <t>A 50314-2022</t>
        </is>
      </c>
      <c r="B6877" s="1" t="n">
        <v>44865</v>
      </c>
      <c r="C6877" s="1" t="n">
        <v>45363</v>
      </c>
      <c r="D6877" t="inlineStr">
        <is>
          <t>JÄMTLANDS LÄN</t>
        </is>
      </c>
      <c r="E6877" t="inlineStr">
        <is>
          <t>STRÖMSUND</t>
        </is>
      </c>
      <c r="F6877" t="inlineStr">
        <is>
          <t>SCA</t>
        </is>
      </c>
      <c r="G6877" t="n">
        <v>13.4</v>
      </c>
      <c r="H6877" t="n">
        <v>0</v>
      </c>
      <c r="I6877" t="n">
        <v>0</v>
      </c>
      <c r="J6877" t="n">
        <v>0</v>
      </c>
      <c r="K6877" t="n">
        <v>0</v>
      </c>
      <c r="L6877" t="n">
        <v>0</v>
      </c>
      <c r="M6877" t="n">
        <v>0</v>
      </c>
      <c r="N6877" t="n">
        <v>0</v>
      </c>
      <c r="O6877" t="n">
        <v>0</v>
      </c>
      <c r="P6877" t="n">
        <v>0</v>
      </c>
      <c r="Q6877" t="n">
        <v>0</v>
      </c>
      <c r="R6877" s="2" t="inlineStr"/>
    </row>
    <row r="6878" ht="15" customHeight="1">
      <c r="A6878" t="inlineStr">
        <is>
          <t>A 50302-2022</t>
        </is>
      </c>
      <c r="B6878" s="1" t="n">
        <v>44865</v>
      </c>
      <c r="C6878" s="1" t="n">
        <v>45363</v>
      </c>
      <c r="D6878" t="inlineStr">
        <is>
          <t>JÄMTLANDS LÄN</t>
        </is>
      </c>
      <c r="E6878" t="inlineStr">
        <is>
          <t>KROKOM</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50333-2022</t>
        </is>
      </c>
      <c r="B6879" s="1" t="n">
        <v>44865</v>
      </c>
      <c r="C6879" s="1" t="n">
        <v>45363</v>
      </c>
      <c r="D6879" t="inlineStr">
        <is>
          <t>JÄMTLANDS LÄN</t>
        </is>
      </c>
      <c r="E6879" t="inlineStr">
        <is>
          <t>BRÄCKE</t>
        </is>
      </c>
      <c r="F6879" t="inlineStr">
        <is>
          <t>SCA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50337-2022</t>
        </is>
      </c>
      <c r="B6880" s="1" t="n">
        <v>44865</v>
      </c>
      <c r="C6880" s="1" t="n">
        <v>45363</v>
      </c>
      <c r="D6880" t="inlineStr">
        <is>
          <t>JÄMTLANDS LÄN</t>
        </is>
      </c>
      <c r="E6880" t="inlineStr">
        <is>
          <t>STRÖMSUND</t>
        </is>
      </c>
      <c r="F6880" t="inlineStr">
        <is>
          <t>SCA</t>
        </is>
      </c>
      <c r="G6880" t="n">
        <v>10.7</v>
      </c>
      <c r="H6880" t="n">
        <v>0</v>
      </c>
      <c r="I6880" t="n">
        <v>0</v>
      </c>
      <c r="J6880" t="n">
        <v>0</v>
      </c>
      <c r="K6880" t="n">
        <v>0</v>
      </c>
      <c r="L6880" t="n">
        <v>0</v>
      </c>
      <c r="M6880" t="n">
        <v>0</v>
      </c>
      <c r="N6880" t="n">
        <v>0</v>
      </c>
      <c r="O6880" t="n">
        <v>0</v>
      </c>
      <c r="P6880" t="n">
        <v>0</v>
      </c>
      <c r="Q6880" t="n">
        <v>0</v>
      </c>
      <c r="R6880" s="2" t="inlineStr"/>
    </row>
    <row r="6881" ht="15" customHeight="1">
      <c r="A6881" t="inlineStr">
        <is>
          <t>A 50307-2022</t>
        </is>
      </c>
      <c r="B6881" s="1" t="n">
        <v>44865</v>
      </c>
      <c r="C6881" s="1" t="n">
        <v>45363</v>
      </c>
      <c r="D6881" t="inlineStr">
        <is>
          <t>JÄMTLANDS LÄN</t>
        </is>
      </c>
      <c r="E6881" t="inlineStr">
        <is>
          <t>ÅRE</t>
        </is>
      </c>
      <c r="G6881" t="n">
        <v>8.699999999999999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50315-2022</t>
        </is>
      </c>
      <c r="B6882" s="1" t="n">
        <v>44865</v>
      </c>
      <c r="C6882" s="1" t="n">
        <v>45363</v>
      </c>
      <c r="D6882" t="inlineStr">
        <is>
          <t>JÄMTLANDS LÄN</t>
        </is>
      </c>
      <c r="E6882" t="inlineStr">
        <is>
          <t>STRÖMSUND</t>
        </is>
      </c>
      <c r="F6882" t="inlineStr">
        <is>
          <t>SCA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50320-2022</t>
        </is>
      </c>
      <c r="B6883" s="1" t="n">
        <v>44865</v>
      </c>
      <c r="C6883" s="1" t="n">
        <v>45363</v>
      </c>
      <c r="D6883" t="inlineStr">
        <is>
          <t>JÄMTLANDS LÄN</t>
        </is>
      </c>
      <c r="E6883" t="inlineStr">
        <is>
          <t>STRÖMSUND</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50334-2022</t>
        </is>
      </c>
      <c r="B6884" s="1" t="n">
        <v>44865</v>
      </c>
      <c r="C6884" s="1" t="n">
        <v>45363</v>
      </c>
      <c r="D6884" t="inlineStr">
        <is>
          <t>JÄMTLANDS LÄN</t>
        </is>
      </c>
      <c r="E6884" t="inlineStr">
        <is>
          <t>BRÄCKE</t>
        </is>
      </c>
      <c r="F6884" t="inlineStr">
        <is>
          <t>SCA</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51152-2022</t>
        </is>
      </c>
      <c r="B6885" s="1" t="n">
        <v>44865</v>
      </c>
      <c r="C6885" s="1" t="n">
        <v>45363</v>
      </c>
      <c r="D6885" t="inlineStr">
        <is>
          <t>JÄMTLANDS LÄN</t>
        </is>
      </c>
      <c r="E6885" t="inlineStr">
        <is>
          <t>BRÄCKE</t>
        </is>
      </c>
      <c r="G6885" t="n">
        <v>8.800000000000001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50335-2022</t>
        </is>
      </c>
      <c r="B6886" s="1" t="n">
        <v>44865</v>
      </c>
      <c r="C6886" s="1" t="n">
        <v>45363</v>
      </c>
      <c r="D6886" t="inlineStr">
        <is>
          <t>JÄMTLANDS LÄN</t>
        </is>
      </c>
      <c r="E6886" t="inlineStr">
        <is>
          <t>STRÖMSUND</t>
        </is>
      </c>
      <c r="F6886" t="inlineStr">
        <is>
          <t>SCA</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50450-2022</t>
        </is>
      </c>
      <c r="B6887" s="1" t="n">
        <v>44866</v>
      </c>
      <c r="C6887" s="1" t="n">
        <v>45363</v>
      </c>
      <c r="D6887" t="inlineStr">
        <is>
          <t>JÄMTLANDS LÄN</t>
        </is>
      </c>
      <c r="E6887" t="inlineStr">
        <is>
          <t>STRÖMSUND</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50645-2022</t>
        </is>
      </c>
      <c r="B6888" s="1" t="n">
        <v>44866</v>
      </c>
      <c r="C6888" s="1" t="n">
        <v>45363</v>
      </c>
      <c r="D6888" t="inlineStr">
        <is>
          <t>JÄMTLANDS LÄN</t>
        </is>
      </c>
      <c r="E6888" t="inlineStr">
        <is>
          <t>STRÖMSUND</t>
        </is>
      </c>
      <c r="F6888" t="inlineStr">
        <is>
          <t>SCA</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50646-2022</t>
        </is>
      </c>
      <c r="B6889" s="1" t="n">
        <v>44866</v>
      </c>
      <c r="C6889" s="1" t="n">
        <v>45363</v>
      </c>
      <c r="D6889" t="inlineStr">
        <is>
          <t>JÄMTLANDS LÄN</t>
        </is>
      </c>
      <c r="E6889" t="inlineStr">
        <is>
          <t>STRÖMSUND</t>
        </is>
      </c>
      <c r="F6889" t="inlineStr">
        <is>
          <t>SCA</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50657-2022</t>
        </is>
      </c>
      <c r="B6890" s="1" t="n">
        <v>44866</v>
      </c>
      <c r="C6890" s="1" t="n">
        <v>45363</v>
      </c>
      <c r="D6890" t="inlineStr">
        <is>
          <t>JÄMTLANDS LÄN</t>
        </is>
      </c>
      <c r="E6890" t="inlineStr">
        <is>
          <t>STRÖMSUND</t>
        </is>
      </c>
      <c r="F6890" t="inlineStr">
        <is>
          <t>SCA</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50661-2022</t>
        </is>
      </c>
      <c r="B6891" s="1" t="n">
        <v>44866</v>
      </c>
      <c r="C6891" s="1" t="n">
        <v>45363</v>
      </c>
      <c r="D6891" t="inlineStr">
        <is>
          <t>JÄMTLANDS LÄN</t>
        </is>
      </c>
      <c r="E6891" t="inlineStr">
        <is>
          <t>STRÖMSUND</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50649-2022</t>
        </is>
      </c>
      <c r="B6892" s="1" t="n">
        <v>44866</v>
      </c>
      <c r="C6892" s="1" t="n">
        <v>45363</v>
      </c>
      <c r="D6892" t="inlineStr">
        <is>
          <t>JÄMTLANDS LÄN</t>
        </is>
      </c>
      <c r="E6892" t="inlineStr">
        <is>
          <t>RAGUNDA</t>
        </is>
      </c>
      <c r="F6892" t="inlineStr">
        <is>
          <t>SCA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50659-2022</t>
        </is>
      </c>
      <c r="B6893" s="1" t="n">
        <v>44866</v>
      </c>
      <c r="C6893" s="1" t="n">
        <v>45363</v>
      </c>
      <c r="D6893" t="inlineStr">
        <is>
          <t>JÄMTLANDS LÄN</t>
        </is>
      </c>
      <c r="E6893" t="inlineStr">
        <is>
          <t>STRÖMSUND</t>
        </is>
      </c>
      <c r="F6893" t="inlineStr">
        <is>
          <t>SCA</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50663-2022</t>
        </is>
      </c>
      <c r="B6894" s="1" t="n">
        <v>44866</v>
      </c>
      <c r="C6894" s="1" t="n">
        <v>45363</v>
      </c>
      <c r="D6894" t="inlineStr">
        <is>
          <t>JÄMTLANDS LÄN</t>
        </is>
      </c>
      <c r="E6894" t="inlineStr">
        <is>
          <t>STRÖMSUND</t>
        </is>
      </c>
      <c r="F6894" t="inlineStr">
        <is>
          <t>SCA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50679-2022</t>
        </is>
      </c>
      <c r="B6895" s="1" t="n">
        <v>44866</v>
      </c>
      <c r="C6895" s="1" t="n">
        <v>45363</v>
      </c>
      <c r="D6895" t="inlineStr">
        <is>
          <t>JÄMTLANDS LÄN</t>
        </is>
      </c>
      <c r="E6895" t="inlineStr">
        <is>
          <t>BERG</t>
        </is>
      </c>
      <c r="F6895" t="inlineStr">
        <is>
          <t>SCA</t>
        </is>
      </c>
      <c r="G6895" t="n">
        <v>18.6</v>
      </c>
      <c r="H6895" t="n">
        <v>0</v>
      </c>
      <c r="I6895" t="n">
        <v>0</v>
      </c>
      <c r="J6895" t="n">
        <v>0</v>
      </c>
      <c r="K6895" t="n">
        <v>0</v>
      </c>
      <c r="L6895" t="n">
        <v>0</v>
      </c>
      <c r="M6895" t="n">
        <v>0</v>
      </c>
      <c r="N6895" t="n">
        <v>0</v>
      </c>
      <c r="O6895" t="n">
        <v>0</v>
      </c>
      <c r="P6895" t="n">
        <v>0</v>
      </c>
      <c r="Q6895" t="n">
        <v>0</v>
      </c>
      <c r="R6895" s="2" t="inlineStr"/>
    </row>
    <row r="6896" ht="15" customHeight="1">
      <c r="A6896" t="inlineStr">
        <is>
          <t>A 50664-2022</t>
        </is>
      </c>
      <c r="B6896" s="1" t="n">
        <v>44866</v>
      </c>
      <c r="C6896" s="1" t="n">
        <v>45363</v>
      </c>
      <c r="D6896" t="inlineStr">
        <is>
          <t>JÄMTLANDS LÄN</t>
        </is>
      </c>
      <c r="E6896" t="inlineStr">
        <is>
          <t>STRÖMSUND</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50680-2022</t>
        </is>
      </c>
      <c r="B6897" s="1" t="n">
        <v>44866</v>
      </c>
      <c r="C6897" s="1" t="n">
        <v>45363</v>
      </c>
      <c r="D6897" t="inlineStr">
        <is>
          <t>JÄMTLANDS LÄN</t>
        </is>
      </c>
      <c r="E6897" t="inlineStr">
        <is>
          <t>STRÖMSUND</t>
        </is>
      </c>
      <c r="F6897" t="inlineStr">
        <is>
          <t>SCA</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50647-2022</t>
        </is>
      </c>
      <c r="B6898" s="1" t="n">
        <v>44866</v>
      </c>
      <c r="C6898" s="1" t="n">
        <v>45363</v>
      </c>
      <c r="D6898" t="inlineStr">
        <is>
          <t>JÄMTLANDS LÄN</t>
        </is>
      </c>
      <c r="E6898" t="inlineStr">
        <is>
          <t>STRÖMSUND</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50658-2022</t>
        </is>
      </c>
      <c r="B6899" s="1" t="n">
        <v>44866</v>
      </c>
      <c r="C6899" s="1" t="n">
        <v>45363</v>
      </c>
      <c r="D6899" t="inlineStr">
        <is>
          <t>JÄMTLANDS LÄN</t>
        </is>
      </c>
      <c r="E6899" t="inlineStr">
        <is>
          <t>STRÖMSUND</t>
        </is>
      </c>
      <c r="F6899" t="inlineStr">
        <is>
          <t>SCA</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50678-2022</t>
        </is>
      </c>
      <c r="B6900" s="1" t="n">
        <v>44866</v>
      </c>
      <c r="C6900" s="1" t="n">
        <v>45363</v>
      </c>
      <c r="D6900" t="inlineStr">
        <is>
          <t>JÄMTLANDS LÄN</t>
        </is>
      </c>
      <c r="E6900" t="inlineStr">
        <is>
          <t>BERG</t>
        </is>
      </c>
      <c r="F6900" t="inlineStr">
        <is>
          <t>SCA</t>
        </is>
      </c>
      <c r="G6900" t="n">
        <v>18.5</v>
      </c>
      <c r="H6900" t="n">
        <v>0</v>
      </c>
      <c r="I6900" t="n">
        <v>0</v>
      </c>
      <c r="J6900" t="n">
        <v>0</v>
      </c>
      <c r="K6900" t="n">
        <v>0</v>
      </c>
      <c r="L6900" t="n">
        <v>0</v>
      </c>
      <c r="M6900" t="n">
        <v>0</v>
      </c>
      <c r="N6900" t="n">
        <v>0</v>
      </c>
      <c r="O6900" t="n">
        <v>0</v>
      </c>
      <c r="P6900" t="n">
        <v>0</v>
      </c>
      <c r="Q6900" t="n">
        <v>0</v>
      </c>
      <c r="R6900" s="2" t="inlineStr"/>
    </row>
    <row r="6901" ht="15" customHeight="1">
      <c r="A6901" t="inlineStr">
        <is>
          <t>A 51270-2022</t>
        </is>
      </c>
      <c r="B6901" s="1" t="n">
        <v>44866</v>
      </c>
      <c r="C6901" s="1" t="n">
        <v>45363</v>
      </c>
      <c r="D6901" t="inlineStr">
        <is>
          <t>JÄMTLANDS LÄN</t>
        </is>
      </c>
      <c r="E6901" t="inlineStr">
        <is>
          <t>BRÄCKE</t>
        </is>
      </c>
      <c r="F6901" t="inlineStr">
        <is>
          <t>Kommuner</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51344-2022</t>
        </is>
      </c>
      <c r="B6902" s="1" t="n">
        <v>44866</v>
      </c>
      <c r="C6902" s="1" t="n">
        <v>45363</v>
      </c>
      <c r="D6902" t="inlineStr">
        <is>
          <t>JÄMTLANDS LÄN</t>
        </is>
      </c>
      <c r="E6902" t="inlineStr">
        <is>
          <t>STRÖMSUND</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50682-2022</t>
        </is>
      </c>
      <c r="B6903" s="1" t="n">
        <v>44866</v>
      </c>
      <c r="C6903" s="1" t="n">
        <v>45363</v>
      </c>
      <c r="D6903" t="inlineStr">
        <is>
          <t>JÄMTLANDS LÄN</t>
        </is>
      </c>
      <c r="E6903" t="inlineStr">
        <is>
          <t>RAGUNDA</t>
        </is>
      </c>
      <c r="F6903" t="inlineStr">
        <is>
          <t>SCA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50681-2022</t>
        </is>
      </c>
      <c r="B6904" s="1" t="n">
        <v>44866</v>
      </c>
      <c r="C6904" s="1" t="n">
        <v>45363</v>
      </c>
      <c r="D6904" t="inlineStr">
        <is>
          <t>JÄMTLANDS LÄN</t>
        </is>
      </c>
      <c r="E6904" t="inlineStr">
        <is>
          <t>STRÖMSUND</t>
        </is>
      </c>
      <c r="F6904" t="inlineStr">
        <is>
          <t>SCA</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50687-2022</t>
        </is>
      </c>
      <c r="B6905" s="1" t="n">
        <v>44866</v>
      </c>
      <c r="C6905" s="1" t="n">
        <v>45363</v>
      </c>
      <c r="D6905" t="inlineStr">
        <is>
          <t>JÄMTLANDS LÄN</t>
        </is>
      </c>
      <c r="E6905" t="inlineStr">
        <is>
          <t>STRÖMSUND</t>
        </is>
      </c>
      <c r="F6905" t="inlineStr">
        <is>
          <t>SCA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51345-2022</t>
        </is>
      </c>
      <c r="B6906" s="1" t="n">
        <v>44866</v>
      </c>
      <c r="C6906" s="1" t="n">
        <v>45363</v>
      </c>
      <c r="D6906" t="inlineStr">
        <is>
          <t>JÄMTLANDS LÄN</t>
        </is>
      </c>
      <c r="E6906" t="inlineStr">
        <is>
          <t>KROKOM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50934-2022</t>
        </is>
      </c>
      <c r="B6907" s="1" t="n">
        <v>44867</v>
      </c>
      <c r="C6907" s="1" t="n">
        <v>45363</v>
      </c>
      <c r="D6907" t="inlineStr">
        <is>
          <t>JÄMTLANDS LÄN</t>
        </is>
      </c>
      <c r="E6907" t="inlineStr">
        <is>
          <t>STRÖMSUND</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50932-2022</t>
        </is>
      </c>
      <c r="B6908" s="1" t="n">
        <v>44867</v>
      </c>
      <c r="C6908" s="1" t="n">
        <v>45363</v>
      </c>
      <c r="D6908" t="inlineStr">
        <is>
          <t>JÄMTLANDS LÄN</t>
        </is>
      </c>
      <c r="E6908" t="inlineStr">
        <is>
          <t>ÖSTERSUND</t>
        </is>
      </c>
      <c r="F6908" t="inlineStr">
        <is>
          <t>Övriga Aktiebolag</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51013-2022</t>
        </is>
      </c>
      <c r="B6909" s="1" t="n">
        <v>44867</v>
      </c>
      <c r="C6909" s="1" t="n">
        <v>45363</v>
      </c>
      <c r="D6909" t="inlineStr">
        <is>
          <t>JÄMTLANDS LÄN</t>
        </is>
      </c>
      <c r="E6909" t="inlineStr">
        <is>
          <t>STRÖMSUND</t>
        </is>
      </c>
      <c r="G6909" t="n">
        <v>11.2</v>
      </c>
      <c r="H6909" t="n">
        <v>0</v>
      </c>
      <c r="I6909" t="n">
        <v>0</v>
      </c>
      <c r="J6909" t="n">
        <v>0</v>
      </c>
      <c r="K6909" t="n">
        <v>0</v>
      </c>
      <c r="L6909" t="n">
        <v>0</v>
      </c>
      <c r="M6909" t="n">
        <v>0</v>
      </c>
      <c r="N6909" t="n">
        <v>0</v>
      </c>
      <c r="O6909" t="n">
        <v>0</v>
      </c>
      <c r="P6909" t="n">
        <v>0</v>
      </c>
      <c r="Q6909" t="n">
        <v>0</v>
      </c>
      <c r="R6909" s="2" t="inlineStr"/>
    </row>
    <row r="6910" ht="15" customHeight="1">
      <c r="A6910" t="inlineStr">
        <is>
          <t>A 51015-2022</t>
        </is>
      </c>
      <c r="B6910" s="1" t="n">
        <v>44867</v>
      </c>
      <c r="C6910" s="1" t="n">
        <v>45363</v>
      </c>
      <c r="D6910" t="inlineStr">
        <is>
          <t>JÄMTLANDS LÄN</t>
        </is>
      </c>
      <c r="E6910" t="inlineStr">
        <is>
          <t>STRÖMSUND</t>
        </is>
      </c>
      <c r="F6910" t="inlineStr">
        <is>
          <t>SCA</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51022-2022</t>
        </is>
      </c>
      <c r="B6911" s="1" t="n">
        <v>44867</v>
      </c>
      <c r="C6911" s="1" t="n">
        <v>45363</v>
      </c>
      <c r="D6911" t="inlineStr">
        <is>
          <t>JÄMTLANDS LÄN</t>
        </is>
      </c>
      <c r="E6911" t="inlineStr">
        <is>
          <t>BRÄCKE</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51012-2022</t>
        </is>
      </c>
      <c r="B6912" s="1" t="n">
        <v>44867</v>
      </c>
      <c r="C6912" s="1" t="n">
        <v>45363</v>
      </c>
      <c r="D6912" t="inlineStr">
        <is>
          <t>JÄMTLANDS LÄN</t>
        </is>
      </c>
      <c r="E6912" t="inlineStr">
        <is>
          <t>RAGUNDA</t>
        </is>
      </c>
      <c r="F6912" t="inlineStr">
        <is>
          <t>Sveaskog</t>
        </is>
      </c>
      <c r="G6912" t="n">
        <v>8.4</v>
      </c>
      <c r="H6912" t="n">
        <v>0</v>
      </c>
      <c r="I6912" t="n">
        <v>0</v>
      </c>
      <c r="J6912" t="n">
        <v>0</v>
      </c>
      <c r="K6912" t="n">
        <v>0</v>
      </c>
      <c r="L6912" t="n">
        <v>0</v>
      </c>
      <c r="M6912" t="n">
        <v>0</v>
      </c>
      <c r="N6912" t="n">
        <v>0</v>
      </c>
      <c r="O6912" t="n">
        <v>0</v>
      </c>
      <c r="P6912" t="n">
        <v>0</v>
      </c>
      <c r="Q6912" t="n">
        <v>0</v>
      </c>
      <c r="R6912" s="2" t="inlineStr"/>
    </row>
    <row r="6913" ht="15" customHeight="1">
      <c r="A6913" t="inlineStr">
        <is>
          <t>A 51020-2022</t>
        </is>
      </c>
      <c r="B6913" s="1" t="n">
        <v>44867</v>
      </c>
      <c r="C6913" s="1" t="n">
        <v>45363</v>
      </c>
      <c r="D6913" t="inlineStr">
        <is>
          <t>JÄMTLANDS LÄN</t>
        </is>
      </c>
      <c r="E6913" t="inlineStr">
        <is>
          <t>BRÄCKE</t>
        </is>
      </c>
      <c r="F6913" t="inlineStr">
        <is>
          <t>SCA</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51021-2022</t>
        </is>
      </c>
      <c r="B6914" s="1" t="n">
        <v>44867</v>
      </c>
      <c r="C6914" s="1" t="n">
        <v>45363</v>
      </c>
      <c r="D6914" t="inlineStr">
        <is>
          <t>JÄMTLANDS LÄN</t>
        </is>
      </c>
      <c r="E6914" t="inlineStr">
        <is>
          <t>STRÖMSUND</t>
        </is>
      </c>
      <c r="F6914" t="inlineStr">
        <is>
          <t>SCA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51889-2022</t>
        </is>
      </c>
      <c r="B6915" s="1" t="n">
        <v>44867</v>
      </c>
      <c r="C6915" s="1" t="n">
        <v>45363</v>
      </c>
      <c r="D6915" t="inlineStr">
        <is>
          <t>JÄMTLANDS LÄN</t>
        </is>
      </c>
      <c r="E6915" t="inlineStr">
        <is>
          <t>STRÖMSUND</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51164-2022</t>
        </is>
      </c>
      <c r="B6916" s="1" t="n">
        <v>44868</v>
      </c>
      <c r="C6916" s="1" t="n">
        <v>45363</v>
      </c>
      <c r="D6916" t="inlineStr">
        <is>
          <t>JÄMTLANDS LÄN</t>
        </is>
      </c>
      <c r="E6916" t="inlineStr">
        <is>
          <t>ÖSTERSUND</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51325-2022</t>
        </is>
      </c>
      <c r="B6917" s="1" t="n">
        <v>44868</v>
      </c>
      <c r="C6917" s="1" t="n">
        <v>45363</v>
      </c>
      <c r="D6917" t="inlineStr">
        <is>
          <t>JÄMTLANDS LÄN</t>
        </is>
      </c>
      <c r="E6917" t="inlineStr">
        <is>
          <t>STRÖMSUND</t>
        </is>
      </c>
      <c r="F6917" t="inlineStr">
        <is>
          <t>SCA</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51324-2022</t>
        </is>
      </c>
      <c r="B6918" s="1" t="n">
        <v>44868</v>
      </c>
      <c r="C6918" s="1" t="n">
        <v>45363</v>
      </c>
      <c r="D6918" t="inlineStr">
        <is>
          <t>JÄMTLANDS LÄN</t>
        </is>
      </c>
      <c r="E6918" t="inlineStr">
        <is>
          <t>STRÖMSUND</t>
        </is>
      </c>
      <c r="F6918" t="inlineStr">
        <is>
          <t>SCA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52181-2022</t>
        </is>
      </c>
      <c r="B6919" s="1" t="n">
        <v>44868</v>
      </c>
      <c r="C6919" s="1" t="n">
        <v>45363</v>
      </c>
      <c r="D6919" t="inlineStr">
        <is>
          <t>JÄMTLANDS LÄN</t>
        </is>
      </c>
      <c r="E6919" t="inlineStr">
        <is>
          <t>STRÖMSUND</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51359-2022</t>
        </is>
      </c>
      <c r="B6920" s="1" t="n">
        <v>44869</v>
      </c>
      <c r="C6920" s="1" t="n">
        <v>45363</v>
      </c>
      <c r="D6920" t="inlineStr">
        <is>
          <t>JÄMTLANDS LÄN</t>
        </is>
      </c>
      <c r="E6920" t="inlineStr">
        <is>
          <t>KROKOM</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51450-2022</t>
        </is>
      </c>
      <c r="B6921" s="1" t="n">
        <v>44869</v>
      </c>
      <c r="C6921" s="1" t="n">
        <v>45363</v>
      </c>
      <c r="D6921" t="inlineStr">
        <is>
          <t>JÄMTLANDS LÄN</t>
        </is>
      </c>
      <c r="E6921" t="inlineStr">
        <is>
          <t>STRÖMSUND</t>
        </is>
      </c>
      <c r="F6921" t="inlineStr">
        <is>
          <t>Holmen skog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51540-2022</t>
        </is>
      </c>
      <c r="B6922" s="1" t="n">
        <v>44869</v>
      </c>
      <c r="C6922" s="1" t="n">
        <v>45363</v>
      </c>
      <c r="D6922" t="inlineStr">
        <is>
          <t>JÄMTLANDS LÄN</t>
        </is>
      </c>
      <c r="E6922" t="inlineStr">
        <is>
          <t>RAGUNDA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51558-2022</t>
        </is>
      </c>
      <c r="B6923" s="1" t="n">
        <v>44869</v>
      </c>
      <c r="C6923" s="1" t="n">
        <v>45363</v>
      </c>
      <c r="D6923" t="inlineStr">
        <is>
          <t>JÄMTLANDS LÄN</t>
        </is>
      </c>
      <c r="E6923" t="inlineStr">
        <is>
          <t>BRÄCKE</t>
        </is>
      </c>
      <c r="F6923" t="inlineStr">
        <is>
          <t>SCA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51562-2022</t>
        </is>
      </c>
      <c r="B6924" s="1" t="n">
        <v>44869</v>
      </c>
      <c r="C6924" s="1" t="n">
        <v>45363</v>
      </c>
      <c r="D6924" t="inlineStr">
        <is>
          <t>JÄMTLANDS LÄN</t>
        </is>
      </c>
      <c r="E6924" t="inlineStr">
        <is>
          <t>STRÖMSUND</t>
        </is>
      </c>
      <c r="F6924" t="inlineStr">
        <is>
          <t>SCA</t>
        </is>
      </c>
      <c r="G6924" t="n">
        <v>11.4</v>
      </c>
      <c r="H6924" t="n">
        <v>0</v>
      </c>
      <c r="I6924" t="n">
        <v>0</v>
      </c>
      <c r="J6924" t="n">
        <v>0</v>
      </c>
      <c r="K6924" t="n">
        <v>0</v>
      </c>
      <c r="L6924" t="n">
        <v>0</v>
      </c>
      <c r="M6924" t="n">
        <v>0</v>
      </c>
      <c r="N6924" t="n">
        <v>0</v>
      </c>
      <c r="O6924" t="n">
        <v>0</v>
      </c>
      <c r="P6924" t="n">
        <v>0</v>
      </c>
      <c r="Q6924" t="n">
        <v>0</v>
      </c>
      <c r="R6924" s="2" t="inlineStr"/>
    </row>
    <row r="6925" ht="15" customHeight="1">
      <c r="A6925" t="inlineStr">
        <is>
          <t>A 51559-2022</t>
        </is>
      </c>
      <c r="B6925" s="1" t="n">
        <v>44869</v>
      </c>
      <c r="C6925" s="1" t="n">
        <v>45363</v>
      </c>
      <c r="D6925" t="inlineStr">
        <is>
          <t>JÄMTLANDS LÄN</t>
        </is>
      </c>
      <c r="E6925" t="inlineStr">
        <is>
          <t>BRÄCKE</t>
        </is>
      </c>
      <c r="F6925" t="inlineStr">
        <is>
          <t>SCA</t>
        </is>
      </c>
      <c r="G6925" t="n">
        <v>21.1</v>
      </c>
      <c r="H6925" t="n">
        <v>0</v>
      </c>
      <c r="I6925" t="n">
        <v>0</v>
      </c>
      <c r="J6925" t="n">
        <v>0</v>
      </c>
      <c r="K6925" t="n">
        <v>0</v>
      </c>
      <c r="L6925" t="n">
        <v>0</v>
      </c>
      <c r="M6925" t="n">
        <v>0</v>
      </c>
      <c r="N6925" t="n">
        <v>0</v>
      </c>
      <c r="O6925" t="n">
        <v>0</v>
      </c>
      <c r="P6925" t="n">
        <v>0</v>
      </c>
      <c r="Q6925" t="n">
        <v>0</v>
      </c>
      <c r="R6925" s="2" t="inlineStr"/>
    </row>
    <row r="6926" ht="15" customHeight="1">
      <c r="A6926" t="inlineStr">
        <is>
          <t>A 51563-2022</t>
        </is>
      </c>
      <c r="B6926" s="1" t="n">
        <v>44869</v>
      </c>
      <c r="C6926" s="1" t="n">
        <v>45363</v>
      </c>
      <c r="D6926" t="inlineStr">
        <is>
          <t>JÄMTLANDS LÄN</t>
        </is>
      </c>
      <c r="E6926" t="inlineStr">
        <is>
          <t>STRÖMSUND</t>
        </is>
      </c>
      <c r="F6926" t="inlineStr">
        <is>
          <t>SCA</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51538-2022</t>
        </is>
      </c>
      <c r="B6927" s="1" t="n">
        <v>44869</v>
      </c>
      <c r="C6927" s="1" t="n">
        <v>45363</v>
      </c>
      <c r="D6927" t="inlineStr">
        <is>
          <t>JÄMTLANDS LÄN</t>
        </is>
      </c>
      <c r="E6927" t="inlineStr">
        <is>
          <t>RAGUNDA</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51537-2022</t>
        </is>
      </c>
      <c r="B6928" s="1" t="n">
        <v>44869</v>
      </c>
      <c r="C6928" s="1" t="n">
        <v>45363</v>
      </c>
      <c r="D6928" t="inlineStr">
        <is>
          <t>JÄMTLANDS LÄN</t>
        </is>
      </c>
      <c r="E6928" t="inlineStr">
        <is>
          <t>RAGUNDA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51787-2022</t>
        </is>
      </c>
      <c r="B6929" s="1" t="n">
        <v>44872</v>
      </c>
      <c r="C6929" s="1" t="n">
        <v>45363</v>
      </c>
      <c r="D6929" t="inlineStr">
        <is>
          <t>JÄMTLANDS LÄN</t>
        </is>
      </c>
      <c r="E6929" t="inlineStr">
        <is>
          <t>BRÄCKE</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52021-2022</t>
        </is>
      </c>
      <c r="B6930" s="1" t="n">
        <v>44872</v>
      </c>
      <c r="C6930" s="1" t="n">
        <v>45363</v>
      </c>
      <c r="D6930" t="inlineStr">
        <is>
          <t>JÄMTLANDS LÄN</t>
        </is>
      </c>
      <c r="E6930" t="inlineStr">
        <is>
          <t>BRÄCKE</t>
        </is>
      </c>
      <c r="F6930" t="inlineStr">
        <is>
          <t>SCA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51948-2022</t>
        </is>
      </c>
      <c r="B6931" s="1" t="n">
        <v>44872</v>
      </c>
      <c r="C6931" s="1" t="n">
        <v>45363</v>
      </c>
      <c r="D6931" t="inlineStr">
        <is>
          <t>JÄMTLANDS LÄN</t>
        </is>
      </c>
      <c r="E6931" t="inlineStr">
        <is>
          <t>HÄRJEDALEN</t>
        </is>
      </c>
      <c r="F6931" t="inlineStr">
        <is>
          <t>Bergvik skog väst AB</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52038-2022</t>
        </is>
      </c>
      <c r="B6932" s="1" t="n">
        <v>44872</v>
      </c>
      <c r="C6932" s="1" t="n">
        <v>45363</v>
      </c>
      <c r="D6932" t="inlineStr">
        <is>
          <t>JÄMTLANDS LÄN</t>
        </is>
      </c>
      <c r="E6932" t="inlineStr">
        <is>
          <t>STRÖMSUND</t>
        </is>
      </c>
      <c r="F6932" t="inlineStr">
        <is>
          <t>SCA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52023-2022</t>
        </is>
      </c>
      <c r="B6933" s="1" t="n">
        <v>44872</v>
      </c>
      <c r="C6933" s="1" t="n">
        <v>45363</v>
      </c>
      <c r="D6933" t="inlineStr">
        <is>
          <t>JÄMTLANDS LÄN</t>
        </is>
      </c>
      <c r="E6933" t="inlineStr">
        <is>
          <t>BRÄCKE</t>
        </is>
      </c>
      <c r="F6933" t="inlineStr">
        <is>
          <t>SCA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52028-2022</t>
        </is>
      </c>
      <c r="B6934" s="1" t="n">
        <v>44872</v>
      </c>
      <c r="C6934" s="1" t="n">
        <v>45363</v>
      </c>
      <c r="D6934" t="inlineStr">
        <is>
          <t>JÄMTLANDS LÄN</t>
        </is>
      </c>
      <c r="E6934" t="inlineStr">
        <is>
          <t>STRÖMSUND</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52022-2022</t>
        </is>
      </c>
      <c r="B6935" s="1" t="n">
        <v>44872</v>
      </c>
      <c r="C6935" s="1" t="n">
        <v>45363</v>
      </c>
      <c r="D6935" t="inlineStr">
        <is>
          <t>JÄMTLANDS LÄN</t>
        </is>
      </c>
      <c r="E6935" t="inlineStr">
        <is>
          <t>BRÄCKE</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52852-2022</t>
        </is>
      </c>
      <c r="B6936" s="1" t="n">
        <v>44872</v>
      </c>
      <c r="C6936" s="1" t="n">
        <v>45363</v>
      </c>
      <c r="D6936" t="inlineStr">
        <is>
          <t>JÄMTLANDS LÄN</t>
        </is>
      </c>
      <c r="E6936" t="inlineStr">
        <is>
          <t>HÄRJEDALEN</t>
        </is>
      </c>
      <c r="F6936" t="inlineStr">
        <is>
          <t>Holmen skog AB</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52927-2022</t>
        </is>
      </c>
      <c r="B6937" s="1" t="n">
        <v>44872</v>
      </c>
      <c r="C6937" s="1" t="n">
        <v>45363</v>
      </c>
      <c r="D6937" t="inlineStr">
        <is>
          <t>JÄMTLANDS LÄN</t>
        </is>
      </c>
      <c r="E6937" t="inlineStr">
        <is>
          <t>BERG</t>
        </is>
      </c>
      <c r="F6937" t="inlineStr">
        <is>
          <t>SCA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52844-2022</t>
        </is>
      </c>
      <c r="B6938" s="1" t="n">
        <v>44872</v>
      </c>
      <c r="C6938" s="1" t="n">
        <v>45363</v>
      </c>
      <c r="D6938" t="inlineStr">
        <is>
          <t>JÄMTLANDS LÄN</t>
        </is>
      </c>
      <c r="E6938" t="inlineStr">
        <is>
          <t>BRÄCKE</t>
        </is>
      </c>
      <c r="G6938" t="n">
        <v>9.5</v>
      </c>
      <c r="H6938" t="n">
        <v>0</v>
      </c>
      <c r="I6938" t="n">
        <v>0</v>
      </c>
      <c r="J6938" t="n">
        <v>0</v>
      </c>
      <c r="K6938" t="n">
        <v>0</v>
      </c>
      <c r="L6938" t="n">
        <v>0</v>
      </c>
      <c r="M6938" t="n">
        <v>0</v>
      </c>
      <c r="N6938" t="n">
        <v>0</v>
      </c>
      <c r="O6938" t="n">
        <v>0</v>
      </c>
      <c r="P6938" t="n">
        <v>0</v>
      </c>
      <c r="Q6938" t="n">
        <v>0</v>
      </c>
      <c r="R6938" s="2" t="inlineStr"/>
    </row>
    <row r="6939" ht="15" customHeight="1">
      <c r="A6939" t="inlineStr">
        <is>
          <t>A 52031-2022</t>
        </is>
      </c>
      <c r="B6939" s="1" t="n">
        <v>44872</v>
      </c>
      <c r="C6939" s="1" t="n">
        <v>45363</v>
      </c>
      <c r="D6939" t="inlineStr">
        <is>
          <t>JÄMTLANDS LÄN</t>
        </is>
      </c>
      <c r="E6939" t="inlineStr">
        <is>
          <t>BRÄCKE</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52806-2022</t>
        </is>
      </c>
      <c r="B6940" s="1" t="n">
        <v>44872</v>
      </c>
      <c r="C6940" s="1" t="n">
        <v>45363</v>
      </c>
      <c r="D6940" t="inlineStr">
        <is>
          <t>JÄMTLANDS LÄN</t>
        </is>
      </c>
      <c r="E6940" t="inlineStr">
        <is>
          <t>STRÖMSUND</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52867-2022</t>
        </is>
      </c>
      <c r="B6941" s="1" t="n">
        <v>44872</v>
      </c>
      <c r="C6941" s="1" t="n">
        <v>45363</v>
      </c>
      <c r="D6941" t="inlineStr">
        <is>
          <t>JÄMTLANDS LÄN</t>
        </is>
      </c>
      <c r="E6941" t="inlineStr">
        <is>
          <t>HÄRJEDALEN</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52155-2022</t>
        </is>
      </c>
      <c r="B6942" s="1" t="n">
        <v>44873</v>
      </c>
      <c r="C6942" s="1" t="n">
        <v>45363</v>
      </c>
      <c r="D6942" t="inlineStr">
        <is>
          <t>JÄMTLANDS LÄN</t>
        </is>
      </c>
      <c r="E6942" t="inlineStr">
        <is>
          <t>ÖSTERSUND</t>
        </is>
      </c>
      <c r="F6942" t="inlineStr">
        <is>
          <t>Övriga Aktiebolag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52253-2022</t>
        </is>
      </c>
      <c r="B6943" s="1" t="n">
        <v>44873</v>
      </c>
      <c r="C6943" s="1" t="n">
        <v>45363</v>
      </c>
      <c r="D6943" t="inlineStr">
        <is>
          <t>JÄMTLANDS LÄN</t>
        </is>
      </c>
      <c r="E6943" t="inlineStr">
        <is>
          <t>KROKOM</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52268-2022</t>
        </is>
      </c>
      <c r="B6944" s="1" t="n">
        <v>44873</v>
      </c>
      <c r="C6944" s="1" t="n">
        <v>45363</v>
      </c>
      <c r="D6944" t="inlineStr">
        <is>
          <t>JÄMTLANDS LÄN</t>
        </is>
      </c>
      <c r="E6944" t="inlineStr">
        <is>
          <t>KROKOM</t>
        </is>
      </c>
      <c r="G6944" t="n">
        <v>0.7</v>
      </c>
      <c r="H6944" t="n">
        <v>0</v>
      </c>
      <c r="I6944" t="n">
        <v>0</v>
      </c>
      <c r="J6944" t="n">
        <v>0</v>
      </c>
      <c r="K6944" t="n">
        <v>0</v>
      </c>
      <c r="L6944" t="n">
        <v>0</v>
      </c>
      <c r="M6944" t="n">
        <v>0</v>
      </c>
      <c r="N6944" t="n">
        <v>0</v>
      </c>
      <c r="O6944" t="n">
        <v>0</v>
      </c>
      <c r="P6944" t="n">
        <v>0</v>
      </c>
      <c r="Q6944" t="n">
        <v>0</v>
      </c>
      <c r="R6944" s="2" t="inlineStr"/>
      <c r="U6944">
        <f>HYPERLINK("https://klasma.github.io/Logging_2309/knärot/A 52268-2022 karta knärot.png", "A 52268-2022")</f>
        <v/>
      </c>
      <c r="V6944">
        <f>HYPERLINK("https://klasma.github.io/Logging_2309/klagomål/A 52268-2022 FSC-klagomål.docx", "A 52268-2022")</f>
        <v/>
      </c>
      <c r="W6944">
        <f>HYPERLINK("https://klasma.github.io/Logging_2309/klagomålsmail/A 52268-2022 FSC-klagomål mail.docx", "A 52268-2022")</f>
        <v/>
      </c>
      <c r="X6944">
        <f>HYPERLINK("https://klasma.github.io/Logging_2309/tillsyn/A 52268-2022 tillsynsbegäran.docx", "A 52268-2022")</f>
        <v/>
      </c>
      <c r="Y6944">
        <f>HYPERLINK("https://klasma.github.io/Logging_2309/tillsynsmail/A 52268-2022 tillsynsbegäran mail.docx", "A 52268-2022")</f>
        <v/>
      </c>
    </row>
    <row r="6945" ht="15" customHeight="1">
      <c r="A6945" t="inlineStr">
        <is>
          <t>A 52313-2022</t>
        </is>
      </c>
      <c r="B6945" s="1" t="n">
        <v>44873</v>
      </c>
      <c r="C6945" s="1" t="n">
        <v>45363</v>
      </c>
      <c r="D6945" t="inlineStr">
        <is>
          <t>JÄMTLANDS LÄN</t>
        </is>
      </c>
      <c r="E6945" t="inlineStr">
        <is>
          <t>ÅRE</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52258-2022</t>
        </is>
      </c>
      <c r="B6946" s="1" t="n">
        <v>44873</v>
      </c>
      <c r="C6946" s="1" t="n">
        <v>45363</v>
      </c>
      <c r="D6946" t="inlineStr">
        <is>
          <t>JÄMTLANDS LÄN</t>
        </is>
      </c>
      <c r="E6946" t="inlineStr">
        <is>
          <t>KROKOM</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52300-2022</t>
        </is>
      </c>
      <c r="B6947" s="1" t="n">
        <v>44873</v>
      </c>
      <c r="C6947" s="1" t="n">
        <v>45363</v>
      </c>
      <c r="D6947" t="inlineStr">
        <is>
          <t>JÄMTLANDS LÄN</t>
        </is>
      </c>
      <c r="E6947" t="inlineStr">
        <is>
          <t>BRÄCKE</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52339-2022</t>
        </is>
      </c>
      <c r="B6948" s="1" t="n">
        <v>44873</v>
      </c>
      <c r="C6948" s="1" t="n">
        <v>45363</v>
      </c>
      <c r="D6948" t="inlineStr">
        <is>
          <t>JÄMTLANDS LÄN</t>
        </is>
      </c>
      <c r="E6948" t="inlineStr">
        <is>
          <t>HÄRJEDALEN</t>
        </is>
      </c>
      <c r="G6948" t="n">
        <v>28.1</v>
      </c>
      <c r="H6948" t="n">
        <v>0</v>
      </c>
      <c r="I6948" t="n">
        <v>0</v>
      </c>
      <c r="J6948" t="n">
        <v>0</v>
      </c>
      <c r="K6948" t="n">
        <v>0</v>
      </c>
      <c r="L6948" t="n">
        <v>0</v>
      </c>
      <c r="M6948" t="n">
        <v>0</v>
      </c>
      <c r="N6948" t="n">
        <v>0</v>
      </c>
      <c r="O6948" t="n">
        <v>0</v>
      </c>
      <c r="P6948" t="n">
        <v>0</v>
      </c>
      <c r="Q6948" t="n">
        <v>0</v>
      </c>
      <c r="R6948" s="2" t="inlineStr"/>
    </row>
    <row r="6949" ht="15" customHeight="1">
      <c r="A6949" t="inlineStr">
        <is>
          <t>A 52345-2022</t>
        </is>
      </c>
      <c r="B6949" s="1" t="n">
        <v>44873</v>
      </c>
      <c r="C6949" s="1" t="n">
        <v>45363</v>
      </c>
      <c r="D6949" t="inlineStr">
        <is>
          <t>JÄMTLANDS LÄN</t>
        </is>
      </c>
      <c r="E6949" t="inlineStr">
        <is>
          <t>STRÖMSUND</t>
        </is>
      </c>
      <c r="F6949" t="inlineStr">
        <is>
          <t>SCA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52352-2022</t>
        </is>
      </c>
      <c r="B6950" s="1" t="n">
        <v>44873</v>
      </c>
      <c r="C6950" s="1" t="n">
        <v>45363</v>
      </c>
      <c r="D6950" t="inlineStr">
        <is>
          <t>JÄMTLANDS LÄN</t>
        </is>
      </c>
      <c r="E6950" t="inlineStr">
        <is>
          <t>STRÖMSUND</t>
        </is>
      </c>
      <c r="F6950" t="inlineStr">
        <is>
          <t>SCA</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52344-2022</t>
        </is>
      </c>
      <c r="B6951" s="1" t="n">
        <v>44873</v>
      </c>
      <c r="C6951" s="1" t="n">
        <v>45363</v>
      </c>
      <c r="D6951" t="inlineStr">
        <is>
          <t>JÄMTLANDS LÄN</t>
        </is>
      </c>
      <c r="E6951" t="inlineStr">
        <is>
          <t>STRÖMSUND</t>
        </is>
      </c>
      <c r="F6951" t="inlineStr">
        <is>
          <t>SCA</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53113-2022</t>
        </is>
      </c>
      <c r="B6952" s="1" t="n">
        <v>44873</v>
      </c>
      <c r="C6952" s="1" t="n">
        <v>45363</v>
      </c>
      <c r="D6952" t="inlineStr">
        <is>
          <t>JÄMTLANDS LÄN</t>
        </is>
      </c>
      <c r="E6952" t="inlineStr">
        <is>
          <t>BRÄCKE</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52433-2022</t>
        </is>
      </c>
      <c r="B6953" s="1" t="n">
        <v>44874</v>
      </c>
      <c r="C6953" s="1" t="n">
        <v>45363</v>
      </c>
      <c r="D6953" t="inlineStr">
        <is>
          <t>JÄMTLANDS LÄN</t>
        </is>
      </c>
      <c r="E6953" t="inlineStr">
        <is>
          <t>BRÄCKE</t>
        </is>
      </c>
      <c r="G6953" t="n">
        <v>8</v>
      </c>
      <c r="H6953" t="n">
        <v>0</v>
      </c>
      <c r="I6953" t="n">
        <v>0</v>
      </c>
      <c r="J6953" t="n">
        <v>0</v>
      </c>
      <c r="K6953" t="n">
        <v>0</v>
      </c>
      <c r="L6953" t="n">
        <v>0</v>
      </c>
      <c r="M6953" t="n">
        <v>0</v>
      </c>
      <c r="N6953" t="n">
        <v>0</v>
      </c>
      <c r="O6953" t="n">
        <v>0</v>
      </c>
      <c r="P6953" t="n">
        <v>0</v>
      </c>
      <c r="Q6953" t="n">
        <v>0</v>
      </c>
      <c r="R6953" s="2" t="inlineStr"/>
    </row>
    <row r="6954" ht="15" customHeight="1">
      <c r="A6954" t="inlineStr">
        <is>
          <t>A 52470-2022</t>
        </is>
      </c>
      <c r="B6954" s="1" t="n">
        <v>44874</v>
      </c>
      <c r="C6954" s="1" t="n">
        <v>45363</v>
      </c>
      <c r="D6954" t="inlineStr">
        <is>
          <t>JÄMTLANDS LÄN</t>
        </is>
      </c>
      <c r="E6954" t="inlineStr">
        <is>
          <t>ÅRE</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52485-2022</t>
        </is>
      </c>
      <c r="B6955" s="1" t="n">
        <v>44874</v>
      </c>
      <c r="C6955" s="1" t="n">
        <v>45363</v>
      </c>
      <c r="D6955" t="inlineStr">
        <is>
          <t>JÄMTLANDS LÄN</t>
        </is>
      </c>
      <c r="E6955" t="inlineStr">
        <is>
          <t>ÅRE</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52697-2022</t>
        </is>
      </c>
      <c r="B6956" s="1" t="n">
        <v>44874</v>
      </c>
      <c r="C6956" s="1" t="n">
        <v>45363</v>
      </c>
      <c r="D6956" t="inlineStr">
        <is>
          <t>JÄMTLANDS LÄN</t>
        </is>
      </c>
      <c r="E6956" t="inlineStr">
        <is>
          <t>RAGUNDA</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52707-2022</t>
        </is>
      </c>
      <c r="B6957" s="1" t="n">
        <v>44874</v>
      </c>
      <c r="C6957" s="1" t="n">
        <v>45363</v>
      </c>
      <c r="D6957" t="inlineStr">
        <is>
          <t>JÄMTLANDS LÄN</t>
        </is>
      </c>
      <c r="E6957" t="inlineStr">
        <is>
          <t>ÅRE</t>
        </is>
      </c>
      <c r="F6957" t="inlineStr">
        <is>
          <t>Övriga Aktiebolag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52715-2022</t>
        </is>
      </c>
      <c r="B6958" s="1" t="n">
        <v>44874</v>
      </c>
      <c r="C6958" s="1" t="n">
        <v>45363</v>
      </c>
      <c r="D6958" t="inlineStr">
        <is>
          <t>JÄMTLANDS LÄN</t>
        </is>
      </c>
      <c r="E6958" t="inlineStr">
        <is>
          <t>STRÖMSUND</t>
        </is>
      </c>
      <c r="F6958" t="inlineStr">
        <is>
          <t>SCA</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52720-2022</t>
        </is>
      </c>
      <c r="B6959" s="1" t="n">
        <v>44874</v>
      </c>
      <c r="C6959" s="1" t="n">
        <v>45363</v>
      </c>
      <c r="D6959" t="inlineStr">
        <is>
          <t>JÄMTLANDS LÄN</t>
        </is>
      </c>
      <c r="E6959" t="inlineStr">
        <is>
          <t>RAGUNDA</t>
        </is>
      </c>
      <c r="F6959" t="inlineStr">
        <is>
          <t>SCA</t>
        </is>
      </c>
      <c r="G6959" t="n">
        <v>9.800000000000001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52521-2022</t>
        </is>
      </c>
      <c r="B6960" s="1" t="n">
        <v>44874</v>
      </c>
      <c r="C6960" s="1" t="n">
        <v>45363</v>
      </c>
      <c r="D6960" t="inlineStr">
        <is>
          <t>JÄMTLANDS LÄN</t>
        </is>
      </c>
      <c r="E6960" t="inlineStr">
        <is>
          <t>STRÖMSUND</t>
        </is>
      </c>
      <c r="F6960" t="inlineStr">
        <is>
          <t>Holmen skog AB</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52586-2022</t>
        </is>
      </c>
      <c r="B6961" s="1" t="n">
        <v>44874</v>
      </c>
      <c r="C6961" s="1" t="n">
        <v>45363</v>
      </c>
      <c r="D6961" t="inlineStr">
        <is>
          <t>JÄMTLANDS LÄN</t>
        </is>
      </c>
      <c r="E6961" t="inlineStr">
        <is>
          <t>HÄRJEDALEN</t>
        </is>
      </c>
      <c r="F6961" t="inlineStr">
        <is>
          <t>Bergvik skog väst AB</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52712-2022</t>
        </is>
      </c>
      <c r="B6962" s="1" t="n">
        <v>44874</v>
      </c>
      <c r="C6962" s="1" t="n">
        <v>45363</v>
      </c>
      <c r="D6962" t="inlineStr">
        <is>
          <t>JÄMTLANDS LÄN</t>
        </is>
      </c>
      <c r="E6962" t="inlineStr">
        <is>
          <t>BRÄCKE</t>
        </is>
      </c>
      <c r="F6962" t="inlineStr">
        <is>
          <t>SCA</t>
        </is>
      </c>
      <c r="G6962" t="n">
        <v>9.300000000000001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52721-2022</t>
        </is>
      </c>
      <c r="B6963" s="1" t="n">
        <v>44874</v>
      </c>
      <c r="C6963" s="1" t="n">
        <v>45363</v>
      </c>
      <c r="D6963" t="inlineStr">
        <is>
          <t>JÄMTLANDS LÄN</t>
        </is>
      </c>
      <c r="E6963" t="inlineStr">
        <is>
          <t>BRÄCKE</t>
        </is>
      </c>
      <c r="F6963" t="inlineStr">
        <is>
          <t>SCA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52713-2022</t>
        </is>
      </c>
      <c r="B6964" s="1" t="n">
        <v>44874</v>
      </c>
      <c r="C6964" s="1" t="n">
        <v>45363</v>
      </c>
      <c r="D6964" t="inlineStr">
        <is>
          <t>JÄMTLANDS LÄN</t>
        </is>
      </c>
      <c r="E6964" t="inlineStr">
        <is>
          <t>BRÄCKE</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52722-2022</t>
        </is>
      </c>
      <c r="B6965" s="1" t="n">
        <v>44874</v>
      </c>
      <c r="C6965" s="1" t="n">
        <v>45363</v>
      </c>
      <c r="D6965" t="inlineStr">
        <is>
          <t>JÄMTLANDS LÄN</t>
        </is>
      </c>
      <c r="E6965" t="inlineStr">
        <is>
          <t>BRÄCKE</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52728-2022</t>
        </is>
      </c>
      <c r="B6966" s="1" t="n">
        <v>44874</v>
      </c>
      <c r="C6966" s="1" t="n">
        <v>45363</v>
      </c>
      <c r="D6966" t="inlineStr">
        <is>
          <t>JÄMTLANDS LÄN</t>
        </is>
      </c>
      <c r="E6966" t="inlineStr">
        <is>
          <t>STRÖMSUND</t>
        </is>
      </c>
      <c r="F6966" t="inlineStr">
        <is>
          <t>SCA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53456-2022</t>
        </is>
      </c>
      <c r="B6967" s="1" t="n">
        <v>44874</v>
      </c>
      <c r="C6967" s="1" t="n">
        <v>45363</v>
      </c>
      <c r="D6967" t="inlineStr">
        <is>
          <t>JÄMTLANDS LÄN</t>
        </is>
      </c>
      <c r="E6967" t="inlineStr">
        <is>
          <t>BERG</t>
        </is>
      </c>
      <c r="G6967" t="n">
        <v>13.3</v>
      </c>
      <c r="H6967" t="n">
        <v>0</v>
      </c>
      <c r="I6967" t="n">
        <v>0</v>
      </c>
      <c r="J6967" t="n">
        <v>0</v>
      </c>
      <c r="K6967" t="n">
        <v>0</v>
      </c>
      <c r="L6967" t="n">
        <v>0</v>
      </c>
      <c r="M6967" t="n">
        <v>0</v>
      </c>
      <c r="N6967" t="n">
        <v>0</v>
      </c>
      <c r="O6967" t="n">
        <v>0</v>
      </c>
      <c r="P6967" t="n">
        <v>0</v>
      </c>
      <c r="Q6967" t="n">
        <v>0</v>
      </c>
      <c r="R6967" s="2" t="inlineStr"/>
    </row>
    <row r="6968" ht="15" customHeight="1">
      <c r="A6968" t="inlineStr">
        <is>
          <t>A 52714-2022</t>
        </is>
      </c>
      <c r="B6968" s="1" t="n">
        <v>44874</v>
      </c>
      <c r="C6968" s="1" t="n">
        <v>45363</v>
      </c>
      <c r="D6968" t="inlineStr">
        <is>
          <t>JÄMTLANDS LÄN</t>
        </is>
      </c>
      <c r="E6968" t="inlineStr">
        <is>
          <t>BRÄCKE</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52724-2022</t>
        </is>
      </c>
      <c r="B6969" s="1" t="n">
        <v>44874</v>
      </c>
      <c r="C6969" s="1" t="n">
        <v>45363</v>
      </c>
      <c r="D6969" t="inlineStr">
        <is>
          <t>JÄMTLANDS LÄN</t>
        </is>
      </c>
      <c r="E6969" t="inlineStr">
        <is>
          <t>BRÄCKE</t>
        </is>
      </c>
      <c r="F6969" t="inlineStr">
        <is>
          <t>SCA</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53407-2022</t>
        </is>
      </c>
      <c r="B6970" s="1" t="n">
        <v>44874</v>
      </c>
      <c r="C6970" s="1" t="n">
        <v>45363</v>
      </c>
      <c r="D6970" t="inlineStr">
        <is>
          <t>JÄMTLANDS LÄN</t>
        </is>
      </c>
      <c r="E6970" t="inlineStr">
        <is>
          <t>BRÄCKE</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53402-2022</t>
        </is>
      </c>
      <c r="B6971" s="1" t="n">
        <v>44874</v>
      </c>
      <c r="C6971" s="1" t="n">
        <v>45363</v>
      </c>
      <c r="D6971" t="inlineStr">
        <is>
          <t>JÄMTLANDS LÄN</t>
        </is>
      </c>
      <c r="E6971" t="inlineStr">
        <is>
          <t>KROKOM</t>
        </is>
      </c>
      <c r="G6971" t="n">
        <v>36.7</v>
      </c>
      <c r="H6971" t="n">
        <v>0</v>
      </c>
      <c r="I6971" t="n">
        <v>0</v>
      </c>
      <c r="J6971" t="n">
        <v>0</v>
      </c>
      <c r="K6971" t="n">
        <v>0</v>
      </c>
      <c r="L6971" t="n">
        <v>0</v>
      </c>
      <c r="M6971" t="n">
        <v>0</v>
      </c>
      <c r="N6971" t="n">
        <v>0</v>
      </c>
      <c r="O6971" t="n">
        <v>0</v>
      </c>
      <c r="P6971" t="n">
        <v>0</v>
      </c>
      <c r="Q6971" t="n">
        <v>0</v>
      </c>
      <c r="R6971" s="2" t="inlineStr"/>
    </row>
    <row r="6972" ht="15" customHeight="1">
      <c r="A6972" t="inlineStr">
        <is>
          <t>A 52801-2022</t>
        </is>
      </c>
      <c r="B6972" s="1" t="n">
        <v>44875</v>
      </c>
      <c r="C6972" s="1" t="n">
        <v>45363</v>
      </c>
      <c r="D6972" t="inlineStr">
        <is>
          <t>JÄMTLANDS LÄN</t>
        </is>
      </c>
      <c r="E6972" t="inlineStr">
        <is>
          <t>KROKOM</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52846-2022</t>
        </is>
      </c>
      <c r="B6973" s="1" t="n">
        <v>44875</v>
      </c>
      <c r="C6973" s="1" t="n">
        <v>45363</v>
      </c>
      <c r="D6973" t="inlineStr">
        <is>
          <t>JÄMTLANDS LÄN</t>
        </is>
      </c>
      <c r="E6973" t="inlineStr">
        <is>
          <t>BRÄCKE</t>
        </is>
      </c>
      <c r="F6973" t="inlineStr">
        <is>
          <t>Övriga Aktiebolag</t>
        </is>
      </c>
      <c r="G6973" t="n">
        <v>13.1</v>
      </c>
      <c r="H6973" t="n">
        <v>0</v>
      </c>
      <c r="I6973" t="n">
        <v>0</v>
      </c>
      <c r="J6973" t="n">
        <v>0</v>
      </c>
      <c r="K6973" t="n">
        <v>0</v>
      </c>
      <c r="L6973" t="n">
        <v>0</v>
      </c>
      <c r="M6973" t="n">
        <v>0</v>
      </c>
      <c r="N6973" t="n">
        <v>0</v>
      </c>
      <c r="O6973" t="n">
        <v>0</v>
      </c>
      <c r="P6973" t="n">
        <v>0</v>
      </c>
      <c r="Q6973" t="n">
        <v>0</v>
      </c>
      <c r="R6973" s="2" t="inlineStr"/>
    </row>
    <row r="6974" ht="15" customHeight="1">
      <c r="A6974" t="inlineStr">
        <is>
          <t>A 53015-2022</t>
        </is>
      </c>
      <c r="B6974" s="1" t="n">
        <v>44875</v>
      </c>
      <c r="C6974" s="1" t="n">
        <v>45363</v>
      </c>
      <c r="D6974" t="inlineStr">
        <is>
          <t>JÄMTLANDS LÄN</t>
        </is>
      </c>
      <c r="E6974" t="inlineStr">
        <is>
          <t>BERG</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52788-2022</t>
        </is>
      </c>
      <c r="B6975" s="1" t="n">
        <v>44875</v>
      </c>
      <c r="C6975" s="1" t="n">
        <v>45363</v>
      </c>
      <c r="D6975" t="inlineStr">
        <is>
          <t>JÄMTLANDS LÄN</t>
        </is>
      </c>
      <c r="E6975" t="inlineStr">
        <is>
          <t>KROKOM</t>
        </is>
      </c>
      <c r="F6975" t="inlineStr">
        <is>
          <t>Övriga Aktiebolag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52843-2022</t>
        </is>
      </c>
      <c r="B6976" s="1" t="n">
        <v>44875</v>
      </c>
      <c r="C6976" s="1" t="n">
        <v>45363</v>
      </c>
      <c r="D6976" t="inlineStr">
        <is>
          <t>JÄMTLANDS LÄN</t>
        </is>
      </c>
      <c r="E6976" t="inlineStr">
        <is>
          <t>KROKOM</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52858-2022</t>
        </is>
      </c>
      <c r="B6977" s="1" t="n">
        <v>44875</v>
      </c>
      <c r="C6977" s="1" t="n">
        <v>45363</v>
      </c>
      <c r="D6977" t="inlineStr">
        <is>
          <t>JÄMTLANDS LÄN</t>
        </is>
      </c>
      <c r="E6977" t="inlineStr">
        <is>
          <t>KROKOM</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52898-2022</t>
        </is>
      </c>
      <c r="B6978" s="1" t="n">
        <v>44875</v>
      </c>
      <c r="C6978" s="1" t="n">
        <v>45363</v>
      </c>
      <c r="D6978" t="inlineStr">
        <is>
          <t>JÄMTLANDS LÄN</t>
        </is>
      </c>
      <c r="E6978" t="inlineStr">
        <is>
          <t>ÖSTERSUND</t>
        </is>
      </c>
      <c r="F6978" t="inlineStr">
        <is>
          <t>Övriga Aktiebolag</t>
        </is>
      </c>
      <c r="G6978" t="n">
        <v>12.1</v>
      </c>
      <c r="H6978" t="n">
        <v>0</v>
      </c>
      <c r="I6978" t="n">
        <v>0</v>
      </c>
      <c r="J6978" t="n">
        <v>0</v>
      </c>
      <c r="K6978" t="n">
        <v>0</v>
      </c>
      <c r="L6978" t="n">
        <v>0</v>
      </c>
      <c r="M6978" t="n">
        <v>0</v>
      </c>
      <c r="N6978" t="n">
        <v>0</v>
      </c>
      <c r="O6978" t="n">
        <v>0</v>
      </c>
      <c r="P6978" t="n">
        <v>0</v>
      </c>
      <c r="Q6978" t="n">
        <v>0</v>
      </c>
      <c r="R6978" s="2" t="inlineStr"/>
    </row>
    <row r="6979" ht="15" customHeight="1">
      <c r="A6979" t="inlineStr">
        <is>
          <t>A 52983-2022</t>
        </is>
      </c>
      <c r="B6979" s="1" t="n">
        <v>44875</v>
      </c>
      <c r="C6979" s="1" t="n">
        <v>45363</v>
      </c>
      <c r="D6979" t="inlineStr">
        <is>
          <t>JÄMTLANDS LÄN</t>
        </is>
      </c>
      <c r="E6979" t="inlineStr">
        <is>
          <t>BRÄCKE</t>
        </is>
      </c>
      <c r="G6979" t="n">
        <v>7.6</v>
      </c>
      <c r="H6979" t="n">
        <v>0</v>
      </c>
      <c r="I6979" t="n">
        <v>0</v>
      </c>
      <c r="J6979" t="n">
        <v>0</v>
      </c>
      <c r="K6979" t="n">
        <v>0</v>
      </c>
      <c r="L6979" t="n">
        <v>0</v>
      </c>
      <c r="M6979" t="n">
        <v>0</v>
      </c>
      <c r="N6979" t="n">
        <v>0</v>
      </c>
      <c r="O6979" t="n">
        <v>0</v>
      </c>
      <c r="P6979" t="n">
        <v>0</v>
      </c>
      <c r="Q6979" t="n">
        <v>0</v>
      </c>
      <c r="R6979" s="2" t="inlineStr"/>
    </row>
    <row r="6980" ht="15" customHeight="1">
      <c r="A6980" t="inlineStr">
        <is>
          <t>A 53019-2022</t>
        </is>
      </c>
      <c r="B6980" s="1" t="n">
        <v>44875</v>
      </c>
      <c r="C6980" s="1" t="n">
        <v>45363</v>
      </c>
      <c r="D6980" t="inlineStr">
        <is>
          <t>JÄMTLANDS LÄN</t>
        </is>
      </c>
      <c r="E6980" t="inlineStr">
        <is>
          <t>STRÖMSUND</t>
        </is>
      </c>
      <c r="F6980" t="inlineStr">
        <is>
          <t>SCA</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53020-2022</t>
        </is>
      </c>
      <c r="B6981" s="1" t="n">
        <v>44875</v>
      </c>
      <c r="C6981" s="1" t="n">
        <v>45363</v>
      </c>
      <c r="D6981" t="inlineStr">
        <is>
          <t>JÄMTLANDS LÄN</t>
        </is>
      </c>
      <c r="E6981" t="inlineStr">
        <is>
          <t>STRÖMSUND</t>
        </is>
      </c>
      <c r="F6981" t="inlineStr">
        <is>
          <t>SCA</t>
        </is>
      </c>
      <c r="G6981" t="n">
        <v>10.9</v>
      </c>
      <c r="H6981" t="n">
        <v>0</v>
      </c>
      <c r="I6981" t="n">
        <v>0</v>
      </c>
      <c r="J6981" t="n">
        <v>0</v>
      </c>
      <c r="K6981" t="n">
        <v>0</v>
      </c>
      <c r="L6981" t="n">
        <v>0</v>
      </c>
      <c r="M6981" t="n">
        <v>0</v>
      </c>
      <c r="N6981" t="n">
        <v>0</v>
      </c>
      <c r="O6981" t="n">
        <v>0</v>
      </c>
      <c r="P6981" t="n">
        <v>0</v>
      </c>
      <c r="Q6981" t="n">
        <v>0</v>
      </c>
      <c r="R6981" s="2" t="inlineStr"/>
    </row>
    <row r="6982" ht="15" customHeight="1">
      <c r="A6982" t="inlineStr">
        <is>
          <t>A 53026-2022</t>
        </is>
      </c>
      <c r="B6982" s="1" t="n">
        <v>44875</v>
      </c>
      <c r="C6982" s="1" t="n">
        <v>45363</v>
      </c>
      <c r="D6982" t="inlineStr">
        <is>
          <t>JÄMTLANDS LÄN</t>
        </is>
      </c>
      <c r="E6982" t="inlineStr">
        <is>
          <t>BRÄCKE</t>
        </is>
      </c>
      <c r="F6982" t="inlineStr">
        <is>
          <t>Naturvårdsverket</t>
        </is>
      </c>
      <c r="G6982" t="n">
        <v>69.90000000000001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53016-2022</t>
        </is>
      </c>
      <c r="B6983" s="1" t="n">
        <v>44875</v>
      </c>
      <c r="C6983" s="1" t="n">
        <v>45363</v>
      </c>
      <c r="D6983" t="inlineStr">
        <is>
          <t>JÄMTLANDS LÄN</t>
        </is>
      </c>
      <c r="E6983" t="inlineStr">
        <is>
          <t>STRÖMSUND</t>
        </is>
      </c>
      <c r="F6983" t="inlineStr">
        <is>
          <t>SCA</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53765-2022</t>
        </is>
      </c>
      <c r="B6984" s="1" t="n">
        <v>44875</v>
      </c>
      <c r="C6984" s="1" t="n">
        <v>45363</v>
      </c>
      <c r="D6984" t="inlineStr">
        <is>
          <t>JÄMTLANDS LÄN</t>
        </is>
      </c>
      <c r="E6984" t="inlineStr">
        <is>
          <t>KROKOM</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53802-2022</t>
        </is>
      </c>
      <c r="B6985" s="1" t="n">
        <v>44875</v>
      </c>
      <c r="C6985" s="1" t="n">
        <v>45363</v>
      </c>
      <c r="D6985" t="inlineStr">
        <is>
          <t>JÄMTLANDS LÄN</t>
        </is>
      </c>
      <c r="E6985" t="inlineStr">
        <is>
          <t>ÖSTERSUND</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53521-2022</t>
        </is>
      </c>
      <c r="B6986" s="1" t="n">
        <v>44875</v>
      </c>
      <c r="C6986" s="1" t="n">
        <v>45363</v>
      </c>
      <c r="D6986" t="inlineStr">
        <is>
          <t>JÄMTLANDS LÄN</t>
        </is>
      </c>
      <c r="E6986" t="inlineStr">
        <is>
          <t>BERG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53764-2022</t>
        </is>
      </c>
      <c r="B6987" s="1" t="n">
        <v>44875</v>
      </c>
      <c r="C6987" s="1" t="n">
        <v>45363</v>
      </c>
      <c r="D6987" t="inlineStr">
        <is>
          <t>JÄMTLANDS LÄN</t>
        </is>
      </c>
      <c r="E6987" t="inlineStr">
        <is>
          <t>ÖSTERSUND</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53771-2022</t>
        </is>
      </c>
      <c r="B6988" s="1" t="n">
        <v>44875</v>
      </c>
      <c r="C6988" s="1" t="n">
        <v>45363</v>
      </c>
      <c r="D6988" t="inlineStr">
        <is>
          <t>JÄMTLANDS LÄN</t>
        </is>
      </c>
      <c r="E6988" t="inlineStr">
        <is>
          <t>KROKOM</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53807-2022</t>
        </is>
      </c>
      <c r="B6989" s="1" t="n">
        <v>44875</v>
      </c>
      <c r="C6989" s="1" t="n">
        <v>45363</v>
      </c>
      <c r="D6989" t="inlineStr">
        <is>
          <t>JÄMTLANDS LÄN</t>
        </is>
      </c>
      <c r="E6989" t="inlineStr">
        <is>
          <t>ÖSTERSUND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53104-2022</t>
        </is>
      </c>
      <c r="B6990" s="1" t="n">
        <v>44876</v>
      </c>
      <c r="C6990" s="1" t="n">
        <v>45363</v>
      </c>
      <c r="D6990" t="inlineStr">
        <is>
          <t>JÄMTLANDS LÄN</t>
        </is>
      </c>
      <c r="E6990" t="inlineStr">
        <is>
          <t>HÄRJEDALEN</t>
        </is>
      </c>
      <c r="F6990" t="inlineStr">
        <is>
          <t>Bergvik skog väst AB</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53107-2022</t>
        </is>
      </c>
      <c r="B6991" s="1" t="n">
        <v>44876</v>
      </c>
      <c r="C6991" s="1" t="n">
        <v>45363</v>
      </c>
      <c r="D6991" t="inlineStr">
        <is>
          <t>JÄMTLANDS LÄN</t>
        </is>
      </c>
      <c r="E6991" t="inlineStr">
        <is>
          <t>HÄRJEDALEN</t>
        </is>
      </c>
      <c r="F6991" t="inlineStr">
        <is>
          <t>Bergvik skog väst AB</t>
        </is>
      </c>
      <c r="G6991" t="n">
        <v>9.1</v>
      </c>
      <c r="H6991" t="n">
        <v>0</v>
      </c>
      <c r="I6991" t="n">
        <v>0</v>
      </c>
      <c r="J6991" t="n">
        <v>0</v>
      </c>
      <c r="K6991" t="n">
        <v>0</v>
      </c>
      <c r="L6991" t="n">
        <v>0</v>
      </c>
      <c r="M6991" t="n">
        <v>0</v>
      </c>
      <c r="N6991" t="n">
        <v>0</v>
      </c>
      <c r="O6991" t="n">
        <v>0</v>
      </c>
      <c r="P6991" t="n">
        <v>0</v>
      </c>
      <c r="Q6991" t="n">
        <v>0</v>
      </c>
      <c r="R6991" s="2" t="inlineStr"/>
    </row>
    <row r="6992" ht="15" customHeight="1">
      <c r="A6992" t="inlineStr">
        <is>
          <t>A 53120-2022</t>
        </is>
      </c>
      <c r="B6992" s="1" t="n">
        <v>44876</v>
      </c>
      <c r="C6992" s="1" t="n">
        <v>45363</v>
      </c>
      <c r="D6992" t="inlineStr">
        <is>
          <t>JÄMTLANDS LÄN</t>
        </is>
      </c>
      <c r="E6992" t="inlineStr">
        <is>
          <t>HÄRJEDALEN</t>
        </is>
      </c>
      <c r="F6992" t="inlineStr">
        <is>
          <t>Bergvik skog väst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53143-2022</t>
        </is>
      </c>
      <c r="B6993" s="1" t="n">
        <v>44876</v>
      </c>
      <c r="C6993" s="1" t="n">
        <v>45363</v>
      </c>
      <c r="D6993" t="inlineStr">
        <is>
          <t>JÄMTLANDS LÄN</t>
        </is>
      </c>
      <c r="E6993" t="inlineStr">
        <is>
          <t>STRÖMSUND</t>
        </is>
      </c>
      <c r="F6993" t="inlineStr">
        <is>
          <t>Holmen skog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53149-2022</t>
        </is>
      </c>
      <c r="B6994" s="1" t="n">
        <v>44876</v>
      </c>
      <c r="C6994" s="1" t="n">
        <v>45363</v>
      </c>
      <c r="D6994" t="inlineStr">
        <is>
          <t>JÄMTLANDS LÄN</t>
        </is>
      </c>
      <c r="E6994" t="inlineStr">
        <is>
          <t>STRÖMSUND</t>
        </is>
      </c>
      <c r="F6994" t="inlineStr">
        <is>
          <t>SCA</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53276-2022</t>
        </is>
      </c>
      <c r="B6995" s="1" t="n">
        <v>44876</v>
      </c>
      <c r="C6995" s="1" t="n">
        <v>45363</v>
      </c>
      <c r="D6995" t="inlineStr">
        <is>
          <t>JÄMTLANDS LÄN</t>
        </is>
      </c>
      <c r="E6995" t="inlineStr">
        <is>
          <t>BRÄCKE</t>
        </is>
      </c>
      <c r="F6995" t="inlineStr">
        <is>
          <t>SCA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53281-2022</t>
        </is>
      </c>
      <c r="B6996" s="1" t="n">
        <v>44876</v>
      </c>
      <c r="C6996" s="1" t="n">
        <v>45363</v>
      </c>
      <c r="D6996" t="inlineStr">
        <is>
          <t>JÄMTLANDS LÄN</t>
        </is>
      </c>
      <c r="E6996" t="inlineStr">
        <is>
          <t>BRÄCKE</t>
        </is>
      </c>
      <c r="F6996" t="inlineStr">
        <is>
          <t>SCA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53274-2022</t>
        </is>
      </c>
      <c r="B6997" s="1" t="n">
        <v>44876</v>
      </c>
      <c r="C6997" s="1" t="n">
        <v>45363</v>
      </c>
      <c r="D6997" t="inlineStr">
        <is>
          <t>JÄMTLANDS LÄN</t>
        </is>
      </c>
      <c r="E6997" t="inlineStr">
        <is>
          <t>BRÄCKE</t>
        </is>
      </c>
      <c r="F6997" t="inlineStr">
        <is>
          <t>SCA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53283-2022</t>
        </is>
      </c>
      <c r="B6998" s="1" t="n">
        <v>44876</v>
      </c>
      <c r="C6998" s="1" t="n">
        <v>45363</v>
      </c>
      <c r="D6998" t="inlineStr">
        <is>
          <t>JÄMTLANDS LÄN</t>
        </is>
      </c>
      <c r="E6998" t="inlineStr">
        <is>
          <t>BRÄCKE</t>
        </is>
      </c>
      <c r="F6998" t="inlineStr">
        <is>
          <t>SCA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53287-2022</t>
        </is>
      </c>
      <c r="B6999" s="1" t="n">
        <v>44876</v>
      </c>
      <c r="C6999" s="1" t="n">
        <v>45363</v>
      </c>
      <c r="D6999" t="inlineStr">
        <is>
          <t>JÄMTLANDS LÄN</t>
        </is>
      </c>
      <c r="E6999" t="inlineStr">
        <is>
          <t>RAGUNDA</t>
        </is>
      </c>
      <c r="F6999" t="inlineStr">
        <is>
          <t>SCA</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53278-2022</t>
        </is>
      </c>
      <c r="B7000" s="1" t="n">
        <v>44876</v>
      </c>
      <c r="C7000" s="1" t="n">
        <v>45363</v>
      </c>
      <c r="D7000" t="inlineStr">
        <is>
          <t>JÄMTLANDS LÄN</t>
        </is>
      </c>
      <c r="E7000" t="inlineStr">
        <is>
          <t>BRÄCKE</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53288-2022</t>
        </is>
      </c>
      <c r="B7001" s="1" t="n">
        <v>44876</v>
      </c>
      <c r="C7001" s="1" t="n">
        <v>45363</v>
      </c>
      <c r="D7001" t="inlineStr">
        <is>
          <t>JÄMTLANDS LÄN</t>
        </is>
      </c>
      <c r="E7001" t="inlineStr">
        <is>
          <t>RAGUNDA</t>
        </is>
      </c>
      <c r="F7001" t="inlineStr">
        <is>
          <t>SCA</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53816-2022</t>
        </is>
      </c>
      <c r="B7002" s="1" t="n">
        <v>44876</v>
      </c>
      <c r="C7002" s="1" t="n">
        <v>45363</v>
      </c>
      <c r="D7002" t="inlineStr">
        <is>
          <t>JÄMTLANDS LÄN</t>
        </is>
      </c>
      <c r="E7002" t="inlineStr">
        <is>
          <t>STRÖMSUND</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54050-2022</t>
        </is>
      </c>
      <c r="B7003" s="1" t="n">
        <v>44876</v>
      </c>
      <c r="C7003" s="1" t="n">
        <v>45363</v>
      </c>
      <c r="D7003" t="inlineStr">
        <is>
          <t>JÄMTLANDS LÄN</t>
        </is>
      </c>
      <c r="E7003" t="inlineStr">
        <is>
          <t>STRÖMSUND</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53318-2022</t>
        </is>
      </c>
      <c r="B7004" s="1" t="n">
        <v>44878</v>
      </c>
      <c r="C7004" s="1" t="n">
        <v>45363</v>
      </c>
      <c r="D7004" t="inlineStr">
        <is>
          <t>JÄMTLANDS LÄN</t>
        </is>
      </c>
      <c r="E7004" t="inlineStr">
        <is>
          <t>STRÖMSUND</t>
        </is>
      </c>
      <c r="F7004" t="inlineStr">
        <is>
          <t>SCA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53338-2022</t>
        </is>
      </c>
      <c r="B7005" s="1" t="n">
        <v>44879</v>
      </c>
      <c r="C7005" s="1" t="n">
        <v>45363</v>
      </c>
      <c r="D7005" t="inlineStr">
        <is>
          <t>JÄMTLANDS LÄN</t>
        </is>
      </c>
      <c r="E7005" t="inlineStr">
        <is>
          <t>STRÖMSUND</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53400-2022</t>
        </is>
      </c>
      <c r="B7006" s="1" t="n">
        <v>44879</v>
      </c>
      <c r="C7006" s="1" t="n">
        <v>45363</v>
      </c>
      <c r="D7006" t="inlineStr">
        <is>
          <t>JÄMTLANDS LÄN</t>
        </is>
      </c>
      <c r="E7006" t="inlineStr">
        <is>
          <t>STRÖMSUND</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53453-2022</t>
        </is>
      </c>
      <c r="B7007" s="1" t="n">
        <v>44879</v>
      </c>
      <c r="C7007" s="1" t="n">
        <v>45363</v>
      </c>
      <c r="D7007" t="inlineStr">
        <is>
          <t>JÄMTLANDS LÄN</t>
        </is>
      </c>
      <c r="E7007" t="inlineStr">
        <is>
          <t>ÖSTERSUND</t>
        </is>
      </c>
      <c r="G7007" t="n">
        <v>22.2</v>
      </c>
      <c r="H7007" t="n">
        <v>0</v>
      </c>
      <c r="I7007" t="n">
        <v>0</v>
      </c>
      <c r="J7007" t="n">
        <v>0</v>
      </c>
      <c r="K7007" t="n">
        <v>0</v>
      </c>
      <c r="L7007" t="n">
        <v>0</v>
      </c>
      <c r="M7007" t="n">
        <v>0</v>
      </c>
      <c r="N7007" t="n">
        <v>0</v>
      </c>
      <c r="O7007" t="n">
        <v>0</v>
      </c>
      <c r="P7007" t="n">
        <v>0</v>
      </c>
      <c r="Q7007" t="n">
        <v>0</v>
      </c>
      <c r="R7007" s="2" t="inlineStr"/>
    </row>
    <row r="7008" ht="15" customHeight="1">
      <c r="A7008" t="inlineStr">
        <is>
          <t>A 53556-2022</t>
        </is>
      </c>
      <c r="B7008" s="1" t="n">
        <v>44879</v>
      </c>
      <c r="C7008" s="1" t="n">
        <v>45363</v>
      </c>
      <c r="D7008" t="inlineStr">
        <is>
          <t>JÄMTLANDS LÄN</t>
        </is>
      </c>
      <c r="E7008" t="inlineStr">
        <is>
          <t>ÖSTERSUND</t>
        </is>
      </c>
      <c r="F7008" t="inlineStr">
        <is>
          <t>Övriga Aktiebolag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53563-2022</t>
        </is>
      </c>
      <c r="B7009" s="1" t="n">
        <v>44879</v>
      </c>
      <c r="C7009" s="1" t="n">
        <v>45363</v>
      </c>
      <c r="D7009" t="inlineStr">
        <is>
          <t>JÄMTLANDS LÄN</t>
        </is>
      </c>
      <c r="E7009" t="inlineStr">
        <is>
          <t>HÄRJEDALEN</t>
        </is>
      </c>
      <c r="G7009" t="n">
        <v>8.6</v>
      </c>
      <c r="H7009" t="n">
        <v>0</v>
      </c>
      <c r="I7009" t="n">
        <v>0</v>
      </c>
      <c r="J7009" t="n">
        <v>0</v>
      </c>
      <c r="K7009" t="n">
        <v>0</v>
      </c>
      <c r="L7009" t="n">
        <v>0</v>
      </c>
      <c r="M7009" t="n">
        <v>0</v>
      </c>
      <c r="N7009" t="n">
        <v>0</v>
      </c>
      <c r="O7009" t="n">
        <v>0</v>
      </c>
      <c r="P7009" t="n">
        <v>0</v>
      </c>
      <c r="Q7009" t="n">
        <v>0</v>
      </c>
      <c r="R7009" s="2" t="inlineStr"/>
    </row>
    <row r="7010" ht="15" customHeight="1">
      <c r="A7010" t="inlineStr">
        <is>
          <t>A 53396-2022</t>
        </is>
      </c>
      <c r="B7010" s="1" t="n">
        <v>44879</v>
      </c>
      <c r="C7010" s="1" t="n">
        <v>45363</v>
      </c>
      <c r="D7010" t="inlineStr">
        <is>
          <t>JÄMTLANDS LÄN</t>
        </is>
      </c>
      <c r="E7010" t="inlineStr">
        <is>
          <t>STRÖMSUND</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53676-2022</t>
        </is>
      </c>
      <c r="B7011" s="1" t="n">
        <v>44879</v>
      </c>
      <c r="C7011" s="1" t="n">
        <v>45363</v>
      </c>
      <c r="D7011" t="inlineStr">
        <is>
          <t>JÄMTLANDS LÄN</t>
        </is>
      </c>
      <c r="E7011" t="inlineStr">
        <is>
          <t>RAGUNDA</t>
        </is>
      </c>
      <c r="F7011" t="inlineStr">
        <is>
          <t>Sveaskog</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53678-2022</t>
        </is>
      </c>
      <c r="B7012" s="1" t="n">
        <v>44879</v>
      </c>
      <c r="C7012" s="1" t="n">
        <v>45363</v>
      </c>
      <c r="D7012" t="inlineStr">
        <is>
          <t>JÄMTLANDS LÄN</t>
        </is>
      </c>
      <c r="E7012" t="inlineStr">
        <is>
          <t>RAGUNDA</t>
        </is>
      </c>
      <c r="F7012" t="inlineStr">
        <is>
          <t>Sveaskog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54274-2022</t>
        </is>
      </c>
      <c r="B7013" s="1" t="n">
        <v>44879</v>
      </c>
      <c r="C7013" s="1" t="n">
        <v>45363</v>
      </c>
      <c r="D7013" t="inlineStr">
        <is>
          <t>JÄMTLANDS LÄN</t>
        </is>
      </c>
      <c r="E7013" t="inlineStr">
        <is>
          <t>BRÄCKE</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54410-2022</t>
        </is>
      </c>
      <c r="B7014" s="1" t="n">
        <v>44879</v>
      </c>
      <c r="C7014" s="1" t="n">
        <v>45363</v>
      </c>
      <c r="D7014" t="inlineStr">
        <is>
          <t>JÄMTLANDS LÄN</t>
        </is>
      </c>
      <c r="E7014" t="inlineStr">
        <is>
          <t>BERG</t>
        </is>
      </c>
      <c r="G7014" t="n">
        <v>8.5</v>
      </c>
      <c r="H7014" t="n">
        <v>0</v>
      </c>
      <c r="I7014" t="n">
        <v>0</v>
      </c>
      <c r="J7014" t="n">
        <v>0</v>
      </c>
      <c r="K7014" t="n">
        <v>0</v>
      </c>
      <c r="L7014" t="n">
        <v>0</v>
      </c>
      <c r="M7014" t="n">
        <v>0</v>
      </c>
      <c r="N7014" t="n">
        <v>0</v>
      </c>
      <c r="O7014" t="n">
        <v>0</v>
      </c>
      <c r="P7014" t="n">
        <v>0</v>
      </c>
      <c r="Q7014" t="n">
        <v>0</v>
      </c>
      <c r="R7014" s="2" t="inlineStr"/>
    </row>
    <row r="7015" ht="15" customHeight="1">
      <c r="A7015" t="inlineStr">
        <is>
          <t>A 53662-2022</t>
        </is>
      </c>
      <c r="B7015" s="1" t="n">
        <v>44879</v>
      </c>
      <c r="C7015" s="1" t="n">
        <v>45363</v>
      </c>
      <c r="D7015" t="inlineStr">
        <is>
          <t>JÄMTLANDS LÄN</t>
        </is>
      </c>
      <c r="E7015" t="inlineStr">
        <is>
          <t>BRÄCKE</t>
        </is>
      </c>
      <c r="F7015" t="inlineStr">
        <is>
          <t>SCA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53677-2022</t>
        </is>
      </c>
      <c r="B7016" s="1" t="n">
        <v>44879</v>
      </c>
      <c r="C7016" s="1" t="n">
        <v>45363</v>
      </c>
      <c r="D7016" t="inlineStr">
        <is>
          <t>JÄMTLANDS LÄN</t>
        </is>
      </c>
      <c r="E7016" t="inlineStr">
        <is>
          <t>RAGUNDA</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53674-2022</t>
        </is>
      </c>
      <c r="B7017" s="1" t="n">
        <v>44879</v>
      </c>
      <c r="C7017" s="1" t="n">
        <v>45363</v>
      </c>
      <c r="D7017" t="inlineStr">
        <is>
          <t>JÄMTLANDS LÄN</t>
        </is>
      </c>
      <c r="E7017" t="inlineStr">
        <is>
          <t>RAGUNDA</t>
        </is>
      </c>
      <c r="F7017" t="inlineStr">
        <is>
          <t>Sveaskog</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53714-2022</t>
        </is>
      </c>
      <c r="B7018" s="1" t="n">
        <v>44880</v>
      </c>
      <c r="C7018" s="1" t="n">
        <v>45363</v>
      </c>
      <c r="D7018" t="inlineStr">
        <is>
          <t>JÄMTLANDS LÄN</t>
        </is>
      </c>
      <c r="E7018" t="inlineStr">
        <is>
          <t>ÖSTERSUND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53935-2022</t>
        </is>
      </c>
      <c r="B7019" s="1" t="n">
        <v>44880</v>
      </c>
      <c r="C7019" s="1" t="n">
        <v>45363</v>
      </c>
      <c r="D7019" t="inlineStr">
        <is>
          <t>JÄMTLANDS LÄN</t>
        </is>
      </c>
      <c r="E7019" t="inlineStr">
        <is>
          <t>RAGUNDA</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53954-2022</t>
        </is>
      </c>
      <c r="B7020" s="1" t="n">
        <v>44880</v>
      </c>
      <c r="C7020" s="1" t="n">
        <v>45363</v>
      </c>
      <c r="D7020" t="inlineStr">
        <is>
          <t>JÄMTLANDS LÄN</t>
        </is>
      </c>
      <c r="E7020" t="inlineStr">
        <is>
          <t>RAGUNDA</t>
        </is>
      </c>
      <c r="F7020" t="inlineStr">
        <is>
          <t>SCA</t>
        </is>
      </c>
      <c r="G7020" t="n">
        <v>9.6</v>
      </c>
      <c r="H7020" t="n">
        <v>0</v>
      </c>
      <c r="I7020" t="n">
        <v>0</v>
      </c>
      <c r="J7020" t="n">
        <v>0</v>
      </c>
      <c r="K7020" t="n">
        <v>0</v>
      </c>
      <c r="L7020" t="n">
        <v>0</v>
      </c>
      <c r="M7020" t="n">
        <v>0</v>
      </c>
      <c r="N7020" t="n">
        <v>0</v>
      </c>
      <c r="O7020" t="n">
        <v>0</v>
      </c>
      <c r="P7020" t="n">
        <v>0</v>
      </c>
      <c r="Q7020" t="n">
        <v>0</v>
      </c>
      <c r="R7020" s="2" t="inlineStr"/>
    </row>
    <row r="7021" ht="15" customHeight="1">
      <c r="A7021" t="inlineStr">
        <is>
          <t>A 53951-2022</t>
        </is>
      </c>
      <c r="B7021" s="1" t="n">
        <v>44880</v>
      </c>
      <c r="C7021" s="1" t="n">
        <v>45363</v>
      </c>
      <c r="D7021" t="inlineStr">
        <is>
          <t>JÄMTLANDS LÄN</t>
        </is>
      </c>
      <c r="E7021" t="inlineStr">
        <is>
          <t>RAGUNDA</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53843-2022</t>
        </is>
      </c>
      <c r="B7022" s="1" t="n">
        <v>44880</v>
      </c>
      <c r="C7022" s="1" t="n">
        <v>45363</v>
      </c>
      <c r="D7022" t="inlineStr">
        <is>
          <t>JÄMTLANDS LÄN</t>
        </is>
      </c>
      <c r="E7022" t="inlineStr">
        <is>
          <t>KROKOM</t>
        </is>
      </c>
      <c r="F7022" t="inlineStr">
        <is>
          <t>Övriga Aktiebolag</t>
        </is>
      </c>
      <c r="G7022" t="n">
        <v>26.4</v>
      </c>
      <c r="H7022" t="n">
        <v>0</v>
      </c>
      <c r="I7022" t="n">
        <v>0</v>
      </c>
      <c r="J7022" t="n">
        <v>0</v>
      </c>
      <c r="K7022" t="n">
        <v>0</v>
      </c>
      <c r="L7022" t="n">
        <v>0</v>
      </c>
      <c r="M7022" t="n">
        <v>0</v>
      </c>
      <c r="N7022" t="n">
        <v>0</v>
      </c>
      <c r="O7022" t="n">
        <v>0</v>
      </c>
      <c r="P7022" t="n">
        <v>0</v>
      </c>
      <c r="Q7022" t="n">
        <v>0</v>
      </c>
      <c r="R7022" s="2" t="inlineStr"/>
    </row>
    <row r="7023" ht="15" customHeight="1">
      <c r="A7023" t="inlineStr">
        <is>
          <t>A 53941-2022</t>
        </is>
      </c>
      <c r="B7023" s="1" t="n">
        <v>44880</v>
      </c>
      <c r="C7023" s="1" t="n">
        <v>45363</v>
      </c>
      <c r="D7023" t="inlineStr">
        <is>
          <t>JÄMTLANDS LÄN</t>
        </is>
      </c>
      <c r="E7023" t="inlineStr">
        <is>
          <t>BRÄCKE</t>
        </is>
      </c>
      <c r="F7023" t="inlineStr">
        <is>
          <t>SCA</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53952-2022</t>
        </is>
      </c>
      <c r="B7024" s="1" t="n">
        <v>44880</v>
      </c>
      <c r="C7024" s="1" t="n">
        <v>45363</v>
      </c>
      <c r="D7024" t="inlineStr">
        <is>
          <t>JÄMTLANDS LÄN</t>
        </is>
      </c>
      <c r="E7024" t="inlineStr">
        <is>
          <t>RAGUNDA</t>
        </is>
      </c>
      <c r="F7024" t="inlineStr">
        <is>
          <t>SCA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53958-2022</t>
        </is>
      </c>
      <c r="B7025" s="1" t="n">
        <v>44880</v>
      </c>
      <c r="C7025" s="1" t="n">
        <v>45363</v>
      </c>
      <c r="D7025" t="inlineStr">
        <is>
          <t>JÄMTLANDS LÄN</t>
        </is>
      </c>
      <c r="E7025" t="inlineStr">
        <is>
          <t>RAGUNDA</t>
        </is>
      </c>
      <c r="F7025" t="inlineStr">
        <is>
          <t>SCA</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53937-2022</t>
        </is>
      </c>
      <c r="B7026" s="1" t="n">
        <v>44880</v>
      </c>
      <c r="C7026" s="1" t="n">
        <v>45363</v>
      </c>
      <c r="D7026" t="inlineStr">
        <is>
          <t>JÄMTLANDS LÄN</t>
        </is>
      </c>
      <c r="E7026" t="inlineStr">
        <is>
          <t>RAGUNDA</t>
        </is>
      </c>
      <c r="F7026" t="inlineStr">
        <is>
          <t>SCA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53955-2022</t>
        </is>
      </c>
      <c r="B7027" s="1" t="n">
        <v>44880</v>
      </c>
      <c r="C7027" s="1" t="n">
        <v>45363</v>
      </c>
      <c r="D7027" t="inlineStr">
        <is>
          <t>JÄMTLANDS LÄN</t>
        </is>
      </c>
      <c r="E7027" t="inlineStr">
        <is>
          <t>RAGUNDA</t>
        </is>
      </c>
      <c r="F7027" t="inlineStr">
        <is>
          <t>SCA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54491-2022</t>
        </is>
      </c>
      <c r="B7028" s="1" t="n">
        <v>44880</v>
      </c>
      <c r="C7028" s="1" t="n">
        <v>45363</v>
      </c>
      <c r="D7028" t="inlineStr">
        <is>
          <t>JÄMTLANDS LÄN</t>
        </is>
      </c>
      <c r="E7028" t="inlineStr">
        <is>
          <t>KROKOM</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54059-2022</t>
        </is>
      </c>
      <c r="B7029" s="1" t="n">
        <v>44881</v>
      </c>
      <c r="C7029" s="1" t="n">
        <v>45363</v>
      </c>
      <c r="D7029" t="inlineStr">
        <is>
          <t>JÄMTLANDS LÄN</t>
        </is>
      </c>
      <c r="E7029" t="inlineStr">
        <is>
          <t>HÄRJEDALEN</t>
        </is>
      </c>
      <c r="F7029" t="inlineStr">
        <is>
          <t>Sveaskog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54049-2022</t>
        </is>
      </c>
      <c r="B7030" s="1" t="n">
        <v>44881</v>
      </c>
      <c r="C7030" s="1" t="n">
        <v>45363</v>
      </c>
      <c r="D7030" t="inlineStr">
        <is>
          <t>JÄMTLANDS LÄN</t>
        </is>
      </c>
      <c r="E7030" t="inlineStr">
        <is>
          <t>KROKOM</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54243-2022</t>
        </is>
      </c>
      <c r="B7031" s="1" t="n">
        <v>44881</v>
      </c>
      <c r="C7031" s="1" t="n">
        <v>45363</v>
      </c>
      <c r="D7031" t="inlineStr">
        <is>
          <t>JÄMTLANDS LÄN</t>
        </is>
      </c>
      <c r="E7031" t="inlineStr">
        <is>
          <t>BRÄCKE</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54065-2022</t>
        </is>
      </c>
      <c r="B7032" s="1" t="n">
        <v>44881</v>
      </c>
      <c r="C7032" s="1" t="n">
        <v>45363</v>
      </c>
      <c r="D7032" t="inlineStr">
        <is>
          <t>JÄMTLANDS LÄN</t>
        </is>
      </c>
      <c r="E7032" t="inlineStr">
        <is>
          <t>HÄRJEDALEN</t>
        </is>
      </c>
      <c r="F7032" t="inlineStr">
        <is>
          <t>Sveaskog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54244-2022</t>
        </is>
      </c>
      <c r="B7033" s="1" t="n">
        <v>44881</v>
      </c>
      <c r="C7033" s="1" t="n">
        <v>45363</v>
      </c>
      <c r="D7033" t="inlineStr">
        <is>
          <t>JÄMTLANDS LÄN</t>
        </is>
      </c>
      <c r="E7033" t="inlineStr">
        <is>
          <t>RAGUNDA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54605-2022</t>
        </is>
      </c>
      <c r="B7034" s="1" t="n">
        <v>44881</v>
      </c>
      <c r="C7034" s="1" t="n">
        <v>45363</v>
      </c>
      <c r="D7034" t="inlineStr">
        <is>
          <t>JÄMTLANDS LÄN</t>
        </is>
      </c>
      <c r="E7034" t="inlineStr">
        <is>
          <t>KROKOM</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54520-2022</t>
        </is>
      </c>
      <c r="B7035" s="1" t="n">
        <v>44882</v>
      </c>
      <c r="C7035" s="1" t="n">
        <v>45363</v>
      </c>
      <c r="D7035" t="inlineStr">
        <is>
          <t>JÄMTLANDS LÄN</t>
        </is>
      </c>
      <c r="E7035" t="inlineStr">
        <is>
          <t>BRÄCKE</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54305-2022</t>
        </is>
      </c>
      <c r="B7036" s="1" t="n">
        <v>44882</v>
      </c>
      <c r="C7036" s="1" t="n">
        <v>45363</v>
      </c>
      <c r="D7036" t="inlineStr">
        <is>
          <t>JÄMTLANDS LÄN</t>
        </is>
      </c>
      <c r="E7036" t="inlineStr">
        <is>
          <t>HÄRJEDALEN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54566-2022</t>
        </is>
      </c>
      <c r="B7037" s="1" t="n">
        <v>44882</v>
      </c>
      <c r="C7037" s="1" t="n">
        <v>45363</v>
      </c>
      <c r="D7037" t="inlineStr">
        <is>
          <t>JÄMTLANDS LÄN</t>
        </is>
      </c>
      <c r="E7037" t="inlineStr">
        <is>
          <t>BRÄCKE</t>
        </is>
      </c>
      <c r="F7037" t="inlineStr">
        <is>
          <t>SCA</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54570-2022</t>
        </is>
      </c>
      <c r="B7038" s="1" t="n">
        <v>44882</v>
      </c>
      <c r="C7038" s="1" t="n">
        <v>45363</v>
      </c>
      <c r="D7038" t="inlineStr">
        <is>
          <t>JÄMTLANDS LÄN</t>
        </is>
      </c>
      <c r="E7038" t="inlineStr">
        <is>
          <t>RAGUNDA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54577-2022</t>
        </is>
      </c>
      <c r="B7039" s="1" t="n">
        <v>44882</v>
      </c>
      <c r="C7039" s="1" t="n">
        <v>45363</v>
      </c>
      <c r="D7039" t="inlineStr">
        <is>
          <t>JÄMTLANDS LÄN</t>
        </is>
      </c>
      <c r="E7039" t="inlineStr">
        <is>
          <t>STRÖMSUND</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54581-2022</t>
        </is>
      </c>
      <c r="B7040" s="1" t="n">
        <v>44882</v>
      </c>
      <c r="C7040" s="1" t="n">
        <v>45363</v>
      </c>
      <c r="D7040" t="inlineStr">
        <is>
          <t>JÄMTLANDS LÄN</t>
        </is>
      </c>
      <c r="E7040" t="inlineStr">
        <is>
          <t>STRÖMSUND</t>
        </is>
      </c>
      <c r="F7040" t="inlineStr">
        <is>
          <t>SCA</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54524-2022</t>
        </is>
      </c>
      <c r="B7041" s="1" t="n">
        <v>44882</v>
      </c>
      <c r="C7041" s="1" t="n">
        <v>45363</v>
      </c>
      <c r="D7041" t="inlineStr">
        <is>
          <t>JÄMTLANDS LÄN</t>
        </is>
      </c>
      <c r="E7041" t="inlineStr">
        <is>
          <t>BRÄCKE</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54568-2022</t>
        </is>
      </c>
      <c r="B7042" s="1" t="n">
        <v>44882</v>
      </c>
      <c r="C7042" s="1" t="n">
        <v>45363</v>
      </c>
      <c r="D7042" t="inlineStr">
        <is>
          <t>JÄMTLANDS LÄN</t>
        </is>
      </c>
      <c r="E7042" t="inlineStr">
        <is>
          <t>BRÄCKE</t>
        </is>
      </c>
      <c r="F7042" t="inlineStr">
        <is>
          <t>SCA</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54565-2022</t>
        </is>
      </c>
      <c r="B7043" s="1" t="n">
        <v>44882</v>
      </c>
      <c r="C7043" s="1" t="n">
        <v>45363</v>
      </c>
      <c r="D7043" t="inlineStr">
        <is>
          <t>JÄMTLANDS LÄN</t>
        </is>
      </c>
      <c r="E7043" t="inlineStr">
        <is>
          <t>BRÄCKE</t>
        </is>
      </c>
      <c r="F7043" t="inlineStr">
        <is>
          <t>SCA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54567-2022</t>
        </is>
      </c>
      <c r="B7044" s="1" t="n">
        <v>44882</v>
      </c>
      <c r="C7044" s="1" t="n">
        <v>45363</v>
      </c>
      <c r="D7044" t="inlineStr">
        <is>
          <t>JÄMTLANDS LÄN</t>
        </is>
      </c>
      <c r="E7044" t="inlineStr">
        <is>
          <t>BRÄCKE</t>
        </is>
      </c>
      <c r="F7044" t="inlineStr">
        <is>
          <t>SCA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54572-2022</t>
        </is>
      </c>
      <c r="B7045" s="1" t="n">
        <v>44882</v>
      </c>
      <c r="C7045" s="1" t="n">
        <v>45363</v>
      </c>
      <c r="D7045" t="inlineStr">
        <is>
          <t>JÄMTLANDS LÄN</t>
        </is>
      </c>
      <c r="E7045" t="inlineStr">
        <is>
          <t>RAGUNDA</t>
        </is>
      </c>
      <c r="G7045" t="n">
        <v>10.1</v>
      </c>
      <c r="H7045" t="n">
        <v>0</v>
      </c>
      <c r="I7045" t="n">
        <v>0</v>
      </c>
      <c r="J7045" t="n">
        <v>0</v>
      </c>
      <c r="K7045" t="n">
        <v>0</v>
      </c>
      <c r="L7045" t="n">
        <v>0</v>
      </c>
      <c r="M7045" t="n">
        <v>0</v>
      </c>
      <c r="N7045" t="n">
        <v>0</v>
      </c>
      <c r="O7045" t="n">
        <v>0</v>
      </c>
      <c r="P7045" t="n">
        <v>0</v>
      </c>
      <c r="Q7045" t="n">
        <v>0</v>
      </c>
      <c r="R7045" s="2" t="inlineStr"/>
    </row>
    <row r="7046" ht="15" customHeight="1">
      <c r="A7046" t="inlineStr">
        <is>
          <t>A 54582-2022</t>
        </is>
      </c>
      <c r="B7046" s="1" t="n">
        <v>44882</v>
      </c>
      <c r="C7046" s="1" t="n">
        <v>45363</v>
      </c>
      <c r="D7046" t="inlineStr">
        <is>
          <t>JÄMTLANDS LÄN</t>
        </is>
      </c>
      <c r="E7046" t="inlineStr">
        <is>
          <t>STRÖMSUND</t>
        </is>
      </c>
      <c r="F7046" t="inlineStr">
        <is>
          <t>SCA</t>
        </is>
      </c>
      <c r="G7046" t="n">
        <v>10.1</v>
      </c>
      <c r="H7046" t="n">
        <v>0</v>
      </c>
      <c r="I7046" t="n">
        <v>0</v>
      </c>
      <c r="J7046" t="n">
        <v>0</v>
      </c>
      <c r="K7046" t="n">
        <v>0</v>
      </c>
      <c r="L7046" t="n">
        <v>0</v>
      </c>
      <c r="M7046" t="n">
        <v>0</v>
      </c>
      <c r="N7046" t="n">
        <v>0</v>
      </c>
      <c r="O7046" t="n">
        <v>0</v>
      </c>
      <c r="P7046" t="n">
        <v>0</v>
      </c>
      <c r="Q7046" t="n">
        <v>0</v>
      </c>
      <c r="R7046" s="2" t="inlineStr"/>
    </row>
    <row r="7047" ht="15" customHeight="1">
      <c r="A7047" t="inlineStr">
        <is>
          <t>A 55459-2022</t>
        </is>
      </c>
      <c r="B7047" s="1" t="n">
        <v>44882</v>
      </c>
      <c r="C7047" s="1" t="n">
        <v>45363</v>
      </c>
      <c r="D7047" t="inlineStr">
        <is>
          <t>JÄMTLANDS LÄN</t>
        </is>
      </c>
      <c r="E7047" t="inlineStr">
        <is>
          <t>STRÖMSUND</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55485-2022</t>
        </is>
      </c>
      <c r="B7048" s="1" t="n">
        <v>44882</v>
      </c>
      <c r="C7048" s="1" t="n">
        <v>45363</v>
      </c>
      <c r="D7048" t="inlineStr">
        <is>
          <t>JÄMTLANDS LÄN</t>
        </is>
      </c>
      <c r="E7048" t="inlineStr">
        <is>
          <t>STRÖMSUND</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54615-2022</t>
        </is>
      </c>
      <c r="B7049" s="1" t="n">
        <v>44883</v>
      </c>
      <c r="C7049" s="1" t="n">
        <v>45363</v>
      </c>
      <c r="D7049" t="inlineStr">
        <is>
          <t>JÄMTLANDS LÄN</t>
        </is>
      </c>
      <c r="E7049" t="inlineStr">
        <is>
          <t>ÅRE</t>
        </is>
      </c>
      <c r="F7049" t="inlineStr">
        <is>
          <t>Övriga Aktiebolag</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54668-2022</t>
        </is>
      </c>
      <c r="B7050" s="1" t="n">
        <v>44883</v>
      </c>
      <c r="C7050" s="1" t="n">
        <v>45363</v>
      </c>
      <c r="D7050" t="inlineStr">
        <is>
          <t>JÄMTLANDS LÄN</t>
        </is>
      </c>
      <c r="E7050" t="inlineStr">
        <is>
          <t>BRÄCKE</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54829-2022</t>
        </is>
      </c>
      <c r="B7051" s="1" t="n">
        <v>44883</v>
      </c>
      <c r="C7051" s="1" t="n">
        <v>45363</v>
      </c>
      <c r="D7051" t="inlineStr">
        <is>
          <t>JÄMTLANDS LÄN</t>
        </is>
      </c>
      <c r="E7051" t="inlineStr">
        <is>
          <t>BRÄCKE</t>
        </is>
      </c>
      <c r="F7051" t="inlineStr">
        <is>
          <t>SCA</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54836-2022</t>
        </is>
      </c>
      <c r="B7052" s="1" t="n">
        <v>44883</v>
      </c>
      <c r="C7052" s="1" t="n">
        <v>45363</v>
      </c>
      <c r="D7052" t="inlineStr">
        <is>
          <t>JÄMTLANDS LÄN</t>
        </is>
      </c>
      <c r="E7052" t="inlineStr">
        <is>
          <t>RAGUNDA</t>
        </is>
      </c>
      <c r="F7052" t="inlineStr">
        <is>
          <t>SCA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54661-2022</t>
        </is>
      </c>
      <c r="B7053" s="1" t="n">
        <v>44883</v>
      </c>
      <c r="C7053" s="1" t="n">
        <v>45363</v>
      </c>
      <c r="D7053" t="inlineStr">
        <is>
          <t>JÄMTLANDS LÄN</t>
        </is>
      </c>
      <c r="E7053" t="inlineStr">
        <is>
          <t>HÄRJEDALEN</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54712-2022</t>
        </is>
      </c>
      <c r="B7054" s="1" t="n">
        <v>44883</v>
      </c>
      <c r="C7054" s="1" t="n">
        <v>45363</v>
      </c>
      <c r="D7054" t="inlineStr">
        <is>
          <t>JÄMTLANDS LÄN</t>
        </is>
      </c>
      <c r="E7054" t="inlineStr">
        <is>
          <t>ÖSTERSUND</t>
        </is>
      </c>
      <c r="F7054" t="inlineStr">
        <is>
          <t>Övriga Aktiebolag</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54828-2022</t>
        </is>
      </c>
      <c r="B7055" s="1" t="n">
        <v>44883</v>
      </c>
      <c r="C7055" s="1" t="n">
        <v>45363</v>
      </c>
      <c r="D7055" t="inlineStr">
        <is>
          <t>JÄMTLANDS LÄN</t>
        </is>
      </c>
      <c r="E7055" t="inlineStr">
        <is>
          <t>STRÖMSUND</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54835-2022</t>
        </is>
      </c>
      <c r="B7056" s="1" t="n">
        <v>44883</v>
      </c>
      <c r="C7056" s="1" t="n">
        <v>45363</v>
      </c>
      <c r="D7056" t="inlineStr">
        <is>
          <t>JÄMTLANDS LÄN</t>
        </is>
      </c>
      <c r="E7056" t="inlineStr">
        <is>
          <t>RAGUNDA</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54840-2022</t>
        </is>
      </c>
      <c r="B7057" s="1" t="n">
        <v>44883</v>
      </c>
      <c r="C7057" s="1" t="n">
        <v>45363</v>
      </c>
      <c r="D7057" t="inlineStr">
        <is>
          <t>JÄMTLANDS LÄN</t>
        </is>
      </c>
      <c r="E7057" t="inlineStr">
        <is>
          <t>BRÄCKE</t>
        </is>
      </c>
      <c r="F7057" t="inlineStr">
        <is>
          <t>SCA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54611-2022</t>
        </is>
      </c>
      <c r="B7058" s="1" t="n">
        <v>44883</v>
      </c>
      <c r="C7058" s="1" t="n">
        <v>45363</v>
      </c>
      <c r="D7058" t="inlineStr">
        <is>
          <t>JÄMTLANDS LÄN</t>
        </is>
      </c>
      <c r="E7058" t="inlineStr">
        <is>
          <t>ÅRE</t>
        </is>
      </c>
      <c r="F7058" t="inlineStr">
        <is>
          <t>Övriga Aktiebolag</t>
        </is>
      </c>
      <c r="G7058" t="n">
        <v>11.7</v>
      </c>
      <c r="H7058" t="n">
        <v>0</v>
      </c>
      <c r="I7058" t="n">
        <v>0</v>
      </c>
      <c r="J7058" t="n">
        <v>0</v>
      </c>
      <c r="K7058" t="n">
        <v>0</v>
      </c>
      <c r="L7058" t="n">
        <v>0</v>
      </c>
      <c r="M7058" t="n">
        <v>0</v>
      </c>
      <c r="N7058" t="n">
        <v>0</v>
      </c>
      <c r="O7058" t="n">
        <v>0</v>
      </c>
      <c r="P7058" t="n">
        <v>0</v>
      </c>
      <c r="Q7058" t="n">
        <v>0</v>
      </c>
      <c r="R7058" s="2" t="inlineStr"/>
    </row>
    <row r="7059" ht="15" customHeight="1">
      <c r="A7059" t="inlineStr">
        <is>
          <t>A 54663-2022</t>
        </is>
      </c>
      <c r="B7059" s="1" t="n">
        <v>44883</v>
      </c>
      <c r="C7059" s="1" t="n">
        <v>45363</v>
      </c>
      <c r="D7059" t="inlineStr">
        <is>
          <t>JÄMTLANDS LÄN</t>
        </is>
      </c>
      <c r="E7059" t="inlineStr">
        <is>
          <t>ÖSTERSUND</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54830-2022</t>
        </is>
      </c>
      <c r="B7060" s="1" t="n">
        <v>44883</v>
      </c>
      <c r="C7060" s="1" t="n">
        <v>45363</v>
      </c>
      <c r="D7060" t="inlineStr">
        <is>
          <t>JÄMTLANDS LÄN</t>
        </is>
      </c>
      <c r="E7060" t="inlineStr">
        <is>
          <t>RAGUNDA</t>
        </is>
      </c>
      <c r="F7060" t="inlineStr">
        <is>
          <t>Sveaskog</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54837-2022</t>
        </is>
      </c>
      <c r="B7061" s="1" t="n">
        <v>44883</v>
      </c>
      <c r="C7061" s="1" t="n">
        <v>45363</v>
      </c>
      <c r="D7061" t="inlineStr">
        <is>
          <t>JÄMTLANDS LÄN</t>
        </is>
      </c>
      <c r="E7061" t="inlineStr">
        <is>
          <t>RAGUNDA</t>
        </is>
      </c>
      <c r="F7061" t="inlineStr">
        <is>
          <t>SCA</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54762-2022</t>
        </is>
      </c>
      <c r="B7062" s="1" t="n">
        <v>44883</v>
      </c>
      <c r="C7062" s="1" t="n">
        <v>45363</v>
      </c>
      <c r="D7062" t="inlineStr">
        <is>
          <t>JÄMTLANDS LÄN</t>
        </is>
      </c>
      <c r="E7062" t="inlineStr">
        <is>
          <t>HÄRJEDALEN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54827-2022</t>
        </is>
      </c>
      <c r="B7063" s="1" t="n">
        <v>44883</v>
      </c>
      <c r="C7063" s="1" t="n">
        <v>45363</v>
      </c>
      <c r="D7063" t="inlineStr">
        <is>
          <t>JÄMTLANDS LÄN</t>
        </is>
      </c>
      <c r="E7063" t="inlineStr">
        <is>
          <t>RAGUNDA</t>
        </is>
      </c>
      <c r="F7063" t="inlineStr">
        <is>
          <t>SCA</t>
        </is>
      </c>
      <c r="G7063" t="n">
        <v>10.6</v>
      </c>
      <c r="H7063" t="n">
        <v>0</v>
      </c>
      <c r="I7063" t="n">
        <v>0</v>
      </c>
      <c r="J7063" t="n">
        <v>0</v>
      </c>
      <c r="K7063" t="n">
        <v>0</v>
      </c>
      <c r="L7063" t="n">
        <v>0</v>
      </c>
      <c r="M7063" t="n">
        <v>0</v>
      </c>
      <c r="N7063" t="n">
        <v>0</v>
      </c>
      <c r="O7063" t="n">
        <v>0</v>
      </c>
      <c r="P7063" t="n">
        <v>0</v>
      </c>
      <c r="Q7063" t="n">
        <v>0</v>
      </c>
      <c r="R7063" s="2" t="inlineStr"/>
    </row>
    <row r="7064" ht="15" customHeight="1">
      <c r="A7064" t="inlineStr">
        <is>
          <t>A 54833-2022</t>
        </is>
      </c>
      <c r="B7064" s="1" t="n">
        <v>44883</v>
      </c>
      <c r="C7064" s="1" t="n">
        <v>45363</v>
      </c>
      <c r="D7064" t="inlineStr">
        <is>
          <t>JÄMTLANDS LÄN</t>
        </is>
      </c>
      <c r="E7064" t="inlineStr">
        <is>
          <t>BRÄCKE</t>
        </is>
      </c>
      <c r="F7064" t="inlineStr">
        <is>
          <t>SCA</t>
        </is>
      </c>
      <c r="G7064" t="n">
        <v>15.2</v>
      </c>
      <c r="H7064" t="n">
        <v>0</v>
      </c>
      <c r="I7064" t="n">
        <v>0</v>
      </c>
      <c r="J7064" t="n">
        <v>0</v>
      </c>
      <c r="K7064" t="n">
        <v>0</v>
      </c>
      <c r="L7064" t="n">
        <v>0</v>
      </c>
      <c r="M7064" t="n">
        <v>0</v>
      </c>
      <c r="N7064" t="n">
        <v>0</v>
      </c>
      <c r="O7064" t="n">
        <v>0</v>
      </c>
      <c r="P7064" t="n">
        <v>0</v>
      </c>
      <c r="Q7064" t="n">
        <v>0</v>
      </c>
      <c r="R7064" s="2" t="inlineStr"/>
    </row>
    <row r="7065" ht="15" customHeight="1">
      <c r="A7065" t="inlineStr">
        <is>
          <t>A 54839-2022</t>
        </is>
      </c>
      <c r="B7065" s="1" t="n">
        <v>44883</v>
      </c>
      <c r="C7065" s="1" t="n">
        <v>45363</v>
      </c>
      <c r="D7065" t="inlineStr">
        <is>
          <t>JÄMTLANDS LÄN</t>
        </is>
      </c>
      <c r="E7065" t="inlineStr">
        <is>
          <t>STRÖMSUND</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54843-2022</t>
        </is>
      </c>
      <c r="B7066" s="1" t="n">
        <v>44883</v>
      </c>
      <c r="C7066" s="1" t="n">
        <v>45363</v>
      </c>
      <c r="D7066" t="inlineStr">
        <is>
          <t>JÄMTLANDS LÄN</t>
        </is>
      </c>
      <c r="E7066" t="inlineStr">
        <is>
          <t>STRÖMSUND</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55564-2022</t>
        </is>
      </c>
      <c r="B7067" s="1" t="n">
        <v>44883</v>
      </c>
      <c r="C7067" s="1" t="n">
        <v>45363</v>
      </c>
      <c r="D7067" t="inlineStr">
        <is>
          <t>JÄMTLANDS LÄN</t>
        </is>
      </c>
      <c r="E7067" t="inlineStr">
        <is>
          <t>KROKOM</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54844-2022</t>
        </is>
      </c>
      <c r="B7068" s="1" t="n">
        <v>44883</v>
      </c>
      <c r="C7068" s="1" t="n">
        <v>45363</v>
      </c>
      <c r="D7068" t="inlineStr">
        <is>
          <t>JÄMTLANDS LÄN</t>
        </is>
      </c>
      <c r="E7068" t="inlineStr">
        <is>
          <t>STRÖMSUND</t>
        </is>
      </c>
      <c r="F7068" t="inlineStr">
        <is>
          <t>SCA</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55567-2022</t>
        </is>
      </c>
      <c r="B7069" s="1" t="n">
        <v>44883</v>
      </c>
      <c r="C7069" s="1" t="n">
        <v>45363</v>
      </c>
      <c r="D7069" t="inlineStr">
        <is>
          <t>JÄMTLANDS LÄN</t>
        </is>
      </c>
      <c r="E7069" t="inlineStr">
        <is>
          <t>KROKOM</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54904-2022</t>
        </is>
      </c>
      <c r="B7070" s="1" t="n">
        <v>44886</v>
      </c>
      <c r="C7070" s="1" t="n">
        <v>45363</v>
      </c>
      <c r="D7070" t="inlineStr">
        <is>
          <t>JÄMTLANDS LÄN</t>
        </is>
      </c>
      <c r="E7070" t="inlineStr">
        <is>
          <t>ÅRE</t>
        </is>
      </c>
      <c r="F7070" t="inlineStr">
        <is>
          <t>Övriga Aktiebolag</t>
        </is>
      </c>
      <c r="G7070" t="n">
        <v>12.2</v>
      </c>
      <c r="H7070" t="n">
        <v>0</v>
      </c>
      <c r="I7070" t="n">
        <v>0</v>
      </c>
      <c r="J7070" t="n">
        <v>0</v>
      </c>
      <c r="K7070" t="n">
        <v>0</v>
      </c>
      <c r="L7070" t="n">
        <v>0</v>
      </c>
      <c r="M7070" t="n">
        <v>0</v>
      </c>
      <c r="N7070" t="n">
        <v>0</v>
      </c>
      <c r="O7070" t="n">
        <v>0</v>
      </c>
      <c r="P7070" t="n">
        <v>0</v>
      </c>
      <c r="Q7070" t="n">
        <v>0</v>
      </c>
      <c r="R7070" s="2" t="inlineStr"/>
    </row>
    <row r="7071" ht="15" customHeight="1">
      <c r="A7071" t="inlineStr">
        <is>
          <t>A 55102-2022</t>
        </is>
      </c>
      <c r="B7071" s="1" t="n">
        <v>44886</v>
      </c>
      <c r="C7071" s="1" t="n">
        <v>45363</v>
      </c>
      <c r="D7071" t="inlineStr">
        <is>
          <t>JÄMTLANDS LÄN</t>
        </is>
      </c>
      <c r="E7071" t="inlineStr">
        <is>
          <t>ÖSTERSUND</t>
        </is>
      </c>
      <c r="F7071" t="inlineStr">
        <is>
          <t>Övriga Aktiebolag</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55008-2022</t>
        </is>
      </c>
      <c r="B7072" s="1" t="n">
        <v>44886</v>
      </c>
      <c r="C7072" s="1" t="n">
        <v>45363</v>
      </c>
      <c r="D7072" t="inlineStr">
        <is>
          <t>JÄMTLANDS LÄN</t>
        </is>
      </c>
      <c r="E7072" t="inlineStr">
        <is>
          <t>ÖSTERSUND</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55100-2022</t>
        </is>
      </c>
      <c r="B7073" s="1" t="n">
        <v>44886</v>
      </c>
      <c r="C7073" s="1" t="n">
        <v>45363</v>
      </c>
      <c r="D7073" t="inlineStr">
        <is>
          <t>JÄMTLANDS LÄN</t>
        </is>
      </c>
      <c r="E7073" t="inlineStr">
        <is>
          <t>HÄRJEDALEN</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55105-2022</t>
        </is>
      </c>
      <c r="B7074" s="1" t="n">
        <v>44886</v>
      </c>
      <c r="C7074" s="1" t="n">
        <v>45363</v>
      </c>
      <c r="D7074" t="inlineStr">
        <is>
          <t>JÄMTLANDS LÄN</t>
        </is>
      </c>
      <c r="E7074" t="inlineStr">
        <is>
          <t>ÖSTERSUND</t>
        </is>
      </c>
      <c r="F7074" t="inlineStr">
        <is>
          <t>Övriga Aktiebolag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55194-2022</t>
        </is>
      </c>
      <c r="B7075" s="1" t="n">
        <v>44886</v>
      </c>
      <c r="C7075" s="1" t="n">
        <v>45363</v>
      </c>
      <c r="D7075" t="inlineStr">
        <is>
          <t>JÄMTLANDS LÄN</t>
        </is>
      </c>
      <c r="E7075" t="inlineStr">
        <is>
          <t>ÅRE</t>
        </is>
      </c>
      <c r="F7075" t="inlineStr">
        <is>
          <t>Övriga Aktiebolag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55103-2022</t>
        </is>
      </c>
      <c r="B7076" s="1" t="n">
        <v>44886</v>
      </c>
      <c r="C7076" s="1" t="n">
        <v>45363</v>
      </c>
      <c r="D7076" t="inlineStr">
        <is>
          <t>JÄMTLANDS LÄN</t>
        </is>
      </c>
      <c r="E7076" t="inlineStr">
        <is>
          <t>HÄRJEDALEN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55230-2022</t>
        </is>
      </c>
      <c r="B7077" s="1" t="n">
        <v>44887</v>
      </c>
      <c r="C7077" s="1" t="n">
        <v>45363</v>
      </c>
      <c r="D7077" t="inlineStr">
        <is>
          <t>JÄMTLANDS LÄN</t>
        </is>
      </c>
      <c r="E7077" t="inlineStr">
        <is>
          <t>ÅRE</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55235-2022</t>
        </is>
      </c>
      <c r="B7078" s="1" t="n">
        <v>44887</v>
      </c>
      <c r="C7078" s="1" t="n">
        <v>45363</v>
      </c>
      <c r="D7078" t="inlineStr">
        <is>
          <t>JÄMTLANDS LÄN</t>
        </is>
      </c>
      <c r="E7078" t="inlineStr">
        <is>
          <t>ÅRE</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55229-2022</t>
        </is>
      </c>
      <c r="B7079" s="1" t="n">
        <v>44887</v>
      </c>
      <c r="C7079" s="1" t="n">
        <v>45363</v>
      </c>
      <c r="D7079" t="inlineStr">
        <is>
          <t>JÄMTLANDS LÄN</t>
        </is>
      </c>
      <c r="E7079" t="inlineStr">
        <is>
          <t>ÅRE</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55234-2022</t>
        </is>
      </c>
      <c r="B7080" s="1" t="n">
        <v>44887</v>
      </c>
      <c r="C7080" s="1" t="n">
        <v>45363</v>
      </c>
      <c r="D7080" t="inlineStr">
        <is>
          <t>JÄMTLANDS LÄN</t>
        </is>
      </c>
      <c r="E7080" t="inlineStr">
        <is>
          <t>ÅRE</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55931-2022</t>
        </is>
      </c>
      <c r="B7081" s="1" t="n">
        <v>44886</v>
      </c>
      <c r="C7081" s="1" t="n">
        <v>45363</v>
      </c>
      <c r="D7081" t="inlineStr">
        <is>
          <t>JÄMTLANDS LÄN</t>
        </is>
      </c>
      <c r="E7081" t="inlineStr">
        <is>
          <t>HÄRJEDALEN</t>
        </is>
      </c>
      <c r="F7081" t="inlineStr">
        <is>
          <t>Övriga statliga verk och myndigheter</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55233-2022</t>
        </is>
      </c>
      <c r="B7082" s="1" t="n">
        <v>44887</v>
      </c>
      <c r="C7082" s="1" t="n">
        <v>45363</v>
      </c>
      <c r="D7082" t="inlineStr">
        <is>
          <t>JÄMTLANDS LÄN</t>
        </is>
      </c>
      <c r="E7082" t="inlineStr">
        <is>
          <t>ÅRE</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55237-2022</t>
        </is>
      </c>
      <c r="B7083" s="1" t="n">
        <v>44887</v>
      </c>
      <c r="C7083" s="1" t="n">
        <v>45363</v>
      </c>
      <c r="D7083" t="inlineStr">
        <is>
          <t>JÄMTLANDS LÄN</t>
        </is>
      </c>
      <c r="E7083" t="inlineStr">
        <is>
          <t>ÅRE</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55214-2022</t>
        </is>
      </c>
      <c r="B7084" s="1" t="n">
        <v>44886</v>
      </c>
      <c r="C7084" s="1" t="n">
        <v>45363</v>
      </c>
      <c r="D7084" t="inlineStr">
        <is>
          <t>JÄMTLANDS LÄN</t>
        </is>
      </c>
      <c r="E7084" t="inlineStr">
        <is>
          <t>RAGUNDA</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55232-2022</t>
        </is>
      </c>
      <c r="B7085" s="1" t="n">
        <v>44887</v>
      </c>
      <c r="C7085" s="1" t="n">
        <v>45363</v>
      </c>
      <c r="D7085" t="inlineStr">
        <is>
          <t>JÄMTLANDS LÄN</t>
        </is>
      </c>
      <c r="E7085" t="inlineStr">
        <is>
          <t>ÅRE</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55236-2022</t>
        </is>
      </c>
      <c r="B7086" s="1" t="n">
        <v>44887</v>
      </c>
      <c r="C7086" s="1" t="n">
        <v>45363</v>
      </c>
      <c r="D7086" t="inlineStr">
        <is>
          <t>JÄMTLANDS LÄN</t>
        </is>
      </c>
      <c r="E7086" t="inlineStr">
        <is>
          <t>ÅRE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55774-2022</t>
        </is>
      </c>
      <c r="B7087" s="1" t="n">
        <v>44886</v>
      </c>
      <c r="C7087" s="1" t="n">
        <v>45363</v>
      </c>
      <c r="D7087" t="inlineStr">
        <is>
          <t>JÄMTLANDS LÄN</t>
        </is>
      </c>
      <c r="E7087" t="inlineStr">
        <is>
          <t>BRÄCKE</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55969-2022</t>
        </is>
      </c>
      <c r="B7088" s="1" t="n">
        <v>44886</v>
      </c>
      <c r="C7088" s="1" t="n">
        <v>45363</v>
      </c>
      <c r="D7088" t="inlineStr">
        <is>
          <t>JÄMTLANDS LÄN</t>
        </is>
      </c>
      <c r="E7088" t="inlineStr">
        <is>
          <t>HÄRJEDALEN</t>
        </is>
      </c>
      <c r="F7088" t="inlineStr">
        <is>
          <t>Övriga statliga verk och myndigheter</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55371-2022</t>
        </is>
      </c>
      <c r="B7089" s="1" t="n">
        <v>44887</v>
      </c>
      <c r="C7089" s="1" t="n">
        <v>45363</v>
      </c>
      <c r="D7089" t="inlineStr">
        <is>
          <t>JÄMTLANDS LÄN</t>
        </is>
      </c>
      <c r="E7089" t="inlineStr">
        <is>
          <t>ÖSTERSUND</t>
        </is>
      </c>
      <c r="F7089" t="inlineStr">
        <is>
          <t>Övriga Aktiebolag</t>
        </is>
      </c>
      <c r="G7089" t="n">
        <v>15.4</v>
      </c>
      <c r="H7089" t="n">
        <v>0</v>
      </c>
      <c r="I7089" t="n">
        <v>0</v>
      </c>
      <c r="J7089" t="n">
        <v>0</v>
      </c>
      <c r="K7089" t="n">
        <v>0</v>
      </c>
      <c r="L7089" t="n">
        <v>0</v>
      </c>
      <c r="M7089" t="n">
        <v>0</v>
      </c>
      <c r="N7089" t="n">
        <v>0</v>
      </c>
      <c r="O7089" t="n">
        <v>0</v>
      </c>
      <c r="P7089" t="n">
        <v>0</v>
      </c>
      <c r="Q7089" t="n">
        <v>0</v>
      </c>
      <c r="R7089" s="2" t="inlineStr"/>
    </row>
    <row r="7090" ht="15" customHeight="1">
      <c r="A7090" t="inlineStr">
        <is>
          <t>A 55448-2022</t>
        </is>
      </c>
      <c r="B7090" s="1" t="n">
        <v>44887</v>
      </c>
      <c r="C7090" s="1" t="n">
        <v>45363</v>
      </c>
      <c r="D7090" t="inlineStr">
        <is>
          <t>JÄMTLANDS LÄN</t>
        </is>
      </c>
      <c r="E7090" t="inlineStr">
        <is>
          <t>ÖSTERSUND</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55479-2022</t>
        </is>
      </c>
      <c r="B7091" s="1" t="n">
        <v>44887</v>
      </c>
      <c r="C7091" s="1" t="n">
        <v>45363</v>
      </c>
      <c r="D7091" t="inlineStr">
        <is>
          <t>JÄMTLANDS LÄN</t>
        </is>
      </c>
      <c r="E7091" t="inlineStr">
        <is>
          <t>KROKOM</t>
        </is>
      </c>
      <c r="F7091" t="inlineStr">
        <is>
          <t>Övriga Aktiebolag</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55512-2022</t>
        </is>
      </c>
      <c r="B7092" s="1" t="n">
        <v>44887</v>
      </c>
      <c r="C7092" s="1" t="n">
        <v>45363</v>
      </c>
      <c r="D7092" t="inlineStr">
        <is>
          <t>JÄMTLANDS LÄN</t>
        </is>
      </c>
      <c r="E7092" t="inlineStr">
        <is>
          <t>BRÄCKE</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55520-2022</t>
        </is>
      </c>
      <c r="B7093" s="1" t="n">
        <v>44887</v>
      </c>
      <c r="C7093" s="1" t="n">
        <v>45363</v>
      </c>
      <c r="D7093" t="inlineStr">
        <is>
          <t>JÄMTLANDS LÄN</t>
        </is>
      </c>
      <c r="E7093" t="inlineStr">
        <is>
          <t>BRÄCKE</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55525-2022</t>
        </is>
      </c>
      <c r="B7094" s="1" t="n">
        <v>44887</v>
      </c>
      <c r="C7094" s="1" t="n">
        <v>45363</v>
      </c>
      <c r="D7094" t="inlineStr">
        <is>
          <t>JÄMTLANDS LÄN</t>
        </is>
      </c>
      <c r="E7094" t="inlineStr">
        <is>
          <t>STRÖMSUND</t>
        </is>
      </c>
      <c r="F7094" t="inlineStr">
        <is>
          <t>SCA</t>
        </is>
      </c>
      <c r="G7094" t="n">
        <v>14.3</v>
      </c>
      <c r="H7094" t="n">
        <v>0</v>
      </c>
      <c r="I7094" t="n">
        <v>0</v>
      </c>
      <c r="J7094" t="n">
        <v>0</v>
      </c>
      <c r="K7094" t="n">
        <v>0</v>
      </c>
      <c r="L7094" t="n">
        <v>0</v>
      </c>
      <c r="M7094" t="n">
        <v>0</v>
      </c>
      <c r="N7094" t="n">
        <v>0</v>
      </c>
      <c r="O7094" t="n">
        <v>0</v>
      </c>
      <c r="P7094" t="n">
        <v>0</v>
      </c>
      <c r="Q7094" t="n">
        <v>0</v>
      </c>
      <c r="R7094" s="2" t="inlineStr"/>
    </row>
    <row r="7095" ht="15" customHeight="1">
      <c r="A7095" t="inlineStr">
        <is>
          <t>A 55529-2022</t>
        </is>
      </c>
      <c r="B7095" s="1" t="n">
        <v>44887</v>
      </c>
      <c r="C7095" s="1" t="n">
        <v>45363</v>
      </c>
      <c r="D7095" t="inlineStr">
        <is>
          <t>JÄMTLANDS LÄN</t>
        </is>
      </c>
      <c r="E7095" t="inlineStr">
        <is>
          <t>BRÄCKE</t>
        </is>
      </c>
      <c r="F7095" t="inlineStr">
        <is>
          <t>SCA</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55518-2022</t>
        </is>
      </c>
      <c r="B7096" s="1" t="n">
        <v>44887</v>
      </c>
      <c r="C7096" s="1" t="n">
        <v>45363</v>
      </c>
      <c r="D7096" t="inlineStr">
        <is>
          <t>JÄMTLANDS LÄN</t>
        </is>
      </c>
      <c r="E7096" t="inlineStr">
        <is>
          <t>BERG</t>
        </is>
      </c>
      <c r="F7096" t="inlineStr">
        <is>
          <t>SCA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55524-2022</t>
        </is>
      </c>
      <c r="B7097" s="1" t="n">
        <v>44887</v>
      </c>
      <c r="C7097" s="1" t="n">
        <v>45363</v>
      </c>
      <c r="D7097" t="inlineStr">
        <is>
          <t>JÄMTLANDS LÄN</t>
        </is>
      </c>
      <c r="E7097" t="inlineStr">
        <is>
          <t>STRÖMSUND</t>
        </is>
      </c>
      <c r="F7097" t="inlineStr">
        <is>
          <t>SCA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55455-2022</t>
        </is>
      </c>
      <c r="B7098" s="1" t="n">
        <v>44887</v>
      </c>
      <c r="C7098" s="1" t="n">
        <v>45363</v>
      </c>
      <c r="D7098" t="inlineStr">
        <is>
          <t>JÄMTLANDS LÄN</t>
        </is>
      </c>
      <c r="E7098" t="inlineStr">
        <is>
          <t>KROKOM</t>
        </is>
      </c>
      <c r="F7098" t="inlineStr">
        <is>
          <t>Övriga Aktiebolag</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55523-2022</t>
        </is>
      </c>
      <c r="B7099" s="1" t="n">
        <v>44887</v>
      </c>
      <c r="C7099" s="1" t="n">
        <v>45363</v>
      </c>
      <c r="D7099" t="inlineStr">
        <is>
          <t>JÄMTLANDS LÄN</t>
        </is>
      </c>
      <c r="E7099" t="inlineStr">
        <is>
          <t>BRÄCKE</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55531-2022</t>
        </is>
      </c>
      <c r="B7100" s="1" t="n">
        <v>44887</v>
      </c>
      <c r="C7100" s="1" t="n">
        <v>45363</v>
      </c>
      <c r="D7100" t="inlineStr">
        <is>
          <t>JÄMTLANDS LÄN</t>
        </is>
      </c>
      <c r="E7100" t="inlineStr">
        <is>
          <t>STRÖMSUND</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55895-2022</t>
        </is>
      </c>
      <c r="B7101" s="1" t="n">
        <v>44888</v>
      </c>
      <c r="C7101" s="1" t="n">
        <v>45363</v>
      </c>
      <c r="D7101" t="inlineStr">
        <is>
          <t>JÄMTLANDS LÄN</t>
        </is>
      </c>
      <c r="E7101" t="inlineStr">
        <is>
          <t>BRÄCKE</t>
        </is>
      </c>
      <c r="F7101" t="inlineStr">
        <is>
          <t>SCA</t>
        </is>
      </c>
      <c r="G7101" t="n">
        <v>14.9</v>
      </c>
      <c r="H7101" t="n">
        <v>0</v>
      </c>
      <c r="I7101" t="n">
        <v>0</v>
      </c>
      <c r="J7101" t="n">
        <v>0</v>
      </c>
      <c r="K7101" t="n">
        <v>0</v>
      </c>
      <c r="L7101" t="n">
        <v>0</v>
      </c>
      <c r="M7101" t="n">
        <v>0</v>
      </c>
      <c r="N7101" t="n">
        <v>0</v>
      </c>
      <c r="O7101" t="n">
        <v>0</v>
      </c>
      <c r="P7101" t="n">
        <v>0</v>
      </c>
      <c r="Q7101" t="n">
        <v>0</v>
      </c>
      <c r="R7101" s="2" t="inlineStr"/>
    </row>
    <row r="7102" ht="15" customHeight="1">
      <c r="A7102" t="inlineStr">
        <is>
          <t>A 55900-2022</t>
        </is>
      </c>
      <c r="B7102" s="1" t="n">
        <v>44888</v>
      </c>
      <c r="C7102" s="1" t="n">
        <v>45363</v>
      </c>
      <c r="D7102" t="inlineStr">
        <is>
          <t>JÄMTLANDS LÄN</t>
        </is>
      </c>
      <c r="E7102" t="inlineStr">
        <is>
          <t>BRÄCKE</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55901-2022</t>
        </is>
      </c>
      <c r="B7103" s="1" t="n">
        <v>44888</v>
      </c>
      <c r="C7103" s="1" t="n">
        <v>45363</v>
      </c>
      <c r="D7103" t="inlineStr">
        <is>
          <t>JÄMTLANDS LÄN</t>
        </is>
      </c>
      <c r="E7103" t="inlineStr">
        <is>
          <t>STRÖMSUND</t>
        </is>
      </c>
      <c r="F7103" t="inlineStr">
        <is>
          <t>SCA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55904-2022</t>
        </is>
      </c>
      <c r="B7104" s="1" t="n">
        <v>44888</v>
      </c>
      <c r="C7104" s="1" t="n">
        <v>45363</v>
      </c>
      <c r="D7104" t="inlineStr">
        <is>
          <t>JÄMTLANDS LÄN</t>
        </is>
      </c>
      <c r="E7104" t="inlineStr">
        <is>
          <t>RAGUNDA</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55905-2022</t>
        </is>
      </c>
      <c r="B7105" s="1" t="n">
        <v>44888</v>
      </c>
      <c r="C7105" s="1" t="n">
        <v>45363</v>
      </c>
      <c r="D7105" t="inlineStr">
        <is>
          <t>JÄMTLANDS LÄN</t>
        </is>
      </c>
      <c r="E7105" t="inlineStr">
        <is>
          <t>BRÄCKE</t>
        </is>
      </c>
      <c r="F7105" t="inlineStr">
        <is>
          <t>SCA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56067-2022</t>
        </is>
      </c>
      <c r="B7106" s="1" t="n">
        <v>44889</v>
      </c>
      <c r="C7106" s="1" t="n">
        <v>45363</v>
      </c>
      <c r="D7106" t="inlineStr">
        <is>
          <t>JÄMTLANDS LÄN</t>
        </is>
      </c>
      <c r="E7106" t="inlineStr">
        <is>
          <t>ÖSTERSUND</t>
        </is>
      </c>
      <c r="F7106" t="inlineStr">
        <is>
          <t>Övriga Aktiebolag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56148-2022</t>
        </is>
      </c>
      <c r="B7107" s="1" t="n">
        <v>44889</v>
      </c>
      <c r="C7107" s="1" t="n">
        <v>45363</v>
      </c>
      <c r="D7107" t="inlineStr">
        <is>
          <t>JÄMTLANDS LÄN</t>
        </is>
      </c>
      <c r="E7107" t="inlineStr">
        <is>
          <t>ÖSTERSUND</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56167-2022</t>
        </is>
      </c>
      <c r="B7108" s="1" t="n">
        <v>44889</v>
      </c>
      <c r="C7108" s="1" t="n">
        <v>45363</v>
      </c>
      <c r="D7108" t="inlineStr">
        <is>
          <t>JÄMTLANDS LÄN</t>
        </is>
      </c>
      <c r="E7108" t="inlineStr">
        <is>
          <t>KROKOM</t>
        </is>
      </c>
      <c r="G7108" t="n">
        <v>8.300000000000001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56185-2022</t>
        </is>
      </c>
      <c r="B7109" s="1" t="n">
        <v>44889</v>
      </c>
      <c r="C7109" s="1" t="n">
        <v>45363</v>
      </c>
      <c r="D7109" t="inlineStr">
        <is>
          <t>JÄMTLANDS LÄN</t>
        </is>
      </c>
      <c r="E7109" t="inlineStr">
        <is>
          <t>BRÄCKE</t>
        </is>
      </c>
      <c r="F7109" t="inlineStr">
        <is>
          <t>SCA</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56191-2022</t>
        </is>
      </c>
      <c r="B7110" s="1" t="n">
        <v>44889</v>
      </c>
      <c r="C7110" s="1" t="n">
        <v>45363</v>
      </c>
      <c r="D7110" t="inlineStr">
        <is>
          <t>JÄMTLANDS LÄN</t>
        </is>
      </c>
      <c r="E7110" t="inlineStr">
        <is>
          <t>RAGUNDA</t>
        </is>
      </c>
      <c r="F7110" t="inlineStr">
        <is>
          <t>Sveaskog</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56091-2022</t>
        </is>
      </c>
      <c r="B7111" s="1" t="n">
        <v>44889</v>
      </c>
      <c r="C7111" s="1" t="n">
        <v>45363</v>
      </c>
      <c r="D7111" t="inlineStr">
        <is>
          <t>JÄMTLANDS LÄN</t>
        </is>
      </c>
      <c r="E7111" t="inlineStr">
        <is>
          <t>STRÖMSUND</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56111-2022</t>
        </is>
      </c>
      <c r="B7112" s="1" t="n">
        <v>44889</v>
      </c>
      <c r="C7112" s="1" t="n">
        <v>45363</v>
      </c>
      <c r="D7112" t="inlineStr">
        <is>
          <t>JÄMTLANDS LÄN</t>
        </is>
      </c>
      <c r="E7112" t="inlineStr">
        <is>
          <t>ÖSTERSUND</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56043-2022</t>
        </is>
      </c>
      <c r="B7113" s="1" t="n">
        <v>44889</v>
      </c>
      <c r="C7113" s="1" t="n">
        <v>45363</v>
      </c>
      <c r="D7113" t="inlineStr">
        <is>
          <t>JÄMTLANDS LÄN</t>
        </is>
      </c>
      <c r="E7113" t="inlineStr">
        <is>
          <t>HÄRJEDALEN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56182-2022</t>
        </is>
      </c>
      <c r="B7114" s="1" t="n">
        <v>44889</v>
      </c>
      <c r="C7114" s="1" t="n">
        <v>45363</v>
      </c>
      <c r="D7114" t="inlineStr">
        <is>
          <t>JÄMTLANDS LÄN</t>
        </is>
      </c>
      <c r="E7114" t="inlineStr">
        <is>
          <t>ÅRE</t>
        </is>
      </c>
      <c r="G7114" t="n">
        <v>42.3</v>
      </c>
      <c r="H7114" t="n">
        <v>0</v>
      </c>
      <c r="I7114" t="n">
        <v>0</v>
      </c>
      <c r="J7114" t="n">
        <v>0</v>
      </c>
      <c r="K7114" t="n">
        <v>0</v>
      </c>
      <c r="L7114" t="n">
        <v>0</v>
      </c>
      <c r="M7114" t="n">
        <v>0</v>
      </c>
      <c r="N7114" t="n">
        <v>0</v>
      </c>
      <c r="O7114" t="n">
        <v>0</v>
      </c>
      <c r="P7114" t="n">
        <v>0</v>
      </c>
      <c r="Q7114" t="n">
        <v>0</v>
      </c>
      <c r="R7114" s="2" t="inlineStr"/>
    </row>
    <row r="7115" ht="15" customHeight="1">
      <c r="A7115" t="inlineStr">
        <is>
          <t>A 56186-2022</t>
        </is>
      </c>
      <c r="B7115" s="1" t="n">
        <v>44889</v>
      </c>
      <c r="C7115" s="1" t="n">
        <v>45363</v>
      </c>
      <c r="D7115" t="inlineStr">
        <is>
          <t>JÄMTLANDS LÄN</t>
        </is>
      </c>
      <c r="E7115" t="inlineStr">
        <is>
          <t>RAGUNDA</t>
        </is>
      </c>
      <c r="F7115" t="inlineStr">
        <is>
          <t>Sveaskog</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56192-2022</t>
        </is>
      </c>
      <c r="B7116" s="1" t="n">
        <v>44889</v>
      </c>
      <c r="C7116" s="1" t="n">
        <v>45363</v>
      </c>
      <c r="D7116" t="inlineStr">
        <is>
          <t>JÄMTLANDS LÄN</t>
        </is>
      </c>
      <c r="E7116" t="inlineStr">
        <is>
          <t>RAGUNDA</t>
        </is>
      </c>
      <c r="F7116" t="inlineStr">
        <is>
          <t>Sveaskog</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56166-2022</t>
        </is>
      </c>
      <c r="B7117" s="1" t="n">
        <v>44889</v>
      </c>
      <c r="C7117" s="1" t="n">
        <v>45363</v>
      </c>
      <c r="D7117" t="inlineStr">
        <is>
          <t>JÄMTLANDS LÄN</t>
        </is>
      </c>
      <c r="E7117" t="inlineStr">
        <is>
          <t>KROKOM</t>
        </is>
      </c>
      <c r="G7117" t="n">
        <v>17.6</v>
      </c>
      <c r="H7117" t="n">
        <v>0</v>
      </c>
      <c r="I7117" t="n">
        <v>0</v>
      </c>
      <c r="J7117" t="n">
        <v>0</v>
      </c>
      <c r="K7117" t="n">
        <v>0</v>
      </c>
      <c r="L7117" t="n">
        <v>0</v>
      </c>
      <c r="M7117" t="n">
        <v>0</v>
      </c>
      <c r="N7117" t="n">
        <v>0</v>
      </c>
      <c r="O7117" t="n">
        <v>0</v>
      </c>
      <c r="P7117" t="n">
        <v>0</v>
      </c>
      <c r="Q7117" t="n">
        <v>0</v>
      </c>
      <c r="R7117" s="2" t="inlineStr"/>
    </row>
    <row r="7118" ht="15" customHeight="1">
      <c r="A7118" t="inlineStr">
        <is>
          <t>A 56171-2022</t>
        </is>
      </c>
      <c r="B7118" s="1" t="n">
        <v>44889</v>
      </c>
      <c r="C7118" s="1" t="n">
        <v>45363</v>
      </c>
      <c r="D7118" t="inlineStr">
        <is>
          <t>JÄMTLANDS LÄN</t>
        </is>
      </c>
      <c r="E7118" t="inlineStr">
        <is>
          <t>STRÖMSUND</t>
        </is>
      </c>
      <c r="F7118" t="inlineStr">
        <is>
          <t>SCA</t>
        </is>
      </c>
      <c r="G7118" t="n">
        <v>21.9</v>
      </c>
      <c r="H7118" t="n">
        <v>0</v>
      </c>
      <c r="I7118" t="n">
        <v>0</v>
      </c>
      <c r="J7118" t="n">
        <v>0</v>
      </c>
      <c r="K7118" t="n">
        <v>0</v>
      </c>
      <c r="L7118" t="n">
        <v>0</v>
      </c>
      <c r="M7118" t="n">
        <v>0</v>
      </c>
      <c r="N7118" t="n">
        <v>0</v>
      </c>
      <c r="O7118" t="n">
        <v>0</v>
      </c>
      <c r="P7118" t="n">
        <v>0</v>
      </c>
      <c r="Q7118" t="n">
        <v>0</v>
      </c>
      <c r="R7118" s="2" t="inlineStr"/>
    </row>
    <row r="7119" ht="15" customHeight="1">
      <c r="A7119" t="inlineStr">
        <is>
          <t>A 56196-2022</t>
        </is>
      </c>
      <c r="B7119" s="1" t="n">
        <v>44889</v>
      </c>
      <c r="C7119" s="1" t="n">
        <v>45363</v>
      </c>
      <c r="D7119" t="inlineStr">
        <is>
          <t>JÄMTLANDS LÄN</t>
        </is>
      </c>
      <c r="E7119" t="inlineStr">
        <is>
          <t>STRÖMSUND</t>
        </is>
      </c>
      <c r="F7119" t="inlineStr">
        <is>
          <t>SCA</t>
        </is>
      </c>
      <c r="G7119" t="n">
        <v>5.5</v>
      </c>
      <c r="H7119" t="n">
        <v>0</v>
      </c>
      <c r="I7119" t="n">
        <v>0</v>
      </c>
      <c r="J7119" t="n">
        <v>0</v>
      </c>
      <c r="K7119" t="n">
        <v>0</v>
      </c>
      <c r="L7119" t="n">
        <v>0</v>
      </c>
      <c r="M7119" t="n">
        <v>0</v>
      </c>
      <c r="N7119" t="n">
        <v>0</v>
      </c>
      <c r="O7119" t="n">
        <v>0</v>
      </c>
      <c r="P7119" t="n">
        <v>0</v>
      </c>
      <c r="Q7119" t="n">
        <v>0</v>
      </c>
      <c r="R7119" s="2" t="inlineStr"/>
    </row>
    <row r="7120" ht="15" customHeight="1">
      <c r="A7120" t="inlineStr">
        <is>
          <t>A 57223-2022</t>
        </is>
      </c>
      <c r="B7120" s="1" t="n">
        <v>44889</v>
      </c>
      <c r="C7120" s="1" t="n">
        <v>45363</v>
      </c>
      <c r="D7120" t="inlineStr">
        <is>
          <t>JÄMTLANDS LÄN</t>
        </is>
      </c>
      <c r="E7120" t="inlineStr">
        <is>
          <t>HÄRJEDALEN</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56193-2022</t>
        </is>
      </c>
      <c r="B7121" s="1" t="n">
        <v>44889</v>
      </c>
      <c r="C7121" s="1" t="n">
        <v>45363</v>
      </c>
      <c r="D7121" t="inlineStr">
        <is>
          <t>JÄMTLANDS LÄN</t>
        </is>
      </c>
      <c r="E7121" t="inlineStr">
        <is>
          <t>RAGUNDA</t>
        </is>
      </c>
      <c r="F7121" t="inlineStr">
        <is>
          <t>Sveaskog</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57237-2022</t>
        </is>
      </c>
      <c r="B7122" s="1" t="n">
        <v>44889</v>
      </c>
      <c r="C7122" s="1" t="n">
        <v>45363</v>
      </c>
      <c r="D7122" t="inlineStr">
        <is>
          <t>JÄMTLANDS LÄN</t>
        </is>
      </c>
      <c r="E7122" t="inlineStr">
        <is>
          <t>RAGUNDA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55944-2022</t>
        </is>
      </c>
      <c r="B7123" s="1" t="n">
        <v>44889</v>
      </c>
      <c r="C7123" s="1" t="n">
        <v>45363</v>
      </c>
      <c r="D7123" t="inlineStr">
        <is>
          <t>JÄMTLANDS LÄN</t>
        </is>
      </c>
      <c r="E7123" t="inlineStr">
        <is>
          <t>ÅRE</t>
        </is>
      </c>
      <c r="G7123" t="n">
        <v>11.1</v>
      </c>
      <c r="H7123" t="n">
        <v>0</v>
      </c>
      <c r="I7123" t="n">
        <v>0</v>
      </c>
      <c r="J7123" t="n">
        <v>0</v>
      </c>
      <c r="K7123" t="n">
        <v>0</v>
      </c>
      <c r="L7123" t="n">
        <v>0</v>
      </c>
      <c r="M7123" t="n">
        <v>0</v>
      </c>
      <c r="N7123" t="n">
        <v>0</v>
      </c>
      <c r="O7123" t="n">
        <v>0</v>
      </c>
      <c r="P7123" t="n">
        <v>0</v>
      </c>
      <c r="Q7123" t="n">
        <v>0</v>
      </c>
      <c r="R7123" s="2" t="inlineStr"/>
    </row>
    <row r="7124" ht="15" customHeight="1">
      <c r="A7124" t="inlineStr">
        <is>
          <t>A 57454-2022</t>
        </is>
      </c>
      <c r="B7124" s="1" t="n">
        <v>44889</v>
      </c>
      <c r="C7124" s="1" t="n">
        <v>45363</v>
      </c>
      <c r="D7124" t="inlineStr">
        <is>
          <t>JÄMTLANDS LÄN</t>
        </is>
      </c>
      <c r="E7124" t="inlineStr">
        <is>
          <t>KROKOM</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56254-2022</t>
        </is>
      </c>
      <c r="B7125" s="1" t="n">
        <v>44890</v>
      </c>
      <c r="C7125" s="1" t="n">
        <v>45363</v>
      </c>
      <c r="D7125" t="inlineStr">
        <is>
          <t>JÄMTLANDS LÄN</t>
        </is>
      </c>
      <c r="E7125" t="inlineStr">
        <is>
          <t>ÅRE</t>
        </is>
      </c>
      <c r="F7125" t="inlineStr">
        <is>
          <t>Övriga Aktiebolag</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56412-2022</t>
        </is>
      </c>
      <c r="B7126" s="1" t="n">
        <v>44890</v>
      </c>
      <c r="C7126" s="1" t="n">
        <v>45363</v>
      </c>
      <c r="D7126" t="inlineStr">
        <is>
          <t>JÄMTLANDS LÄN</t>
        </is>
      </c>
      <c r="E7126" t="inlineStr">
        <is>
          <t>STRÖMSUND</t>
        </is>
      </c>
      <c r="F7126" t="inlineStr">
        <is>
          <t>SCA</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56424-2022</t>
        </is>
      </c>
      <c r="B7127" s="1" t="n">
        <v>44890</v>
      </c>
      <c r="C7127" s="1" t="n">
        <v>45363</v>
      </c>
      <c r="D7127" t="inlineStr">
        <is>
          <t>JÄMTLANDS LÄN</t>
        </is>
      </c>
      <c r="E7127" t="inlineStr">
        <is>
          <t>BRÄCKE</t>
        </is>
      </c>
      <c r="F7127" t="inlineStr">
        <is>
          <t>SCA</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57740-2022</t>
        </is>
      </c>
      <c r="B7128" s="1" t="n">
        <v>44890</v>
      </c>
      <c r="C7128" s="1" t="n">
        <v>45363</v>
      </c>
      <c r="D7128" t="inlineStr">
        <is>
          <t>JÄMTLANDS LÄN</t>
        </is>
      </c>
      <c r="E7128" t="inlineStr">
        <is>
          <t>STRÖMSUND</t>
        </is>
      </c>
      <c r="F7128" t="inlineStr">
        <is>
          <t>Kyrkan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57762-2022</t>
        </is>
      </c>
      <c r="B7129" s="1" t="n">
        <v>44890</v>
      </c>
      <c r="C7129" s="1" t="n">
        <v>45363</v>
      </c>
      <c r="D7129" t="inlineStr">
        <is>
          <t>JÄMTLANDS LÄN</t>
        </is>
      </c>
      <c r="E7129" t="inlineStr">
        <is>
          <t>STRÖMSUND</t>
        </is>
      </c>
      <c r="F7129" t="inlineStr">
        <is>
          <t>Kyrkan</t>
        </is>
      </c>
      <c r="G7129" t="n">
        <v>7.1</v>
      </c>
      <c r="H7129" t="n">
        <v>0</v>
      </c>
      <c r="I7129" t="n">
        <v>0</v>
      </c>
      <c r="J7129" t="n">
        <v>0</v>
      </c>
      <c r="K7129" t="n">
        <v>0</v>
      </c>
      <c r="L7129" t="n">
        <v>0</v>
      </c>
      <c r="M7129" t="n">
        <v>0</v>
      </c>
      <c r="N7129" t="n">
        <v>0</v>
      </c>
      <c r="O7129" t="n">
        <v>0</v>
      </c>
      <c r="P7129" t="n">
        <v>0</v>
      </c>
      <c r="Q7129" t="n">
        <v>0</v>
      </c>
      <c r="R7129" s="2" t="inlineStr"/>
    </row>
    <row r="7130" ht="15" customHeight="1">
      <c r="A7130" t="inlineStr">
        <is>
          <t>A 56413-2022</t>
        </is>
      </c>
      <c r="B7130" s="1" t="n">
        <v>44890</v>
      </c>
      <c r="C7130" s="1" t="n">
        <v>45363</v>
      </c>
      <c r="D7130" t="inlineStr">
        <is>
          <t>JÄMTLANDS LÄN</t>
        </is>
      </c>
      <c r="E7130" t="inlineStr">
        <is>
          <t>STRÖMSUND</t>
        </is>
      </c>
      <c r="F7130" t="inlineStr">
        <is>
          <t>SCA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57754-2022</t>
        </is>
      </c>
      <c r="B7131" s="1" t="n">
        <v>44890</v>
      </c>
      <c r="C7131" s="1" t="n">
        <v>45363</v>
      </c>
      <c r="D7131" t="inlineStr">
        <is>
          <t>JÄMTLANDS LÄN</t>
        </is>
      </c>
      <c r="E7131" t="inlineStr">
        <is>
          <t>STRÖMSUND</t>
        </is>
      </c>
      <c r="F7131" t="inlineStr">
        <is>
          <t>Kyrkan</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56659-2022</t>
        </is>
      </c>
      <c r="B7132" s="1" t="n">
        <v>44893</v>
      </c>
      <c r="C7132" s="1" t="n">
        <v>45363</v>
      </c>
      <c r="D7132" t="inlineStr">
        <is>
          <t>JÄMTLANDS LÄN</t>
        </is>
      </c>
      <c r="E7132" t="inlineStr">
        <is>
          <t>ÅRE</t>
        </is>
      </c>
      <c r="F7132" t="inlineStr">
        <is>
          <t>Övriga Aktiebolag</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56508-2022</t>
        </is>
      </c>
      <c r="B7133" s="1" t="n">
        <v>44893</v>
      </c>
      <c r="C7133" s="1" t="n">
        <v>45363</v>
      </c>
      <c r="D7133" t="inlineStr">
        <is>
          <t>JÄMTLANDS LÄN</t>
        </is>
      </c>
      <c r="E7133" t="inlineStr">
        <is>
          <t>ÅRE</t>
        </is>
      </c>
      <c r="F7133" t="inlineStr">
        <is>
          <t>Övriga Aktiebolag</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56576-2022</t>
        </is>
      </c>
      <c r="B7134" s="1" t="n">
        <v>44893</v>
      </c>
      <c r="C7134" s="1" t="n">
        <v>45363</v>
      </c>
      <c r="D7134" t="inlineStr">
        <is>
          <t>JÄMTLANDS LÄN</t>
        </is>
      </c>
      <c r="E7134" t="inlineStr">
        <is>
          <t>ÅRE</t>
        </is>
      </c>
      <c r="F7134" t="inlineStr">
        <is>
          <t>Övriga Aktiebolag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56630-2022</t>
        </is>
      </c>
      <c r="B7135" s="1" t="n">
        <v>44893</v>
      </c>
      <c r="C7135" s="1" t="n">
        <v>45363</v>
      </c>
      <c r="D7135" t="inlineStr">
        <is>
          <t>JÄMTLANDS LÄN</t>
        </is>
      </c>
      <c r="E7135" t="inlineStr">
        <is>
          <t>RAGUNDA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56641-2022</t>
        </is>
      </c>
      <c r="B7136" s="1" t="n">
        <v>44893</v>
      </c>
      <c r="C7136" s="1" t="n">
        <v>45363</v>
      </c>
      <c r="D7136" t="inlineStr">
        <is>
          <t>JÄMTLANDS LÄN</t>
        </is>
      </c>
      <c r="E7136" t="inlineStr">
        <is>
          <t>BRÄCKE</t>
        </is>
      </c>
      <c r="G7136" t="n">
        <v>6.9</v>
      </c>
      <c r="H7136" t="n">
        <v>0</v>
      </c>
      <c r="I7136" t="n">
        <v>0</v>
      </c>
      <c r="J7136" t="n">
        <v>0</v>
      </c>
      <c r="K7136" t="n">
        <v>0</v>
      </c>
      <c r="L7136" t="n">
        <v>0</v>
      </c>
      <c r="M7136" t="n">
        <v>0</v>
      </c>
      <c r="N7136" t="n">
        <v>0</v>
      </c>
      <c r="O7136" t="n">
        <v>0</v>
      </c>
      <c r="P7136" t="n">
        <v>0</v>
      </c>
      <c r="Q7136" t="n">
        <v>0</v>
      </c>
      <c r="R7136" s="2" t="inlineStr"/>
    </row>
    <row r="7137" ht="15" customHeight="1">
      <c r="A7137" t="inlineStr">
        <is>
          <t>A 56533-2022</t>
        </is>
      </c>
      <c r="B7137" s="1" t="n">
        <v>44893</v>
      </c>
      <c r="C7137" s="1" t="n">
        <v>45363</v>
      </c>
      <c r="D7137" t="inlineStr">
        <is>
          <t>JÄMTLANDS LÄN</t>
        </is>
      </c>
      <c r="E7137" t="inlineStr">
        <is>
          <t>HÄRJEDALEN</t>
        </is>
      </c>
      <c r="F7137" t="inlineStr">
        <is>
          <t>Bergvik skog väst AB</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56556-2022</t>
        </is>
      </c>
      <c r="B7138" s="1" t="n">
        <v>44893</v>
      </c>
      <c r="C7138" s="1" t="n">
        <v>45363</v>
      </c>
      <c r="D7138" t="inlineStr">
        <is>
          <t>JÄMTLANDS LÄN</t>
        </is>
      </c>
      <c r="E7138" t="inlineStr">
        <is>
          <t>ÅRE</t>
        </is>
      </c>
      <c r="F7138" t="inlineStr">
        <is>
          <t>Övriga Aktiebolag</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56650-2022</t>
        </is>
      </c>
      <c r="B7139" s="1" t="n">
        <v>44893</v>
      </c>
      <c r="C7139" s="1" t="n">
        <v>45363</v>
      </c>
      <c r="D7139" t="inlineStr">
        <is>
          <t>JÄMTLANDS LÄN</t>
        </is>
      </c>
      <c r="E7139" t="inlineStr">
        <is>
          <t>ÅRE</t>
        </is>
      </c>
      <c r="F7139" t="inlineStr">
        <is>
          <t>Övriga Aktiebolag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58031-2022</t>
        </is>
      </c>
      <c r="B7140" s="1" t="n">
        <v>44893</v>
      </c>
      <c r="C7140" s="1" t="n">
        <v>45363</v>
      </c>
      <c r="D7140" t="inlineStr">
        <is>
          <t>JÄMTLANDS LÄN</t>
        </is>
      </c>
      <c r="E7140" t="inlineStr">
        <is>
          <t>STRÖMSUND</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56581-2022</t>
        </is>
      </c>
      <c r="B7141" s="1" t="n">
        <v>44893</v>
      </c>
      <c r="C7141" s="1" t="n">
        <v>45363</v>
      </c>
      <c r="D7141" t="inlineStr">
        <is>
          <t>JÄMTLANDS LÄN</t>
        </is>
      </c>
      <c r="E7141" t="inlineStr">
        <is>
          <t>ÅRE</t>
        </is>
      </c>
      <c r="F7141" t="inlineStr">
        <is>
          <t>Övriga Aktiebolag</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56656-2022</t>
        </is>
      </c>
      <c r="B7142" s="1" t="n">
        <v>44893</v>
      </c>
      <c r="C7142" s="1" t="n">
        <v>45363</v>
      </c>
      <c r="D7142" t="inlineStr">
        <is>
          <t>JÄMTLANDS LÄN</t>
        </is>
      </c>
      <c r="E7142" t="inlineStr">
        <is>
          <t>BRÄCKE</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56673-2022</t>
        </is>
      </c>
      <c r="B7143" s="1" t="n">
        <v>44893</v>
      </c>
      <c r="C7143" s="1" t="n">
        <v>45363</v>
      </c>
      <c r="D7143" t="inlineStr">
        <is>
          <t>JÄMTLANDS LÄN</t>
        </is>
      </c>
      <c r="E7143" t="inlineStr">
        <is>
          <t>ÅRE</t>
        </is>
      </c>
      <c r="F7143" t="inlineStr">
        <is>
          <t>Övriga Aktiebolag</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56732-2022</t>
        </is>
      </c>
      <c r="B7144" s="1" t="n">
        <v>44893</v>
      </c>
      <c r="C7144" s="1" t="n">
        <v>45363</v>
      </c>
      <c r="D7144" t="inlineStr">
        <is>
          <t>JÄMTLANDS LÄN</t>
        </is>
      </c>
      <c r="E7144" t="inlineStr">
        <is>
          <t>BRÄCKE</t>
        </is>
      </c>
      <c r="F7144" t="inlineStr">
        <is>
          <t>SCA</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58337-2022</t>
        </is>
      </c>
      <c r="B7145" s="1" t="n">
        <v>44893</v>
      </c>
      <c r="C7145" s="1" t="n">
        <v>45363</v>
      </c>
      <c r="D7145" t="inlineStr">
        <is>
          <t>JÄMTLANDS LÄN</t>
        </is>
      </c>
      <c r="E7145" t="inlineStr">
        <is>
          <t>ÅRE</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56739-2022</t>
        </is>
      </c>
      <c r="B7146" s="1" t="n">
        <v>44893</v>
      </c>
      <c r="C7146" s="1" t="n">
        <v>45363</v>
      </c>
      <c r="D7146" t="inlineStr">
        <is>
          <t>JÄMTLANDS LÄN</t>
        </is>
      </c>
      <c r="E7146" t="inlineStr">
        <is>
          <t>BRÄCKE</t>
        </is>
      </c>
      <c r="F7146" t="inlineStr">
        <is>
          <t>SCA</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58037-2022</t>
        </is>
      </c>
      <c r="B7147" s="1" t="n">
        <v>44893</v>
      </c>
      <c r="C7147" s="1" t="n">
        <v>45363</v>
      </c>
      <c r="D7147" t="inlineStr">
        <is>
          <t>JÄMTLANDS LÄN</t>
        </is>
      </c>
      <c r="E7147" t="inlineStr">
        <is>
          <t>STRÖMSUND</t>
        </is>
      </c>
      <c r="G7147" t="n">
        <v>7.5</v>
      </c>
      <c r="H7147" t="n">
        <v>0</v>
      </c>
      <c r="I7147" t="n">
        <v>0</v>
      </c>
      <c r="J7147" t="n">
        <v>0</v>
      </c>
      <c r="K7147" t="n">
        <v>0</v>
      </c>
      <c r="L7147" t="n">
        <v>0</v>
      </c>
      <c r="M7147" t="n">
        <v>0</v>
      </c>
      <c r="N7147" t="n">
        <v>0</v>
      </c>
      <c r="O7147" t="n">
        <v>0</v>
      </c>
      <c r="P7147" t="n">
        <v>0</v>
      </c>
      <c r="Q7147" t="n">
        <v>0</v>
      </c>
      <c r="R7147" s="2" t="inlineStr"/>
    </row>
    <row r="7148" ht="15" customHeight="1">
      <c r="A7148" t="inlineStr">
        <is>
          <t>A 58052-2022</t>
        </is>
      </c>
      <c r="B7148" s="1" t="n">
        <v>44893</v>
      </c>
      <c r="C7148" s="1" t="n">
        <v>45363</v>
      </c>
      <c r="D7148" t="inlineStr">
        <is>
          <t>JÄMTLANDS LÄN</t>
        </is>
      </c>
      <c r="E7148" t="inlineStr">
        <is>
          <t>KROKOM</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58025-2022</t>
        </is>
      </c>
      <c r="B7149" s="1" t="n">
        <v>44893</v>
      </c>
      <c r="C7149" s="1" t="n">
        <v>45363</v>
      </c>
      <c r="D7149" t="inlineStr">
        <is>
          <t>JÄMTLANDS LÄN</t>
        </is>
      </c>
      <c r="E7149" t="inlineStr">
        <is>
          <t>STRÖMSUND</t>
        </is>
      </c>
      <c r="G7149" t="n">
        <v>8.5</v>
      </c>
      <c r="H7149" t="n">
        <v>0</v>
      </c>
      <c r="I7149" t="n">
        <v>0</v>
      </c>
      <c r="J7149" t="n">
        <v>0</v>
      </c>
      <c r="K7149" t="n">
        <v>0</v>
      </c>
      <c r="L7149" t="n">
        <v>0</v>
      </c>
      <c r="M7149" t="n">
        <v>0</v>
      </c>
      <c r="N7149" t="n">
        <v>0</v>
      </c>
      <c r="O7149" t="n">
        <v>0</v>
      </c>
      <c r="P7149" t="n">
        <v>0</v>
      </c>
      <c r="Q7149" t="n">
        <v>0</v>
      </c>
      <c r="R7149" s="2" t="inlineStr"/>
    </row>
    <row r="7150" ht="15" customHeight="1">
      <c r="A7150" t="inlineStr">
        <is>
          <t>A 56811-2022</t>
        </is>
      </c>
      <c r="B7150" s="1" t="n">
        <v>44894</v>
      </c>
      <c r="C7150" s="1" t="n">
        <v>45363</v>
      </c>
      <c r="D7150" t="inlineStr">
        <is>
          <t>JÄMTLANDS LÄN</t>
        </is>
      </c>
      <c r="E7150" t="inlineStr">
        <is>
          <t>ÅRE</t>
        </is>
      </c>
      <c r="F7150" t="inlineStr">
        <is>
          <t>Övriga Aktiebolag</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56910-2022</t>
        </is>
      </c>
      <c r="B7151" s="1" t="n">
        <v>44894</v>
      </c>
      <c r="C7151" s="1" t="n">
        <v>45363</v>
      </c>
      <c r="D7151" t="inlineStr">
        <is>
          <t>JÄMTLANDS LÄN</t>
        </is>
      </c>
      <c r="E7151" t="inlineStr">
        <is>
          <t>ÅRE</t>
        </is>
      </c>
      <c r="F7151" t="inlineStr">
        <is>
          <t>Övriga Aktiebolag</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56984-2022</t>
        </is>
      </c>
      <c r="B7152" s="1" t="n">
        <v>44894</v>
      </c>
      <c r="C7152" s="1" t="n">
        <v>45363</v>
      </c>
      <c r="D7152" t="inlineStr">
        <is>
          <t>JÄMTLANDS LÄN</t>
        </is>
      </c>
      <c r="E7152" t="inlineStr">
        <is>
          <t>RAGUNDA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57005-2022</t>
        </is>
      </c>
      <c r="B7153" s="1" t="n">
        <v>44894</v>
      </c>
      <c r="C7153" s="1" t="n">
        <v>45363</v>
      </c>
      <c r="D7153" t="inlineStr">
        <is>
          <t>JÄMTLANDS LÄN</t>
        </is>
      </c>
      <c r="E7153" t="inlineStr">
        <is>
          <t>STRÖMSUND</t>
        </is>
      </c>
      <c r="F7153" t="inlineStr">
        <is>
          <t>SCA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57011-2022</t>
        </is>
      </c>
      <c r="B7154" s="1" t="n">
        <v>44894</v>
      </c>
      <c r="C7154" s="1" t="n">
        <v>45363</v>
      </c>
      <c r="D7154" t="inlineStr">
        <is>
          <t>JÄMTLANDS LÄN</t>
        </is>
      </c>
      <c r="E7154" t="inlineStr">
        <is>
          <t>BRÄCKE</t>
        </is>
      </c>
      <c r="F7154" t="inlineStr">
        <is>
          <t>SCA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56828-2022</t>
        </is>
      </c>
      <c r="B7155" s="1" t="n">
        <v>44894</v>
      </c>
      <c r="C7155" s="1" t="n">
        <v>45363</v>
      </c>
      <c r="D7155" t="inlineStr">
        <is>
          <t>JÄMTLANDS LÄN</t>
        </is>
      </c>
      <c r="E7155" t="inlineStr">
        <is>
          <t>ÅRE</t>
        </is>
      </c>
      <c r="F7155" t="inlineStr">
        <is>
          <t>Övriga Aktiebolag</t>
        </is>
      </c>
      <c r="G7155" t="n">
        <v>9.9</v>
      </c>
      <c r="H7155" t="n">
        <v>0</v>
      </c>
      <c r="I7155" t="n">
        <v>0</v>
      </c>
      <c r="J7155" t="n">
        <v>0</v>
      </c>
      <c r="K7155" t="n">
        <v>0</v>
      </c>
      <c r="L7155" t="n">
        <v>0</v>
      </c>
      <c r="M7155" t="n">
        <v>0</v>
      </c>
      <c r="N7155" t="n">
        <v>0</v>
      </c>
      <c r="O7155" t="n">
        <v>0</v>
      </c>
      <c r="P7155" t="n">
        <v>0</v>
      </c>
      <c r="Q7155" t="n">
        <v>0</v>
      </c>
      <c r="R7155" s="2" t="inlineStr"/>
    </row>
    <row r="7156" ht="15" customHeight="1">
      <c r="A7156" t="inlineStr">
        <is>
          <t>A 56842-2022</t>
        </is>
      </c>
      <c r="B7156" s="1" t="n">
        <v>44894</v>
      </c>
      <c r="C7156" s="1" t="n">
        <v>45363</v>
      </c>
      <c r="D7156" t="inlineStr">
        <is>
          <t>JÄMTLANDS LÄN</t>
        </is>
      </c>
      <c r="E7156" t="inlineStr">
        <is>
          <t>ÅRE</t>
        </is>
      </c>
      <c r="F7156" t="inlineStr">
        <is>
          <t>Övriga Aktiebolag</t>
        </is>
      </c>
      <c r="G7156" t="n">
        <v>7.9</v>
      </c>
      <c r="H7156" t="n">
        <v>0</v>
      </c>
      <c r="I7156" t="n">
        <v>0</v>
      </c>
      <c r="J7156" t="n">
        <v>0</v>
      </c>
      <c r="K7156" t="n">
        <v>0</v>
      </c>
      <c r="L7156" t="n">
        <v>0</v>
      </c>
      <c r="M7156" t="n">
        <v>0</v>
      </c>
      <c r="N7156" t="n">
        <v>0</v>
      </c>
      <c r="O7156" t="n">
        <v>0</v>
      </c>
      <c r="P7156" t="n">
        <v>0</v>
      </c>
      <c r="Q7156" t="n">
        <v>0</v>
      </c>
      <c r="R7156" s="2" t="inlineStr"/>
    </row>
    <row r="7157" ht="15" customHeight="1">
      <c r="A7157" t="inlineStr">
        <is>
          <t>A 56835-2022</t>
        </is>
      </c>
      <c r="B7157" s="1" t="n">
        <v>44894</v>
      </c>
      <c r="C7157" s="1" t="n">
        <v>45363</v>
      </c>
      <c r="D7157" t="inlineStr">
        <is>
          <t>JÄMTLANDS LÄN</t>
        </is>
      </c>
      <c r="E7157" t="inlineStr">
        <is>
          <t>ÅRE</t>
        </is>
      </c>
      <c r="F7157" t="inlineStr">
        <is>
          <t>Övriga Aktiebolag</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56999-2022</t>
        </is>
      </c>
      <c r="B7158" s="1" t="n">
        <v>44894</v>
      </c>
      <c r="C7158" s="1" t="n">
        <v>45363</v>
      </c>
      <c r="D7158" t="inlineStr">
        <is>
          <t>JÄMTLANDS LÄN</t>
        </is>
      </c>
      <c r="E7158" t="inlineStr">
        <is>
          <t>STRÖMSUND</t>
        </is>
      </c>
      <c r="F7158" t="inlineStr">
        <is>
          <t>SCA</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57009-2022</t>
        </is>
      </c>
      <c r="B7159" s="1" t="n">
        <v>44894</v>
      </c>
      <c r="C7159" s="1" t="n">
        <v>45363</v>
      </c>
      <c r="D7159" t="inlineStr">
        <is>
          <t>JÄMTLANDS LÄN</t>
        </is>
      </c>
      <c r="E7159" t="inlineStr">
        <is>
          <t>ÖSTERSUND</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57012-2022</t>
        </is>
      </c>
      <c r="B7160" s="1" t="n">
        <v>44894</v>
      </c>
      <c r="C7160" s="1" t="n">
        <v>45363</v>
      </c>
      <c r="D7160" t="inlineStr">
        <is>
          <t>JÄMTLANDS LÄN</t>
        </is>
      </c>
      <c r="E7160" t="inlineStr">
        <is>
          <t>STRÖMSUND</t>
        </is>
      </c>
      <c r="F7160" t="inlineStr">
        <is>
          <t>SCA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57017-2022</t>
        </is>
      </c>
      <c r="B7161" s="1" t="n">
        <v>44895</v>
      </c>
      <c r="C7161" s="1" t="n">
        <v>45363</v>
      </c>
      <c r="D7161" t="inlineStr">
        <is>
          <t>JÄMTLANDS LÄN</t>
        </is>
      </c>
      <c r="E7161" t="inlineStr">
        <is>
          <t>STRÖMSUND</t>
        </is>
      </c>
      <c r="F7161" t="inlineStr">
        <is>
          <t>SCA</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57021-2022</t>
        </is>
      </c>
      <c r="B7162" s="1" t="n">
        <v>44895</v>
      </c>
      <c r="C7162" s="1" t="n">
        <v>45363</v>
      </c>
      <c r="D7162" t="inlineStr">
        <is>
          <t>JÄMTLANDS LÄN</t>
        </is>
      </c>
      <c r="E7162" t="inlineStr">
        <is>
          <t>STRÖMSUND</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57018-2022</t>
        </is>
      </c>
      <c r="B7163" s="1" t="n">
        <v>44895</v>
      </c>
      <c r="C7163" s="1" t="n">
        <v>45363</v>
      </c>
      <c r="D7163" t="inlineStr">
        <is>
          <t>JÄMTLANDS LÄN</t>
        </is>
      </c>
      <c r="E7163" t="inlineStr">
        <is>
          <t>STRÖMSUND</t>
        </is>
      </c>
      <c r="F7163" t="inlineStr">
        <is>
          <t>SCA</t>
        </is>
      </c>
      <c r="G7163" t="n">
        <v>10.6</v>
      </c>
      <c r="H7163" t="n">
        <v>0</v>
      </c>
      <c r="I7163" t="n">
        <v>0</v>
      </c>
      <c r="J7163" t="n">
        <v>0</v>
      </c>
      <c r="K7163" t="n">
        <v>0</v>
      </c>
      <c r="L7163" t="n">
        <v>0</v>
      </c>
      <c r="M7163" t="n">
        <v>0</v>
      </c>
      <c r="N7163" t="n">
        <v>0</v>
      </c>
      <c r="O7163" t="n">
        <v>0</v>
      </c>
      <c r="P7163" t="n">
        <v>0</v>
      </c>
      <c r="Q7163" t="n">
        <v>0</v>
      </c>
      <c r="R7163" s="2" t="inlineStr"/>
    </row>
    <row r="7164" ht="15" customHeight="1">
      <c r="A7164" t="inlineStr">
        <is>
          <t>A 57022-2022</t>
        </is>
      </c>
      <c r="B7164" s="1" t="n">
        <v>44895</v>
      </c>
      <c r="C7164" s="1" t="n">
        <v>45363</v>
      </c>
      <c r="D7164" t="inlineStr">
        <is>
          <t>JÄMTLANDS LÄN</t>
        </is>
      </c>
      <c r="E7164" t="inlineStr">
        <is>
          <t>STRÖMSUND</t>
        </is>
      </c>
      <c r="F7164" t="inlineStr">
        <is>
          <t>SCA</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56822-2022</t>
        </is>
      </c>
      <c r="B7165" s="1" t="n">
        <v>44894</v>
      </c>
      <c r="C7165" s="1" t="n">
        <v>45363</v>
      </c>
      <c r="D7165" t="inlineStr">
        <is>
          <t>JÄMTLANDS LÄN</t>
        </is>
      </c>
      <c r="E7165" t="inlineStr">
        <is>
          <t>BRÄCKE</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56837-2022</t>
        </is>
      </c>
      <c r="B7166" s="1" t="n">
        <v>44894</v>
      </c>
      <c r="C7166" s="1" t="n">
        <v>45363</v>
      </c>
      <c r="D7166" t="inlineStr">
        <is>
          <t>JÄMTLANDS LÄN</t>
        </is>
      </c>
      <c r="E7166" t="inlineStr">
        <is>
          <t>ÅRE</t>
        </is>
      </c>
      <c r="F7166" t="inlineStr">
        <is>
          <t>Övriga Aktiebolag</t>
        </is>
      </c>
      <c r="G7166" t="n">
        <v>8.699999999999999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56931-2022</t>
        </is>
      </c>
      <c r="B7167" s="1" t="n">
        <v>44894</v>
      </c>
      <c r="C7167" s="1" t="n">
        <v>45363</v>
      </c>
      <c r="D7167" t="inlineStr">
        <is>
          <t>JÄMTLANDS LÄN</t>
        </is>
      </c>
      <c r="E7167" t="inlineStr">
        <is>
          <t>STRÖMSUND</t>
        </is>
      </c>
      <c r="F7167" t="inlineStr">
        <is>
          <t>Holmen skog AB</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56992-2022</t>
        </is>
      </c>
      <c r="B7168" s="1" t="n">
        <v>44894</v>
      </c>
      <c r="C7168" s="1" t="n">
        <v>45363</v>
      </c>
      <c r="D7168" t="inlineStr">
        <is>
          <t>JÄMTLANDS LÄN</t>
        </is>
      </c>
      <c r="E7168" t="inlineStr">
        <is>
          <t>HÄRJEDALEN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57002-2022</t>
        </is>
      </c>
      <c r="B7169" s="1" t="n">
        <v>44894</v>
      </c>
      <c r="C7169" s="1" t="n">
        <v>45363</v>
      </c>
      <c r="D7169" t="inlineStr">
        <is>
          <t>JÄMTLANDS LÄN</t>
        </is>
      </c>
      <c r="E7169" t="inlineStr">
        <is>
          <t>STRÖMSUND</t>
        </is>
      </c>
      <c r="F7169" t="inlineStr">
        <is>
          <t>SCA</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57010-2022</t>
        </is>
      </c>
      <c r="B7170" s="1" t="n">
        <v>44894</v>
      </c>
      <c r="C7170" s="1" t="n">
        <v>45363</v>
      </c>
      <c r="D7170" t="inlineStr">
        <is>
          <t>JÄMTLANDS LÄN</t>
        </is>
      </c>
      <c r="E7170" t="inlineStr">
        <is>
          <t>BRÄCKE</t>
        </is>
      </c>
      <c r="F7170" t="inlineStr">
        <is>
          <t>SCA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57014-2022</t>
        </is>
      </c>
      <c r="B7171" s="1" t="n">
        <v>44894</v>
      </c>
      <c r="C7171" s="1" t="n">
        <v>45363</v>
      </c>
      <c r="D7171" t="inlineStr">
        <is>
          <t>JÄMTLANDS LÄN</t>
        </is>
      </c>
      <c r="E7171" t="inlineStr">
        <is>
          <t>STRÖMSUND</t>
        </is>
      </c>
      <c r="F7171" t="inlineStr">
        <is>
          <t>SCA</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58537-2022</t>
        </is>
      </c>
      <c r="B7172" s="1" t="n">
        <v>44894</v>
      </c>
      <c r="C7172" s="1" t="n">
        <v>45363</v>
      </c>
      <c r="D7172" t="inlineStr">
        <is>
          <t>JÄMTLANDS LÄN</t>
        </is>
      </c>
      <c r="E7172" t="inlineStr">
        <is>
          <t>RAGUNDA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58547-2022</t>
        </is>
      </c>
      <c r="B7173" s="1" t="n">
        <v>44894</v>
      </c>
      <c r="C7173" s="1" t="n">
        <v>45363</v>
      </c>
      <c r="D7173" t="inlineStr">
        <is>
          <t>JÄMTLANDS LÄN</t>
        </is>
      </c>
      <c r="E7173" t="inlineStr">
        <is>
          <t>BRÄCKE</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57016-2022</t>
        </is>
      </c>
      <c r="B7174" s="1" t="n">
        <v>44894</v>
      </c>
      <c r="C7174" s="1" t="n">
        <v>45363</v>
      </c>
      <c r="D7174" t="inlineStr">
        <is>
          <t>JÄMTLANDS LÄN</t>
        </is>
      </c>
      <c r="E7174" t="inlineStr">
        <is>
          <t>STRÖMSUND</t>
        </is>
      </c>
      <c r="F7174" t="inlineStr">
        <is>
          <t>SCA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57272-2022</t>
        </is>
      </c>
      <c r="B7175" s="1" t="n">
        <v>44895</v>
      </c>
      <c r="C7175" s="1" t="n">
        <v>45363</v>
      </c>
      <c r="D7175" t="inlineStr">
        <is>
          <t>JÄMTLANDS LÄN</t>
        </is>
      </c>
      <c r="E7175" t="inlineStr">
        <is>
          <t>STRÖMSUND</t>
        </is>
      </c>
      <c r="F7175" t="inlineStr">
        <is>
          <t>SCA</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57278-2022</t>
        </is>
      </c>
      <c r="B7176" s="1" t="n">
        <v>44895</v>
      </c>
      <c r="C7176" s="1" t="n">
        <v>45363</v>
      </c>
      <c r="D7176" t="inlineStr">
        <is>
          <t>JÄMTLANDS LÄN</t>
        </is>
      </c>
      <c r="E7176" t="inlineStr">
        <is>
          <t>STRÖMSUND</t>
        </is>
      </c>
      <c r="F7176" t="inlineStr">
        <is>
          <t>SCA</t>
        </is>
      </c>
      <c r="G7176" t="n">
        <v>9.9</v>
      </c>
      <c r="H7176" t="n">
        <v>0</v>
      </c>
      <c r="I7176" t="n">
        <v>0</v>
      </c>
      <c r="J7176" t="n">
        <v>0</v>
      </c>
      <c r="K7176" t="n">
        <v>0</v>
      </c>
      <c r="L7176" t="n">
        <v>0</v>
      </c>
      <c r="M7176" t="n">
        <v>0</v>
      </c>
      <c r="N7176" t="n">
        <v>0</v>
      </c>
      <c r="O7176" t="n">
        <v>0</v>
      </c>
      <c r="P7176" t="n">
        <v>0</v>
      </c>
      <c r="Q7176" t="n">
        <v>0</v>
      </c>
      <c r="R7176" s="2" t="inlineStr"/>
    </row>
    <row r="7177" ht="15" customHeight="1">
      <c r="A7177" t="inlineStr">
        <is>
          <t>A 57298-2022</t>
        </is>
      </c>
      <c r="B7177" s="1" t="n">
        <v>44895</v>
      </c>
      <c r="C7177" s="1" t="n">
        <v>45363</v>
      </c>
      <c r="D7177" t="inlineStr">
        <is>
          <t>JÄMTLANDS LÄN</t>
        </is>
      </c>
      <c r="E7177" t="inlineStr">
        <is>
          <t>RAGUNDA</t>
        </is>
      </c>
      <c r="F7177" t="inlineStr">
        <is>
          <t>SCA</t>
        </is>
      </c>
      <c r="G7177" t="n">
        <v>27.4</v>
      </c>
      <c r="H7177" t="n">
        <v>0</v>
      </c>
      <c r="I7177" t="n">
        <v>0</v>
      </c>
      <c r="J7177" t="n">
        <v>0</v>
      </c>
      <c r="K7177" t="n">
        <v>0</v>
      </c>
      <c r="L7177" t="n">
        <v>0</v>
      </c>
      <c r="M7177" t="n">
        <v>0</v>
      </c>
      <c r="N7177" t="n">
        <v>0</v>
      </c>
      <c r="O7177" t="n">
        <v>0</v>
      </c>
      <c r="P7177" t="n">
        <v>0</v>
      </c>
      <c r="Q7177" t="n">
        <v>0</v>
      </c>
      <c r="R7177" s="2" t="inlineStr"/>
    </row>
    <row r="7178" ht="15" customHeight="1">
      <c r="A7178" t="inlineStr">
        <is>
          <t>A 57274-2022</t>
        </is>
      </c>
      <c r="B7178" s="1" t="n">
        <v>44895</v>
      </c>
      <c r="C7178" s="1" t="n">
        <v>45363</v>
      </c>
      <c r="D7178" t="inlineStr">
        <is>
          <t>JÄMTLANDS LÄN</t>
        </is>
      </c>
      <c r="E7178" t="inlineStr">
        <is>
          <t>STRÖMSUND</t>
        </is>
      </c>
      <c r="F7178" t="inlineStr">
        <is>
          <t>SCA</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57280-2022</t>
        </is>
      </c>
      <c r="B7179" s="1" t="n">
        <v>44895</v>
      </c>
      <c r="C7179" s="1" t="n">
        <v>45363</v>
      </c>
      <c r="D7179" t="inlineStr">
        <is>
          <t>JÄMTLANDS LÄN</t>
        </is>
      </c>
      <c r="E7179" t="inlineStr">
        <is>
          <t>STRÖMSUND</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57183-2022</t>
        </is>
      </c>
      <c r="B7180" s="1" t="n">
        <v>44895</v>
      </c>
      <c r="C7180" s="1" t="n">
        <v>45363</v>
      </c>
      <c r="D7180" t="inlineStr">
        <is>
          <t>JÄMTLANDS LÄN</t>
        </is>
      </c>
      <c r="E7180" t="inlineStr">
        <is>
          <t>BERG</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57226-2022</t>
        </is>
      </c>
      <c r="B7181" s="1" t="n">
        <v>44895</v>
      </c>
      <c r="C7181" s="1" t="n">
        <v>45363</v>
      </c>
      <c r="D7181" t="inlineStr">
        <is>
          <t>JÄMTLANDS LÄN</t>
        </is>
      </c>
      <c r="E7181" t="inlineStr">
        <is>
          <t>BERG</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57277-2022</t>
        </is>
      </c>
      <c r="B7182" s="1" t="n">
        <v>44895</v>
      </c>
      <c r="C7182" s="1" t="n">
        <v>45363</v>
      </c>
      <c r="D7182" t="inlineStr">
        <is>
          <t>JÄMTLANDS LÄN</t>
        </is>
      </c>
      <c r="E7182" t="inlineStr">
        <is>
          <t>STRÖMSUND</t>
        </is>
      </c>
      <c r="F7182" t="inlineStr">
        <is>
          <t>SCA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57297-2022</t>
        </is>
      </c>
      <c r="B7183" s="1" t="n">
        <v>44895</v>
      </c>
      <c r="C7183" s="1" t="n">
        <v>45363</v>
      </c>
      <c r="D7183" t="inlineStr">
        <is>
          <t>JÄMTLANDS LÄN</t>
        </is>
      </c>
      <c r="E7183" t="inlineStr">
        <is>
          <t>STRÖMSUND</t>
        </is>
      </c>
      <c r="F7183" t="inlineStr">
        <is>
          <t>SCA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58771-2022</t>
        </is>
      </c>
      <c r="B7184" s="1" t="n">
        <v>44895</v>
      </c>
      <c r="C7184" s="1" t="n">
        <v>45363</v>
      </c>
      <c r="D7184" t="inlineStr">
        <is>
          <t>JÄMTLANDS LÄN</t>
        </is>
      </c>
      <c r="E7184" t="inlineStr">
        <is>
          <t>KROKOM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57394-2022</t>
        </is>
      </c>
      <c r="B7185" s="1" t="n">
        <v>44896</v>
      </c>
      <c r="C7185" s="1" t="n">
        <v>45363</v>
      </c>
      <c r="D7185" t="inlineStr">
        <is>
          <t>JÄMTLANDS LÄN</t>
        </is>
      </c>
      <c r="E7185" t="inlineStr">
        <is>
          <t>ÅRE</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57480-2022</t>
        </is>
      </c>
      <c r="B7186" s="1" t="n">
        <v>44896</v>
      </c>
      <c r="C7186" s="1" t="n">
        <v>45363</v>
      </c>
      <c r="D7186" t="inlineStr">
        <is>
          <t>JÄMTLANDS LÄN</t>
        </is>
      </c>
      <c r="E7186" t="inlineStr">
        <is>
          <t>KROKOM</t>
        </is>
      </c>
      <c r="G7186" t="n">
        <v>12.3</v>
      </c>
      <c r="H7186" t="n">
        <v>0</v>
      </c>
      <c r="I7186" t="n">
        <v>0</v>
      </c>
      <c r="J7186" t="n">
        <v>0</v>
      </c>
      <c r="K7186" t="n">
        <v>0</v>
      </c>
      <c r="L7186" t="n">
        <v>0</v>
      </c>
      <c r="M7186" t="n">
        <v>0</v>
      </c>
      <c r="N7186" t="n">
        <v>0</v>
      </c>
      <c r="O7186" t="n">
        <v>0</v>
      </c>
      <c r="P7186" t="n">
        <v>0</v>
      </c>
      <c r="Q7186" t="n">
        <v>0</v>
      </c>
      <c r="R7186" s="2" t="inlineStr"/>
    </row>
    <row r="7187" ht="15" customHeight="1">
      <c r="A7187" t="inlineStr">
        <is>
          <t>A 58889-2022</t>
        </is>
      </c>
      <c r="B7187" s="1" t="n">
        <v>44896</v>
      </c>
      <c r="C7187" s="1" t="n">
        <v>45363</v>
      </c>
      <c r="D7187" t="inlineStr">
        <is>
          <t>JÄMTLANDS LÄN</t>
        </is>
      </c>
      <c r="E7187" t="inlineStr">
        <is>
          <t>ÅRE</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59242-2022</t>
        </is>
      </c>
      <c r="B7188" s="1" t="n">
        <v>44896</v>
      </c>
      <c r="C7188" s="1" t="n">
        <v>45363</v>
      </c>
      <c r="D7188" t="inlineStr">
        <is>
          <t>JÄMTLANDS LÄN</t>
        </is>
      </c>
      <c r="E7188" t="inlineStr">
        <is>
          <t>RAGUNDA</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58882-2022</t>
        </is>
      </c>
      <c r="B7189" s="1" t="n">
        <v>44896</v>
      </c>
      <c r="C7189" s="1" t="n">
        <v>45363</v>
      </c>
      <c r="D7189" t="inlineStr">
        <is>
          <t>JÄMTLANDS LÄN</t>
        </is>
      </c>
      <c r="E7189" t="inlineStr">
        <is>
          <t>ÅRE</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57599-2022</t>
        </is>
      </c>
      <c r="B7190" s="1" t="n">
        <v>44897</v>
      </c>
      <c r="C7190" s="1" t="n">
        <v>45363</v>
      </c>
      <c r="D7190" t="inlineStr">
        <is>
          <t>JÄMTLANDS LÄN</t>
        </is>
      </c>
      <c r="E7190" t="inlineStr">
        <is>
          <t>RAGUNDA</t>
        </is>
      </c>
      <c r="F7190" t="inlineStr">
        <is>
          <t>SCA</t>
        </is>
      </c>
      <c r="G7190" t="n">
        <v>16.8</v>
      </c>
      <c r="H7190" t="n">
        <v>0</v>
      </c>
      <c r="I7190" t="n">
        <v>0</v>
      </c>
      <c r="J7190" t="n">
        <v>0</v>
      </c>
      <c r="K7190" t="n">
        <v>0</v>
      </c>
      <c r="L7190" t="n">
        <v>0</v>
      </c>
      <c r="M7190" t="n">
        <v>0</v>
      </c>
      <c r="N7190" t="n">
        <v>0</v>
      </c>
      <c r="O7190" t="n">
        <v>0</v>
      </c>
      <c r="P7190" t="n">
        <v>0</v>
      </c>
      <c r="Q7190" t="n">
        <v>0</v>
      </c>
      <c r="R7190" s="2" t="inlineStr"/>
    </row>
    <row r="7191" ht="15" customHeight="1">
      <c r="A7191" t="inlineStr">
        <is>
          <t>A 57626-2022</t>
        </is>
      </c>
      <c r="B7191" s="1" t="n">
        <v>44897</v>
      </c>
      <c r="C7191" s="1" t="n">
        <v>45363</v>
      </c>
      <c r="D7191" t="inlineStr">
        <is>
          <t>JÄMTLANDS LÄN</t>
        </is>
      </c>
      <c r="E7191" t="inlineStr">
        <is>
          <t>STRÖMSUND</t>
        </is>
      </c>
      <c r="F7191" t="inlineStr">
        <is>
          <t>Holmen skog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57829-2022</t>
        </is>
      </c>
      <c r="B7192" s="1" t="n">
        <v>44897</v>
      </c>
      <c r="C7192" s="1" t="n">
        <v>45363</v>
      </c>
      <c r="D7192" t="inlineStr">
        <is>
          <t>JÄMTLANDS LÄN</t>
        </is>
      </c>
      <c r="E7192" t="inlineStr">
        <is>
          <t>STRÖMSUND</t>
        </is>
      </c>
      <c r="F7192" t="inlineStr">
        <is>
          <t>SCA</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57839-2022</t>
        </is>
      </c>
      <c r="B7193" s="1" t="n">
        <v>44897</v>
      </c>
      <c r="C7193" s="1" t="n">
        <v>45363</v>
      </c>
      <c r="D7193" t="inlineStr">
        <is>
          <t>JÄMTLANDS LÄN</t>
        </is>
      </c>
      <c r="E7193" t="inlineStr">
        <is>
          <t>RAGUNDA</t>
        </is>
      </c>
      <c r="F7193" t="inlineStr">
        <is>
          <t>SCA</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57842-2022</t>
        </is>
      </c>
      <c r="B7194" s="1" t="n">
        <v>44897</v>
      </c>
      <c r="C7194" s="1" t="n">
        <v>45363</v>
      </c>
      <c r="D7194" t="inlineStr">
        <is>
          <t>JÄMTLANDS LÄN</t>
        </is>
      </c>
      <c r="E7194" t="inlineStr">
        <is>
          <t>BERG</t>
        </is>
      </c>
      <c r="G7194" t="n">
        <v>9.9</v>
      </c>
      <c r="H7194" t="n">
        <v>0</v>
      </c>
      <c r="I7194" t="n">
        <v>0</v>
      </c>
      <c r="J7194" t="n">
        <v>0</v>
      </c>
      <c r="K7194" t="n">
        <v>0</v>
      </c>
      <c r="L7194" t="n">
        <v>0</v>
      </c>
      <c r="M7194" t="n">
        <v>0</v>
      </c>
      <c r="N7194" t="n">
        <v>0</v>
      </c>
      <c r="O7194" t="n">
        <v>0</v>
      </c>
      <c r="P7194" t="n">
        <v>0</v>
      </c>
      <c r="Q7194" t="n">
        <v>0</v>
      </c>
      <c r="R7194" s="2" t="inlineStr"/>
    </row>
    <row r="7195" ht="15" customHeight="1">
      <c r="A7195" t="inlineStr">
        <is>
          <t>A 57845-2022</t>
        </is>
      </c>
      <c r="B7195" s="1" t="n">
        <v>44897</v>
      </c>
      <c r="C7195" s="1" t="n">
        <v>45363</v>
      </c>
      <c r="D7195" t="inlineStr">
        <is>
          <t>JÄMTLANDS LÄN</t>
        </is>
      </c>
      <c r="E7195" t="inlineStr">
        <is>
          <t>BRÄCKE</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58044-2022</t>
        </is>
      </c>
      <c r="B7196" s="1" t="n">
        <v>44900</v>
      </c>
      <c r="C7196" s="1" t="n">
        <v>45363</v>
      </c>
      <c r="D7196" t="inlineStr">
        <is>
          <t>JÄMTLANDS LÄN</t>
        </is>
      </c>
      <c r="E7196" t="inlineStr">
        <is>
          <t>KROKOM</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58041-2022</t>
        </is>
      </c>
      <c r="B7197" s="1" t="n">
        <v>44900</v>
      </c>
      <c r="C7197" s="1" t="n">
        <v>45363</v>
      </c>
      <c r="D7197" t="inlineStr">
        <is>
          <t>JÄMTLANDS LÄN</t>
        </is>
      </c>
      <c r="E7197" t="inlineStr">
        <is>
          <t>KROKOM</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58180-2022</t>
        </is>
      </c>
      <c r="B7198" s="1" t="n">
        <v>44900</v>
      </c>
      <c r="C7198" s="1" t="n">
        <v>45363</v>
      </c>
      <c r="D7198" t="inlineStr">
        <is>
          <t>JÄMTLANDS LÄN</t>
        </is>
      </c>
      <c r="E7198" t="inlineStr">
        <is>
          <t>BERG</t>
        </is>
      </c>
      <c r="F7198" t="inlineStr">
        <is>
          <t>SCA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58179-2022</t>
        </is>
      </c>
      <c r="B7199" s="1" t="n">
        <v>44900</v>
      </c>
      <c r="C7199" s="1" t="n">
        <v>45363</v>
      </c>
      <c r="D7199" t="inlineStr">
        <is>
          <t>JÄMTLANDS LÄN</t>
        </is>
      </c>
      <c r="E7199" t="inlineStr">
        <is>
          <t>STRÖMSUND</t>
        </is>
      </c>
      <c r="F7199" t="inlineStr">
        <is>
          <t>SCA</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58194-2022</t>
        </is>
      </c>
      <c r="B7200" s="1" t="n">
        <v>44900</v>
      </c>
      <c r="C7200" s="1" t="n">
        <v>45363</v>
      </c>
      <c r="D7200" t="inlineStr">
        <is>
          <t>JÄMTLANDS LÄN</t>
        </is>
      </c>
      <c r="E7200" t="inlineStr">
        <is>
          <t>RAGUNDA</t>
        </is>
      </c>
      <c r="F7200" t="inlineStr">
        <is>
          <t>SCA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58170-2022</t>
        </is>
      </c>
      <c r="B7201" s="1" t="n">
        <v>44900</v>
      </c>
      <c r="C7201" s="1" t="n">
        <v>45363</v>
      </c>
      <c r="D7201" t="inlineStr">
        <is>
          <t>JÄMTLANDS LÄN</t>
        </is>
      </c>
      <c r="E7201" t="inlineStr">
        <is>
          <t>STRÖMSUND</t>
        </is>
      </c>
      <c r="F7201" t="inlineStr">
        <is>
          <t>SCA</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58174-2022</t>
        </is>
      </c>
      <c r="B7202" s="1" t="n">
        <v>44900</v>
      </c>
      <c r="C7202" s="1" t="n">
        <v>45363</v>
      </c>
      <c r="D7202" t="inlineStr">
        <is>
          <t>JÄMTLANDS LÄN</t>
        </is>
      </c>
      <c r="E7202" t="inlineStr">
        <is>
          <t>STRÖMSUND</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58183-2022</t>
        </is>
      </c>
      <c r="B7203" s="1" t="n">
        <v>44900</v>
      </c>
      <c r="C7203" s="1" t="n">
        <v>45363</v>
      </c>
      <c r="D7203" t="inlineStr">
        <is>
          <t>JÄMTLANDS LÄN</t>
        </is>
      </c>
      <c r="E7203" t="inlineStr">
        <is>
          <t>STRÖMSUND</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58187-2022</t>
        </is>
      </c>
      <c r="B7204" s="1" t="n">
        <v>44900</v>
      </c>
      <c r="C7204" s="1" t="n">
        <v>45363</v>
      </c>
      <c r="D7204" t="inlineStr">
        <is>
          <t>JÄMTLANDS LÄN</t>
        </is>
      </c>
      <c r="E7204" t="inlineStr">
        <is>
          <t>BRÄCKE</t>
        </is>
      </c>
      <c r="F7204" t="inlineStr">
        <is>
          <t>SCA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58193-2022</t>
        </is>
      </c>
      <c r="B7205" s="1" t="n">
        <v>44900</v>
      </c>
      <c r="C7205" s="1" t="n">
        <v>45363</v>
      </c>
      <c r="D7205" t="inlineStr">
        <is>
          <t>JÄMTLANDS LÄN</t>
        </is>
      </c>
      <c r="E7205" t="inlineStr">
        <is>
          <t>RAGUNDA</t>
        </is>
      </c>
      <c r="F7205" t="inlineStr">
        <is>
          <t>SCA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59725-2022</t>
        </is>
      </c>
      <c r="B7206" s="1" t="n">
        <v>44900</v>
      </c>
      <c r="C7206" s="1" t="n">
        <v>45363</v>
      </c>
      <c r="D7206" t="inlineStr">
        <is>
          <t>JÄMTLANDS LÄN</t>
        </is>
      </c>
      <c r="E7206" t="inlineStr">
        <is>
          <t>STRÖMSUND</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58425-2022</t>
        </is>
      </c>
      <c r="B7207" s="1" t="n">
        <v>44901</v>
      </c>
      <c r="C7207" s="1" t="n">
        <v>45363</v>
      </c>
      <c r="D7207" t="inlineStr">
        <is>
          <t>JÄMTLANDS LÄN</t>
        </is>
      </c>
      <c r="E7207" t="inlineStr">
        <is>
          <t>HÄRJEDALEN</t>
        </is>
      </c>
      <c r="F7207" t="inlineStr">
        <is>
          <t>Sveaskog</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58313-2022</t>
        </is>
      </c>
      <c r="B7208" s="1" t="n">
        <v>44901</v>
      </c>
      <c r="C7208" s="1" t="n">
        <v>45363</v>
      </c>
      <c r="D7208" t="inlineStr">
        <is>
          <t>JÄMTLANDS LÄN</t>
        </is>
      </c>
      <c r="E7208" t="inlineStr">
        <is>
          <t>KROKOM</t>
        </is>
      </c>
      <c r="F7208" t="inlineStr">
        <is>
          <t>Övriga Aktiebolag</t>
        </is>
      </c>
      <c r="G7208" t="n">
        <v>8.300000000000001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58347-2022</t>
        </is>
      </c>
      <c r="B7209" s="1" t="n">
        <v>44901</v>
      </c>
      <c r="C7209" s="1" t="n">
        <v>45363</v>
      </c>
      <c r="D7209" t="inlineStr">
        <is>
          <t>JÄMTLANDS LÄN</t>
        </is>
      </c>
      <c r="E7209" t="inlineStr">
        <is>
          <t>KROKOM</t>
        </is>
      </c>
      <c r="F7209" t="inlineStr">
        <is>
          <t>Övriga Aktiebolag</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58431-2022</t>
        </is>
      </c>
      <c r="B7210" s="1" t="n">
        <v>44901</v>
      </c>
      <c r="C7210" s="1" t="n">
        <v>45363</v>
      </c>
      <c r="D7210" t="inlineStr">
        <is>
          <t>JÄMTLANDS LÄN</t>
        </is>
      </c>
      <c r="E7210" t="inlineStr">
        <is>
          <t>BERG</t>
        </is>
      </c>
      <c r="F7210" t="inlineStr">
        <is>
          <t>SCA</t>
        </is>
      </c>
      <c r="G7210" t="n">
        <v>8.1</v>
      </c>
      <c r="H7210" t="n">
        <v>0</v>
      </c>
      <c r="I7210" t="n">
        <v>0</v>
      </c>
      <c r="J7210" t="n">
        <v>0</v>
      </c>
      <c r="K7210" t="n">
        <v>0</v>
      </c>
      <c r="L7210" t="n">
        <v>0</v>
      </c>
      <c r="M7210" t="n">
        <v>0</v>
      </c>
      <c r="N7210" t="n">
        <v>0</v>
      </c>
      <c r="O7210" t="n">
        <v>0</v>
      </c>
      <c r="P7210" t="n">
        <v>0</v>
      </c>
      <c r="Q7210" t="n">
        <v>0</v>
      </c>
      <c r="R7210" s="2" t="inlineStr"/>
    </row>
    <row r="7211" ht="15" customHeight="1">
      <c r="A7211" t="inlineStr">
        <is>
          <t>A 58316-2022</t>
        </is>
      </c>
      <c r="B7211" s="1" t="n">
        <v>44901</v>
      </c>
      <c r="C7211" s="1" t="n">
        <v>45363</v>
      </c>
      <c r="D7211" t="inlineStr">
        <is>
          <t>JÄMTLANDS LÄN</t>
        </is>
      </c>
      <c r="E7211" t="inlineStr">
        <is>
          <t>KROKOM</t>
        </is>
      </c>
      <c r="G7211" t="n">
        <v>9.800000000000001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58442-2022</t>
        </is>
      </c>
      <c r="B7212" s="1" t="n">
        <v>44901</v>
      </c>
      <c r="C7212" s="1" t="n">
        <v>45363</v>
      </c>
      <c r="D7212" t="inlineStr">
        <is>
          <t>JÄMTLANDS LÄN</t>
        </is>
      </c>
      <c r="E7212" t="inlineStr">
        <is>
          <t>RAGUNDA</t>
        </is>
      </c>
      <c r="F7212" t="inlineStr">
        <is>
          <t>SCA</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58432-2022</t>
        </is>
      </c>
      <c r="B7213" s="1" t="n">
        <v>44901</v>
      </c>
      <c r="C7213" s="1" t="n">
        <v>45363</v>
      </c>
      <c r="D7213" t="inlineStr">
        <is>
          <t>JÄMTLANDS LÄN</t>
        </is>
      </c>
      <c r="E7213" t="inlineStr">
        <is>
          <t>BERG</t>
        </is>
      </c>
      <c r="F7213" t="inlineStr">
        <is>
          <t>SCA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58438-2022</t>
        </is>
      </c>
      <c r="B7214" s="1" t="n">
        <v>44901</v>
      </c>
      <c r="C7214" s="1" t="n">
        <v>45363</v>
      </c>
      <c r="D7214" t="inlineStr">
        <is>
          <t>JÄMTLANDS LÄN</t>
        </is>
      </c>
      <c r="E7214" t="inlineStr">
        <is>
          <t>RAGUNDA</t>
        </is>
      </c>
      <c r="F7214" t="inlineStr">
        <is>
          <t>SCA</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58443-2022</t>
        </is>
      </c>
      <c r="B7215" s="1" t="n">
        <v>44901</v>
      </c>
      <c r="C7215" s="1" t="n">
        <v>45363</v>
      </c>
      <c r="D7215" t="inlineStr">
        <is>
          <t>JÄMTLANDS LÄN</t>
        </is>
      </c>
      <c r="E7215" t="inlineStr">
        <is>
          <t>RAGUNDA</t>
        </is>
      </c>
      <c r="F7215" t="inlineStr">
        <is>
          <t>SCA</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58449-2022</t>
        </is>
      </c>
      <c r="B7216" s="1" t="n">
        <v>44901</v>
      </c>
      <c r="C7216" s="1" t="n">
        <v>45363</v>
      </c>
      <c r="D7216" t="inlineStr">
        <is>
          <t>JÄMTLANDS LÄN</t>
        </is>
      </c>
      <c r="E7216" t="inlineStr">
        <is>
          <t>STRÖMSUND</t>
        </is>
      </c>
      <c r="F7216" t="inlineStr">
        <is>
          <t>SCA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59830-2022</t>
        </is>
      </c>
      <c r="B7217" s="1" t="n">
        <v>44901</v>
      </c>
      <c r="C7217" s="1" t="n">
        <v>45363</v>
      </c>
      <c r="D7217" t="inlineStr">
        <is>
          <t>JÄMTLANDS LÄN</t>
        </is>
      </c>
      <c r="E7217" t="inlineStr">
        <is>
          <t>KROKOM</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58500-2022</t>
        </is>
      </c>
      <c r="B7218" s="1" t="n">
        <v>44902</v>
      </c>
      <c r="C7218" s="1" t="n">
        <v>45363</v>
      </c>
      <c r="D7218" t="inlineStr">
        <is>
          <t>JÄMTLANDS LÄN</t>
        </is>
      </c>
      <c r="E7218" t="inlineStr">
        <is>
          <t>BRÄCKE</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58498-2022</t>
        </is>
      </c>
      <c r="B7219" s="1" t="n">
        <v>44902</v>
      </c>
      <c r="C7219" s="1" t="n">
        <v>45363</v>
      </c>
      <c r="D7219" t="inlineStr">
        <is>
          <t>JÄMTLANDS LÄN</t>
        </is>
      </c>
      <c r="E7219" t="inlineStr">
        <is>
          <t>BRÄCKE</t>
        </is>
      </c>
      <c r="G7219" t="n">
        <v>8.4</v>
      </c>
      <c r="H7219" t="n">
        <v>0</v>
      </c>
      <c r="I7219" t="n">
        <v>0</v>
      </c>
      <c r="J7219" t="n">
        <v>0</v>
      </c>
      <c r="K7219" t="n">
        <v>0</v>
      </c>
      <c r="L7219" t="n">
        <v>0</v>
      </c>
      <c r="M7219" t="n">
        <v>0</v>
      </c>
      <c r="N7219" t="n">
        <v>0</v>
      </c>
      <c r="O7219" t="n">
        <v>0</v>
      </c>
      <c r="P7219" t="n">
        <v>0</v>
      </c>
      <c r="Q7219" t="n">
        <v>0</v>
      </c>
      <c r="R7219" s="2" t="inlineStr"/>
    </row>
    <row r="7220" ht="15" customHeight="1">
      <c r="A7220" t="inlineStr">
        <is>
          <t>A 58503-2022</t>
        </is>
      </c>
      <c r="B7220" s="1" t="n">
        <v>44902</v>
      </c>
      <c r="C7220" s="1" t="n">
        <v>45363</v>
      </c>
      <c r="D7220" t="inlineStr">
        <is>
          <t>JÄMTLANDS LÄN</t>
        </is>
      </c>
      <c r="E7220" t="inlineStr">
        <is>
          <t>BRÄCKE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58513-2022</t>
        </is>
      </c>
      <c r="B7221" s="1" t="n">
        <v>44902</v>
      </c>
      <c r="C7221" s="1" t="n">
        <v>45363</v>
      </c>
      <c r="D7221" t="inlineStr">
        <is>
          <t>JÄMTLANDS LÄN</t>
        </is>
      </c>
      <c r="E7221" t="inlineStr">
        <is>
          <t>ÅRE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58497-2022</t>
        </is>
      </c>
      <c r="B7222" s="1" t="n">
        <v>44902</v>
      </c>
      <c r="C7222" s="1" t="n">
        <v>45363</v>
      </c>
      <c r="D7222" t="inlineStr">
        <is>
          <t>JÄMTLANDS LÄN</t>
        </is>
      </c>
      <c r="E7222" t="inlineStr">
        <is>
          <t>BRÄCKE</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58516-2022</t>
        </is>
      </c>
      <c r="B7223" s="1" t="n">
        <v>44902</v>
      </c>
      <c r="C7223" s="1" t="n">
        <v>45363</v>
      </c>
      <c r="D7223" t="inlineStr">
        <is>
          <t>JÄMTLANDS LÄN</t>
        </is>
      </c>
      <c r="E7223" t="inlineStr">
        <is>
          <t>ÅRE</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58744-2022</t>
        </is>
      </c>
      <c r="B7224" s="1" t="n">
        <v>44902</v>
      </c>
      <c r="C7224" s="1" t="n">
        <v>45363</v>
      </c>
      <c r="D7224" t="inlineStr">
        <is>
          <t>JÄMTLANDS LÄN</t>
        </is>
      </c>
      <c r="E7224" t="inlineStr">
        <is>
          <t>STRÖMSUND</t>
        </is>
      </c>
      <c r="F7224" t="inlineStr">
        <is>
          <t>SCA</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60068-2022</t>
        </is>
      </c>
      <c r="B7225" s="1" t="n">
        <v>44902</v>
      </c>
      <c r="C7225" s="1" t="n">
        <v>45363</v>
      </c>
      <c r="D7225" t="inlineStr">
        <is>
          <t>JÄMTLANDS LÄN</t>
        </is>
      </c>
      <c r="E7225" t="inlineStr">
        <is>
          <t>BERG</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58728-2022</t>
        </is>
      </c>
      <c r="B7226" s="1" t="n">
        <v>44902</v>
      </c>
      <c r="C7226" s="1" t="n">
        <v>45363</v>
      </c>
      <c r="D7226" t="inlineStr">
        <is>
          <t>JÄMTLANDS LÄN</t>
        </is>
      </c>
      <c r="E7226" t="inlineStr">
        <is>
          <t>BRÄCKE</t>
        </is>
      </c>
      <c r="G7226" t="n">
        <v>21.5</v>
      </c>
      <c r="H7226" t="n">
        <v>0</v>
      </c>
      <c r="I7226" t="n">
        <v>0</v>
      </c>
      <c r="J7226" t="n">
        <v>0</v>
      </c>
      <c r="K7226" t="n">
        <v>0</v>
      </c>
      <c r="L7226" t="n">
        <v>0</v>
      </c>
      <c r="M7226" t="n">
        <v>0</v>
      </c>
      <c r="N7226" t="n">
        <v>0</v>
      </c>
      <c r="O7226" t="n">
        <v>0</v>
      </c>
      <c r="P7226" t="n">
        <v>0</v>
      </c>
      <c r="Q7226" t="n">
        <v>0</v>
      </c>
      <c r="R7226" s="2" t="inlineStr"/>
    </row>
    <row r="7227" ht="15" customHeight="1">
      <c r="A7227" t="inlineStr">
        <is>
          <t>A 60028-2022</t>
        </is>
      </c>
      <c r="B7227" s="1" t="n">
        <v>44902</v>
      </c>
      <c r="C7227" s="1" t="n">
        <v>45363</v>
      </c>
      <c r="D7227" t="inlineStr">
        <is>
          <t>JÄMTLANDS LÄN</t>
        </is>
      </c>
      <c r="E7227" t="inlineStr">
        <is>
          <t>BERG</t>
        </is>
      </c>
      <c r="G7227" t="n">
        <v>20</v>
      </c>
      <c r="H7227" t="n">
        <v>0</v>
      </c>
      <c r="I7227" t="n">
        <v>0</v>
      </c>
      <c r="J7227" t="n">
        <v>0</v>
      </c>
      <c r="K7227" t="n">
        <v>0</v>
      </c>
      <c r="L7227" t="n">
        <v>0</v>
      </c>
      <c r="M7227" t="n">
        <v>0</v>
      </c>
      <c r="N7227" t="n">
        <v>0</v>
      </c>
      <c r="O7227" t="n">
        <v>0</v>
      </c>
      <c r="P7227" t="n">
        <v>0</v>
      </c>
      <c r="Q7227" t="n">
        <v>0</v>
      </c>
      <c r="R7227" s="2" t="inlineStr"/>
    </row>
    <row r="7228" ht="15" customHeight="1">
      <c r="A7228" t="inlineStr">
        <is>
          <t>A 58745-2022</t>
        </is>
      </c>
      <c r="B7228" s="1" t="n">
        <v>44902</v>
      </c>
      <c r="C7228" s="1" t="n">
        <v>45363</v>
      </c>
      <c r="D7228" t="inlineStr">
        <is>
          <t>JÄMTLANDS LÄN</t>
        </is>
      </c>
      <c r="E7228" t="inlineStr">
        <is>
          <t>BRÄCKE</t>
        </is>
      </c>
      <c r="F7228" t="inlineStr">
        <is>
          <t>SCA</t>
        </is>
      </c>
      <c r="G7228" t="n">
        <v>7.6</v>
      </c>
      <c r="H7228" t="n">
        <v>0</v>
      </c>
      <c r="I7228" t="n">
        <v>0</v>
      </c>
      <c r="J7228" t="n">
        <v>0</v>
      </c>
      <c r="K7228" t="n">
        <v>0</v>
      </c>
      <c r="L7228" t="n">
        <v>0</v>
      </c>
      <c r="M7228" t="n">
        <v>0</v>
      </c>
      <c r="N7228" t="n">
        <v>0</v>
      </c>
      <c r="O7228" t="n">
        <v>0</v>
      </c>
      <c r="P7228" t="n">
        <v>0</v>
      </c>
      <c r="Q7228" t="n">
        <v>0</v>
      </c>
      <c r="R7228" s="2" t="inlineStr"/>
    </row>
    <row r="7229" ht="15" customHeight="1">
      <c r="A7229" t="inlineStr">
        <is>
          <t>A 58729-2022</t>
        </is>
      </c>
      <c r="B7229" s="1" t="n">
        <v>44902</v>
      </c>
      <c r="C7229" s="1" t="n">
        <v>45363</v>
      </c>
      <c r="D7229" t="inlineStr">
        <is>
          <t>JÄMTLANDS LÄN</t>
        </is>
      </c>
      <c r="E7229" t="inlineStr">
        <is>
          <t>STRÖMSUND</t>
        </is>
      </c>
      <c r="F7229" t="inlineStr">
        <is>
          <t>SCA</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58731-2022</t>
        </is>
      </c>
      <c r="B7230" s="1" t="n">
        <v>44902</v>
      </c>
      <c r="C7230" s="1" t="n">
        <v>45363</v>
      </c>
      <c r="D7230" t="inlineStr">
        <is>
          <t>JÄMTLANDS LÄN</t>
        </is>
      </c>
      <c r="E7230" t="inlineStr">
        <is>
          <t>BRÄCKE</t>
        </is>
      </c>
      <c r="F7230" t="inlineStr">
        <is>
          <t>SCA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58743-2022</t>
        </is>
      </c>
      <c r="B7231" s="1" t="n">
        <v>44902</v>
      </c>
      <c r="C7231" s="1" t="n">
        <v>45363</v>
      </c>
      <c r="D7231" t="inlineStr">
        <is>
          <t>JÄMTLANDS LÄN</t>
        </is>
      </c>
      <c r="E7231" t="inlineStr">
        <is>
          <t>STRÖMSUND</t>
        </is>
      </c>
      <c r="F7231" t="inlineStr">
        <is>
          <t>SCA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60024-2022</t>
        </is>
      </c>
      <c r="B7232" s="1" t="n">
        <v>44902</v>
      </c>
      <c r="C7232" s="1" t="n">
        <v>45363</v>
      </c>
      <c r="D7232" t="inlineStr">
        <is>
          <t>JÄMTLANDS LÄN</t>
        </is>
      </c>
      <c r="E7232" t="inlineStr">
        <is>
          <t>BERG</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59003-2022</t>
        </is>
      </c>
      <c r="B7233" s="1" t="n">
        <v>44903</v>
      </c>
      <c r="C7233" s="1" t="n">
        <v>45363</v>
      </c>
      <c r="D7233" t="inlineStr">
        <is>
          <t>JÄMTLANDS LÄN</t>
        </is>
      </c>
      <c r="E7233" t="inlineStr">
        <is>
          <t>STRÖMSUND</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58758-2022</t>
        </is>
      </c>
      <c r="B7234" s="1" t="n">
        <v>44903</v>
      </c>
      <c r="C7234" s="1" t="n">
        <v>45363</v>
      </c>
      <c r="D7234" t="inlineStr">
        <is>
          <t>JÄMTLANDS LÄN</t>
        </is>
      </c>
      <c r="E7234" t="inlineStr">
        <is>
          <t>ÅRE</t>
        </is>
      </c>
      <c r="F7234" t="inlineStr">
        <is>
          <t>Övriga Aktiebolag</t>
        </is>
      </c>
      <c r="G7234" t="n">
        <v>42.9</v>
      </c>
      <c r="H7234" t="n">
        <v>0</v>
      </c>
      <c r="I7234" t="n">
        <v>0</v>
      </c>
      <c r="J7234" t="n">
        <v>0</v>
      </c>
      <c r="K7234" t="n">
        <v>0</v>
      </c>
      <c r="L7234" t="n">
        <v>0</v>
      </c>
      <c r="M7234" t="n">
        <v>0</v>
      </c>
      <c r="N7234" t="n">
        <v>0</v>
      </c>
      <c r="O7234" t="n">
        <v>0</v>
      </c>
      <c r="P7234" t="n">
        <v>0</v>
      </c>
      <c r="Q7234" t="n">
        <v>0</v>
      </c>
      <c r="R7234" s="2" t="inlineStr"/>
    </row>
    <row r="7235" ht="15" customHeight="1">
      <c r="A7235" t="inlineStr">
        <is>
          <t>A 58856-2022</t>
        </is>
      </c>
      <c r="B7235" s="1" t="n">
        <v>44903</v>
      </c>
      <c r="C7235" s="1" t="n">
        <v>45363</v>
      </c>
      <c r="D7235" t="inlineStr">
        <is>
          <t>JÄMTLANDS LÄN</t>
        </is>
      </c>
      <c r="E7235" t="inlineStr">
        <is>
          <t>ÅRE</t>
        </is>
      </c>
      <c r="F7235" t="inlineStr">
        <is>
          <t>Övriga Aktiebolag</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58870-2022</t>
        </is>
      </c>
      <c r="B7236" s="1" t="n">
        <v>44903</v>
      </c>
      <c r="C7236" s="1" t="n">
        <v>45363</v>
      </c>
      <c r="D7236" t="inlineStr">
        <is>
          <t>JÄMTLANDS LÄN</t>
        </is>
      </c>
      <c r="E7236" t="inlineStr">
        <is>
          <t>KROKOM</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58910-2022</t>
        </is>
      </c>
      <c r="B7237" s="1" t="n">
        <v>44903</v>
      </c>
      <c r="C7237" s="1" t="n">
        <v>45363</v>
      </c>
      <c r="D7237" t="inlineStr">
        <is>
          <t>JÄMTLANDS LÄN</t>
        </is>
      </c>
      <c r="E7237" t="inlineStr">
        <is>
          <t>BERG</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58917-2022</t>
        </is>
      </c>
      <c r="B7238" s="1" t="n">
        <v>44903</v>
      </c>
      <c r="C7238" s="1" t="n">
        <v>45363</v>
      </c>
      <c r="D7238" t="inlineStr">
        <is>
          <t>JÄMTLANDS LÄN</t>
        </is>
      </c>
      <c r="E7238" t="inlineStr">
        <is>
          <t>ÅRE</t>
        </is>
      </c>
      <c r="F7238" t="inlineStr">
        <is>
          <t>Övriga Aktiebolag</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58973-2022</t>
        </is>
      </c>
      <c r="B7239" s="1" t="n">
        <v>44903</v>
      </c>
      <c r="C7239" s="1" t="n">
        <v>45363</v>
      </c>
      <c r="D7239" t="inlineStr">
        <is>
          <t>JÄMTLANDS LÄN</t>
        </is>
      </c>
      <c r="E7239" t="inlineStr">
        <is>
          <t>STRÖMSUND</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58845-2022</t>
        </is>
      </c>
      <c r="B7240" s="1" t="n">
        <v>44903</v>
      </c>
      <c r="C7240" s="1" t="n">
        <v>45363</v>
      </c>
      <c r="D7240" t="inlineStr">
        <is>
          <t>JÄMTLANDS LÄN</t>
        </is>
      </c>
      <c r="E7240" t="inlineStr">
        <is>
          <t>ÅRE</t>
        </is>
      </c>
      <c r="F7240" t="inlineStr">
        <is>
          <t>Övriga Aktiebolag</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58905-2022</t>
        </is>
      </c>
      <c r="B7241" s="1" t="n">
        <v>44903</v>
      </c>
      <c r="C7241" s="1" t="n">
        <v>45363</v>
      </c>
      <c r="D7241" t="inlineStr">
        <is>
          <t>JÄMTLANDS LÄN</t>
        </is>
      </c>
      <c r="E7241" t="inlineStr">
        <is>
          <t>STRÖMSUND</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60274-2022</t>
        </is>
      </c>
      <c r="B7242" s="1" t="n">
        <v>44903</v>
      </c>
      <c r="C7242" s="1" t="n">
        <v>45363</v>
      </c>
      <c r="D7242" t="inlineStr">
        <is>
          <t>JÄMTLANDS LÄN</t>
        </is>
      </c>
      <c r="E7242" t="inlineStr">
        <is>
          <t>BERG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59035-2022</t>
        </is>
      </c>
      <c r="B7243" s="1" t="n">
        <v>44903</v>
      </c>
      <c r="C7243" s="1" t="n">
        <v>45363</v>
      </c>
      <c r="D7243" t="inlineStr">
        <is>
          <t>JÄMTLANDS LÄN</t>
        </is>
      </c>
      <c r="E7243" t="inlineStr">
        <is>
          <t>STRÖMSUND</t>
        </is>
      </c>
      <c r="F7243" t="inlineStr">
        <is>
          <t>SCA</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60225-2022</t>
        </is>
      </c>
      <c r="B7244" s="1" t="n">
        <v>44903</v>
      </c>
      <c r="C7244" s="1" t="n">
        <v>45363</v>
      </c>
      <c r="D7244" t="inlineStr">
        <is>
          <t>JÄMTLANDS LÄN</t>
        </is>
      </c>
      <c r="E7244" t="inlineStr">
        <is>
          <t>RAGUNDA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60249-2022</t>
        </is>
      </c>
      <c r="B7245" s="1" t="n">
        <v>44903</v>
      </c>
      <c r="C7245" s="1" t="n">
        <v>45363</v>
      </c>
      <c r="D7245" t="inlineStr">
        <is>
          <t>JÄMTLANDS LÄN</t>
        </is>
      </c>
      <c r="E7245" t="inlineStr">
        <is>
          <t>BERG</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60280-2022</t>
        </is>
      </c>
      <c r="B7246" s="1" t="n">
        <v>44903</v>
      </c>
      <c r="C7246" s="1" t="n">
        <v>45363</v>
      </c>
      <c r="D7246" t="inlineStr">
        <is>
          <t>JÄMTLANDS LÄN</t>
        </is>
      </c>
      <c r="E7246" t="inlineStr">
        <is>
          <t>BERG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59044-2022</t>
        </is>
      </c>
      <c r="B7247" s="1" t="n">
        <v>44903</v>
      </c>
      <c r="C7247" s="1" t="n">
        <v>45363</v>
      </c>
      <c r="D7247" t="inlineStr">
        <is>
          <t>JÄMTLANDS LÄN</t>
        </is>
      </c>
      <c r="E7247" t="inlineStr">
        <is>
          <t>RAGUNDA</t>
        </is>
      </c>
      <c r="F7247" t="inlineStr">
        <is>
          <t>SCA</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60271-2022</t>
        </is>
      </c>
      <c r="B7248" s="1" t="n">
        <v>44903</v>
      </c>
      <c r="C7248" s="1" t="n">
        <v>45363</v>
      </c>
      <c r="D7248" t="inlineStr">
        <is>
          <t>JÄMTLANDS LÄN</t>
        </is>
      </c>
      <c r="E7248" t="inlineStr">
        <is>
          <t>BERG</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59047-2022</t>
        </is>
      </c>
      <c r="B7249" s="1" t="n">
        <v>44903</v>
      </c>
      <c r="C7249" s="1" t="n">
        <v>45363</v>
      </c>
      <c r="D7249" t="inlineStr">
        <is>
          <t>JÄMTLANDS LÄN</t>
        </is>
      </c>
      <c r="E7249" t="inlineStr">
        <is>
          <t>BRÄCKE</t>
        </is>
      </c>
      <c r="F7249" t="inlineStr">
        <is>
          <t>SCA</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59094-2022</t>
        </is>
      </c>
      <c r="B7250" s="1" t="n">
        <v>44904</v>
      </c>
      <c r="C7250" s="1" t="n">
        <v>45363</v>
      </c>
      <c r="D7250" t="inlineStr">
        <is>
          <t>JÄMTLANDS LÄN</t>
        </is>
      </c>
      <c r="E7250" t="inlineStr">
        <is>
          <t>HÄRJEDALEN</t>
        </is>
      </c>
      <c r="F7250" t="inlineStr">
        <is>
          <t>Bergvik skog väst AB</t>
        </is>
      </c>
      <c r="G7250" t="n">
        <v>49.8</v>
      </c>
      <c r="H7250" t="n">
        <v>0</v>
      </c>
      <c r="I7250" t="n">
        <v>0</v>
      </c>
      <c r="J7250" t="n">
        <v>0</v>
      </c>
      <c r="K7250" t="n">
        <v>0</v>
      </c>
      <c r="L7250" t="n">
        <v>0</v>
      </c>
      <c r="M7250" t="n">
        <v>0</v>
      </c>
      <c r="N7250" t="n">
        <v>0</v>
      </c>
      <c r="O7250" t="n">
        <v>0</v>
      </c>
      <c r="P7250" t="n">
        <v>0</v>
      </c>
      <c r="Q7250" t="n">
        <v>0</v>
      </c>
      <c r="R7250" s="2" t="inlineStr"/>
    </row>
    <row r="7251" ht="15" customHeight="1">
      <c r="A7251" t="inlineStr">
        <is>
          <t>A 59112-2022</t>
        </is>
      </c>
      <c r="B7251" s="1" t="n">
        <v>44904</v>
      </c>
      <c r="C7251" s="1" t="n">
        <v>45363</v>
      </c>
      <c r="D7251" t="inlineStr">
        <is>
          <t>JÄMTLANDS LÄN</t>
        </is>
      </c>
      <c r="E7251" t="inlineStr">
        <is>
          <t>HÄRJEDALEN</t>
        </is>
      </c>
      <c r="F7251" t="inlineStr">
        <is>
          <t>Bergvik skog väst AB</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59076-2022</t>
        </is>
      </c>
      <c r="B7252" s="1" t="n">
        <v>44904</v>
      </c>
      <c r="C7252" s="1" t="n">
        <v>45363</v>
      </c>
      <c r="D7252" t="inlineStr">
        <is>
          <t>JÄMTLANDS LÄN</t>
        </is>
      </c>
      <c r="E7252" t="inlineStr">
        <is>
          <t>KROKOM</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59266-2022</t>
        </is>
      </c>
      <c r="B7253" s="1" t="n">
        <v>44904</v>
      </c>
      <c r="C7253" s="1" t="n">
        <v>45363</v>
      </c>
      <c r="D7253" t="inlineStr">
        <is>
          <t>JÄMTLANDS LÄN</t>
        </is>
      </c>
      <c r="E7253" t="inlineStr">
        <is>
          <t>ÖSTERSUND</t>
        </is>
      </c>
      <c r="F7253" t="inlineStr">
        <is>
          <t>Övriga Aktiebolag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59163-2022</t>
        </is>
      </c>
      <c r="B7254" s="1" t="n">
        <v>44904</v>
      </c>
      <c r="C7254" s="1" t="n">
        <v>45363</v>
      </c>
      <c r="D7254" t="inlineStr">
        <is>
          <t>JÄMTLANDS LÄN</t>
        </is>
      </c>
      <c r="E7254" t="inlineStr">
        <is>
          <t>ÅRE</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59367-2022</t>
        </is>
      </c>
      <c r="B7255" s="1" t="n">
        <v>44904</v>
      </c>
      <c r="C7255" s="1" t="n">
        <v>45363</v>
      </c>
      <c r="D7255" t="inlineStr">
        <is>
          <t>JÄMTLANDS LÄN</t>
        </is>
      </c>
      <c r="E7255" t="inlineStr">
        <is>
          <t>STRÖMSUND</t>
        </is>
      </c>
      <c r="F7255" t="inlineStr">
        <is>
          <t>SCA</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59372-2022</t>
        </is>
      </c>
      <c r="B7256" s="1" t="n">
        <v>44904</v>
      </c>
      <c r="C7256" s="1" t="n">
        <v>45363</v>
      </c>
      <c r="D7256" t="inlineStr">
        <is>
          <t>JÄMTLANDS LÄN</t>
        </is>
      </c>
      <c r="E7256" t="inlineStr">
        <is>
          <t>STRÖMSUND</t>
        </is>
      </c>
      <c r="F7256" t="inlineStr">
        <is>
          <t>SCA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59368-2022</t>
        </is>
      </c>
      <c r="B7257" s="1" t="n">
        <v>44904</v>
      </c>
      <c r="C7257" s="1" t="n">
        <v>45363</v>
      </c>
      <c r="D7257" t="inlineStr">
        <is>
          <t>JÄMTLANDS LÄN</t>
        </is>
      </c>
      <c r="E7257" t="inlineStr">
        <is>
          <t>RAGUNDA</t>
        </is>
      </c>
      <c r="F7257" t="inlineStr">
        <is>
          <t>SCA</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59369-2022</t>
        </is>
      </c>
      <c r="B7258" s="1" t="n">
        <v>44904</v>
      </c>
      <c r="C7258" s="1" t="n">
        <v>45363</v>
      </c>
      <c r="D7258" t="inlineStr">
        <is>
          <t>JÄMTLANDS LÄN</t>
        </is>
      </c>
      <c r="E7258" t="inlineStr">
        <is>
          <t>BRÄCKE</t>
        </is>
      </c>
      <c r="F7258" t="inlineStr">
        <is>
          <t>SCA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60540-2022</t>
        </is>
      </c>
      <c r="B7259" s="1" t="n">
        <v>44904</v>
      </c>
      <c r="C7259" s="1" t="n">
        <v>45363</v>
      </c>
      <c r="D7259" t="inlineStr">
        <is>
          <t>JÄMTLANDS LÄN</t>
        </is>
      </c>
      <c r="E7259" t="inlineStr">
        <is>
          <t>ÅRE</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59376-2022</t>
        </is>
      </c>
      <c r="B7260" s="1" t="n">
        <v>44904</v>
      </c>
      <c r="C7260" s="1" t="n">
        <v>45363</v>
      </c>
      <c r="D7260" t="inlineStr">
        <is>
          <t>JÄMTLANDS LÄN</t>
        </is>
      </c>
      <c r="E7260" t="inlineStr">
        <is>
          <t>STRÖMSUND</t>
        </is>
      </c>
      <c r="F7260" t="inlineStr">
        <is>
          <t>SCA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59387-2022</t>
        </is>
      </c>
      <c r="B7261" s="1" t="n">
        <v>44905</v>
      </c>
      <c r="C7261" s="1" t="n">
        <v>45363</v>
      </c>
      <c r="D7261" t="inlineStr">
        <is>
          <t>JÄMTLANDS LÄN</t>
        </is>
      </c>
      <c r="E7261" t="inlineStr">
        <is>
          <t>ÅRE</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59405-2022</t>
        </is>
      </c>
      <c r="B7262" s="1" t="n">
        <v>44906</v>
      </c>
      <c r="C7262" s="1" t="n">
        <v>45363</v>
      </c>
      <c r="D7262" t="inlineStr">
        <is>
          <t>JÄMTLANDS LÄN</t>
        </is>
      </c>
      <c r="E7262" t="inlineStr">
        <is>
          <t>BRÄCKE</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59427-2022</t>
        </is>
      </c>
      <c r="B7263" s="1" t="n">
        <v>44907</v>
      </c>
      <c r="C7263" s="1" t="n">
        <v>45363</v>
      </c>
      <c r="D7263" t="inlineStr">
        <is>
          <t>JÄMTLANDS LÄN</t>
        </is>
      </c>
      <c r="E7263" t="inlineStr">
        <is>
          <t>BRÄCKE</t>
        </is>
      </c>
      <c r="G7263" t="n">
        <v>9.1</v>
      </c>
      <c r="H7263" t="n">
        <v>0</v>
      </c>
      <c r="I7263" t="n">
        <v>0</v>
      </c>
      <c r="J7263" t="n">
        <v>0</v>
      </c>
      <c r="K7263" t="n">
        <v>0</v>
      </c>
      <c r="L7263" t="n">
        <v>0</v>
      </c>
      <c r="M7263" t="n">
        <v>0</v>
      </c>
      <c r="N7263" t="n">
        <v>0</v>
      </c>
      <c r="O7263" t="n">
        <v>0</v>
      </c>
      <c r="P7263" t="n">
        <v>0</v>
      </c>
      <c r="Q7263" t="n">
        <v>0</v>
      </c>
      <c r="R7263" s="2" t="inlineStr"/>
    </row>
    <row r="7264" ht="15" customHeight="1">
      <c r="A7264" t="inlineStr">
        <is>
          <t>A 59461-2022</t>
        </is>
      </c>
      <c r="B7264" s="1" t="n">
        <v>44907</v>
      </c>
      <c r="C7264" s="1" t="n">
        <v>45363</v>
      </c>
      <c r="D7264" t="inlineStr">
        <is>
          <t>JÄMTLANDS LÄN</t>
        </is>
      </c>
      <c r="E7264" t="inlineStr">
        <is>
          <t>STRÖMSUND</t>
        </is>
      </c>
      <c r="G7264" t="n">
        <v>10.7</v>
      </c>
      <c r="H7264" t="n">
        <v>0</v>
      </c>
      <c r="I7264" t="n">
        <v>0</v>
      </c>
      <c r="J7264" t="n">
        <v>0</v>
      </c>
      <c r="K7264" t="n">
        <v>0</v>
      </c>
      <c r="L7264" t="n">
        <v>0</v>
      </c>
      <c r="M7264" t="n">
        <v>0</v>
      </c>
      <c r="N7264" t="n">
        <v>0</v>
      </c>
      <c r="O7264" t="n">
        <v>0</v>
      </c>
      <c r="P7264" t="n">
        <v>0</v>
      </c>
      <c r="Q7264" t="n">
        <v>0</v>
      </c>
      <c r="R7264" s="2" t="inlineStr"/>
    </row>
    <row r="7265" ht="15" customHeight="1">
      <c r="A7265" t="inlineStr">
        <is>
          <t>A 59634-2022</t>
        </is>
      </c>
      <c r="B7265" s="1" t="n">
        <v>44908</v>
      </c>
      <c r="C7265" s="1" t="n">
        <v>45363</v>
      </c>
      <c r="D7265" t="inlineStr">
        <is>
          <t>JÄMTLANDS LÄN</t>
        </is>
      </c>
      <c r="E7265" t="inlineStr">
        <is>
          <t>BERG</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59640-2022</t>
        </is>
      </c>
      <c r="B7266" s="1" t="n">
        <v>44908</v>
      </c>
      <c r="C7266" s="1" t="n">
        <v>45363</v>
      </c>
      <c r="D7266" t="inlineStr">
        <is>
          <t>JÄMTLANDS LÄN</t>
        </is>
      </c>
      <c r="E7266" t="inlineStr">
        <is>
          <t>BRÄCKE</t>
        </is>
      </c>
      <c r="F7266" t="inlineStr">
        <is>
          <t>SCA</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59644-2022</t>
        </is>
      </c>
      <c r="B7267" s="1" t="n">
        <v>44908</v>
      </c>
      <c r="C7267" s="1" t="n">
        <v>45363</v>
      </c>
      <c r="D7267" t="inlineStr">
        <is>
          <t>JÄMTLANDS LÄN</t>
        </is>
      </c>
      <c r="E7267" t="inlineStr">
        <is>
          <t>BRÄCKE</t>
        </is>
      </c>
      <c r="F7267" t="inlineStr">
        <is>
          <t>SCA</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59648-2022</t>
        </is>
      </c>
      <c r="B7268" s="1" t="n">
        <v>44907</v>
      </c>
      <c r="C7268" s="1" t="n">
        <v>45363</v>
      </c>
      <c r="D7268" t="inlineStr">
        <is>
          <t>JÄMTLANDS LÄN</t>
        </is>
      </c>
      <c r="E7268" t="inlineStr">
        <is>
          <t>ÖSTERSUND</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59652-2022</t>
        </is>
      </c>
      <c r="B7269" s="1" t="n">
        <v>44908</v>
      </c>
      <c r="C7269" s="1" t="n">
        <v>45363</v>
      </c>
      <c r="D7269" t="inlineStr">
        <is>
          <t>JÄMTLANDS LÄN</t>
        </is>
      </c>
      <c r="E7269" t="inlineStr">
        <is>
          <t>BERG</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59637-2022</t>
        </is>
      </c>
      <c r="B7270" s="1" t="n">
        <v>44908</v>
      </c>
      <c r="C7270" s="1" t="n">
        <v>45363</v>
      </c>
      <c r="D7270" t="inlineStr">
        <is>
          <t>JÄMTLANDS LÄN</t>
        </is>
      </c>
      <c r="E7270" t="inlineStr">
        <is>
          <t>STRÖMSUND</t>
        </is>
      </c>
      <c r="F7270" t="inlineStr">
        <is>
          <t>SCA</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59635-2022</t>
        </is>
      </c>
      <c r="B7271" s="1" t="n">
        <v>44907</v>
      </c>
      <c r="C7271" s="1" t="n">
        <v>45363</v>
      </c>
      <c r="D7271" t="inlineStr">
        <is>
          <t>JÄMTLANDS LÄN</t>
        </is>
      </c>
      <c r="E7271" t="inlineStr">
        <is>
          <t>BERG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59641-2022</t>
        </is>
      </c>
      <c r="B7272" s="1" t="n">
        <v>44908</v>
      </c>
      <c r="C7272" s="1" t="n">
        <v>45363</v>
      </c>
      <c r="D7272" t="inlineStr">
        <is>
          <t>JÄMTLANDS LÄN</t>
        </is>
      </c>
      <c r="E7272" t="inlineStr">
        <is>
          <t>BRÄCKE</t>
        </is>
      </c>
      <c r="F7272" t="inlineStr">
        <is>
          <t>SCA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59645-2022</t>
        </is>
      </c>
      <c r="B7273" s="1" t="n">
        <v>44908</v>
      </c>
      <c r="C7273" s="1" t="n">
        <v>45363</v>
      </c>
      <c r="D7273" t="inlineStr">
        <is>
          <t>JÄMTLANDS LÄN</t>
        </is>
      </c>
      <c r="E7273" t="inlineStr">
        <is>
          <t>STRÖMSUND</t>
        </is>
      </c>
      <c r="F7273" t="inlineStr">
        <is>
          <t>SCA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59649-2022</t>
        </is>
      </c>
      <c r="B7274" s="1" t="n">
        <v>44908</v>
      </c>
      <c r="C7274" s="1" t="n">
        <v>45363</v>
      </c>
      <c r="D7274" t="inlineStr">
        <is>
          <t>JÄMTLANDS LÄN</t>
        </is>
      </c>
      <c r="E7274" t="inlineStr">
        <is>
          <t>ÖSTERSUND</t>
        </is>
      </c>
      <c r="F7274" t="inlineStr">
        <is>
          <t>SCA</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60845-2022</t>
        </is>
      </c>
      <c r="B7275" s="1" t="n">
        <v>44907</v>
      </c>
      <c r="C7275" s="1" t="n">
        <v>45363</v>
      </c>
      <c r="D7275" t="inlineStr">
        <is>
          <t>JÄMTLANDS LÄN</t>
        </is>
      </c>
      <c r="E7275" t="inlineStr">
        <is>
          <t>BERG</t>
        </is>
      </c>
      <c r="G7275" t="n">
        <v>14.6</v>
      </c>
      <c r="H7275" t="n">
        <v>0</v>
      </c>
      <c r="I7275" t="n">
        <v>0</v>
      </c>
      <c r="J7275" t="n">
        <v>0</v>
      </c>
      <c r="K7275" t="n">
        <v>0</v>
      </c>
      <c r="L7275" t="n">
        <v>0</v>
      </c>
      <c r="M7275" t="n">
        <v>0</v>
      </c>
      <c r="N7275" t="n">
        <v>0</v>
      </c>
      <c r="O7275" t="n">
        <v>0</v>
      </c>
      <c r="P7275" t="n">
        <v>0</v>
      </c>
      <c r="Q7275" t="n">
        <v>0</v>
      </c>
      <c r="R7275" s="2" t="inlineStr"/>
    </row>
    <row r="7276" ht="15" customHeight="1">
      <c r="A7276" t="inlineStr">
        <is>
          <t>A 59642-2022</t>
        </is>
      </c>
      <c r="B7276" s="1" t="n">
        <v>44908</v>
      </c>
      <c r="C7276" s="1" t="n">
        <v>45363</v>
      </c>
      <c r="D7276" t="inlineStr">
        <is>
          <t>JÄMTLANDS LÄN</t>
        </is>
      </c>
      <c r="E7276" t="inlineStr">
        <is>
          <t>BRÄCKE</t>
        </is>
      </c>
      <c r="F7276" t="inlineStr">
        <is>
          <t>SCA</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59646-2022</t>
        </is>
      </c>
      <c r="B7277" s="1" t="n">
        <v>44908</v>
      </c>
      <c r="C7277" s="1" t="n">
        <v>45363</v>
      </c>
      <c r="D7277" t="inlineStr">
        <is>
          <t>JÄMTLANDS LÄN</t>
        </is>
      </c>
      <c r="E7277" t="inlineStr">
        <is>
          <t>STRÖMSUND</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59650-2022</t>
        </is>
      </c>
      <c r="B7278" s="1" t="n">
        <v>44907</v>
      </c>
      <c r="C7278" s="1" t="n">
        <v>45363</v>
      </c>
      <c r="D7278" t="inlineStr">
        <is>
          <t>JÄMTLANDS LÄN</t>
        </is>
      </c>
      <c r="E7278" t="inlineStr">
        <is>
          <t>BERG</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60639-2022</t>
        </is>
      </c>
      <c r="B7279" s="1" t="n">
        <v>44907</v>
      </c>
      <c r="C7279" s="1" t="n">
        <v>45363</v>
      </c>
      <c r="D7279" t="inlineStr">
        <is>
          <t>JÄMTLANDS LÄN</t>
        </is>
      </c>
      <c r="E7279" t="inlineStr">
        <is>
          <t>STRÖMSUND</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60775-2022</t>
        </is>
      </c>
      <c r="B7280" s="1" t="n">
        <v>44907</v>
      </c>
      <c r="C7280" s="1" t="n">
        <v>45363</v>
      </c>
      <c r="D7280" t="inlineStr">
        <is>
          <t>JÄMTLANDS LÄN</t>
        </is>
      </c>
      <c r="E7280" t="inlineStr">
        <is>
          <t>STRÖMSUND</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59643-2022</t>
        </is>
      </c>
      <c r="B7281" s="1" t="n">
        <v>44907</v>
      </c>
      <c r="C7281" s="1" t="n">
        <v>45363</v>
      </c>
      <c r="D7281" t="inlineStr">
        <is>
          <t>JÄMTLANDS LÄN</t>
        </is>
      </c>
      <c r="E7281" t="inlineStr">
        <is>
          <t>BRÄCKE</t>
        </is>
      </c>
      <c r="F7281" t="inlineStr">
        <is>
          <t>SCA</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59651-2022</t>
        </is>
      </c>
      <c r="B7282" s="1" t="n">
        <v>44908</v>
      </c>
      <c r="C7282" s="1" t="n">
        <v>45363</v>
      </c>
      <c r="D7282" t="inlineStr">
        <is>
          <t>JÄMTLANDS LÄN</t>
        </is>
      </c>
      <c r="E7282" t="inlineStr">
        <is>
          <t>BERG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59668-2022</t>
        </is>
      </c>
      <c r="B7283" s="1" t="n">
        <v>44908</v>
      </c>
      <c r="C7283" s="1" t="n">
        <v>45363</v>
      </c>
      <c r="D7283" t="inlineStr">
        <is>
          <t>JÄMTLANDS LÄN</t>
        </is>
      </c>
      <c r="E7283" t="inlineStr">
        <is>
          <t>KROKOM</t>
        </is>
      </c>
      <c r="F7283" t="inlineStr">
        <is>
          <t>Övriga Aktiebolag</t>
        </is>
      </c>
      <c r="G7283" t="n">
        <v>7.8</v>
      </c>
      <c r="H7283" t="n">
        <v>0</v>
      </c>
      <c r="I7283" t="n">
        <v>0</v>
      </c>
      <c r="J7283" t="n">
        <v>0</v>
      </c>
      <c r="K7283" t="n">
        <v>0</v>
      </c>
      <c r="L7283" t="n">
        <v>0</v>
      </c>
      <c r="M7283" t="n">
        <v>0</v>
      </c>
      <c r="N7283" t="n">
        <v>0</v>
      </c>
      <c r="O7283" t="n">
        <v>0</v>
      </c>
      <c r="P7283" t="n">
        <v>0</v>
      </c>
      <c r="Q7283" t="n">
        <v>0</v>
      </c>
      <c r="R7283" s="2" t="inlineStr"/>
    </row>
    <row r="7284" ht="15" customHeight="1">
      <c r="A7284" t="inlineStr">
        <is>
          <t>A 60852-2022</t>
        </is>
      </c>
      <c r="B7284" s="1" t="n">
        <v>44908</v>
      </c>
      <c r="C7284" s="1" t="n">
        <v>45363</v>
      </c>
      <c r="D7284" t="inlineStr">
        <is>
          <t>JÄMTLANDS LÄN</t>
        </is>
      </c>
      <c r="E7284" t="inlineStr">
        <is>
          <t>BERG</t>
        </is>
      </c>
      <c r="G7284" t="n">
        <v>17.3</v>
      </c>
      <c r="H7284" t="n">
        <v>0</v>
      </c>
      <c r="I7284" t="n">
        <v>0</v>
      </c>
      <c r="J7284" t="n">
        <v>0</v>
      </c>
      <c r="K7284" t="n">
        <v>0</v>
      </c>
      <c r="L7284" t="n">
        <v>0</v>
      </c>
      <c r="M7284" t="n">
        <v>0</v>
      </c>
      <c r="N7284" t="n">
        <v>0</v>
      </c>
      <c r="O7284" t="n">
        <v>0</v>
      </c>
      <c r="P7284" t="n">
        <v>0</v>
      </c>
      <c r="Q7284" t="n">
        <v>0</v>
      </c>
      <c r="R7284" s="2" t="inlineStr"/>
    </row>
    <row r="7285" ht="15" customHeight="1">
      <c r="A7285" t="inlineStr">
        <is>
          <t>A 60935-2022</t>
        </is>
      </c>
      <c r="B7285" s="1" t="n">
        <v>44908</v>
      </c>
      <c r="C7285" s="1" t="n">
        <v>45363</v>
      </c>
      <c r="D7285" t="inlineStr">
        <is>
          <t>JÄMTLANDS LÄN</t>
        </is>
      </c>
      <c r="E7285" t="inlineStr">
        <is>
          <t>ÅRE</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60854-2022</t>
        </is>
      </c>
      <c r="B7286" s="1" t="n">
        <v>44908</v>
      </c>
      <c r="C7286" s="1" t="n">
        <v>45363</v>
      </c>
      <c r="D7286" t="inlineStr">
        <is>
          <t>JÄMTLANDS LÄN</t>
        </is>
      </c>
      <c r="E7286" t="inlineStr">
        <is>
          <t>BERG</t>
        </is>
      </c>
      <c r="G7286" t="n">
        <v>26.9</v>
      </c>
      <c r="H7286" t="n">
        <v>0</v>
      </c>
      <c r="I7286" t="n">
        <v>0</v>
      </c>
      <c r="J7286" t="n">
        <v>0</v>
      </c>
      <c r="K7286" t="n">
        <v>0</v>
      </c>
      <c r="L7286" t="n">
        <v>0</v>
      </c>
      <c r="M7286" t="n">
        <v>0</v>
      </c>
      <c r="N7286" t="n">
        <v>0</v>
      </c>
      <c r="O7286" t="n">
        <v>0</v>
      </c>
      <c r="P7286" t="n">
        <v>0</v>
      </c>
      <c r="Q7286" t="n">
        <v>0</v>
      </c>
      <c r="R7286" s="2" t="inlineStr"/>
    </row>
    <row r="7287" ht="15" customHeight="1">
      <c r="A7287" t="inlineStr">
        <is>
          <t>A 60899-2022</t>
        </is>
      </c>
      <c r="B7287" s="1" t="n">
        <v>44908</v>
      </c>
      <c r="C7287" s="1" t="n">
        <v>45363</v>
      </c>
      <c r="D7287" t="inlineStr">
        <is>
          <t>JÄMTLANDS LÄN</t>
        </is>
      </c>
      <c r="E7287" t="inlineStr">
        <is>
          <t>ÅRE</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60944-2022</t>
        </is>
      </c>
      <c r="B7288" s="1" t="n">
        <v>44908</v>
      </c>
      <c r="C7288" s="1" t="n">
        <v>45363</v>
      </c>
      <c r="D7288" t="inlineStr">
        <is>
          <t>JÄMTLANDS LÄN</t>
        </is>
      </c>
      <c r="E7288" t="inlineStr">
        <is>
          <t>ÅRE</t>
        </is>
      </c>
      <c r="G7288" t="n">
        <v>6</v>
      </c>
      <c r="H7288" t="n">
        <v>0</v>
      </c>
      <c r="I7288" t="n">
        <v>0</v>
      </c>
      <c r="J7288" t="n">
        <v>0</v>
      </c>
      <c r="K7288" t="n">
        <v>0</v>
      </c>
      <c r="L7288" t="n">
        <v>0</v>
      </c>
      <c r="M7288" t="n">
        <v>0</v>
      </c>
      <c r="N7288" t="n">
        <v>0</v>
      </c>
      <c r="O7288" t="n">
        <v>0</v>
      </c>
      <c r="P7288" t="n">
        <v>0</v>
      </c>
      <c r="Q7288" t="n">
        <v>0</v>
      </c>
      <c r="R7288" s="2" t="inlineStr"/>
    </row>
    <row r="7289" ht="15" customHeight="1">
      <c r="A7289" t="inlineStr">
        <is>
          <t>A 59824-2022</t>
        </is>
      </c>
      <c r="B7289" s="1" t="n">
        <v>44908</v>
      </c>
      <c r="C7289" s="1" t="n">
        <v>45363</v>
      </c>
      <c r="D7289" t="inlineStr">
        <is>
          <t>JÄMTLANDS LÄN</t>
        </is>
      </c>
      <c r="E7289" t="inlineStr">
        <is>
          <t>HÄRJEDALEN</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59851-2022</t>
        </is>
      </c>
      <c r="B7290" s="1" t="n">
        <v>44908</v>
      </c>
      <c r="C7290" s="1" t="n">
        <v>45363</v>
      </c>
      <c r="D7290" t="inlineStr">
        <is>
          <t>JÄMTLANDS LÄN</t>
        </is>
      </c>
      <c r="E7290" t="inlineStr">
        <is>
          <t>HÄRJEDALEN</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59910-2022</t>
        </is>
      </c>
      <c r="B7291" s="1" t="n">
        <v>44908</v>
      </c>
      <c r="C7291" s="1" t="n">
        <v>45363</v>
      </c>
      <c r="D7291" t="inlineStr">
        <is>
          <t>JÄMTLANDS LÄN</t>
        </is>
      </c>
      <c r="E7291" t="inlineStr">
        <is>
          <t>BRÄCKE</t>
        </is>
      </c>
      <c r="F7291" t="inlineStr">
        <is>
          <t>SCA</t>
        </is>
      </c>
      <c r="G7291" t="n">
        <v>11.2</v>
      </c>
      <c r="H7291" t="n">
        <v>0</v>
      </c>
      <c r="I7291" t="n">
        <v>0</v>
      </c>
      <c r="J7291" t="n">
        <v>0</v>
      </c>
      <c r="K7291" t="n">
        <v>0</v>
      </c>
      <c r="L7291" t="n">
        <v>0</v>
      </c>
      <c r="M7291" t="n">
        <v>0</v>
      </c>
      <c r="N7291" t="n">
        <v>0</v>
      </c>
      <c r="O7291" t="n">
        <v>0</v>
      </c>
      <c r="P7291" t="n">
        <v>0</v>
      </c>
      <c r="Q7291" t="n">
        <v>0</v>
      </c>
      <c r="R7291" s="2" t="inlineStr"/>
    </row>
    <row r="7292" ht="15" customHeight="1">
      <c r="A7292" t="inlineStr">
        <is>
          <t>A 59915-2022</t>
        </is>
      </c>
      <c r="B7292" s="1" t="n">
        <v>44909</v>
      </c>
      <c r="C7292" s="1" t="n">
        <v>45363</v>
      </c>
      <c r="D7292" t="inlineStr">
        <is>
          <t>JÄMTLANDS LÄN</t>
        </is>
      </c>
      <c r="E7292" t="inlineStr">
        <is>
          <t>BRÄCKE</t>
        </is>
      </c>
      <c r="F7292" t="inlineStr">
        <is>
          <t>SCA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59914-2022</t>
        </is>
      </c>
      <c r="B7293" s="1" t="n">
        <v>44909</v>
      </c>
      <c r="C7293" s="1" t="n">
        <v>45363</v>
      </c>
      <c r="D7293" t="inlineStr">
        <is>
          <t>JÄMTLANDS LÄN</t>
        </is>
      </c>
      <c r="E7293" t="inlineStr">
        <is>
          <t>BRÄCKE</t>
        </is>
      </c>
      <c r="F7293" t="inlineStr">
        <is>
          <t>SCA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60921-2022</t>
        </is>
      </c>
      <c r="B7294" s="1" t="n">
        <v>44908</v>
      </c>
      <c r="C7294" s="1" t="n">
        <v>45363</v>
      </c>
      <c r="D7294" t="inlineStr">
        <is>
          <t>JÄMTLANDS LÄN</t>
        </is>
      </c>
      <c r="E7294" t="inlineStr">
        <is>
          <t>ÅRE</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60941-2022</t>
        </is>
      </c>
      <c r="B7295" s="1" t="n">
        <v>44908</v>
      </c>
      <c r="C7295" s="1" t="n">
        <v>45363</v>
      </c>
      <c r="D7295" t="inlineStr">
        <is>
          <t>JÄMTLANDS LÄN</t>
        </is>
      </c>
      <c r="E7295" t="inlineStr">
        <is>
          <t>ÅRE</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59828-2022</t>
        </is>
      </c>
      <c r="B7296" s="1" t="n">
        <v>44908</v>
      </c>
      <c r="C7296" s="1" t="n">
        <v>45363</v>
      </c>
      <c r="D7296" t="inlineStr">
        <is>
          <t>JÄMTLANDS LÄN</t>
        </is>
      </c>
      <c r="E7296" t="inlineStr">
        <is>
          <t>HÄRJEDALEN</t>
        </is>
      </c>
      <c r="G7296" t="n">
        <v>7.4</v>
      </c>
      <c r="H7296" t="n">
        <v>0</v>
      </c>
      <c r="I7296" t="n">
        <v>0</v>
      </c>
      <c r="J7296" t="n">
        <v>0</v>
      </c>
      <c r="K7296" t="n">
        <v>0</v>
      </c>
      <c r="L7296" t="n">
        <v>0</v>
      </c>
      <c r="M7296" t="n">
        <v>0</v>
      </c>
      <c r="N7296" t="n">
        <v>0</v>
      </c>
      <c r="O7296" t="n">
        <v>0</v>
      </c>
      <c r="P7296" t="n">
        <v>0</v>
      </c>
      <c r="Q7296" t="n">
        <v>0</v>
      </c>
      <c r="R7296" s="2" t="inlineStr"/>
    </row>
    <row r="7297" ht="15" customHeight="1">
      <c r="A7297" t="inlineStr">
        <is>
          <t>A 59818-2022</t>
        </is>
      </c>
      <c r="B7297" s="1" t="n">
        <v>44908</v>
      </c>
      <c r="C7297" s="1" t="n">
        <v>45363</v>
      </c>
      <c r="D7297" t="inlineStr">
        <is>
          <t>JÄMTLANDS LÄN</t>
        </is>
      </c>
      <c r="E7297" t="inlineStr">
        <is>
          <t>HÄRJEDALEN</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59911-2022</t>
        </is>
      </c>
      <c r="B7298" s="1" t="n">
        <v>44909</v>
      </c>
      <c r="C7298" s="1" t="n">
        <v>45363</v>
      </c>
      <c r="D7298" t="inlineStr">
        <is>
          <t>JÄMTLANDS LÄN</t>
        </is>
      </c>
      <c r="E7298" t="inlineStr">
        <is>
          <t>RAGUNDA</t>
        </is>
      </c>
      <c r="F7298" t="inlineStr">
        <is>
          <t>SCA</t>
        </is>
      </c>
      <c r="G7298" t="n">
        <v>17.1</v>
      </c>
      <c r="H7298" t="n">
        <v>0</v>
      </c>
      <c r="I7298" t="n">
        <v>0</v>
      </c>
      <c r="J7298" t="n">
        <v>0</v>
      </c>
      <c r="K7298" t="n">
        <v>0</v>
      </c>
      <c r="L7298" t="n">
        <v>0</v>
      </c>
      <c r="M7298" t="n">
        <v>0</v>
      </c>
      <c r="N7298" t="n">
        <v>0</v>
      </c>
      <c r="O7298" t="n">
        <v>0</v>
      </c>
      <c r="P7298" t="n">
        <v>0</v>
      </c>
      <c r="Q7298" t="n">
        <v>0</v>
      </c>
      <c r="R7298" s="2" t="inlineStr"/>
    </row>
    <row r="7299" ht="15" customHeight="1">
      <c r="A7299" t="inlineStr">
        <is>
          <t>A 59916-2022</t>
        </is>
      </c>
      <c r="B7299" s="1" t="n">
        <v>44909</v>
      </c>
      <c r="C7299" s="1" t="n">
        <v>45363</v>
      </c>
      <c r="D7299" t="inlineStr">
        <is>
          <t>JÄMTLANDS LÄN</t>
        </is>
      </c>
      <c r="E7299" t="inlineStr">
        <is>
          <t>BRÄCKE</t>
        </is>
      </c>
      <c r="F7299" t="inlineStr">
        <is>
          <t>SCA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59932-2022</t>
        </is>
      </c>
      <c r="B7300" s="1" t="n">
        <v>44909</v>
      </c>
      <c r="C7300" s="1" t="n">
        <v>45363</v>
      </c>
      <c r="D7300" t="inlineStr">
        <is>
          <t>JÄMTLANDS LÄN</t>
        </is>
      </c>
      <c r="E7300" t="inlineStr">
        <is>
          <t>BRÄCKE</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60174-2022</t>
        </is>
      </c>
      <c r="B7301" s="1" t="n">
        <v>44910</v>
      </c>
      <c r="C7301" s="1" t="n">
        <v>45363</v>
      </c>
      <c r="D7301" t="inlineStr">
        <is>
          <t>JÄMTLANDS LÄN</t>
        </is>
      </c>
      <c r="E7301" t="inlineStr">
        <is>
          <t>ÖSTERSUND</t>
        </is>
      </c>
      <c r="F7301" t="inlineStr">
        <is>
          <t>SCA</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61248-2022</t>
        </is>
      </c>
      <c r="B7302" s="1" t="n">
        <v>44909</v>
      </c>
      <c r="C7302" s="1" t="n">
        <v>45363</v>
      </c>
      <c r="D7302" t="inlineStr">
        <is>
          <t>JÄMTLANDS LÄN</t>
        </is>
      </c>
      <c r="E7302" t="inlineStr">
        <is>
          <t>BERG</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61256-2022</t>
        </is>
      </c>
      <c r="B7303" s="1" t="n">
        <v>44909</v>
      </c>
      <c r="C7303" s="1" t="n">
        <v>45363</v>
      </c>
      <c r="D7303" t="inlineStr">
        <is>
          <t>JÄMTLANDS LÄN</t>
        </is>
      </c>
      <c r="E7303" t="inlineStr">
        <is>
          <t>ÖSTERSUND</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61251-2022</t>
        </is>
      </c>
      <c r="B7304" s="1" t="n">
        <v>44909</v>
      </c>
      <c r="C7304" s="1" t="n">
        <v>45363</v>
      </c>
      <c r="D7304" t="inlineStr">
        <is>
          <t>JÄMTLANDS LÄN</t>
        </is>
      </c>
      <c r="E7304" t="inlineStr">
        <is>
          <t>BERG</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61300-2022</t>
        </is>
      </c>
      <c r="B7305" s="1" t="n">
        <v>44909</v>
      </c>
      <c r="C7305" s="1" t="n">
        <v>45363</v>
      </c>
      <c r="D7305" t="inlineStr">
        <is>
          <t>JÄMTLANDS LÄN</t>
        </is>
      </c>
      <c r="E7305" t="inlineStr">
        <is>
          <t>HÄRJEDALEN</t>
        </is>
      </c>
      <c r="F7305" t="inlineStr">
        <is>
          <t>Bergvik skog väst AB</t>
        </is>
      </c>
      <c r="G7305" t="n">
        <v>14.1</v>
      </c>
      <c r="H7305" t="n">
        <v>0</v>
      </c>
      <c r="I7305" t="n">
        <v>0</v>
      </c>
      <c r="J7305" t="n">
        <v>0</v>
      </c>
      <c r="K7305" t="n">
        <v>0</v>
      </c>
      <c r="L7305" t="n">
        <v>0</v>
      </c>
      <c r="M7305" t="n">
        <v>0</v>
      </c>
      <c r="N7305" t="n">
        <v>0</v>
      </c>
      <c r="O7305" t="n">
        <v>0</v>
      </c>
      <c r="P7305" t="n">
        <v>0</v>
      </c>
      <c r="Q7305" t="n">
        <v>0</v>
      </c>
      <c r="R7305" s="2" t="inlineStr"/>
    </row>
    <row r="7306" ht="15" customHeight="1">
      <c r="A7306" t="inlineStr">
        <is>
          <t>A 61340-2022</t>
        </is>
      </c>
      <c r="B7306" s="1" t="n">
        <v>44909</v>
      </c>
      <c r="C7306" s="1" t="n">
        <v>45363</v>
      </c>
      <c r="D7306" t="inlineStr">
        <is>
          <t>JÄMTLANDS LÄN</t>
        </is>
      </c>
      <c r="E7306" t="inlineStr">
        <is>
          <t>ÅRE</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60002-2022</t>
        </is>
      </c>
      <c r="B7307" s="1" t="n">
        <v>44909</v>
      </c>
      <c r="C7307" s="1" t="n">
        <v>45363</v>
      </c>
      <c r="D7307" t="inlineStr">
        <is>
          <t>JÄMTLANDS LÄN</t>
        </is>
      </c>
      <c r="E7307" t="inlineStr">
        <is>
          <t>STRÖMSUND</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60177-2022</t>
        </is>
      </c>
      <c r="B7308" s="1" t="n">
        <v>44909</v>
      </c>
      <c r="C7308" s="1" t="n">
        <v>45363</v>
      </c>
      <c r="D7308" t="inlineStr">
        <is>
          <t>JÄMTLANDS LÄN</t>
        </is>
      </c>
      <c r="E7308" t="inlineStr">
        <is>
          <t>RAGUNDA</t>
        </is>
      </c>
      <c r="F7308" t="inlineStr">
        <is>
          <t>SCA</t>
        </is>
      </c>
      <c r="G7308" t="n">
        <v>17.9</v>
      </c>
      <c r="H7308" t="n">
        <v>0</v>
      </c>
      <c r="I7308" t="n">
        <v>0</v>
      </c>
      <c r="J7308" t="n">
        <v>0</v>
      </c>
      <c r="K7308" t="n">
        <v>0</v>
      </c>
      <c r="L7308" t="n">
        <v>0</v>
      </c>
      <c r="M7308" t="n">
        <v>0</v>
      </c>
      <c r="N7308" t="n">
        <v>0</v>
      </c>
      <c r="O7308" t="n">
        <v>0</v>
      </c>
      <c r="P7308" t="n">
        <v>0</v>
      </c>
      <c r="Q7308" t="n">
        <v>0</v>
      </c>
      <c r="R7308" s="2" t="inlineStr"/>
    </row>
    <row r="7309" ht="15" customHeight="1">
      <c r="A7309" t="inlineStr">
        <is>
          <t>A 60178-2022</t>
        </is>
      </c>
      <c r="B7309" s="1" t="n">
        <v>44909</v>
      </c>
      <c r="C7309" s="1" t="n">
        <v>45363</v>
      </c>
      <c r="D7309" t="inlineStr">
        <is>
          <t>JÄMTLANDS LÄN</t>
        </is>
      </c>
      <c r="E7309" t="inlineStr">
        <is>
          <t>BRÄCKE</t>
        </is>
      </c>
      <c r="F7309" t="inlineStr">
        <is>
          <t>SCA</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61239-2022</t>
        </is>
      </c>
      <c r="B7310" s="1" t="n">
        <v>44909</v>
      </c>
      <c r="C7310" s="1" t="n">
        <v>45363</v>
      </c>
      <c r="D7310" t="inlineStr">
        <is>
          <t>JÄMTLANDS LÄN</t>
        </is>
      </c>
      <c r="E7310" t="inlineStr">
        <is>
          <t>BERG</t>
        </is>
      </c>
      <c r="G7310" t="n">
        <v>13.5</v>
      </c>
      <c r="H7310" t="n">
        <v>0</v>
      </c>
      <c r="I7310" t="n">
        <v>0</v>
      </c>
      <c r="J7310" t="n">
        <v>0</v>
      </c>
      <c r="K7310" t="n">
        <v>0</v>
      </c>
      <c r="L7310" t="n">
        <v>0</v>
      </c>
      <c r="M7310" t="n">
        <v>0</v>
      </c>
      <c r="N7310" t="n">
        <v>0</v>
      </c>
      <c r="O7310" t="n">
        <v>0</v>
      </c>
      <c r="P7310" t="n">
        <v>0</v>
      </c>
      <c r="Q7310" t="n">
        <v>0</v>
      </c>
      <c r="R7310" s="2" t="inlineStr"/>
    </row>
    <row r="7311" ht="15" customHeight="1">
      <c r="A7311" t="inlineStr">
        <is>
          <t>A 61255-2022</t>
        </is>
      </c>
      <c r="B7311" s="1" t="n">
        <v>44909</v>
      </c>
      <c r="C7311" s="1" t="n">
        <v>45363</v>
      </c>
      <c r="D7311" t="inlineStr">
        <is>
          <t>JÄMTLANDS LÄN</t>
        </is>
      </c>
      <c r="E7311" t="inlineStr">
        <is>
          <t>BERG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60236-2022</t>
        </is>
      </c>
      <c r="B7312" s="1" t="n">
        <v>44910</v>
      </c>
      <c r="C7312" s="1" t="n">
        <v>45363</v>
      </c>
      <c r="D7312" t="inlineStr">
        <is>
          <t>JÄMTLANDS LÄN</t>
        </is>
      </c>
      <c r="E7312" t="inlineStr">
        <is>
          <t>HÄRJEDALEN</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60417-2022</t>
        </is>
      </c>
      <c r="B7313" s="1" t="n">
        <v>44911</v>
      </c>
      <c r="C7313" s="1" t="n">
        <v>45363</v>
      </c>
      <c r="D7313" t="inlineStr">
        <is>
          <t>JÄMTLANDS LÄN</t>
        </is>
      </c>
      <c r="E7313" t="inlineStr">
        <is>
          <t>BRÄCKE</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61481-2022</t>
        </is>
      </c>
      <c r="B7314" s="1" t="n">
        <v>44910</v>
      </c>
      <c r="C7314" s="1" t="n">
        <v>45363</v>
      </c>
      <c r="D7314" t="inlineStr">
        <is>
          <t>JÄMTLANDS LÄN</t>
        </is>
      </c>
      <c r="E7314" t="inlineStr">
        <is>
          <t>ÅRE</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60430-2022</t>
        </is>
      </c>
      <c r="B7315" s="1" t="n">
        <v>44911</v>
      </c>
      <c r="C7315" s="1" t="n">
        <v>45363</v>
      </c>
      <c r="D7315" t="inlineStr">
        <is>
          <t>JÄMTLANDS LÄN</t>
        </is>
      </c>
      <c r="E7315" t="inlineStr">
        <is>
          <t>ÖSTERSUND</t>
        </is>
      </c>
      <c r="F7315" t="inlineStr">
        <is>
          <t>Övriga Aktiebolag</t>
        </is>
      </c>
      <c r="G7315" t="n">
        <v>24.2</v>
      </c>
      <c r="H7315" t="n">
        <v>0</v>
      </c>
      <c r="I7315" t="n">
        <v>0</v>
      </c>
      <c r="J7315" t="n">
        <v>0</v>
      </c>
      <c r="K7315" t="n">
        <v>0</v>
      </c>
      <c r="L7315" t="n">
        <v>0</v>
      </c>
      <c r="M7315" t="n">
        <v>0</v>
      </c>
      <c r="N7315" t="n">
        <v>0</v>
      </c>
      <c r="O7315" t="n">
        <v>0</v>
      </c>
      <c r="P7315" t="n">
        <v>0</v>
      </c>
      <c r="Q7315" t="n">
        <v>0</v>
      </c>
      <c r="R7315" s="2" t="inlineStr"/>
    </row>
    <row r="7316" ht="15" customHeight="1">
      <c r="A7316" t="inlineStr">
        <is>
          <t>A 60542-2022</t>
        </is>
      </c>
      <c r="B7316" s="1" t="n">
        <v>44911</v>
      </c>
      <c r="C7316" s="1" t="n">
        <v>45363</v>
      </c>
      <c r="D7316" t="inlineStr">
        <is>
          <t>JÄMTLANDS LÄN</t>
        </is>
      </c>
      <c r="E7316" t="inlineStr">
        <is>
          <t>HÄRJEDALEN</t>
        </is>
      </c>
      <c r="F7316" t="inlineStr">
        <is>
          <t>Bergvik skog väst AB</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60575-2022</t>
        </is>
      </c>
      <c r="B7317" s="1" t="n">
        <v>44911</v>
      </c>
      <c r="C7317" s="1" t="n">
        <v>45363</v>
      </c>
      <c r="D7317" t="inlineStr">
        <is>
          <t>JÄMTLANDS LÄN</t>
        </is>
      </c>
      <c r="E7317" t="inlineStr">
        <is>
          <t>ÖSTERSUND</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60660-2022</t>
        </is>
      </c>
      <c r="B7318" s="1" t="n">
        <v>44911</v>
      </c>
      <c r="C7318" s="1" t="n">
        <v>45363</v>
      </c>
      <c r="D7318" t="inlineStr">
        <is>
          <t>JÄMTLANDS LÄN</t>
        </is>
      </c>
      <c r="E7318" t="inlineStr">
        <is>
          <t>RAGUNDA</t>
        </is>
      </c>
      <c r="F7318" t="inlineStr">
        <is>
          <t>SCA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60674-2022</t>
        </is>
      </c>
      <c r="B7319" s="1" t="n">
        <v>44911</v>
      </c>
      <c r="C7319" s="1" t="n">
        <v>45363</v>
      </c>
      <c r="D7319" t="inlineStr">
        <is>
          <t>JÄMTLANDS LÄN</t>
        </is>
      </c>
      <c r="E7319" t="inlineStr">
        <is>
          <t>ÖSTERSUND</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60426-2022</t>
        </is>
      </c>
      <c r="B7320" s="1" t="n">
        <v>44911</v>
      </c>
      <c r="C7320" s="1" t="n">
        <v>45363</v>
      </c>
      <c r="D7320" t="inlineStr">
        <is>
          <t>JÄMTLANDS LÄN</t>
        </is>
      </c>
      <c r="E7320" t="inlineStr">
        <is>
          <t>ÅRE</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60437-2022</t>
        </is>
      </c>
      <c r="B7321" s="1" t="n">
        <v>44911</v>
      </c>
      <c r="C7321" s="1" t="n">
        <v>45363</v>
      </c>
      <c r="D7321" t="inlineStr">
        <is>
          <t>JÄMTLANDS LÄN</t>
        </is>
      </c>
      <c r="E7321" t="inlineStr">
        <is>
          <t>ÅRE</t>
        </is>
      </c>
      <c r="F7321" t="inlineStr">
        <is>
          <t>Övriga Aktiebolag</t>
        </is>
      </c>
      <c r="G7321" t="n">
        <v>9.4</v>
      </c>
      <c r="H7321" t="n">
        <v>0</v>
      </c>
      <c r="I7321" t="n">
        <v>0</v>
      </c>
      <c r="J7321" t="n">
        <v>0</v>
      </c>
      <c r="K7321" t="n">
        <v>0</v>
      </c>
      <c r="L7321" t="n">
        <v>0</v>
      </c>
      <c r="M7321" t="n">
        <v>0</v>
      </c>
      <c r="N7321" t="n">
        <v>0</v>
      </c>
      <c r="O7321" t="n">
        <v>0</v>
      </c>
      <c r="P7321" t="n">
        <v>0</v>
      </c>
      <c r="Q7321" t="n">
        <v>0</v>
      </c>
      <c r="R7321" s="2" t="inlineStr"/>
    </row>
    <row r="7322" ht="15" customHeight="1">
      <c r="A7322" t="inlineStr">
        <is>
          <t>A 60587-2022</t>
        </is>
      </c>
      <c r="B7322" s="1" t="n">
        <v>44911</v>
      </c>
      <c r="C7322" s="1" t="n">
        <v>45363</v>
      </c>
      <c r="D7322" t="inlineStr">
        <is>
          <t>JÄMTLANDS LÄN</t>
        </is>
      </c>
      <c r="E7322" t="inlineStr">
        <is>
          <t>BERG</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60659-2022</t>
        </is>
      </c>
      <c r="B7323" s="1" t="n">
        <v>44911</v>
      </c>
      <c r="C7323" s="1" t="n">
        <v>45363</v>
      </c>
      <c r="D7323" t="inlineStr">
        <is>
          <t>JÄMTLANDS LÄN</t>
        </is>
      </c>
      <c r="E7323" t="inlineStr">
        <is>
          <t>RAGUNDA</t>
        </is>
      </c>
      <c r="F7323" t="inlineStr">
        <is>
          <t>SCA</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60668-2022</t>
        </is>
      </c>
      <c r="B7324" s="1" t="n">
        <v>44911</v>
      </c>
      <c r="C7324" s="1" t="n">
        <v>45363</v>
      </c>
      <c r="D7324" t="inlineStr">
        <is>
          <t>JÄMTLANDS LÄN</t>
        </is>
      </c>
      <c r="E7324" t="inlineStr">
        <is>
          <t>BERG</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60673-2022</t>
        </is>
      </c>
      <c r="B7325" s="1" t="n">
        <v>44911</v>
      </c>
      <c r="C7325" s="1" t="n">
        <v>45363</v>
      </c>
      <c r="D7325" t="inlineStr">
        <is>
          <t>JÄMTLANDS LÄN</t>
        </is>
      </c>
      <c r="E7325" t="inlineStr">
        <is>
          <t>RAGUNDA</t>
        </is>
      </c>
      <c r="F7325" t="inlineStr">
        <is>
          <t>SCA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60677-2022</t>
        </is>
      </c>
      <c r="B7326" s="1" t="n">
        <v>44911</v>
      </c>
      <c r="C7326" s="1" t="n">
        <v>45363</v>
      </c>
      <c r="D7326" t="inlineStr">
        <is>
          <t>JÄMTLANDS LÄN</t>
        </is>
      </c>
      <c r="E7326" t="inlineStr">
        <is>
          <t>ÖSTERSUND</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60681-2022</t>
        </is>
      </c>
      <c r="B7327" s="1" t="n">
        <v>44911</v>
      </c>
      <c r="C7327" s="1" t="n">
        <v>45363</v>
      </c>
      <c r="D7327" t="inlineStr">
        <is>
          <t>JÄMTLANDS LÄN</t>
        </is>
      </c>
      <c r="E7327" t="inlineStr">
        <is>
          <t>ÖSTERSUND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60678-2022</t>
        </is>
      </c>
      <c r="B7328" s="1" t="n">
        <v>44911</v>
      </c>
      <c r="C7328" s="1" t="n">
        <v>45363</v>
      </c>
      <c r="D7328" t="inlineStr">
        <is>
          <t>JÄMTLANDS LÄN</t>
        </is>
      </c>
      <c r="E7328" t="inlineStr">
        <is>
          <t>ÖSTERSUND</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60536-2022</t>
        </is>
      </c>
      <c r="B7329" s="1" t="n">
        <v>44911</v>
      </c>
      <c r="C7329" s="1" t="n">
        <v>45363</v>
      </c>
      <c r="D7329" t="inlineStr">
        <is>
          <t>JÄMTLANDS LÄN</t>
        </is>
      </c>
      <c r="E7329" t="inlineStr">
        <is>
          <t>KROKOM</t>
        </is>
      </c>
      <c r="F7329" t="inlineStr">
        <is>
          <t>Övriga Aktiebolag</t>
        </is>
      </c>
      <c r="G7329" t="n">
        <v>39.4</v>
      </c>
      <c r="H7329" t="n">
        <v>0</v>
      </c>
      <c r="I7329" t="n">
        <v>0</v>
      </c>
      <c r="J7329" t="n">
        <v>0</v>
      </c>
      <c r="K7329" t="n">
        <v>0</v>
      </c>
      <c r="L7329" t="n">
        <v>0</v>
      </c>
      <c r="M7329" t="n">
        <v>0</v>
      </c>
      <c r="N7329" t="n">
        <v>0</v>
      </c>
      <c r="O7329" t="n">
        <v>0</v>
      </c>
      <c r="P7329" t="n">
        <v>0</v>
      </c>
      <c r="Q7329" t="n">
        <v>0</v>
      </c>
      <c r="R7329" s="2" t="inlineStr"/>
    </row>
    <row r="7330" ht="15" customHeight="1">
      <c r="A7330" t="inlineStr">
        <is>
          <t>A 60560-2022</t>
        </is>
      </c>
      <c r="B7330" s="1" t="n">
        <v>44911</v>
      </c>
      <c r="C7330" s="1" t="n">
        <v>45363</v>
      </c>
      <c r="D7330" t="inlineStr">
        <is>
          <t>JÄMTLANDS LÄN</t>
        </is>
      </c>
      <c r="E7330" t="inlineStr">
        <is>
          <t>ÖSTERSUND</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60663-2022</t>
        </is>
      </c>
      <c r="B7331" s="1" t="n">
        <v>44911</v>
      </c>
      <c r="C7331" s="1" t="n">
        <v>45363</v>
      </c>
      <c r="D7331" t="inlineStr">
        <is>
          <t>JÄMTLANDS LÄN</t>
        </is>
      </c>
      <c r="E7331" t="inlineStr">
        <is>
          <t>RAGUNDA</t>
        </is>
      </c>
      <c r="F7331" t="inlineStr">
        <is>
          <t>SCA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60667-2022</t>
        </is>
      </c>
      <c r="B7332" s="1" t="n">
        <v>44911</v>
      </c>
      <c r="C7332" s="1" t="n">
        <v>45363</v>
      </c>
      <c r="D7332" t="inlineStr">
        <is>
          <t>JÄMTLANDS LÄN</t>
        </is>
      </c>
      <c r="E7332" t="inlineStr">
        <is>
          <t>STRÖMSUND</t>
        </is>
      </c>
      <c r="F7332" t="inlineStr">
        <is>
          <t>SCA</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60676-2022</t>
        </is>
      </c>
      <c r="B7333" s="1" t="n">
        <v>44911</v>
      </c>
      <c r="C7333" s="1" t="n">
        <v>45363</v>
      </c>
      <c r="D7333" t="inlineStr">
        <is>
          <t>JÄMTLANDS LÄN</t>
        </is>
      </c>
      <c r="E7333" t="inlineStr">
        <is>
          <t>ÖSTERSUND</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60680-2022</t>
        </is>
      </c>
      <c r="B7334" s="1" t="n">
        <v>44911</v>
      </c>
      <c r="C7334" s="1" t="n">
        <v>45363</v>
      </c>
      <c r="D7334" t="inlineStr">
        <is>
          <t>JÄMTLANDS LÄN</t>
        </is>
      </c>
      <c r="E7334" t="inlineStr">
        <is>
          <t>ÖSTERSUND</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60623-2022</t>
        </is>
      </c>
      <c r="B7335" s="1" t="n">
        <v>44911</v>
      </c>
      <c r="C7335" s="1" t="n">
        <v>45363</v>
      </c>
      <c r="D7335" t="inlineStr">
        <is>
          <t>JÄMTLANDS LÄN</t>
        </is>
      </c>
      <c r="E7335" t="inlineStr">
        <is>
          <t>ÖSTERSUND</t>
        </is>
      </c>
      <c r="G7335" t="n">
        <v>10.9</v>
      </c>
      <c r="H7335" t="n">
        <v>0</v>
      </c>
      <c r="I7335" t="n">
        <v>0</v>
      </c>
      <c r="J7335" t="n">
        <v>0</v>
      </c>
      <c r="K7335" t="n">
        <v>0</v>
      </c>
      <c r="L7335" t="n">
        <v>0</v>
      </c>
      <c r="M7335" t="n">
        <v>0</v>
      </c>
      <c r="N7335" t="n">
        <v>0</v>
      </c>
      <c r="O7335" t="n">
        <v>0</v>
      </c>
      <c r="P7335" t="n">
        <v>0</v>
      </c>
      <c r="Q7335" t="n">
        <v>0</v>
      </c>
      <c r="R7335" s="2" t="inlineStr"/>
    </row>
    <row r="7336" ht="15" customHeight="1">
      <c r="A7336" t="inlineStr">
        <is>
          <t>A 60657-2022</t>
        </is>
      </c>
      <c r="B7336" s="1" t="n">
        <v>44911</v>
      </c>
      <c r="C7336" s="1" t="n">
        <v>45363</v>
      </c>
      <c r="D7336" t="inlineStr">
        <is>
          <t>JÄMTLANDS LÄN</t>
        </is>
      </c>
      <c r="E7336" t="inlineStr">
        <is>
          <t>BERG</t>
        </is>
      </c>
      <c r="G7336" t="n">
        <v>11.7</v>
      </c>
      <c r="H7336" t="n">
        <v>0</v>
      </c>
      <c r="I7336" t="n">
        <v>0</v>
      </c>
      <c r="J7336" t="n">
        <v>0</v>
      </c>
      <c r="K7336" t="n">
        <v>0</v>
      </c>
      <c r="L7336" t="n">
        <v>0</v>
      </c>
      <c r="M7336" t="n">
        <v>0</v>
      </c>
      <c r="N7336" t="n">
        <v>0</v>
      </c>
      <c r="O7336" t="n">
        <v>0</v>
      </c>
      <c r="P7336" t="n">
        <v>0</v>
      </c>
      <c r="Q7336" t="n">
        <v>0</v>
      </c>
      <c r="R7336" s="2" t="inlineStr"/>
    </row>
    <row r="7337" ht="15" customHeight="1">
      <c r="A7337" t="inlineStr">
        <is>
          <t>A 60661-2022</t>
        </is>
      </c>
      <c r="B7337" s="1" t="n">
        <v>44911</v>
      </c>
      <c r="C7337" s="1" t="n">
        <v>45363</v>
      </c>
      <c r="D7337" t="inlineStr">
        <is>
          <t>JÄMTLANDS LÄN</t>
        </is>
      </c>
      <c r="E7337" t="inlineStr">
        <is>
          <t>BRÄCKE</t>
        </is>
      </c>
      <c r="F7337" t="inlineStr">
        <is>
          <t>SCA</t>
        </is>
      </c>
      <c r="G7337" t="n">
        <v>7</v>
      </c>
      <c r="H7337" t="n">
        <v>0</v>
      </c>
      <c r="I7337" t="n">
        <v>0</v>
      </c>
      <c r="J7337" t="n">
        <v>0</v>
      </c>
      <c r="K7337" t="n">
        <v>0</v>
      </c>
      <c r="L7337" t="n">
        <v>0</v>
      </c>
      <c r="M7337" t="n">
        <v>0</v>
      </c>
      <c r="N7337" t="n">
        <v>0</v>
      </c>
      <c r="O7337" t="n">
        <v>0</v>
      </c>
      <c r="P7337" t="n">
        <v>0</v>
      </c>
      <c r="Q7337" t="n">
        <v>0</v>
      </c>
      <c r="R7337" s="2" t="inlineStr"/>
    </row>
    <row r="7338" ht="15" customHeight="1">
      <c r="A7338" t="inlineStr">
        <is>
          <t>A 60675-2022</t>
        </is>
      </c>
      <c r="B7338" s="1" t="n">
        <v>44911</v>
      </c>
      <c r="C7338" s="1" t="n">
        <v>45363</v>
      </c>
      <c r="D7338" t="inlineStr">
        <is>
          <t>JÄMTLANDS LÄN</t>
        </is>
      </c>
      <c r="E7338" t="inlineStr">
        <is>
          <t>ÖSTERSUND</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60679-2022</t>
        </is>
      </c>
      <c r="B7339" s="1" t="n">
        <v>44911</v>
      </c>
      <c r="C7339" s="1" t="n">
        <v>45363</v>
      </c>
      <c r="D7339" t="inlineStr">
        <is>
          <t>JÄMTLANDS LÄN</t>
        </is>
      </c>
      <c r="E7339" t="inlineStr">
        <is>
          <t>ÖSTERSUND</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60699-2022</t>
        </is>
      </c>
      <c r="B7340" s="1" t="n">
        <v>44911</v>
      </c>
      <c r="C7340" s="1" t="n">
        <v>45363</v>
      </c>
      <c r="D7340" t="inlineStr">
        <is>
          <t>JÄMTLANDS LÄN</t>
        </is>
      </c>
      <c r="E7340" t="inlineStr">
        <is>
          <t>RAGUNDA</t>
        </is>
      </c>
      <c r="F7340" t="inlineStr">
        <is>
          <t>SCA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61675-2022</t>
        </is>
      </c>
      <c r="B7341" s="1" t="n">
        <v>44911</v>
      </c>
      <c r="C7341" s="1" t="n">
        <v>45363</v>
      </c>
      <c r="D7341" t="inlineStr">
        <is>
          <t>JÄMTLANDS LÄN</t>
        </is>
      </c>
      <c r="E7341" t="inlineStr">
        <is>
          <t>KROKOM</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60741-2022</t>
        </is>
      </c>
      <c r="B7342" s="1" t="n">
        <v>44913</v>
      </c>
      <c r="C7342" s="1" t="n">
        <v>45363</v>
      </c>
      <c r="D7342" t="inlineStr">
        <is>
          <t>JÄMTLANDS LÄN</t>
        </is>
      </c>
      <c r="E7342" t="inlineStr">
        <is>
          <t>STRÖMSUND</t>
        </is>
      </c>
      <c r="F7342" t="inlineStr">
        <is>
          <t>SCA</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60739-2022</t>
        </is>
      </c>
      <c r="B7343" s="1" t="n">
        <v>44913</v>
      </c>
      <c r="C7343" s="1" t="n">
        <v>45363</v>
      </c>
      <c r="D7343" t="inlineStr">
        <is>
          <t>JÄMTLANDS LÄN</t>
        </is>
      </c>
      <c r="E7343" t="inlineStr">
        <is>
          <t>RAGUNDA</t>
        </is>
      </c>
      <c r="F7343" t="inlineStr">
        <is>
          <t>Naturvårdsverket</t>
        </is>
      </c>
      <c r="G7343" t="n">
        <v>6.6</v>
      </c>
      <c r="H7343" t="n">
        <v>0</v>
      </c>
      <c r="I7343" t="n">
        <v>0</v>
      </c>
      <c r="J7343" t="n">
        <v>0</v>
      </c>
      <c r="K7343" t="n">
        <v>0</v>
      </c>
      <c r="L7343" t="n">
        <v>0</v>
      </c>
      <c r="M7343" t="n">
        <v>0</v>
      </c>
      <c r="N7343" t="n">
        <v>0</v>
      </c>
      <c r="O7343" t="n">
        <v>0</v>
      </c>
      <c r="P7343" t="n">
        <v>0</v>
      </c>
      <c r="Q7343" t="n">
        <v>0</v>
      </c>
      <c r="R7343" s="2" t="inlineStr"/>
    </row>
    <row r="7344" ht="15" customHeight="1">
      <c r="A7344" t="inlineStr">
        <is>
          <t>A 60740-2022</t>
        </is>
      </c>
      <c r="B7344" s="1" t="n">
        <v>44913</v>
      </c>
      <c r="C7344" s="1" t="n">
        <v>45363</v>
      </c>
      <c r="D7344" t="inlineStr">
        <is>
          <t>JÄMTLANDS LÄN</t>
        </is>
      </c>
      <c r="E7344" t="inlineStr">
        <is>
          <t>STRÖMSUND</t>
        </is>
      </c>
      <c r="F7344" t="inlineStr">
        <is>
          <t>SCA</t>
        </is>
      </c>
      <c r="G7344" t="n">
        <v>16.7</v>
      </c>
      <c r="H7344" t="n">
        <v>0</v>
      </c>
      <c r="I7344" t="n">
        <v>0</v>
      </c>
      <c r="J7344" t="n">
        <v>0</v>
      </c>
      <c r="K7344" t="n">
        <v>0</v>
      </c>
      <c r="L7344" t="n">
        <v>0</v>
      </c>
      <c r="M7344" t="n">
        <v>0</v>
      </c>
      <c r="N7344" t="n">
        <v>0</v>
      </c>
      <c r="O7344" t="n">
        <v>0</v>
      </c>
      <c r="P7344" t="n">
        <v>0</v>
      </c>
      <c r="Q7344" t="n">
        <v>0</v>
      </c>
      <c r="R7344" s="2" t="inlineStr"/>
    </row>
    <row r="7345" ht="15" customHeight="1">
      <c r="A7345" t="inlineStr">
        <is>
          <t>A 60742-2022</t>
        </is>
      </c>
      <c r="B7345" s="1" t="n">
        <v>44913</v>
      </c>
      <c r="C7345" s="1" t="n">
        <v>45363</v>
      </c>
      <c r="D7345" t="inlineStr">
        <is>
          <t>JÄMTLANDS LÄN</t>
        </is>
      </c>
      <c r="E7345" t="inlineStr">
        <is>
          <t>STRÖMSUND</t>
        </is>
      </c>
      <c r="F7345" t="inlineStr">
        <is>
          <t>SCA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60767-2022</t>
        </is>
      </c>
      <c r="B7346" s="1" t="n">
        <v>44914</v>
      </c>
      <c r="C7346" s="1" t="n">
        <v>45363</v>
      </c>
      <c r="D7346" t="inlineStr">
        <is>
          <t>JÄMTLANDS LÄN</t>
        </is>
      </c>
      <c r="E7346" t="inlineStr">
        <is>
          <t>ÖSTERSUND</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60801-2022</t>
        </is>
      </c>
      <c r="B7347" s="1" t="n">
        <v>44914</v>
      </c>
      <c r="C7347" s="1" t="n">
        <v>45363</v>
      </c>
      <c r="D7347" t="inlineStr">
        <is>
          <t>JÄMTLANDS LÄN</t>
        </is>
      </c>
      <c r="E7347" t="inlineStr">
        <is>
          <t>STRÖMSUND</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60887-2022</t>
        </is>
      </c>
      <c r="B7348" s="1" t="n">
        <v>44914</v>
      </c>
      <c r="C7348" s="1" t="n">
        <v>45363</v>
      </c>
      <c r="D7348" t="inlineStr">
        <is>
          <t>JÄMTLANDS LÄN</t>
        </is>
      </c>
      <c r="E7348" t="inlineStr">
        <is>
          <t>HÄRJEDALEN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60983-2022</t>
        </is>
      </c>
      <c r="B7349" s="1" t="n">
        <v>44914</v>
      </c>
      <c r="C7349" s="1" t="n">
        <v>45363</v>
      </c>
      <c r="D7349" t="inlineStr">
        <is>
          <t>JÄMTLANDS LÄN</t>
        </is>
      </c>
      <c r="E7349" t="inlineStr">
        <is>
          <t>HÄRJEDALEN</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60897-2022</t>
        </is>
      </c>
      <c r="B7350" s="1" t="n">
        <v>44914</v>
      </c>
      <c r="C7350" s="1" t="n">
        <v>45363</v>
      </c>
      <c r="D7350" t="inlineStr">
        <is>
          <t>JÄMTLANDS LÄN</t>
        </is>
      </c>
      <c r="E7350" t="inlineStr">
        <is>
          <t>HÄRJEDALEN</t>
        </is>
      </c>
      <c r="F7350" t="inlineStr">
        <is>
          <t>Holmen skog AB</t>
        </is>
      </c>
      <c r="G7350" t="n">
        <v>0.3</v>
      </c>
      <c r="H7350" t="n">
        <v>0</v>
      </c>
      <c r="I7350" t="n">
        <v>0</v>
      </c>
      <c r="J7350" t="n">
        <v>0</v>
      </c>
      <c r="K7350" t="n">
        <v>0</v>
      </c>
      <c r="L7350" t="n">
        <v>0</v>
      </c>
      <c r="M7350" t="n">
        <v>0</v>
      </c>
      <c r="N7350" t="n">
        <v>0</v>
      </c>
      <c r="O7350" t="n">
        <v>0</v>
      </c>
      <c r="P7350" t="n">
        <v>0</v>
      </c>
      <c r="Q7350" t="n">
        <v>0</v>
      </c>
      <c r="R7350" s="2" t="inlineStr"/>
      <c r="U7350">
        <f>HYPERLINK("https://klasma.github.io/Logging_2361/knärot/A 60897-2022 karta knärot.png", "A 60897-2022")</f>
        <v/>
      </c>
      <c r="V7350">
        <f>HYPERLINK("https://klasma.github.io/Logging_2361/klagomål/A 60897-2022 FSC-klagomål.docx", "A 60897-2022")</f>
        <v/>
      </c>
      <c r="W7350">
        <f>HYPERLINK("https://klasma.github.io/Logging_2361/klagomålsmail/A 60897-2022 FSC-klagomål mail.docx", "A 60897-2022")</f>
        <v/>
      </c>
      <c r="X7350">
        <f>HYPERLINK("https://klasma.github.io/Logging_2361/tillsyn/A 60897-2022 tillsynsbegäran.docx", "A 60897-2022")</f>
        <v/>
      </c>
      <c r="Y7350">
        <f>HYPERLINK("https://klasma.github.io/Logging_2361/tillsynsmail/A 60897-2022 tillsynsbegäran mail.docx", "A 60897-2022")</f>
        <v/>
      </c>
    </row>
    <row r="7351" ht="15" customHeight="1">
      <c r="A7351" t="inlineStr">
        <is>
          <t>A 60933-2022</t>
        </is>
      </c>
      <c r="B7351" s="1" t="n">
        <v>44914</v>
      </c>
      <c r="C7351" s="1" t="n">
        <v>45363</v>
      </c>
      <c r="D7351" t="inlineStr">
        <is>
          <t>JÄMTLANDS LÄN</t>
        </is>
      </c>
      <c r="E7351" t="inlineStr">
        <is>
          <t>HÄRJEDALEN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62011-2022</t>
        </is>
      </c>
      <c r="B7352" s="1" t="n">
        <v>44914</v>
      </c>
      <c r="C7352" s="1" t="n">
        <v>45363</v>
      </c>
      <c r="D7352" t="inlineStr">
        <is>
          <t>JÄMTLANDS LÄN</t>
        </is>
      </c>
      <c r="E7352" t="inlineStr">
        <is>
          <t>RAGUNDA</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62153-2022</t>
        </is>
      </c>
      <c r="B7353" s="1" t="n">
        <v>44914</v>
      </c>
      <c r="C7353" s="1" t="n">
        <v>45363</v>
      </c>
      <c r="D7353" t="inlineStr">
        <is>
          <t>JÄMTLANDS LÄN</t>
        </is>
      </c>
      <c r="E7353" t="inlineStr">
        <is>
          <t>BERG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62147-2022</t>
        </is>
      </c>
      <c r="B7354" s="1" t="n">
        <v>44914</v>
      </c>
      <c r="C7354" s="1" t="n">
        <v>45363</v>
      </c>
      <c r="D7354" t="inlineStr">
        <is>
          <t>JÄMTLANDS LÄN</t>
        </is>
      </c>
      <c r="E7354" t="inlineStr">
        <is>
          <t>BERG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61038-2022</t>
        </is>
      </c>
      <c r="B7355" s="1" t="n">
        <v>44914</v>
      </c>
      <c r="C7355" s="1" t="n">
        <v>45363</v>
      </c>
      <c r="D7355" t="inlineStr">
        <is>
          <t>JÄMTLANDS LÄN</t>
        </is>
      </c>
      <c r="E7355" t="inlineStr">
        <is>
          <t>STRÖMSUND</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61045-2022</t>
        </is>
      </c>
      <c r="B7356" s="1" t="n">
        <v>44914</v>
      </c>
      <c r="C7356" s="1" t="n">
        <v>45363</v>
      </c>
      <c r="D7356" t="inlineStr">
        <is>
          <t>JÄMTLANDS LÄN</t>
        </is>
      </c>
      <c r="E7356" t="inlineStr">
        <is>
          <t>RAGUNDA</t>
        </is>
      </c>
      <c r="F7356" t="inlineStr">
        <is>
          <t>SCA</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61080-2022</t>
        </is>
      </c>
      <c r="B7357" s="1" t="n">
        <v>44915</v>
      </c>
      <c r="C7357" s="1" t="n">
        <v>45363</v>
      </c>
      <c r="D7357" t="inlineStr">
        <is>
          <t>JÄMTLANDS LÄN</t>
        </is>
      </c>
      <c r="E7357" t="inlineStr">
        <is>
          <t>RAGUNDA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61374-2022</t>
        </is>
      </c>
      <c r="B7358" s="1" t="n">
        <v>44915</v>
      </c>
      <c r="C7358" s="1" t="n">
        <v>45363</v>
      </c>
      <c r="D7358" t="inlineStr">
        <is>
          <t>JÄMTLANDS LÄN</t>
        </is>
      </c>
      <c r="E7358" t="inlineStr">
        <is>
          <t>STRÖMSUND</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61380-2022</t>
        </is>
      </c>
      <c r="B7359" s="1" t="n">
        <v>44915</v>
      </c>
      <c r="C7359" s="1" t="n">
        <v>45363</v>
      </c>
      <c r="D7359" t="inlineStr">
        <is>
          <t>JÄMTLANDS LÄN</t>
        </is>
      </c>
      <c r="E7359" t="inlineStr">
        <is>
          <t>STRÖMSUND</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61400-2022</t>
        </is>
      </c>
      <c r="B7360" s="1" t="n">
        <v>44915</v>
      </c>
      <c r="C7360" s="1" t="n">
        <v>45363</v>
      </c>
      <c r="D7360" t="inlineStr">
        <is>
          <t>JÄMTLANDS LÄN</t>
        </is>
      </c>
      <c r="E7360" t="inlineStr">
        <is>
          <t>RAGUNDA</t>
        </is>
      </c>
      <c r="F7360" t="inlineStr">
        <is>
          <t>SCA</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61375-2022</t>
        </is>
      </c>
      <c r="B7361" s="1" t="n">
        <v>44915</v>
      </c>
      <c r="C7361" s="1" t="n">
        <v>45363</v>
      </c>
      <c r="D7361" t="inlineStr">
        <is>
          <t>JÄMTLANDS LÄN</t>
        </is>
      </c>
      <c r="E7361" t="inlineStr">
        <is>
          <t>STRÖMSUND</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61382-2022</t>
        </is>
      </c>
      <c r="B7362" s="1" t="n">
        <v>44915</v>
      </c>
      <c r="C7362" s="1" t="n">
        <v>45363</v>
      </c>
      <c r="D7362" t="inlineStr">
        <is>
          <t>JÄMTLANDS LÄN</t>
        </is>
      </c>
      <c r="E7362" t="inlineStr">
        <is>
          <t>STRÖMSUND</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61401-2022</t>
        </is>
      </c>
      <c r="B7363" s="1" t="n">
        <v>44915</v>
      </c>
      <c r="C7363" s="1" t="n">
        <v>45363</v>
      </c>
      <c r="D7363" t="inlineStr">
        <is>
          <t>JÄMTLANDS LÄN</t>
        </is>
      </c>
      <c r="E7363" t="inlineStr">
        <is>
          <t>RAGUNDA</t>
        </is>
      </c>
      <c r="F7363" t="inlineStr">
        <is>
          <t>SCA</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62211-2022</t>
        </is>
      </c>
      <c r="B7364" s="1" t="n">
        <v>44915</v>
      </c>
      <c r="C7364" s="1" t="n">
        <v>45363</v>
      </c>
      <c r="D7364" t="inlineStr">
        <is>
          <t>JÄMTLANDS LÄN</t>
        </is>
      </c>
      <c r="E7364" t="inlineStr">
        <is>
          <t>STRÖMSUND</t>
        </is>
      </c>
      <c r="G7364" t="n">
        <v>7</v>
      </c>
      <c r="H7364" t="n">
        <v>0</v>
      </c>
      <c r="I7364" t="n">
        <v>0</v>
      </c>
      <c r="J7364" t="n">
        <v>0</v>
      </c>
      <c r="K7364" t="n">
        <v>0</v>
      </c>
      <c r="L7364" t="n">
        <v>0</v>
      </c>
      <c r="M7364" t="n">
        <v>0</v>
      </c>
      <c r="N7364" t="n">
        <v>0</v>
      </c>
      <c r="O7364" t="n">
        <v>0</v>
      </c>
      <c r="P7364" t="n">
        <v>0</v>
      </c>
      <c r="Q7364" t="n">
        <v>0</v>
      </c>
      <c r="R7364" s="2" t="inlineStr"/>
    </row>
    <row r="7365" ht="15" customHeight="1">
      <c r="A7365" t="inlineStr">
        <is>
          <t>A 62205-2022</t>
        </is>
      </c>
      <c r="B7365" s="1" t="n">
        <v>44915</v>
      </c>
      <c r="C7365" s="1" t="n">
        <v>45363</v>
      </c>
      <c r="D7365" t="inlineStr">
        <is>
          <t>JÄMTLANDS LÄN</t>
        </is>
      </c>
      <c r="E7365" t="inlineStr">
        <is>
          <t>BERG</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61572-2022</t>
        </is>
      </c>
      <c r="B7366" s="1" t="n">
        <v>44916</v>
      </c>
      <c r="C7366" s="1" t="n">
        <v>45363</v>
      </c>
      <c r="D7366" t="inlineStr">
        <is>
          <t>JÄMTLANDS LÄN</t>
        </is>
      </c>
      <c r="E7366" t="inlineStr">
        <is>
          <t>KROKOM</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61571-2022</t>
        </is>
      </c>
      <c r="B7367" s="1" t="n">
        <v>44916</v>
      </c>
      <c r="C7367" s="1" t="n">
        <v>45363</v>
      </c>
      <c r="D7367" t="inlineStr">
        <is>
          <t>JÄMTLANDS LÄN</t>
        </is>
      </c>
      <c r="E7367" t="inlineStr">
        <is>
          <t>HÄRJEDALEN</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61653-2022</t>
        </is>
      </c>
      <c r="B7368" s="1" t="n">
        <v>44916</v>
      </c>
      <c r="C7368" s="1" t="n">
        <v>45363</v>
      </c>
      <c r="D7368" t="inlineStr">
        <is>
          <t>JÄMTLANDS LÄN</t>
        </is>
      </c>
      <c r="E7368" t="inlineStr">
        <is>
          <t>ÖSTERSUND</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61472-2022</t>
        </is>
      </c>
      <c r="B7369" s="1" t="n">
        <v>44916</v>
      </c>
      <c r="C7369" s="1" t="n">
        <v>45363</v>
      </c>
      <c r="D7369" t="inlineStr">
        <is>
          <t>JÄMTLANDS LÄN</t>
        </is>
      </c>
      <c r="E7369" t="inlineStr">
        <is>
          <t>BERG</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61662-2022</t>
        </is>
      </c>
      <c r="B7370" s="1" t="n">
        <v>44917</v>
      </c>
      <c r="C7370" s="1" t="n">
        <v>45363</v>
      </c>
      <c r="D7370" t="inlineStr">
        <is>
          <t>JÄMTLANDS LÄN</t>
        </is>
      </c>
      <c r="E7370" t="inlineStr">
        <is>
          <t>BRÄCKE</t>
        </is>
      </c>
      <c r="F7370" t="inlineStr">
        <is>
          <t>SCA</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61663-2022</t>
        </is>
      </c>
      <c r="B7371" s="1" t="n">
        <v>44916</v>
      </c>
      <c r="C7371" s="1" t="n">
        <v>45363</v>
      </c>
      <c r="D7371" t="inlineStr">
        <is>
          <t>JÄMTLANDS LÄN</t>
        </is>
      </c>
      <c r="E7371" t="inlineStr">
        <is>
          <t>BRÄCKE</t>
        </is>
      </c>
      <c r="F7371" t="inlineStr">
        <is>
          <t>SCA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62229-2022</t>
        </is>
      </c>
      <c r="B7372" s="1" t="n">
        <v>44916</v>
      </c>
      <c r="C7372" s="1" t="n">
        <v>45363</v>
      </c>
      <c r="D7372" t="inlineStr">
        <is>
          <t>JÄMTLANDS LÄN</t>
        </is>
      </c>
      <c r="E7372" t="inlineStr">
        <is>
          <t>STRÖMSUND</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61789-2022</t>
        </is>
      </c>
      <c r="B7373" s="1" t="n">
        <v>44917</v>
      </c>
      <c r="C7373" s="1" t="n">
        <v>45363</v>
      </c>
      <c r="D7373" t="inlineStr">
        <is>
          <t>JÄMTLANDS LÄN</t>
        </is>
      </c>
      <c r="E7373" t="inlineStr">
        <is>
          <t>ÅRE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61784-2022</t>
        </is>
      </c>
      <c r="B7374" s="1" t="n">
        <v>44917</v>
      </c>
      <c r="C7374" s="1" t="n">
        <v>45363</v>
      </c>
      <c r="D7374" t="inlineStr">
        <is>
          <t>JÄMTLANDS LÄN</t>
        </is>
      </c>
      <c r="E7374" t="inlineStr">
        <is>
          <t>ÅRE</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61925-2022</t>
        </is>
      </c>
      <c r="B7375" s="1" t="n">
        <v>44917</v>
      </c>
      <c r="C7375" s="1" t="n">
        <v>45363</v>
      </c>
      <c r="D7375" t="inlineStr">
        <is>
          <t>JÄMTLANDS LÄN</t>
        </is>
      </c>
      <c r="E7375" t="inlineStr">
        <is>
          <t>ÅRE</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61930-2022</t>
        </is>
      </c>
      <c r="B7376" s="1" t="n">
        <v>44917</v>
      </c>
      <c r="C7376" s="1" t="n">
        <v>45363</v>
      </c>
      <c r="D7376" t="inlineStr">
        <is>
          <t>JÄMTLANDS LÄN</t>
        </is>
      </c>
      <c r="E7376" t="inlineStr">
        <is>
          <t>ÅRE</t>
        </is>
      </c>
      <c r="G7376" t="n">
        <v>9.699999999999999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62541-2022</t>
        </is>
      </c>
      <c r="B7377" s="1" t="n">
        <v>44917</v>
      </c>
      <c r="C7377" s="1" t="n">
        <v>45363</v>
      </c>
      <c r="D7377" t="inlineStr">
        <is>
          <t>JÄMTLANDS LÄN</t>
        </is>
      </c>
      <c r="E7377" t="inlineStr">
        <is>
          <t>RAGUNDA</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61924-2022</t>
        </is>
      </c>
      <c r="B7378" s="1" t="n">
        <v>44917</v>
      </c>
      <c r="C7378" s="1" t="n">
        <v>45363</v>
      </c>
      <c r="D7378" t="inlineStr">
        <is>
          <t>JÄMTLANDS LÄN</t>
        </is>
      </c>
      <c r="E7378" t="inlineStr">
        <is>
          <t>ÅRE</t>
        </is>
      </c>
      <c r="G7378" t="n">
        <v>39.8</v>
      </c>
      <c r="H7378" t="n">
        <v>0</v>
      </c>
      <c r="I7378" t="n">
        <v>0</v>
      </c>
      <c r="J7378" t="n">
        <v>0</v>
      </c>
      <c r="K7378" t="n">
        <v>0</v>
      </c>
      <c r="L7378" t="n">
        <v>0</v>
      </c>
      <c r="M7378" t="n">
        <v>0</v>
      </c>
      <c r="N7378" t="n">
        <v>0</v>
      </c>
      <c r="O7378" t="n">
        <v>0</v>
      </c>
      <c r="P7378" t="n">
        <v>0</v>
      </c>
      <c r="Q7378" t="n">
        <v>0</v>
      </c>
      <c r="R7378" s="2" t="inlineStr"/>
    </row>
    <row r="7379" ht="15" customHeight="1">
      <c r="A7379" t="inlineStr">
        <is>
          <t>A 61934-2022</t>
        </is>
      </c>
      <c r="B7379" s="1" t="n">
        <v>44917</v>
      </c>
      <c r="C7379" s="1" t="n">
        <v>45363</v>
      </c>
      <c r="D7379" t="inlineStr">
        <is>
          <t>JÄMTLANDS LÄN</t>
        </is>
      </c>
      <c r="E7379" t="inlineStr">
        <is>
          <t>RAGUNDA</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61917-2022</t>
        </is>
      </c>
      <c r="B7380" s="1" t="n">
        <v>44917</v>
      </c>
      <c r="C7380" s="1" t="n">
        <v>45363</v>
      </c>
      <c r="D7380" t="inlineStr">
        <is>
          <t>JÄMTLANDS LÄN</t>
        </is>
      </c>
      <c r="E7380" t="inlineStr">
        <is>
          <t>BERG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61921-2022</t>
        </is>
      </c>
      <c r="B7381" s="1" t="n">
        <v>44917</v>
      </c>
      <c r="C7381" s="1" t="n">
        <v>45363</v>
      </c>
      <c r="D7381" t="inlineStr">
        <is>
          <t>JÄMTLANDS LÄN</t>
        </is>
      </c>
      <c r="E7381" t="inlineStr">
        <is>
          <t>STRÖMSUND</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61926-2022</t>
        </is>
      </c>
      <c r="B7382" s="1" t="n">
        <v>44917</v>
      </c>
      <c r="C7382" s="1" t="n">
        <v>45363</v>
      </c>
      <c r="D7382" t="inlineStr">
        <is>
          <t>JÄMTLANDS LÄN</t>
        </is>
      </c>
      <c r="E7382" t="inlineStr">
        <is>
          <t>ÅRE</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61931-2022</t>
        </is>
      </c>
      <c r="B7383" s="1" t="n">
        <v>44917</v>
      </c>
      <c r="C7383" s="1" t="n">
        <v>45363</v>
      </c>
      <c r="D7383" t="inlineStr">
        <is>
          <t>JÄMTLANDS LÄN</t>
        </is>
      </c>
      <c r="E7383" t="inlineStr">
        <is>
          <t>ÅRE</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62659-2022</t>
        </is>
      </c>
      <c r="B7384" s="1" t="n">
        <v>44917</v>
      </c>
      <c r="C7384" s="1" t="n">
        <v>45363</v>
      </c>
      <c r="D7384" t="inlineStr">
        <is>
          <t>JÄMTLANDS LÄN</t>
        </is>
      </c>
      <c r="E7384" t="inlineStr">
        <is>
          <t>BERG</t>
        </is>
      </c>
      <c r="G7384" t="n">
        <v>10.3</v>
      </c>
      <c r="H7384" t="n">
        <v>0</v>
      </c>
      <c r="I7384" t="n">
        <v>0</v>
      </c>
      <c r="J7384" t="n">
        <v>0</v>
      </c>
      <c r="K7384" t="n">
        <v>0</v>
      </c>
      <c r="L7384" t="n">
        <v>0</v>
      </c>
      <c r="M7384" t="n">
        <v>0</v>
      </c>
      <c r="N7384" t="n">
        <v>0</v>
      </c>
      <c r="O7384" t="n">
        <v>0</v>
      </c>
      <c r="P7384" t="n">
        <v>0</v>
      </c>
      <c r="Q7384" t="n">
        <v>0</v>
      </c>
      <c r="R7384" s="2" t="inlineStr"/>
    </row>
    <row r="7385" ht="15" customHeight="1">
      <c r="A7385" t="inlineStr">
        <is>
          <t>A 62029-2022</t>
        </is>
      </c>
      <c r="B7385" s="1" t="n">
        <v>44918</v>
      </c>
      <c r="C7385" s="1" t="n">
        <v>45363</v>
      </c>
      <c r="D7385" t="inlineStr">
        <is>
          <t>JÄMTLANDS LÄN</t>
        </is>
      </c>
      <c r="E7385" t="inlineStr">
        <is>
          <t>BERG</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62040-2022</t>
        </is>
      </c>
      <c r="B7386" s="1" t="n">
        <v>44918</v>
      </c>
      <c r="C7386" s="1" t="n">
        <v>45363</v>
      </c>
      <c r="D7386" t="inlineStr">
        <is>
          <t>JÄMTLANDS LÄN</t>
        </is>
      </c>
      <c r="E7386" t="inlineStr">
        <is>
          <t>ÖSTERSUND</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62081-2022</t>
        </is>
      </c>
      <c r="B7387" s="1" t="n">
        <v>44918</v>
      </c>
      <c r="C7387" s="1" t="n">
        <v>45363</v>
      </c>
      <c r="D7387" t="inlineStr">
        <is>
          <t>JÄMTLANDS LÄN</t>
        </is>
      </c>
      <c r="E7387" t="inlineStr">
        <is>
          <t>RAGUNDA</t>
        </is>
      </c>
      <c r="F7387" t="inlineStr">
        <is>
          <t>SCA</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62043-2022</t>
        </is>
      </c>
      <c r="B7388" s="1" t="n">
        <v>44918</v>
      </c>
      <c r="C7388" s="1" t="n">
        <v>45363</v>
      </c>
      <c r="D7388" t="inlineStr">
        <is>
          <t>JÄMTLANDS LÄN</t>
        </is>
      </c>
      <c r="E7388" t="inlineStr">
        <is>
          <t>ÖSTERSUND</t>
        </is>
      </c>
      <c r="G7388" t="n">
        <v>5.2</v>
      </c>
      <c r="H7388" t="n">
        <v>0</v>
      </c>
      <c r="I7388" t="n">
        <v>0</v>
      </c>
      <c r="J7388" t="n">
        <v>0</v>
      </c>
      <c r="K7388" t="n">
        <v>0</v>
      </c>
      <c r="L7388" t="n">
        <v>0</v>
      </c>
      <c r="M7388" t="n">
        <v>0</v>
      </c>
      <c r="N7388" t="n">
        <v>0</v>
      </c>
      <c r="O7388" t="n">
        <v>0</v>
      </c>
      <c r="P7388" t="n">
        <v>0</v>
      </c>
      <c r="Q7388" t="n">
        <v>0</v>
      </c>
      <c r="R7388" s="2" t="inlineStr"/>
    </row>
    <row r="7389" ht="15" customHeight="1">
      <c r="A7389" t="inlineStr">
        <is>
          <t>A 31-2023</t>
        </is>
      </c>
      <c r="B7389" s="1" t="n">
        <v>44918</v>
      </c>
      <c r="C7389" s="1" t="n">
        <v>45363</v>
      </c>
      <c r="D7389" t="inlineStr">
        <is>
          <t>JÄMTLANDS LÄN</t>
        </is>
      </c>
      <c r="E7389" t="inlineStr">
        <is>
          <t>STRÖMSUND</t>
        </is>
      </c>
      <c r="G7389" t="n">
        <v>7.5</v>
      </c>
      <c r="H7389" t="n">
        <v>0</v>
      </c>
      <c r="I7389" t="n">
        <v>0</v>
      </c>
      <c r="J7389" t="n">
        <v>0</v>
      </c>
      <c r="K7389" t="n">
        <v>0</v>
      </c>
      <c r="L7389" t="n">
        <v>0</v>
      </c>
      <c r="M7389" t="n">
        <v>0</v>
      </c>
      <c r="N7389" t="n">
        <v>0</v>
      </c>
      <c r="O7389" t="n">
        <v>0</v>
      </c>
      <c r="P7389" t="n">
        <v>0</v>
      </c>
      <c r="Q7389" t="n">
        <v>0</v>
      </c>
      <c r="R7389" s="2" t="inlineStr"/>
    </row>
    <row r="7390" ht="15" customHeight="1">
      <c r="A7390" t="inlineStr">
        <is>
          <t>A 62146-2022</t>
        </is>
      </c>
      <c r="B7390" s="1" t="n">
        <v>44922</v>
      </c>
      <c r="C7390" s="1" t="n">
        <v>45363</v>
      </c>
      <c r="D7390" t="inlineStr">
        <is>
          <t>JÄMTLANDS LÄN</t>
        </is>
      </c>
      <c r="E7390" t="inlineStr">
        <is>
          <t>KROKOM</t>
        </is>
      </c>
      <c r="F7390" t="inlineStr">
        <is>
          <t>Övriga Aktiebolag</t>
        </is>
      </c>
      <c r="G7390" t="n">
        <v>17.5</v>
      </c>
      <c r="H7390" t="n">
        <v>0</v>
      </c>
      <c r="I7390" t="n">
        <v>0</v>
      </c>
      <c r="J7390" t="n">
        <v>0</v>
      </c>
      <c r="K7390" t="n">
        <v>0</v>
      </c>
      <c r="L7390" t="n">
        <v>0</v>
      </c>
      <c r="M7390" t="n">
        <v>0</v>
      </c>
      <c r="N7390" t="n">
        <v>0</v>
      </c>
      <c r="O7390" t="n">
        <v>0</v>
      </c>
      <c r="P7390" t="n">
        <v>0</v>
      </c>
      <c r="Q7390" t="n">
        <v>0</v>
      </c>
      <c r="R7390" s="2" t="inlineStr"/>
    </row>
    <row r="7391" ht="15" customHeight="1">
      <c r="A7391" t="inlineStr">
        <is>
          <t>A 62227-2022</t>
        </is>
      </c>
      <c r="B7391" s="1" t="n">
        <v>44922</v>
      </c>
      <c r="C7391" s="1" t="n">
        <v>45363</v>
      </c>
      <c r="D7391" t="inlineStr">
        <is>
          <t>JÄMTLANDS LÄN</t>
        </is>
      </c>
      <c r="E7391" t="inlineStr">
        <is>
          <t>ÖSTERSUND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62142-2022</t>
        </is>
      </c>
      <c r="B7392" s="1" t="n">
        <v>44922</v>
      </c>
      <c r="C7392" s="1" t="n">
        <v>45363</v>
      </c>
      <c r="D7392" t="inlineStr">
        <is>
          <t>JÄMTLANDS LÄN</t>
        </is>
      </c>
      <c r="E7392" t="inlineStr">
        <is>
          <t>KROKOM</t>
        </is>
      </c>
      <c r="F7392" t="inlineStr">
        <is>
          <t>Övriga Aktiebolag</t>
        </is>
      </c>
      <c r="G7392" t="n">
        <v>11.7</v>
      </c>
      <c r="H7392" t="n">
        <v>0</v>
      </c>
      <c r="I7392" t="n">
        <v>0</v>
      </c>
      <c r="J7392" t="n">
        <v>0</v>
      </c>
      <c r="K7392" t="n">
        <v>0</v>
      </c>
      <c r="L7392" t="n">
        <v>0</v>
      </c>
      <c r="M7392" t="n">
        <v>0</v>
      </c>
      <c r="N7392" t="n">
        <v>0</v>
      </c>
      <c r="O7392" t="n">
        <v>0</v>
      </c>
      <c r="P7392" t="n">
        <v>0</v>
      </c>
      <c r="Q7392" t="n">
        <v>0</v>
      </c>
      <c r="R7392" s="2" t="inlineStr"/>
    </row>
    <row r="7393" ht="15" customHeight="1">
      <c r="A7393" t="inlineStr">
        <is>
          <t>A 62225-2022</t>
        </is>
      </c>
      <c r="B7393" s="1" t="n">
        <v>44922</v>
      </c>
      <c r="C7393" s="1" t="n">
        <v>45363</v>
      </c>
      <c r="D7393" t="inlineStr">
        <is>
          <t>JÄMTLANDS LÄN</t>
        </is>
      </c>
      <c r="E7393" t="inlineStr">
        <is>
          <t>ÖSTERSUND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62222-2022</t>
        </is>
      </c>
      <c r="B7394" s="1" t="n">
        <v>44922</v>
      </c>
      <c r="C7394" s="1" t="n">
        <v>45363</v>
      </c>
      <c r="D7394" t="inlineStr">
        <is>
          <t>JÄMTLANDS LÄN</t>
        </is>
      </c>
      <c r="E7394" t="inlineStr">
        <is>
          <t>ÖSTERSUND</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182-2023</t>
        </is>
      </c>
      <c r="B7395" s="1" t="n">
        <v>44922</v>
      </c>
      <c r="C7395" s="1" t="n">
        <v>45363</v>
      </c>
      <c r="D7395" t="inlineStr">
        <is>
          <t>JÄMTLANDS LÄN</t>
        </is>
      </c>
      <c r="E7395" t="inlineStr">
        <is>
          <t>RAGUNDA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233-2023</t>
        </is>
      </c>
      <c r="B7396" s="1" t="n">
        <v>44922</v>
      </c>
      <c r="C7396" s="1" t="n">
        <v>45363</v>
      </c>
      <c r="D7396" t="inlineStr">
        <is>
          <t>JÄMTLANDS LÄN</t>
        </is>
      </c>
      <c r="E7396" t="inlineStr">
        <is>
          <t>KROKOM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296-2023</t>
        </is>
      </c>
      <c r="B7397" s="1" t="n">
        <v>44922</v>
      </c>
      <c r="C7397" s="1" t="n">
        <v>45363</v>
      </c>
      <c r="D7397" t="inlineStr">
        <is>
          <t>JÄMTLANDS LÄN</t>
        </is>
      </c>
      <c r="E7397" t="inlineStr">
        <is>
          <t>ÖSTERSUND</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441-2023</t>
        </is>
      </c>
      <c r="B7398" s="1" t="n">
        <v>44923</v>
      </c>
      <c r="C7398" s="1" t="n">
        <v>45363</v>
      </c>
      <c r="D7398" t="inlineStr">
        <is>
          <t>JÄMTLANDS LÄN</t>
        </is>
      </c>
      <c r="E7398" t="inlineStr">
        <is>
          <t>BERG</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433-2023</t>
        </is>
      </c>
      <c r="B7399" s="1" t="n">
        <v>44923</v>
      </c>
      <c r="C7399" s="1" t="n">
        <v>45363</v>
      </c>
      <c r="D7399" t="inlineStr">
        <is>
          <t>JÄMTLANDS LÄN</t>
        </is>
      </c>
      <c r="E7399" t="inlineStr">
        <is>
          <t>BERG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62407-2022</t>
        </is>
      </c>
      <c r="B7400" s="1" t="n">
        <v>44923</v>
      </c>
      <c r="C7400" s="1" t="n">
        <v>45363</v>
      </c>
      <c r="D7400" t="inlineStr">
        <is>
          <t>JÄMTLANDS LÄN</t>
        </is>
      </c>
      <c r="E7400" t="inlineStr">
        <is>
          <t>RAGUNDA</t>
        </is>
      </c>
      <c r="F7400" t="inlineStr">
        <is>
          <t>SCA</t>
        </is>
      </c>
      <c r="G7400" t="n">
        <v>53.6</v>
      </c>
      <c r="H7400" t="n">
        <v>0</v>
      </c>
      <c r="I7400" t="n">
        <v>0</v>
      </c>
      <c r="J7400" t="n">
        <v>0</v>
      </c>
      <c r="K7400" t="n">
        <v>0</v>
      </c>
      <c r="L7400" t="n">
        <v>0</v>
      </c>
      <c r="M7400" t="n">
        <v>0</v>
      </c>
      <c r="N7400" t="n">
        <v>0</v>
      </c>
      <c r="O7400" t="n">
        <v>0</v>
      </c>
      <c r="P7400" t="n">
        <v>0</v>
      </c>
      <c r="Q7400" t="n">
        <v>0</v>
      </c>
      <c r="R7400" s="2" t="inlineStr"/>
    </row>
    <row r="7401" ht="15" customHeight="1">
      <c r="A7401" t="inlineStr">
        <is>
          <t>A 442-2023</t>
        </is>
      </c>
      <c r="B7401" s="1" t="n">
        <v>44923</v>
      </c>
      <c r="C7401" s="1" t="n">
        <v>45363</v>
      </c>
      <c r="D7401" t="inlineStr">
        <is>
          <t>JÄMTLANDS LÄN</t>
        </is>
      </c>
      <c r="E7401" t="inlineStr">
        <is>
          <t>BERG</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62500-2022</t>
        </is>
      </c>
      <c r="B7402" s="1" t="n">
        <v>44924</v>
      </c>
      <c r="C7402" s="1" t="n">
        <v>45363</v>
      </c>
      <c r="D7402" t="inlineStr">
        <is>
          <t>JÄMTLANDS LÄN</t>
        </is>
      </c>
      <c r="E7402" t="inlineStr">
        <is>
          <t>HÄRJEDALEN</t>
        </is>
      </c>
      <c r="F7402" t="inlineStr">
        <is>
          <t>Holmen skog AB</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62513-2022</t>
        </is>
      </c>
      <c r="B7403" s="1" t="n">
        <v>44924</v>
      </c>
      <c r="C7403" s="1" t="n">
        <v>45363</v>
      </c>
      <c r="D7403" t="inlineStr">
        <is>
          <t>JÄMTLANDS LÄN</t>
        </is>
      </c>
      <c r="E7403" t="inlineStr">
        <is>
          <t>HÄRJEDALEN</t>
        </is>
      </c>
      <c r="F7403" t="inlineStr">
        <is>
          <t>Holmen skog AB</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62535-2022</t>
        </is>
      </c>
      <c r="B7404" s="1" t="n">
        <v>44924</v>
      </c>
      <c r="C7404" s="1" t="n">
        <v>45363</v>
      </c>
      <c r="D7404" t="inlineStr">
        <is>
          <t>JÄMTLANDS LÄN</t>
        </is>
      </c>
      <c r="E7404" t="inlineStr">
        <is>
          <t>HÄRJEDALEN</t>
        </is>
      </c>
      <c r="F7404" t="inlineStr">
        <is>
          <t>Holmen skog AB</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62505-2022</t>
        </is>
      </c>
      <c r="B7405" s="1" t="n">
        <v>44924</v>
      </c>
      <c r="C7405" s="1" t="n">
        <v>45363</v>
      </c>
      <c r="D7405" t="inlineStr">
        <is>
          <t>JÄMTLANDS LÄN</t>
        </is>
      </c>
      <c r="E7405" t="inlineStr">
        <is>
          <t>HÄRJEDALEN</t>
        </is>
      </c>
      <c r="F7405" t="inlineStr">
        <is>
          <t>Holmen skog AB</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62533-2022</t>
        </is>
      </c>
      <c r="B7406" s="1" t="n">
        <v>44924</v>
      </c>
      <c r="C7406" s="1" t="n">
        <v>45363</v>
      </c>
      <c r="D7406" t="inlineStr">
        <is>
          <t>JÄMTLANDS LÄN</t>
        </is>
      </c>
      <c r="E7406" t="inlineStr">
        <is>
          <t>HÄRJEDALEN</t>
        </is>
      </c>
      <c r="F7406" t="inlineStr">
        <is>
          <t>Holmen skog AB</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62520-2022</t>
        </is>
      </c>
      <c r="B7407" s="1" t="n">
        <v>44924</v>
      </c>
      <c r="C7407" s="1" t="n">
        <v>45363</v>
      </c>
      <c r="D7407" t="inlineStr">
        <is>
          <t>JÄMTLANDS LÄN</t>
        </is>
      </c>
      <c r="E7407" t="inlineStr">
        <is>
          <t>ÅRE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62528-2022</t>
        </is>
      </c>
      <c r="B7408" s="1" t="n">
        <v>44924</v>
      </c>
      <c r="C7408" s="1" t="n">
        <v>45363</v>
      </c>
      <c r="D7408" t="inlineStr">
        <is>
          <t>JÄMTLANDS LÄN</t>
        </is>
      </c>
      <c r="E7408" t="inlineStr">
        <is>
          <t>ÅRE</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525-2023</t>
        </is>
      </c>
      <c r="B7409" s="1" t="n">
        <v>44924</v>
      </c>
      <c r="C7409" s="1" t="n">
        <v>45363</v>
      </c>
      <c r="D7409" t="inlineStr">
        <is>
          <t>JÄMTLANDS LÄN</t>
        </is>
      </c>
      <c r="E7409" t="inlineStr">
        <is>
          <t>BERG</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62582-2022</t>
        </is>
      </c>
      <c r="B7410" s="1" t="n">
        <v>44924</v>
      </c>
      <c r="C7410" s="1" t="n">
        <v>45363</v>
      </c>
      <c r="D7410" t="inlineStr">
        <is>
          <t>JÄMTLANDS LÄN</t>
        </is>
      </c>
      <c r="E7410" t="inlineStr">
        <is>
          <t>ÅRE</t>
        </is>
      </c>
      <c r="F7410" t="inlineStr">
        <is>
          <t>Övriga Aktiebolag</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613-2023</t>
        </is>
      </c>
      <c r="B7411" s="1" t="n">
        <v>44924</v>
      </c>
      <c r="C7411" s="1" t="n">
        <v>45363</v>
      </c>
      <c r="D7411" t="inlineStr">
        <is>
          <t>JÄMTLANDS LÄN</t>
        </is>
      </c>
      <c r="E7411" t="inlineStr">
        <is>
          <t>BERG</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62639-2022</t>
        </is>
      </c>
      <c r="B7412" s="1" t="n">
        <v>44925</v>
      </c>
      <c r="C7412" s="1" t="n">
        <v>45363</v>
      </c>
      <c r="D7412" t="inlineStr">
        <is>
          <t>JÄMTLANDS LÄN</t>
        </is>
      </c>
      <c r="E7412" t="inlineStr">
        <is>
          <t>HÄRJEDALEN</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62696-2022</t>
        </is>
      </c>
      <c r="B7413" s="1" t="n">
        <v>44925</v>
      </c>
      <c r="C7413" s="1" t="n">
        <v>45363</v>
      </c>
      <c r="D7413" t="inlineStr">
        <is>
          <t>JÄMTLANDS LÄN</t>
        </is>
      </c>
      <c r="E7413" t="inlineStr">
        <is>
          <t>HÄRJEDALEN</t>
        </is>
      </c>
      <c r="F7413" t="inlineStr">
        <is>
          <t>Holmen skog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62702-2022</t>
        </is>
      </c>
      <c r="B7414" s="1" t="n">
        <v>44925</v>
      </c>
      <c r="C7414" s="1" t="n">
        <v>45363</v>
      </c>
      <c r="D7414" t="inlineStr">
        <is>
          <t>JÄMTLANDS LÄN</t>
        </is>
      </c>
      <c r="E7414" t="inlineStr">
        <is>
          <t>HÄRJEDALEN</t>
        </is>
      </c>
      <c r="F7414" t="inlineStr">
        <is>
          <t>Holmen skog AB</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62719-2022</t>
        </is>
      </c>
      <c r="B7415" s="1" t="n">
        <v>44925</v>
      </c>
      <c r="C7415" s="1" t="n">
        <v>45363</v>
      </c>
      <c r="D7415" t="inlineStr">
        <is>
          <t>JÄMTLANDS LÄN</t>
        </is>
      </c>
      <c r="E7415" t="inlineStr">
        <is>
          <t>HÄRJEDALEN</t>
        </is>
      </c>
      <c r="F7415" t="inlineStr">
        <is>
          <t>Holmen skog AB</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62724-2022</t>
        </is>
      </c>
      <c r="B7416" s="1" t="n">
        <v>44925</v>
      </c>
      <c r="C7416" s="1" t="n">
        <v>45363</v>
      </c>
      <c r="D7416" t="inlineStr">
        <is>
          <t>JÄMTLANDS LÄN</t>
        </is>
      </c>
      <c r="E7416" t="inlineStr">
        <is>
          <t>HÄRJEDALEN</t>
        </is>
      </c>
      <c r="F7416" t="inlineStr">
        <is>
          <t>Holmen skog AB</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62599-2022</t>
        </is>
      </c>
      <c r="B7417" s="1" t="n">
        <v>44925</v>
      </c>
      <c r="C7417" s="1" t="n">
        <v>45363</v>
      </c>
      <c r="D7417" t="inlineStr">
        <is>
          <t>JÄMTLANDS LÄN</t>
        </is>
      </c>
      <c r="E7417" t="inlineStr">
        <is>
          <t>HÄRJEDALEN</t>
        </is>
      </c>
      <c r="F7417" t="inlineStr">
        <is>
          <t>Holmen skog AB</t>
        </is>
      </c>
      <c r="G7417" t="n">
        <v>8.1</v>
      </c>
      <c r="H7417" t="n">
        <v>0</v>
      </c>
      <c r="I7417" t="n">
        <v>0</v>
      </c>
      <c r="J7417" t="n">
        <v>0</v>
      </c>
      <c r="K7417" t="n">
        <v>0</v>
      </c>
      <c r="L7417" t="n">
        <v>0</v>
      </c>
      <c r="M7417" t="n">
        <v>0</v>
      </c>
      <c r="N7417" t="n">
        <v>0</v>
      </c>
      <c r="O7417" t="n">
        <v>0</v>
      </c>
      <c r="P7417" t="n">
        <v>0</v>
      </c>
      <c r="Q7417" t="n">
        <v>0</v>
      </c>
      <c r="R7417" s="2" t="inlineStr"/>
    </row>
    <row r="7418" ht="15" customHeight="1">
      <c r="A7418" t="inlineStr">
        <is>
          <t>A 62641-2022</t>
        </is>
      </c>
      <c r="B7418" s="1" t="n">
        <v>44925</v>
      </c>
      <c r="C7418" s="1" t="n">
        <v>45363</v>
      </c>
      <c r="D7418" t="inlineStr">
        <is>
          <t>JÄMTLANDS LÄN</t>
        </is>
      </c>
      <c r="E7418" t="inlineStr">
        <is>
          <t>HÄRJEDALEN</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62591-2022</t>
        </is>
      </c>
      <c r="B7419" s="1" t="n">
        <v>44925</v>
      </c>
      <c r="C7419" s="1" t="n">
        <v>45363</v>
      </c>
      <c r="D7419" t="inlineStr">
        <is>
          <t>JÄMTLANDS LÄN</t>
        </is>
      </c>
      <c r="E7419" t="inlineStr">
        <is>
          <t>HÄRJEDALEN</t>
        </is>
      </c>
      <c r="G7419" t="n">
        <v>32.7</v>
      </c>
      <c r="H7419" t="n">
        <v>0</v>
      </c>
      <c r="I7419" t="n">
        <v>0</v>
      </c>
      <c r="J7419" t="n">
        <v>0</v>
      </c>
      <c r="K7419" t="n">
        <v>0</v>
      </c>
      <c r="L7419" t="n">
        <v>0</v>
      </c>
      <c r="M7419" t="n">
        <v>0</v>
      </c>
      <c r="N7419" t="n">
        <v>0</v>
      </c>
      <c r="O7419" t="n">
        <v>0</v>
      </c>
      <c r="P7419" t="n">
        <v>0</v>
      </c>
      <c r="Q7419" t="n">
        <v>0</v>
      </c>
      <c r="R7419" s="2" t="inlineStr"/>
    </row>
    <row r="7420" ht="15" customHeight="1">
      <c r="A7420" t="inlineStr">
        <is>
          <t>A 62653-2022</t>
        </is>
      </c>
      <c r="B7420" s="1" t="n">
        <v>44925</v>
      </c>
      <c r="C7420" s="1" t="n">
        <v>45363</v>
      </c>
      <c r="D7420" t="inlineStr">
        <is>
          <t>JÄMTLANDS LÄN</t>
        </is>
      </c>
      <c r="E7420" t="inlineStr">
        <is>
          <t>HÄRJEDALEN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62687-2022</t>
        </is>
      </c>
      <c r="B7421" s="1" t="n">
        <v>44925</v>
      </c>
      <c r="C7421" s="1" t="n">
        <v>45363</v>
      </c>
      <c r="D7421" t="inlineStr">
        <is>
          <t>JÄMTLANDS LÄN</t>
        </is>
      </c>
      <c r="E7421" t="inlineStr">
        <is>
          <t>HÄRJEDALEN</t>
        </is>
      </c>
      <c r="F7421" t="inlineStr">
        <is>
          <t>Holmen skog AB</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62694-2022</t>
        </is>
      </c>
      <c r="B7422" s="1" t="n">
        <v>44925</v>
      </c>
      <c r="C7422" s="1" t="n">
        <v>45363</v>
      </c>
      <c r="D7422" t="inlineStr">
        <is>
          <t>JÄMTLANDS LÄN</t>
        </is>
      </c>
      <c r="E7422" t="inlineStr">
        <is>
          <t>HÄRJEDALEN</t>
        </is>
      </c>
      <c r="F7422" t="inlineStr">
        <is>
          <t>Holmen skog AB</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62708-2022</t>
        </is>
      </c>
      <c r="B7423" s="1" t="n">
        <v>44925</v>
      </c>
      <c r="C7423" s="1" t="n">
        <v>45363</v>
      </c>
      <c r="D7423" t="inlineStr">
        <is>
          <t>JÄMTLANDS LÄN</t>
        </is>
      </c>
      <c r="E7423" t="inlineStr">
        <is>
          <t>HÄRJEDALEN</t>
        </is>
      </c>
      <c r="F7423" t="inlineStr">
        <is>
          <t>Holmen skog AB</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62590-2022</t>
        </is>
      </c>
      <c r="B7424" s="1" t="n">
        <v>44925</v>
      </c>
      <c r="C7424" s="1" t="n">
        <v>45363</v>
      </c>
      <c r="D7424" t="inlineStr">
        <is>
          <t>JÄMTLANDS LÄN</t>
        </is>
      </c>
      <c r="E7424" t="inlineStr">
        <is>
          <t>HÄRJEDALEN</t>
        </is>
      </c>
      <c r="F7424" t="inlineStr">
        <is>
          <t>Holmen skog AB</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62684-2022</t>
        </is>
      </c>
      <c r="B7425" s="1" t="n">
        <v>44925</v>
      </c>
      <c r="C7425" s="1" t="n">
        <v>45363</v>
      </c>
      <c r="D7425" t="inlineStr">
        <is>
          <t>JÄMTLANDS LÄN</t>
        </is>
      </c>
      <c r="E7425" t="inlineStr">
        <is>
          <t>HÄRJEDALEN</t>
        </is>
      </c>
      <c r="F7425" t="inlineStr">
        <is>
          <t>Holmen skog AB</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62699-2022</t>
        </is>
      </c>
      <c r="B7426" s="1" t="n">
        <v>44925</v>
      </c>
      <c r="C7426" s="1" t="n">
        <v>45363</v>
      </c>
      <c r="D7426" t="inlineStr">
        <is>
          <t>JÄMTLANDS LÄN</t>
        </is>
      </c>
      <c r="E7426" t="inlineStr">
        <is>
          <t>HÄRJEDALEN</t>
        </is>
      </c>
      <c r="F7426" t="inlineStr">
        <is>
          <t>Holmen skog AB</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62706-2022</t>
        </is>
      </c>
      <c r="B7427" s="1" t="n">
        <v>44925</v>
      </c>
      <c r="C7427" s="1" t="n">
        <v>45363</v>
      </c>
      <c r="D7427" t="inlineStr">
        <is>
          <t>JÄMTLANDS LÄN</t>
        </is>
      </c>
      <c r="E7427" t="inlineStr">
        <is>
          <t>HÄRJEDALEN</t>
        </is>
      </c>
      <c r="F7427" t="inlineStr">
        <is>
          <t>Holmen skog AB</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62721-2022</t>
        </is>
      </c>
      <c r="B7428" s="1" t="n">
        <v>44925</v>
      </c>
      <c r="C7428" s="1" t="n">
        <v>45363</v>
      </c>
      <c r="D7428" t="inlineStr">
        <is>
          <t>JÄMTLANDS LÄN</t>
        </is>
      </c>
      <c r="E7428" t="inlineStr">
        <is>
          <t>HÄRJEDALEN</t>
        </is>
      </c>
      <c r="F7428" t="inlineStr">
        <is>
          <t>Holmen skog AB</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17-2023</t>
        </is>
      </c>
      <c r="B7429" s="1" t="n">
        <v>44927</v>
      </c>
      <c r="C7429" s="1" t="n">
        <v>45363</v>
      </c>
      <c r="D7429" t="inlineStr">
        <is>
          <t>JÄMTLANDS LÄN</t>
        </is>
      </c>
      <c r="E7429" t="inlineStr">
        <is>
          <t>RAGUNDA</t>
        </is>
      </c>
      <c r="F7429" t="inlineStr">
        <is>
          <t>SCA</t>
        </is>
      </c>
      <c r="G7429" t="n">
        <v>49.6</v>
      </c>
      <c r="H7429" t="n">
        <v>0</v>
      </c>
      <c r="I7429" t="n">
        <v>0</v>
      </c>
      <c r="J7429" t="n">
        <v>0</v>
      </c>
      <c r="K7429" t="n">
        <v>0</v>
      </c>
      <c r="L7429" t="n">
        <v>0</v>
      </c>
      <c r="M7429" t="n">
        <v>0</v>
      </c>
      <c r="N7429" t="n">
        <v>0</v>
      </c>
      <c r="O7429" t="n">
        <v>0</v>
      </c>
      <c r="P7429" t="n">
        <v>0</v>
      </c>
      <c r="Q7429" t="n">
        <v>0</v>
      </c>
      <c r="R7429" s="2" t="inlineStr"/>
    </row>
    <row r="7430" ht="15" customHeight="1">
      <c r="A7430" t="inlineStr">
        <is>
          <t>A 12-2023</t>
        </is>
      </c>
      <c r="B7430" s="1" t="n">
        <v>44927</v>
      </c>
      <c r="C7430" s="1" t="n">
        <v>45363</v>
      </c>
      <c r="D7430" t="inlineStr">
        <is>
          <t>JÄMTLANDS LÄN</t>
        </is>
      </c>
      <c r="E7430" t="inlineStr">
        <is>
          <t>ÖSTERSUND</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25-2023</t>
        </is>
      </c>
      <c r="B7431" s="1" t="n">
        <v>44928</v>
      </c>
      <c r="C7431" s="1" t="n">
        <v>45363</v>
      </c>
      <c r="D7431" t="inlineStr">
        <is>
          <t>JÄMTLANDS LÄN</t>
        </is>
      </c>
      <c r="E7431" t="inlineStr">
        <is>
          <t>STRÖMSUND</t>
        </is>
      </c>
      <c r="F7431" t="inlineStr">
        <is>
          <t>Sveaskog</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47-2023</t>
        </is>
      </c>
      <c r="B7432" s="1" t="n">
        <v>44928</v>
      </c>
      <c r="C7432" s="1" t="n">
        <v>45363</v>
      </c>
      <c r="D7432" t="inlineStr">
        <is>
          <t>JÄMTLANDS LÄN</t>
        </is>
      </c>
      <c r="E7432" t="inlineStr">
        <is>
          <t>BERG</t>
        </is>
      </c>
      <c r="F7432" t="inlineStr">
        <is>
          <t>Naturvårdsverket</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105-2023</t>
        </is>
      </c>
      <c r="B7433" s="1" t="n">
        <v>44928</v>
      </c>
      <c r="C7433" s="1" t="n">
        <v>45363</v>
      </c>
      <c r="D7433" t="inlineStr">
        <is>
          <t>JÄMTLANDS LÄN</t>
        </is>
      </c>
      <c r="E7433" t="inlineStr">
        <is>
          <t>HÄRJEDALEN</t>
        </is>
      </c>
      <c r="F7433" t="inlineStr">
        <is>
          <t>Holmen skog AB</t>
        </is>
      </c>
      <c r="G7433" t="n">
        <v>17.5</v>
      </c>
      <c r="H7433" t="n">
        <v>0</v>
      </c>
      <c r="I7433" t="n">
        <v>0</v>
      </c>
      <c r="J7433" t="n">
        <v>0</v>
      </c>
      <c r="K7433" t="n">
        <v>0</v>
      </c>
      <c r="L7433" t="n">
        <v>0</v>
      </c>
      <c r="M7433" t="n">
        <v>0</v>
      </c>
      <c r="N7433" t="n">
        <v>0</v>
      </c>
      <c r="O7433" t="n">
        <v>0</v>
      </c>
      <c r="P7433" t="n">
        <v>0</v>
      </c>
      <c r="Q7433" t="n">
        <v>0</v>
      </c>
      <c r="R7433" s="2" t="inlineStr"/>
    </row>
    <row r="7434" ht="15" customHeight="1">
      <c r="A7434" t="inlineStr">
        <is>
          <t>A 29-2023</t>
        </is>
      </c>
      <c r="B7434" s="1" t="n">
        <v>44928</v>
      </c>
      <c r="C7434" s="1" t="n">
        <v>45363</v>
      </c>
      <c r="D7434" t="inlineStr">
        <is>
          <t>JÄMTLANDS LÄN</t>
        </is>
      </c>
      <c r="E7434" t="inlineStr">
        <is>
          <t>HÄRJEDALEN</t>
        </is>
      </c>
      <c r="F7434" t="inlineStr">
        <is>
          <t>Holmen skog AB</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35-2023</t>
        </is>
      </c>
      <c r="B7435" s="1" t="n">
        <v>44928</v>
      </c>
      <c r="C7435" s="1" t="n">
        <v>45363</v>
      </c>
      <c r="D7435" t="inlineStr">
        <is>
          <t>JÄMTLANDS LÄN</t>
        </is>
      </c>
      <c r="E7435" t="inlineStr">
        <is>
          <t>HÄRJEDALEN</t>
        </is>
      </c>
      <c r="F7435" t="inlineStr">
        <is>
          <t>Holmen skog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78-2023</t>
        </is>
      </c>
      <c r="B7436" s="1" t="n">
        <v>44928</v>
      </c>
      <c r="C7436" s="1" t="n">
        <v>45363</v>
      </c>
      <c r="D7436" t="inlineStr">
        <is>
          <t>JÄMTLANDS LÄN</t>
        </is>
      </c>
      <c r="E7436" t="inlineStr">
        <is>
          <t>HÄRJEDALEN</t>
        </is>
      </c>
      <c r="F7436" t="inlineStr">
        <is>
          <t>Holmen skog AB</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103-2023</t>
        </is>
      </c>
      <c r="B7437" s="1" t="n">
        <v>44928</v>
      </c>
      <c r="C7437" s="1" t="n">
        <v>45363</v>
      </c>
      <c r="D7437" t="inlineStr">
        <is>
          <t>JÄMTLANDS LÄN</t>
        </is>
      </c>
      <c r="E7437" t="inlineStr">
        <is>
          <t>HÄRJEDALEN</t>
        </is>
      </c>
      <c r="F7437" t="inlineStr">
        <is>
          <t>Holmen skog AB</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123-2023</t>
        </is>
      </c>
      <c r="B7438" s="1" t="n">
        <v>44928</v>
      </c>
      <c r="C7438" s="1" t="n">
        <v>45363</v>
      </c>
      <c r="D7438" t="inlineStr">
        <is>
          <t>JÄMTLANDS LÄN</t>
        </is>
      </c>
      <c r="E7438" t="inlineStr">
        <is>
          <t>BRÄCKE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257-2023</t>
        </is>
      </c>
      <c r="B7439" s="1" t="n">
        <v>44928</v>
      </c>
      <c r="C7439" s="1" t="n">
        <v>45363</v>
      </c>
      <c r="D7439" t="inlineStr">
        <is>
          <t>JÄMTLANDS LÄN</t>
        </is>
      </c>
      <c r="E7439" t="inlineStr">
        <is>
          <t>ÖSTERSUND</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34-2023</t>
        </is>
      </c>
      <c r="B7440" s="1" t="n">
        <v>44928</v>
      </c>
      <c r="C7440" s="1" t="n">
        <v>45363</v>
      </c>
      <c r="D7440" t="inlineStr">
        <is>
          <t>JÄMTLANDS LÄN</t>
        </is>
      </c>
      <c r="E7440" t="inlineStr">
        <is>
          <t>ÅRE</t>
        </is>
      </c>
      <c r="F7440" t="inlineStr">
        <is>
          <t>Övriga Aktiebolag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55-2023</t>
        </is>
      </c>
      <c r="B7441" s="1" t="n">
        <v>44928</v>
      </c>
      <c r="C7441" s="1" t="n">
        <v>45363</v>
      </c>
      <c r="D7441" t="inlineStr">
        <is>
          <t>JÄMTLANDS LÄN</t>
        </is>
      </c>
      <c r="E7441" t="inlineStr">
        <is>
          <t>ÖSTERSUND</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166-2023</t>
        </is>
      </c>
      <c r="B7442" s="1" t="n">
        <v>44928</v>
      </c>
      <c r="C7442" s="1" t="n">
        <v>45363</v>
      </c>
      <c r="D7442" t="inlineStr">
        <is>
          <t>JÄMTLANDS LÄN</t>
        </is>
      </c>
      <c r="E7442" t="inlineStr">
        <is>
          <t>HÄRJEDALEN</t>
        </is>
      </c>
      <c r="F7442" t="inlineStr">
        <is>
          <t>Holmen skog AB</t>
        </is>
      </c>
      <c r="G7442" t="n">
        <v>13.5</v>
      </c>
      <c r="H7442" t="n">
        <v>0</v>
      </c>
      <c r="I7442" t="n">
        <v>0</v>
      </c>
      <c r="J7442" t="n">
        <v>0</v>
      </c>
      <c r="K7442" t="n">
        <v>0</v>
      </c>
      <c r="L7442" t="n">
        <v>0</v>
      </c>
      <c r="M7442" t="n">
        <v>0</v>
      </c>
      <c r="N7442" t="n">
        <v>0</v>
      </c>
      <c r="O7442" t="n">
        <v>0</v>
      </c>
      <c r="P7442" t="n">
        <v>0</v>
      </c>
      <c r="Q7442" t="n">
        <v>0</v>
      </c>
      <c r="R7442" s="2" t="inlineStr"/>
    </row>
    <row r="7443" ht="15" customHeight="1">
      <c r="A7443" t="inlineStr">
        <is>
          <t>A 176-2023</t>
        </is>
      </c>
      <c r="B7443" s="1" t="n">
        <v>44928</v>
      </c>
      <c r="C7443" s="1" t="n">
        <v>45363</v>
      </c>
      <c r="D7443" t="inlineStr">
        <is>
          <t>JÄMTLANDS LÄN</t>
        </is>
      </c>
      <c r="E7443" t="inlineStr">
        <is>
          <t>HÄRJEDALEN</t>
        </is>
      </c>
      <c r="F7443" t="inlineStr">
        <is>
          <t>Holmen skog AB</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171-2023</t>
        </is>
      </c>
      <c r="B7444" s="1" t="n">
        <v>44928</v>
      </c>
      <c r="C7444" s="1" t="n">
        <v>45363</v>
      </c>
      <c r="D7444" t="inlineStr">
        <is>
          <t>JÄMTLANDS LÄN</t>
        </is>
      </c>
      <c r="E7444" t="inlineStr">
        <is>
          <t>HÄRJEDALEN</t>
        </is>
      </c>
      <c r="F7444" t="inlineStr">
        <is>
          <t>Holmen skog AB</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286-2023</t>
        </is>
      </c>
      <c r="B7445" s="1" t="n">
        <v>44928</v>
      </c>
      <c r="C7445" s="1" t="n">
        <v>45363</v>
      </c>
      <c r="D7445" t="inlineStr">
        <is>
          <t>JÄMTLANDS LÄN</t>
        </is>
      </c>
      <c r="E7445" t="inlineStr">
        <is>
          <t>STRÖMSUND</t>
        </is>
      </c>
      <c r="F7445" t="inlineStr">
        <is>
          <t>SCA</t>
        </is>
      </c>
      <c r="G7445" t="n">
        <v>40.5</v>
      </c>
      <c r="H7445" t="n">
        <v>0</v>
      </c>
      <c r="I7445" t="n">
        <v>0</v>
      </c>
      <c r="J7445" t="n">
        <v>0</v>
      </c>
      <c r="K7445" t="n">
        <v>0</v>
      </c>
      <c r="L7445" t="n">
        <v>0</v>
      </c>
      <c r="M7445" t="n">
        <v>0</v>
      </c>
      <c r="N7445" t="n">
        <v>0</v>
      </c>
      <c r="O7445" t="n">
        <v>0</v>
      </c>
      <c r="P7445" t="n">
        <v>0</v>
      </c>
      <c r="Q7445" t="n">
        <v>0</v>
      </c>
      <c r="R7445" s="2" t="inlineStr"/>
    </row>
    <row r="7446" ht="15" customHeight="1">
      <c r="A7446" t="inlineStr">
        <is>
          <t>A 278-2023</t>
        </is>
      </c>
      <c r="B7446" s="1" t="n">
        <v>44928</v>
      </c>
      <c r="C7446" s="1" t="n">
        <v>45363</v>
      </c>
      <c r="D7446" t="inlineStr">
        <is>
          <t>JÄMTLANDS LÄN</t>
        </is>
      </c>
      <c r="E7446" t="inlineStr">
        <is>
          <t>ÅRE</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462-2023</t>
        </is>
      </c>
      <c r="B7447" s="1" t="n">
        <v>44929</v>
      </c>
      <c r="C7447" s="1" t="n">
        <v>45363</v>
      </c>
      <c r="D7447" t="inlineStr">
        <is>
          <t>JÄMTLANDS LÄN</t>
        </is>
      </c>
      <c r="E7447" t="inlineStr">
        <is>
          <t>RAGUNDA</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461-2023</t>
        </is>
      </c>
      <c r="B7448" s="1" t="n">
        <v>44929</v>
      </c>
      <c r="C7448" s="1" t="n">
        <v>45363</v>
      </c>
      <c r="D7448" t="inlineStr">
        <is>
          <t>JÄMTLANDS LÄN</t>
        </is>
      </c>
      <c r="E7448" t="inlineStr">
        <is>
          <t>BERG</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467-2023</t>
        </is>
      </c>
      <c r="B7449" s="1" t="n">
        <v>44929</v>
      </c>
      <c r="C7449" s="1" t="n">
        <v>45363</v>
      </c>
      <c r="D7449" t="inlineStr">
        <is>
          <t>JÄMTLANDS LÄN</t>
        </is>
      </c>
      <c r="E7449" t="inlineStr">
        <is>
          <t>RAGUNDA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465-2023</t>
        </is>
      </c>
      <c r="B7450" s="1" t="n">
        <v>44929</v>
      </c>
      <c r="C7450" s="1" t="n">
        <v>45363</v>
      </c>
      <c r="D7450" t="inlineStr">
        <is>
          <t>JÄMTLANDS LÄN</t>
        </is>
      </c>
      <c r="E7450" t="inlineStr">
        <is>
          <t>RAGUNDA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1070-2023</t>
        </is>
      </c>
      <c r="B7451" s="1" t="n">
        <v>44929</v>
      </c>
      <c r="C7451" s="1" t="n">
        <v>45363</v>
      </c>
      <c r="D7451" t="inlineStr">
        <is>
          <t>JÄMTLANDS LÄN</t>
        </is>
      </c>
      <c r="E7451" t="inlineStr">
        <is>
          <t>BRÄCKE</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464-2023</t>
        </is>
      </c>
      <c r="B7452" s="1" t="n">
        <v>44929</v>
      </c>
      <c r="C7452" s="1" t="n">
        <v>45363</v>
      </c>
      <c r="D7452" t="inlineStr">
        <is>
          <t>JÄMTLANDS LÄN</t>
        </is>
      </c>
      <c r="E7452" t="inlineStr">
        <is>
          <t>RAGUNDA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719-2023</t>
        </is>
      </c>
      <c r="B7453" s="1" t="n">
        <v>44930</v>
      </c>
      <c r="C7453" s="1" t="n">
        <v>45363</v>
      </c>
      <c r="D7453" t="inlineStr">
        <is>
          <t>JÄMTLANDS LÄN</t>
        </is>
      </c>
      <c r="E7453" t="inlineStr">
        <is>
          <t>RAGUNDA</t>
        </is>
      </c>
      <c r="F7453" t="inlineStr">
        <is>
          <t>SCA</t>
        </is>
      </c>
      <c r="G7453" t="n">
        <v>10.7</v>
      </c>
      <c r="H7453" t="n">
        <v>0</v>
      </c>
      <c r="I7453" t="n">
        <v>0</v>
      </c>
      <c r="J7453" t="n">
        <v>0</v>
      </c>
      <c r="K7453" t="n">
        <v>0</v>
      </c>
      <c r="L7453" t="n">
        <v>0</v>
      </c>
      <c r="M7453" t="n">
        <v>0</v>
      </c>
      <c r="N7453" t="n">
        <v>0</v>
      </c>
      <c r="O7453" t="n">
        <v>0</v>
      </c>
      <c r="P7453" t="n">
        <v>0</v>
      </c>
      <c r="Q7453" t="n">
        <v>0</v>
      </c>
      <c r="R7453" s="2" t="inlineStr"/>
    </row>
    <row r="7454" ht="15" customHeight="1">
      <c r="A7454" t="inlineStr">
        <is>
          <t>A 556-2023</t>
        </is>
      </c>
      <c r="B7454" s="1" t="n">
        <v>44930</v>
      </c>
      <c r="C7454" s="1" t="n">
        <v>45363</v>
      </c>
      <c r="D7454" t="inlineStr">
        <is>
          <t>JÄMTLANDS LÄN</t>
        </is>
      </c>
      <c r="E7454" t="inlineStr">
        <is>
          <t>ÅRE</t>
        </is>
      </c>
      <c r="G7454" t="n">
        <v>14.9</v>
      </c>
      <c r="H7454" t="n">
        <v>0</v>
      </c>
      <c r="I7454" t="n">
        <v>0</v>
      </c>
      <c r="J7454" t="n">
        <v>0</v>
      </c>
      <c r="K7454" t="n">
        <v>0</v>
      </c>
      <c r="L7454" t="n">
        <v>0</v>
      </c>
      <c r="M7454" t="n">
        <v>0</v>
      </c>
      <c r="N7454" t="n">
        <v>0</v>
      </c>
      <c r="O7454" t="n">
        <v>0</v>
      </c>
      <c r="P7454" t="n">
        <v>0</v>
      </c>
      <c r="Q7454" t="n">
        <v>0</v>
      </c>
      <c r="R7454" s="2" t="inlineStr"/>
    </row>
    <row r="7455" ht="15" customHeight="1">
      <c r="A7455" t="inlineStr">
        <is>
          <t>A 536-2023</t>
        </is>
      </c>
      <c r="B7455" s="1" t="n">
        <v>44930</v>
      </c>
      <c r="C7455" s="1" t="n">
        <v>45363</v>
      </c>
      <c r="D7455" t="inlineStr">
        <is>
          <t>JÄMTLANDS LÄN</t>
        </is>
      </c>
      <c r="E7455" t="inlineStr">
        <is>
          <t>STRÖMSUND</t>
        </is>
      </c>
      <c r="G7455" t="n">
        <v>35.4</v>
      </c>
      <c r="H7455" t="n">
        <v>0</v>
      </c>
      <c r="I7455" t="n">
        <v>0</v>
      </c>
      <c r="J7455" t="n">
        <v>0</v>
      </c>
      <c r="K7455" t="n">
        <v>0</v>
      </c>
      <c r="L7455" t="n">
        <v>0</v>
      </c>
      <c r="M7455" t="n">
        <v>0</v>
      </c>
      <c r="N7455" t="n">
        <v>0</v>
      </c>
      <c r="O7455" t="n">
        <v>0</v>
      </c>
      <c r="P7455" t="n">
        <v>0</v>
      </c>
      <c r="Q7455" t="n">
        <v>0</v>
      </c>
      <c r="R7455" s="2" t="inlineStr"/>
    </row>
    <row r="7456" ht="15" customHeight="1">
      <c r="A7456" t="inlineStr">
        <is>
          <t>A 643-2023</t>
        </is>
      </c>
      <c r="B7456" s="1" t="n">
        <v>44930</v>
      </c>
      <c r="C7456" s="1" t="n">
        <v>45363</v>
      </c>
      <c r="D7456" t="inlineStr">
        <is>
          <t>JÄMTLANDS LÄN</t>
        </is>
      </c>
      <c r="E7456" t="inlineStr">
        <is>
          <t>BRÄCKE</t>
        </is>
      </c>
      <c r="F7456" t="inlineStr">
        <is>
          <t>Övriga Aktiebolag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731-2023</t>
        </is>
      </c>
      <c r="B7457" s="1" t="n">
        <v>44930</v>
      </c>
      <c r="C7457" s="1" t="n">
        <v>45363</v>
      </c>
      <c r="D7457" t="inlineStr">
        <is>
          <t>JÄMTLANDS LÄN</t>
        </is>
      </c>
      <c r="E7457" t="inlineStr">
        <is>
          <t>KROKOM</t>
        </is>
      </c>
      <c r="G7457" t="n">
        <v>10.6</v>
      </c>
      <c r="H7457" t="n">
        <v>0</v>
      </c>
      <c r="I7457" t="n">
        <v>0</v>
      </c>
      <c r="J7457" t="n">
        <v>0</v>
      </c>
      <c r="K7457" t="n">
        <v>0</v>
      </c>
      <c r="L7457" t="n">
        <v>0</v>
      </c>
      <c r="M7457" t="n">
        <v>0</v>
      </c>
      <c r="N7457" t="n">
        <v>0</v>
      </c>
      <c r="O7457" t="n">
        <v>0</v>
      </c>
      <c r="P7457" t="n">
        <v>0</v>
      </c>
      <c r="Q7457" t="n">
        <v>0</v>
      </c>
      <c r="R7457" s="2" t="inlineStr"/>
    </row>
    <row r="7458" ht="15" customHeight="1">
      <c r="A7458" t="inlineStr">
        <is>
          <t>A 1178-2023</t>
        </is>
      </c>
      <c r="B7458" s="1" t="n">
        <v>44930</v>
      </c>
      <c r="C7458" s="1" t="n">
        <v>45363</v>
      </c>
      <c r="D7458" t="inlineStr">
        <is>
          <t>JÄMTLANDS LÄN</t>
        </is>
      </c>
      <c r="E7458" t="inlineStr">
        <is>
          <t>BRÄCKE</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1187-2023</t>
        </is>
      </c>
      <c r="B7459" s="1" t="n">
        <v>44930</v>
      </c>
      <c r="C7459" s="1" t="n">
        <v>45363</v>
      </c>
      <c r="D7459" t="inlineStr">
        <is>
          <t>JÄMTLANDS LÄN</t>
        </is>
      </c>
      <c r="E7459" t="inlineStr">
        <is>
          <t>STRÖMSUND</t>
        </is>
      </c>
      <c r="G7459" t="n">
        <v>11.5</v>
      </c>
      <c r="H7459" t="n">
        <v>0</v>
      </c>
      <c r="I7459" t="n">
        <v>0</v>
      </c>
      <c r="J7459" t="n">
        <v>0</v>
      </c>
      <c r="K7459" t="n">
        <v>0</v>
      </c>
      <c r="L7459" t="n">
        <v>0</v>
      </c>
      <c r="M7459" t="n">
        <v>0</v>
      </c>
      <c r="N7459" t="n">
        <v>0</v>
      </c>
      <c r="O7459" t="n">
        <v>0</v>
      </c>
      <c r="P7459" t="n">
        <v>0</v>
      </c>
      <c r="Q7459" t="n">
        <v>0</v>
      </c>
      <c r="R7459" s="2" t="inlineStr"/>
    </row>
    <row r="7460" ht="15" customHeight="1">
      <c r="A7460" t="inlineStr">
        <is>
          <t>A 676-2023</t>
        </is>
      </c>
      <c r="B7460" s="1" t="n">
        <v>44930</v>
      </c>
      <c r="C7460" s="1" t="n">
        <v>45363</v>
      </c>
      <c r="D7460" t="inlineStr">
        <is>
          <t>JÄMTLANDS LÄN</t>
        </is>
      </c>
      <c r="E7460" t="inlineStr">
        <is>
          <t>BRÄCKE</t>
        </is>
      </c>
      <c r="F7460" t="inlineStr">
        <is>
          <t>Kyrkan</t>
        </is>
      </c>
      <c r="G7460" t="n">
        <v>7.9</v>
      </c>
      <c r="H7460" t="n">
        <v>0</v>
      </c>
      <c r="I7460" t="n">
        <v>0</v>
      </c>
      <c r="J7460" t="n">
        <v>0</v>
      </c>
      <c r="K7460" t="n">
        <v>0</v>
      </c>
      <c r="L7460" t="n">
        <v>0</v>
      </c>
      <c r="M7460" t="n">
        <v>0</v>
      </c>
      <c r="N7460" t="n">
        <v>0</v>
      </c>
      <c r="O7460" t="n">
        <v>0</v>
      </c>
      <c r="P7460" t="n">
        <v>0</v>
      </c>
      <c r="Q7460" t="n">
        <v>0</v>
      </c>
      <c r="R7460" s="2" t="inlineStr"/>
    </row>
    <row r="7461" ht="15" customHeight="1">
      <c r="A7461" t="inlineStr">
        <is>
          <t>A 718-2023</t>
        </is>
      </c>
      <c r="B7461" s="1" t="n">
        <v>44930</v>
      </c>
      <c r="C7461" s="1" t="n">
        <v>45363</v>
      </c>
      <c r="D7461" t="inlineStr">
        <is>
          <t>JÄMTLANDS LÄN</t>
        </is>
      </c>
      <c r="E7461" t="inlineStr">
        <is>
          <t>RAGUNDA</t>
        </is>
      </c>
      <c r="F7461" t="inlineStr">
        <is>
          <t>SCA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724-2023</t>
        </is>
      </c>
      <c r="B7462" s="1" t="n">
        <v>44930</v>
      </c>
      <c r="C7462" s="1" t="n">
        <v>45363</v>
      </c>
      <c r="D7462" t="inlineStr">
        <is>
          <t>JÄMTLANDS LÄN</t>
        </is>
      </c>
      <c r="E7462" t="inlineStr">
        <is>
          <t>BRÄCKE</t>
        </is>
      </c>
      <c r="F7462" t="inlineStr">
        <is>
          <t>SCA</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1204-2023</t>
        </is>
      </c>
      <c r="B7463" s="1" t="n">
        <v>44930</v>
      </c>
      <c r="C7463" s="1" t="n">
        <v>45363</v>
      </c>
      <c r="D7463" t="inlineStr">
        <is>
          <t>JÄMTLANDS LÄN</t>
        </is>
      </c>
      <c r="E7463" t="inlineStr">
        <is>
          <t>BRÄCKE</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772-2023</t>
        </is>
      </c>
      <c r="B7464" s="1" t="n">
        <v>44931</v>
      </c>
      <c r="C7464" s="1" t="n">
        <v>45363</v>
      </c>
      <c r="D7464" t="inlineStr">
        <is>
          <t>JÄMTLANDS LÄN</t>
        </is>
      </c>
      <c r="E7464" t="inlineStr">
        <is>
          <t>ÅRE</t>
        </is>
      </c>
      <c r="F7464" t="inlineStr">
        <is>
          <t>Övriga Aktiebolag</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844-2023</t>
        </is>
      </c>
      <c r="B7465" s="1" t="n">
        <v>44931</v>
      </c>
      <c r="C7465" s="1" t="n">
        <v>45363</v>
      </c>
      <c r="D7465" t="inlineStr">
        <is>
          <t>JÄMTLANDS LÄN</t>
        </is>
      </c>
      <c r="E7465" t="inlineStr">
        <is>
          <t>ÅRE</t>
        </is>
      </c>
      <c r="F7465" t="inlineStr">
        <is>
          <t>Övriga Aktiebolag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848-2023</t>
        </is>
      </c>
      <c r="B7466" s="1" t="n">
        <v>44931</v>
      </c>
      <c r="C7466" s="1" t="n">
        <v>45363</v>
      </c>
      <c r="D7466" t="inlineStr">
        <is>
          <t>JÄMTLANDS LÄN</t>
        </is>
      </c>
      <c r="E7466" t="inlineStr">
        <is>
          <t>ÅRE</t>
        </is>
      </c>
      <c r="F7466" t="inlineStr">
        <is>
          <t>Övriga Aktiebolag</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796-2023</t>
        </is>
      </c>
      <c r="B7467" s="1" t="n">
        <v>44931</v>
      </c>
      <c r="C7467" s="1" t="n">
        <v>45363</v>
      </c>
      <c r="D7467" t="inlineStr">
        <is>
          <t>JÄMTLANDS LÄN</t>
        </is>
      </c>
      <c r="E7467" t="inlineStr">
        <is>
          <t>ÅRE</t>
        </is>
      </c>
      <c r="F7467" t="inlineStr">
        <is>
          <t>Övriga Aktiebolag</t>
        </is>
      </c>
      <c r="G7467" t="n">
        <v>13.8</v>
      </c>
      <c r="H7467" t="n">
        <v>0</v>
      </c>
      <c r="I7467" t="n">
        <v>0</v>
      </c>
      <c r="J7467" t="n">
        <v>0</v>
      </c>
      <c r="K7467" t="n">
        <v>0</v>
      </c>
      <c r="L7467" t="n">
        <v>0</v>
      </c>
      <c r="M7467" t="n">
        <v>0</v>
      </c>
      <c r="N7467" t="n">
        <v>0</v>
      </c>
      <c r="O7467" t="n">
        <v>0</v>
      </c>
      <c r="P7467" t="n">
        <v>0</v>
      </c>
      <c r="Q7467" t="n">
        <v>0</v>
      </c>
      <c r="R7467" s="2" t="inlineStr"/>
    </row>
    <row r="7468" ht="15" customHeight="1">
      <c r="A7468" t="inlineStr">
        <is>
          <t>A 837-2023</t>
        </is>
      </c>
      <c r="B7468" s="1" t="n">
        <v>44931</v>
      </c>
      <c r="C7468" s="1" t="n">
        <v>45363</v>
      </c>
      <c r="D7468" t="inlineStr">
        <is>
          <t>JÄMTLANDS LÄN</t>
        </is>
      </c>
      <c r="E7468" t="inlineStr">
        <is>
          <t>ÅRE</t>
        </is>
      </c>
      <c r="F7468" t="inlineStr">
        <is>
          <t>Övriga Aktiebolag</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897-2023</t>
        </is>
      </c>
      <c r="B7469" s="1" t="n">
        <v>44931</v>
      </c>
      <c r="C7469" s="1" t="n">
        <v>45363</v>
      </c>
      <c r="D7469" t="inlineStr">
        <is>
          <t>JÄMTLANDS LÄN</t>
        </is>
      </c>
      <c r="E7469" t="inlineStr">
        <is>
          <t>STRÖMSUND</t>
        </is>
      </c>
      <c r="G7469" t="n">
        <v>11.2</v>
      </c>
      <c r="H7469" t="n">
        <v>0</v>
      </c>
      <c r="I7469" t="n">
        <v>0</v>
      </c>
      <c r="J7469" t="n">
        <v>0</v>
      </c>
      <c r="K7469" t="n">
        <v>0</v>
      </c>
      <c r="L7469" t="n">
        <v>0</v>
      </c>
      <c r="M7469" t="n">
        <v>0</v>
      </c>
      <c r="N7469" t="n">
        <v>0</v>
      </c>
      <c r="O7469" t="n">
        <v>0</v>
      </c>
      <c r="P7469" t="n">
        <v>0</v>
      </c>
      <c r="Q7469" t="n">
        <v>0</v>
      </c>
      <c r="R7469" s="2" t="inlineStr"/>
    </row>
    <row r="7470" ht="15" customHeight="1">
      <c r="A7470" t="inlineStr">
        <is>
          <t>A 1288-2023</t>
        </is>
      </c>
      <c r="B7470" s="1" t="n">
        <v>44931</v>
      </c>
      <c r="C7470" s="1" t="n">
        <v>45363</v>
      </c>
      <c r="D7470" t="inlineStr">
        <is>
          <t>JÄMTLANDS LÄN</t>
        </is>
      </c>
      <c r="E7470" t="inlineStr">
        <is>
          <t>STRÖMSUND</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1297-2023</t>
        </is>
      </c>
      <c r="B7471" s="1" t="n">
        <v>44931</v>
      </c>
      <c r="C7471" s="1" t="n">
        <v>45363</v>
      </c>
      <c r="D7471" t="inlineStr">
        <is>
          <t>JÄMTLANDS LÄN</t>
        </is>
      </c>
      <c r="E7471" t="inlineStr">
        <is>
          <t>KROKOM</t>
        </is>
      </c>
      <c r="G7471" t="n">
        <v>8.800000000000001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934-2023</t>
        </is>
      </c>
      <c r="B7472" s="1" t="n">
        <v>44932</v>
      </c>
      <c r="C7472" s="1" t="n">
        <v>45363</v>
      </c>
      <c r="D7472" t="inlineStr">
        <is>
          <t>JÄMTLANDS LÄN</t>
        </is>
      </c>
      <c r="E7472" t="inlineStr">
        <is>
          <t>RAGUNDA</t>
        </is>
      </c>
      <c r="F7472" t="inlineStr">
        <is>
          <t>SCA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1230-2023</t>
        </is>
      </c>
      <c r="B7473" s="1" t="n">
        <v>44936</v>
      </c>
      <c r="C7473" s="1" t="n">
        <v>45363</v>
      </c>
      <c r="D7473" t="inlineStr">
        <is>
          <t>JÄMTLANDS LÄN</t>
        </is>
      </c>
      <c r="E7473" t="inlineStr">
        <is>
          <t>BRÄCKE</t>
        </is>
      </c>
      <c r="F7473" t="inlineStr">
        <is>
          <t>SCA</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1159-2023</t>
        </is>
      </c>
      <c r="B7474" s="1" t="n">
        <v>44935</v>
      </c>
      <c r="C7474" s="1" t="n">
        <v>45363</v>
      </c>
      <c r="D7474" t="inlineStr">
        <is>
          <t>JÄMTLANDS LÄN</t>
        </is>
      </c>
      <c r="E7474" t="inlineStr">
        <is>
          <t>ÅRE</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1224-2023</t>
        </is>
      </c>
      <c r="B7475" s="1" t="n">
        <v>44935</v>
      </c>
      <c r="C7475" s="1" t="n">
        <v>45363</v>
      </c>
      <c r="D7475" t="inlineStr">
        <is>
          <t>JÄMTLANDS LÄN</t>
        </is>
      </c>
      <c r="E7475" t="inlineStr">
        <is>
          <t>STRÖMSUND</t>
        </is>
      </c>
      <c r="F7475" t="inlineStr">
        <is>
          <t>SCA</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1234-2023</t>
        </is>
      </c>
      <c r="B7476" s="1" t="n">
        <v>44936</v>
      </c>
      <c r="C7476" s="1" t="n">
        <v>45363</v>
      </c>
      <c r="D7476" t="inlineStr">
        <is>
          <t>JÄMTLANDS LÄN</t>
        </is>
      </c>
      <c r="E7476" t="inlineStr">
        <is>
          <t>ÖSTERSUND</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1517-2023</t>
        </is>
      </c>
      <c r="B7477" s="1" t="n">
        <v>44935</v>
      </c>
      <c r="C7477" s="1" t="n">
        <v>45363</v>
      </c>
      <c r="D7477" t="inlineStr">
        <is>
          <t>JÄMTLANDS LÄN</t>
        </is>
      </c>
      <c r="E7477" t="inlineStr">
        <is>
          <t>KROKOM</t>
        </is>
      </c>
      <c r="G7477" t="n">
        <v>11.1</v>
      </c>
      <c r="H7477" t="n">
        <v>0</v>
      </c>
      <c r="I7477" t="n">
        <v>0</v>
      </c>
      <c r="J7477" t="n">
        <v>0</v>
      </c>
      <c r="K7477" t="n">
        <v>0</v>
      </c>
      <c r="L7477" t="n">
        <v>0</v>
      </c>
      <c r="M7477" t="n">
        <v>0</v>
      </c>
      <c r="N7477" t="n">
        <v>0</v>
      </c>
      <c r="O7477" t="n">
        <v>0</v>
      </c>
      <c r="P7477" t="n">
        <v>0</v>
      </c>
      <c r="Q7477" t="n">
        <v>0</v>
      </c>
      <c r="R7477" s="2" t="inlineStr"/>
    </row>
    <row r="7478" ht="15" customHeight="1">
      <c r="A7478" t="inlineStr">
        <is>
          <t>A 1414-2023</t>
        </is>
      </c>
      <c r="B7478" s="1" t="n">
        <v>44936</v>
      </c>
      <c r="C7478" s="1" t="n">
        <v>45363</v>
      </c>
      <c r="D7478" t="inlineStr">
        <is>
          <t>JÄMTLANDS LÄN</t>
        </is>
      </c>
      <c r="E7478" t="inlineStr">
        <is>
          <t>ÅRE</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1747-2023</t>
        </is>
      </c>
      <c r="B7479" s="1" t="n">
        <v>44936</v>
      </c>
      <c r="C7479" s="1" t="n">
        <v>45363</v>
      </c>
      <c r="D7479" t="inlineStr">
        <is>
          <t>JÄMTLANDS LÄN</t>
        </is>
      </c>
      <c r="E7479" t="inlineStr">
        <is>
          <t>STRÖMSUND</t>
        </is>
      </c>
      <c r="G7479" t="n">
        <v>13.1</v>
      </c>
      <c r="H7479" t="n">
        <v>0</v>
      </c>
      <c r="I7479" t="n">
        <v>0</v>
      </c>
      <c r="J7479" t="n">
        <v>0</v>
      </c>
      <c r="K7479" t="n">
        <v>0</v>
      </c>
      <c r="L7479" t="n">
        <v>0</v>
      </c>
      <c r="M7479" t="n">
        <v>0</v>
      </c>
      <c r="N7479" t="n">
        <v>0</v>
      </c>
      <c r="O7479" t="n">
        <v>0</v>
      </c>
      <c r="P7479" t="n">
        <v>0</v>
      </c>
      <c r="Q7479" t="n">
        <v>0</v>
      </c>
      <c r="R7479" s="2" t="inlineStr"/>
    </row>
    <row r="7480" ht="15" customHeight="1">
      <c r="A7480" t="inlineStr">
        <is>
          <t>A 1744-2023</t>
        </is>
      </c>
      <c r="B7480" s="1" t="n">
        <v>44936</v>
      </c>
      <c r="C7480" s="1" t="n">
        <v>45363</v>
      </c>
      <c r="D7480" t="inlineStr">
        <is>
          <t>JÄMTLANDS LÄN</t>
        </is>
      </c>
      <c r="E7480" t="inlineStr">
        <is>
          <t>STRÖMSUND</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1641-2023</t>
        </is>
      </c>
      <c r="B7481" s="1" t="n">
        <v>44937</v>
      </c>
      <c r="C7481" s="1" t="n">
        <v>45363</v>
      </c>
      <c r="D7481" t="inlineStr">
        <is>
          <t>JÄMTLANDS LÄN</t>
        </is>
      </c>
      <c r="E7481" t="inlineStr">
        <is>
          <t>STRÖMSUND</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1642-2023</t>
        </is>
      </c>
      <c r="B7482" s="1" t="n">
        <v>44937</v>
      </c>
      <c r="C7482" s="1" t="n">
        <v>45363</v>
      </c>
      <c r="D7482" t="inlineStr">
        <is>
          <t>JÄMTLANDS LÄN</t>
        </is>
      </c>
      <c r="E7482" t="inlineStr">
        <is>
          <t>STRÖMSUND</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1893-2023</t>
        </is>
      </c>
      <c r="B7483" s="1" t="n">
        <v>44937</v>
      </c>
      <c r="C7483" s="1" t="n">
        <v>45363</v>
      </c>
      <c r="D7483" t="inlineStr">
        <is>
          <t>JÄMTLANDS LÄN</t>
        </is>
      </c>
      <c r="E7483" t="inlineStr">
        <is>
          <t>ÖSTERSUND</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1876-2023</t>
        </is>
      </c>
      <c r="B7484" s="1" t="n">
        <v>44938</v>
      </c>
      <c r="C7484" s="1" t="n">
        <v>45363</v>
      </c>
      <c r="D7484" t="inlineStr">
        <is>
          <t>JÄMTLANDS LÄN</t>
        </is>
      </c>
      <c r="E7484" t="inlineStr">
        <is>
          <t>RAGUNDA</t>
        </is>
      </c>
      <c r="F7484" t="inlineStr">
        <is>
          <t>SCA</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1877-2023</t>
        </is>
      </c>
      <c r="B7485" s="1" t="n">
        <v>44938</v>
      </c>
      <c r="C7485" s="1" t="n">
        <v>45363</v>
      </c>
      <c r="D7485" t="inlineStr">
        <is>
          <t>JÄMTLANDS LÄN</t>
        </is>
      </c>
      <c r="E7485" t="inlineStr">
        <is>
          <t>KROKOM</t>
        </is>
      </c>
      <c r="G7485" t="n">
        <v>11.1</v>
      </c>
      <c r="H7485" t="n">
        <v>0</v>
      </c>
      <c r="I7485" t="n">
        <v>0</v>
      </c>
      <c r="J7485" t="n">
        <v>0</v>
      </c>
      <c r="K7485" t="n">
        <v>0</v>
      </c>
      <c r="L7485" t="n">
        <v>0</v>
      </c>
      <c r="M7485" t="n">
        <v>0</v>
      </c>
      <c r="N7485" t="n">
        <v>0</v>
      </c>
      <c r="O7485" t="n">
        <v>0</v>
      </c>
      <c r="P7485" t="n">
        <v>0</v>
      </c>
      <c r="Q7485" t="n">
        <v>0</v>
      </c>
      <c r="R7485" s="2" t="inlineStr"/>
    </row>
    <row r="7486" ht="15" customHeight="1">
      <c r="A7486" t="inlineStr">
        <is>
          <t>A 1952-2023</t>
        </is>
      </c>
      <c r="B7486" s="1" t="n">
        <v>44938</v>
      </c>
      <c r="C7486" s="1" t="n">
        <v>45363</v>
      </c>
      <c r="D7486" t="inlineStr">
        <is>
          <t>JÄMTLANDS LÄN</t>
        </is>
      </c>
      <c r="E7486" t="inlineStr">
        <is>
          <t>STRÖMSUND</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1870-2023</t>
        </is>
      </c>
      <c r="B7487" s="1" t="n">
        <v>44938</v>
      </c>
      <c r="C7487" s="1" t="n">
        <v>45363</v>
      </c>
      <c r="D7487" t="inlineStr">
        <is>
          <t>JÄMTLANDS LÄN</t>
        </is>
      </c>
      <c r="E7487" t="inlineStr">
        <is>
          <t>RAGUNDA</t>
        </is>
      </c>
      <c r="F7487" t="inlineStr">
        <is>
          <t>SCA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1806-2023</t>
        </is>
      </c>
      <c r="B7488" s="1" t="n">
        <v>44938</v>
      </c>
      <c r="C7488" s="1" t="n">
        <v>45363</v>
      </c>
      <c r="D7488" t="inlineStr">
        <is>
          <t>JÄMTLANDS LÄN</t>
        </is>
      </c>
      <c r="E7488" t="inlineStr">
        <is>
          <t>ÅRE</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1871-2023</t>
        </is>
      </c>
      <c r="B7489" s="1" t="n">
        <v>44938</v>
      </c>
      <c r="C7489" s="1" t="n">
        <v>45363</v>
      </c>
      <c r="D7489" t="inlineStr">
        <is>
          <t>JÄMTLANDS LÄN</t>
        </is>
      </c>
      <c r="E7489" t="inlineStr">
        <is>
          <t>RAGUNDA</t>
        </is>
      </c>
      <c r="F7489" t="inlineStr">
        <is>
          <t>SCA</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1875-2023</t>
        </is>
      </c>
      <c r="B7490" s="1" t="n">
        <v>44938</v>
      </c>
      <c r="C7490" s="1" t="n">
        <v>45363</v>
      </c>
      <c r="D7490" t="inlineStr">
        <is>
          <t>JÄMTLANDS LÄN</t>
        </is>
      </c>
      <c r="E7490" t="inlineStr">
        <is>
          <t>RAGUNDA</t>
        </is>
      </c>
      <c r="F7490" t="inlineStr">
        <is>
          <t>SCA</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1907-2023</t>
        </is>
      </c>
      <c r="B7491" s="1" t="n">
        <v>44939</v>
      </c>
      <c r="C7491" s="1" t="n">
        <v>45363</v>
      </c>
      <c r="D7491" t="inlineStr">
        <is>
          <t>JÄMTLANDS LÄN</t>
        </is>
      </c>
      <c r="E7491" t="inlineStr">
        <is>
          <t>HÄRJEDALEN</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1954-2023</t>
        </is>
      </c>
      <c r="B7492" s="1" t="n">
        <v>44939</v>
      </c>
      <c r="C7492" s="1" t="n">
        <v>45363</v>
      </c>
      <c r="D7492" t="inlineStr">
        <is>
          <t>JÄMTLANDS LÄN</t>
        </is>
      </c>
      <c r="E7492" t="inlineStr">
        <is>
          <t>HÄRJEDALEN</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2117-2023</t>
        </is>
      </c>
      <c r="B7493" s="1" t="n">
        <v>44939</v>
      </c>
      <c r="C7493" s="1" t="n">
        <v>45363</v>
      </c>
      <c r="D7493" t="inlineStr">
        <is>
          <t>JÄMTLANDS LÄN</t>
        </is>
      </c>
      <c r="E7493" t="inlineStr">
        <is>
          <t>RAGUNDA</t>
        </is>
      </c>
      <c r="F7493" t="inlineStr">
        <is>
          <t>SCA</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2130-2023</t>
        </is>
      </c>
      <c r="B7494" s="1" t="n">
        <v>44939</v>
      </c>
      <c r="C7494" s="1" t="n">
        <v>45363</v>
      </c>
      <c r="D7494" t="inlineStr">
        <is>
          <t>JÄMTLANDS LÄN</t>
        </is>
      </c>
      <c r="E7494" t="inlineStr">
        <is>
          <t>RAGUNDA</t>
        </is>
      </c>
      <c r="F7494" t="inlineStr">
        <is>
          <t>SCA</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2254-2023</t>
        </is>
      </c>
      <c r="B7495" s="1" t="n">
        <v>44939</v>
      </c>
      <c r="C7495" s="1" t="n">
        <v>45363</v>
      </c>
      <c r="D7495" t="inlineStr">
        <is>
          <t>JÄMTLANDS LÄN</t>
        </is>
      </c>
      <c r="E7495" t="inlineStr">
        <is>
          <t>BRÄCKE</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2127-2023</t>
        </is>
      </c>
      <c r="B7496" s="1" t="n">
        <v>44939</v>
      </c>
      <c r="C7496" s="1" t="n">
        <v>45363</v>
      </c>
      <c r="D7496" t="inlineStr">
        <is>
          <t>JÄMTLANDS LÄN</t>
        </is>
      </c>
      <c r="E7496" t="inlineStr">
        <is>
          <t>RAGUNDA</t>
        </is>
      </c>
      <c r="F7496" t="inlineStr">
        <is>
          <t>SCA</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2050-2023</t>
        </is>
      </c>
      <c r="B7497" s="1" t="n">
        <v>44939</v>
      </c>
      <c r="C7497" s="1" t="n">
        <v>45363</v>
      </c>
      <c r="D7497" t="inlineStr">
        <is>
          <t>JÄMTLANDS LÄN</t>
        </is>
      </c>
      <c r="E7497" t="inlineStr">
        <is>
          <t>STRÖMSUND</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2133-2023</t>
        </is>
      </c>
      <c r="B7498" s="1" t="n">
        <v>44939</v>
      </c>
      <c r="C7498" s="1" t="n">
        <v>45363</v>
      </c>
      <c r="D7498" t="inlineStr">
        <is>
          <t>JÄMTLANDS LÄN</t>
        </is>
      </c>
      <c r="E7498" t="inlineStr">
        <is>
          <t>RAGUNDA</t>
        </is>
      </c>
      <c r="F7498" t="inlineStr">
        <is>
          <t>SCA</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2246-2023</t>
        </is>
      </c>
      <c r="B7499" s="1" t="n">
        <v>44939</v>
      </c>
      <c r="C7499" s="1" t="n">
        <v>45363</v>
      </c>
      <c r="D7499" t="inlineStr">
        <is>
          <t>JÄMTLANDS LÄN</t>
        </is>
      </c>
      <c r="E7499" t="inlineStr">
        <is>
          <t>STRÖMSUND</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2609-2023</t>
        </is>
      </c>
      <c r="B7500" s="1" t="n">
        <v>44939</v>
      </c>
      <c r="C7500" s="1" t="n">
        <v>45363</v>
      </c>
      <c r="D7500" t="inlineStr">
        <is>
          <t>JÄMTLANDS LÄN</t>
        </is>
      </c>
      <c r="E7500" t="inlineStr">
        <is>
          <t>KROKOM</t>
        </is>
      </c>
      <c r="G7500" t="n">
        <v>16.9</v>
      </c>
      <c r="H7500" t="n">
        <v>0</v>
      </c>
      <c r="I7500" t="n">
        <v>0</v>
      </c>
      <c r="J7500" t="n">
        <v>0</v>
      </c>
      <c r="K7500" t="n">
        <v>0</v>
      </c>
      <c r="L7500" t="n">
        <v>0</v>
      </c>
      <c r="M7500" t="n">
        <v>0</v>
      </c>
      <c r="N7500" t="n">
        <v>0</v>
      </c>
      <c r="O7500" t="n">
        <v>0</v>
      </c>
      <c r="P7500" t="n">
        <v>0</v>
      </c>
      <c r="Q7500" t="n">
        <v>0</v>
      </c>
      <c r="R7500" s="2" t="inlineStr"/>
    </row>
    <row r="7501" ht="15" customHeight="1">
      <c r="A7501" t="inlineStr">
        <is>
          <t>A 2267-2023</t>
        </is>
      </c>
      <c r="B7501" s="1" t="n">
        <v>44942</v>
      </c>
      <c r="C7501" s="1" t="n">
        <v>45363</v>
      </c>
      <c r="D7501" t="inlineStr">
        <is>
          <t>JÄMTLANDS LÄN</t>
        </is>
      </c>
      <c r="E7501" t="inlineStr">
        <is>
          <t>BERG</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2296-2023</t>
        </is>
      </c>
      <c r="B7502" s="1" t="n">
        <v>44942</v>
      </c>
      <c r="C7502" s="1" t="n">
        <v>45363</v>
      </c>
      <c r="D7502" t="inlineStr">
        <is>
          <t>JÄMTLANDS LÄN</t>
        </is>
      </c>
      <c r="E7502" t="inlineStr">
        <is>
          <t>STRÖMSUND</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2374-2023</t>
        </is>
      </c>
      <c r="B7503" s="1" t="n">
        <v>44942</v>
      </c>
      <c r="C7503" s="1" t="n">
        <v>45363</v>
      </c>
      <c r="D7503" t="inlineStr">
        <is>
          <t>JÄMTLANDS LÄN</t>
        </is>
      </c>
      <c r="E7503" t="inlineStr">
        <is>
          <t>ÅRE</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2401-2023</t>
        </is>
      </c>
      <c r="B7504" s="1" t="n">
        <v>44942</v>
      </c>
      <c r="C7504" s="1" t="n">
        <v>45363</v>
      </c>
      <c r="D7504" t="inlineStr">
        <is>
          <t>JÄMTLANDS LÄN</t>
        </is>
      </c>
      <c r="E7504" t="inlineStr">
        <is>
          <t>RAGUNDA</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2411-2023</t>
        </is>
      </c>
      <c r="B7505" s="1" t="n">
        <v>44942</v>
      </c>
      <c r="C7505" s="1" t="n">
        <v>45363</v>
      </c>
      <c r="D7505" t="inlineStr">
        <is>
          <t>JÄMTLANDS LÄN</t>
        </is>
      </c>
      <c r="E7505" t="inlineStr">
        <is>
          <t>RAGUNDA</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2376-2023</t>
        </is>
      </c>
      <c r="B7506" s="1" t="n">
        <v>44942</v>
      </c>
      <c r="C7506" s="1" t="n">
        <v>45363</v>
      </c>
      <c r="D7506" t="inlineStr">
        <is>
          <t>JÄMTLANDS LÄN</t>
        </is>
      </c>
      <c r="E7506" t="inlineStr">
        <is>
          <t>ÅRE</t>
        </is>
      </c>
      <c r="G7506" t="n">
        <v>0.1</v>
      </c>
      <c r="H7506" t="n">
        <v>0</v>
      </c>
      <c r="I7506" t="n">
        <v>0</v>
      </c>
      <c r="J7506" t="n">
        <v>0</v>
      </c>
      <c r="K7506" t="n">
        <v>0</v>
      </c>
      <c r="L7506" t="n">
        <v>0</v>
      </c>
      <c r="M7506" t="n">
        <v>0</v>
      </c>
      <c r="N7506" t="n">
        <v>0</v>
      </c>
      <c r="O7506" t="n">
        <v>0</v>
      </c>
      <c r="P7506" t="n">
        <v>0</v>
      </c>
      <c r="Q7506" t="n">
        <v>0</v>
      </c>
      <c r="R7506" s="2" t="inlineStr"/>
    </row>
    <row r="7507" ht="15" customHeight="1">
      <c r="A7507" t="inlineStr">
        <is>
          <t>A 2402-2023</t>
        </is>
      </c>
      <c r="B7507" s="1" t="n">
        <v>44942</v>
      </c>
      <c r="C7507" s="1" t="n">
        <v>45363</v>
      </c>
      <c r="D7507" t="inlineStr">
        <is>
          <t>JÄMTLANDS LÄN</t>
        </is>
      </c>
      <c r="E7507" t="inlineStr">
        <is>
          <t>RAGUNDA</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2414-2023</t>
        </is>
      </c>
      <c r="B7508" s="1" t="n">
        <v>44942</v>
      </c>
      <c r="C7508" s="1" t="n">
        <v>45363</v>
      </c>
      <c r="D7508" t="inlineStr">
        <is>
          <t>JÄMTLANDS LÄN</t>
        </is>
      </c>
      <c r="E7508" t="inlineStr">
        <is>
          <t>RAGUNDA</t>
        </is>
      </c>
      <c r="F7508" t="inlineStr">
        <is>
          <t>SCA</t>
        </is>
      </c>
      <c r="G7508" t="n">
        <v>28.4</v>
      </c>
      <c r="H7508" t="n">
        <v>0</v>
      </c>
      <c r="I7508" t="n">
        <v>0</v>
      </c>
      <c r="J7508" t="n">
        <v>0</v>
      </c>
      <c r="K7508" t="n">
        <v>0</v>
      </c>
      <c r="L7508" t="n">
        <v>0</v>
      </c>
      <c r="M7508" t="n">
        <v>0</v>
      </c>
      <c r="N7508" t="n">
        <v>0</v>
      </c>
      <c r="O7508" t="n">
        <v>0</v>
      </c>
      <c r="P7508" t="n">
        <v>0</v>
      </c>
      <c r="Q7508" t="n">
        <v>0</v>
      </c>
      <c r="R7508" s="2" t="inlineStr"/>
    </row>
    <row r="7509" ht="15" customHeight="1">
      <c r="A7509" t="inlineStr">
        <is>
          <t>A 2675-2023</t>
        </is>
      </c>
      <c r="B7509" s="1" t="n">
        <v>44942</v>
      </c>
      <c r="C7509" s="1" t="n">
        <v>45363</v>
      </c>
      <c r="D7509" t="inlineStr">
        <is>
          <t>JÄMTLANDS LÄN</t>
        </is>
      </c>
      <c r="E7509" t="inlineStr">
        <is>
          <t>STRÖMSUND</t>
        </is>
      </c>
      <c r="G7509" t="n">
        <v>10.4</v>
      </c>
      <c r="H7509" t="n">
        <v>0</v>
      </c>
      <c r="I7509" t="n">
        <v>0</v>
      </c>
      <c r="J7509" t="n">
        <v>0</v>
      </c>
      <c r="K7509" t="n">
        <v>0</v>
      </c>
      <c r="L7509" t="n">
        <v>0</v>
      </c>
      <c r="M7509" t="n">
        <v>0</v>
      </c>
      <c r="N7509" t="n">
        <v>0</v>
      </c>
      <c r="O7509" t="n">
        <v>0</v>
      </c>
      <c r="P7509" t="n">
        <v>0</v>
      </c>
      <c r="Q7509" t="n">
        <v>0</v>
      </c>
      <c r="R7509" s="2" t="inlineStr"/>
    </row>
    <row r="7510" ht="15" customHeight="1">
      <c r="A7510" t="inlineStr">
        <is>
          <t>A 3182-2023</t>
        </is>
      </c>
      <c r="B7510" s="1" t="n">
        <v>44942</v>
      </c>
      <c r="C7510" s="1" t="n">
        <v>45363</v>
      </c>
      <c r="D7510" t="inlineStr">
        <is>
          <t>JÄMTLANDS LÄN</t>
        </is>
      </c>
      <c r="E7510" t="inlineStr">
        <is>
          <t>STRÖMSUND</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2420-2023</t>
        </is>
      </c>
      <c r="B7511" s="1" t="n">
        <v>44943</v>
      </c>
      <c r="C7511" s="1" t="n">
        <v>45363</v>
      </c>
      <c r="D7511" t="inlineStr">
        <is>
          <t>JÄMTLANDS LÄN</t>
        </is>
      </c>
      <c r="E7511" t="inlineStr">
        <is>
          <t>ÖSTERSUND</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2599-2023</t>
        </is>
      </c>
      <c r="B7512" s="1" t="n">
        <v>44943</v>
      </c>
      <c r="C7512" s="1" t="n">
        <v>45363</v>
      </c>
      <c r="D7512" t="inlineStr">
        <is>
          <t>JÄMTLANDS LÄN</t>
        </is>
      </c>
      <c r="E7512" t="inlineStr">
        <is>
          <t>RAGUNDA</t>
        </is>
      </c>
      <c r="F7512" t="inlineStr">
        <is>
          <t>SCA</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2600-2023</t>
        </is>
      </c>
      <c r="B7513" s="1" t="n">
        <v>44943</v>
      </c>
      <c r="C7513" s="1" t="n">
        <v>45363</v>
      </c>
      <c r="D7513" t="inlineStr">
        <is>
          <t>JÄMTLANDS LÄN</t>
        </is>
      </c>
      <c r="E7513" t="inlineStr">
        <is>
          <t>RAGUNDA</t>
        </is>
      </c>
      <c r="F7513" t="inlineStr">
        <is>
          <t>SCA</t>
        </is>
      </c>
      <c r="G7513" t="n">
        <v>8.5</v>
      </c>
      <c r="H7513" t="n">
        <v>0</v>
      </c>
      <c r="I7513" t="n">
        <v>0</v>
      </c>
      <c r="J7513" t="n">
        <v>0</v>
      </c>
      <c r="K7513" t="n">
        <v>0</v>
      </c>
      <c r="L7513" t="n">
        <v>0</v>
      </c>
      <c r="M7513" t="n">
        <v>0</v>
      </c>
      <c r="N7513" t="n">
        <v>0</v>
      </c>
      <c r="O7513" t="n">
        <v>0</v>
      </c>
      <c r="P7513" t="n">
        <v>0</v>
      </c>
      <c r="Q7513" t="n">
        <v>0</v>
      </c>
      <c r="R7513" s="2" t="inlineStr"/>
    </row>
    <row r="7514" ht="15" customHeight="1">
      <c r="A7514" t="inlineStr">
        <is>
          <t>A 2819-2023</t>
        </is>
      </c>
      <c r="B7514" s="1" t="n">
        <v>44944</v>
      </c>
      <c r="C7514" s="1" t="n">
        <v>45363</v>
      </c>
      <c r="D7514" t="inlineStr">
        <is>
          <t>JÄMTLANDS LÄN</t>
        </is>
      </c>
      <c r="E7514" t="inlineStr">
        <is>
          <t>RAGUNDA</t>
        </is>
      </c>
      <c r="G7514" t="n">
        <v>8.800000000000001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2954-2023</t>
        </is>
      </c>
      <c r="B7515" s="1" t="n">
        <v>44945</v>
      </c>
      <c r="C7515" s="1" t="n">
        <v>45363</v>
      </c>
      <c r="D7515" t="inlineStr">
        <is>
          <t>JÄMTLANDS LÄN</t>
        </is>
      </c>
      <c r="E7515" t="inlineStr">
        <is>
          <t>BRÄCKE</t>
        </is>
      </c>
      <c r="F7515" t="inlineStr">
        <is>
          <t>Övriga Aktiebolag</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3032-2023</t>
        </is>
      </c>
      <c r="B7516" s="1" t="n">
        <v>44945</v>
      </c>
      <c r="C7516" s="1" t="n">
        <v>45363</v>
      </c>
      <c r="D7516" t="inlineStr">
        <is>
          <t>JÄMTLANDS LÄN</t>
        </is>
      </c>
      <c r="E7516" t="inlineStr">
        <is>
          <t>BRÄCKE</t>
        </is>
      </c>
      <c r="F7516" t="inlineStr">
        <is>
          <t>SCA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3036-2023</t>
        </is>
      </c>
      <c r="B7517" s="1" t="n">
        <v>44945</v>
      </c>
      <c r="C7517" s="1" t="n">
        <v>45363</v>
      </c>
      <c r="D7517" t="inlineStr">
        <is>
          <t>JÄMTLANDS LÄN</t>
        </is>
      </c>
      <c r="E7517" t="inlineStr">
        <is>
          <t>BRÄCKE</t>
        </is>
      </c>
      <c r="F7517" t="inlineStr">
        <is>
          <t>SCA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3027-2023</t>
        </is>
      </c>
      <c r="B7518" s="1" t="n">
        <v>44945</v>
      </c>
      <c r="C7518" s="1" t="n">
        <v>45363</v>
      </c>
      <c r="D7518" t="inlineStr">
        <is>
          <t>JÄMTLANDS LÄN</t>
        </is>
      </c>
      <c r="E7518" t="inlineStr">
        <is>
          <t>STRÖMSUND</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3020-2023</t>
        </is>
      </c>
      <c r="B7519" s="1" t="n">
        <v>44945</v>
      </c>
      <c r="C7519" s="1" t="n">
        <v>45363</v>
      </c>
      <c r="D7519" t="inlineStr">
        <is>
          <t>JÄMTLANDS LÄN</t>
        </is>
      </c>
      <c r="E7519" t="inlineStr">
        <is>
          <t>BRÄCKE</t>
        </is>
      </c>
      <c r="F7519" t="inlineStr">
        <is>
          <t>SCA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3031-2023</t>
        </is>
      </c>
      <c r="B7520" s="1" t="n">
        <v>44945</v>
      </c>
      <c r="C7520" s="1" t="n">
        <v>45363</v>
      </c>
      <c r="D7520" t="inlineStr">
        <is>
          <t>JÄMTLANDS LÄN</t>
        </is>
      </c>
      <c r="E7520" t="inlineStr">
        <is>
          <t>BRÄCKE</t>
        </is>
      </c>
      <c r="F7520" t="inlineStr">
        <is>
          <t>SCA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3035-2023</t>
        </is>
      </c>
      <c r="B7521" s="1" t="n">
        <v>44945</v>
      </c>
      <c r="C7521" s="1" t="n">
        <v>45363</v>
      </c>
      <c r="D7521" t="inlineStr">
        <is>
          <t>JÄMTLANDS LÄN</t>
        </is>
      </c>
      <c r="E7521" t="inlineStr">
        <is>
          <t>BRÄCKE</t>
        </is>
      </c>
      <c r="F7521" t="inlineStr">
        <is>
          <t>SCA</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3034-2023</t>
        </is>
      </c>
      <c r="B7522" s="1" t="n">
        <v>44945</v>
      </c>
      <c r="C7522" s="1" t="n">
        <v>45363</v>
      </c>
      <c r="D7522" t="inlineStr">
        <is>
          <t>JÄMTLANDS LÄN</t>
        </is>
      </c>
      <c r="E7522" t="inlineStr">
        <is>
          <t>RAGUNDA</t>
        </is>
      </c>
      <c r="F7522" t="inlineStr">
        <is>
          <t>SCA</t>
        </is>
      </c>
      <c r="G7522" t="n">
        <v>19.1</v>
      </c>
      <c r="H7522" t="n">
        <v>0</v>
      </c>
      <c r="I7522" t="n">
        <v>0</v>
      </c>
      <c r="J7522" t="n">
        <v>0</v>
      </c>
      <c r="K7522" t="n">
        <v>0</v>
      </c>
      <c r="L7522" t="n">
        <v>0</v>
      </c>
      <c r="M7522" t="n">
        <v>0</v>
      </c>
      <c r="N7522" t="n">
        <v>0</v>
      </c>
      <c r="O7522" t="n">
        <v>0</v>
      </c>
      <c r="P7522" t="n">
        <v>0</v>
      </c>
      <c r="Q7522" t="n">
        <v>0</v>
      </c>
      <c r="R7522" s="2" t="inlineStr"/>
    </row>
    <row r="7523" ht="15" customHeight="1">
      <c r="A7523" t="inlineStr">
        <is>
          <t>A 3033-2023</t>
        </is>
      </c>
      <c r="B7523" s="1" t="n">
        <v>44945</v>
      </c>
      <c r="C7523" s="1" t="n">
        <v>45363</v>
      </c>
      <c r="D7523" t="inlineStr">
        <is>
          <t>JÄMTLANDS LÄN</t>
        </is>
      </c>
      <c r="E7523" t="inlineStr">
        <is>
          <t>BRÄCKE</t>
        </is>
      </c>
      <c r="F7523" t="inlineStr">
        <is>
          <t>SCA</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2985-2023</t>
        </is>
      </c>
      <c r="B7524" s="1" t="n">
        <v>44945</v>
      </c>
      <c r="C7524" s="1" t="n">
        <v>45363</v>
      </c>
      <c r="D7524" t="inlineStr">
        <is>
          <t>JÄMTLANDS LÄN</t>
        </is>
      </c>
      <c r="E7524" t="inlineStr">
        <is>
          <t>BRÄCKE</t>
        </is>
      </c>
      <c r="F7524" t="inlineStr">
        <is>
          <t>Övriga Aktiebolag</t>
        </is>
      </c>
      <c r="G7524" t="n">
        <v>8.4</v>
      </c>
      <c r="H7524" t="n">
        <v>0</v>
      </c>
      <c r="I7524" t="n">
        <v>0</v>
      </c>
      <c r="J7524" t="n">
        <v>0</v>
      </c>
      <c r="K7524" t="n">
        <v>0</v>
      </c>
      <c r="L7524" t="n">
        <v>0</v>
      </c>
      <c r="M7524" t="n">
        <v>0</v>
      </c>
      <c r="N7524" t="n">
        <v>0</v>
      </c>
      <c r="O7524" t="n">
        <v>0</v>
      </c>
      <c r="P7524" t="n">
        <v>0</v>
      </c>
      <c r="Q7524" t="n">
        <v>0</v>
      </c>
      <c r="R7524" s="2" t="inlineStr"/>
    </row>
    <row r="7525" ht="15" customHeight="1">
      <c r="A7525" t="inlineStr">
        <is>
          <t>A 3149-2023</t>
        </is>
      </c>
      <c r="B7525" s="1" t="n">
        <v>44946</v>
      </c>
      <c r="C7525" s="1" t="n">
        <v>45363</v>
      </c>
      <c r="D7525" t="inlineStr">
        <is>
          <t>JÄMTLANDS LÄN</t>
        </is>
      </c>
      <c r="E7525" t="inlineStr">
        <is>
          <t>ÅRE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3066-2023</t>
        </is>
      </c>
      <c r="B7526" s="1" t="n">
        <v>44946</v>
      </c>
      <c r="C7526" s="1" t="n">
        <v>45363</v>
      </c>
      <c r="D7526" t="inlineStr">
        <is>
          <t>JÄMTLANDS LÄN</t>
        </is>
      </c>
      <c r="E7526" t="inlineStr">
        <is>
          <t>ÅRE</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3147-2023</t>
        </is>
      </c>
      <c r="B7527" s="1" t="n">
        <v>44946</v>
      </c>
      <c r="C7527" s="1" t="n">
        <v>45363</v>
      </c>
      <c r="D7527" t="inlineStr">
        <is>
          <t>JÄMTLANDS LÄN</t>
        </is>
      </c>
      <c r="E7527" t="inlineStr">
        <is>
          <t>ÅRE</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3213-2023</t>
        </is>
      </c>
      <c r="B7528" s="1" t="n">
        <v>44946</v>
      </c>
      <c r="C7528" s="1" t="n">
        <v>45363</v>
      </c>
      <c r="D7528" t="inlineStr">
        <is>
          <t>JÄMTLANDS LÄN</t>
        </is>
      </c>
      <c r="E7528" t="inlineStr">
        <is>
          <t>KROKOM</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3218-2023</t>
        </is>
      </c>
      <c r="B7529" s="1" t="n">
        <v>44946</v>
      </c>
      <c r="C7529" s="1" t="n">
        <v>45363</v>
      </c>
      <c r="D7529" t="inlineStr">
        <is>
          <t>JÄMTLANDS LÄN</t>
        </is>
      </c>
      <c r="E7529" t="inlineStr">
        <is>
          <t>KROKOM</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3154-2023</t>
        </is>
      </c>
      <c r="B7530" s="1" t="n">
        <v>44946</v>
      </c>
      <c r="C7530" s="1" t="n">
        <v>45363</v>
      </c>
      <c r="D7530" t="inlineStr">
        <is>
          <t>JÄMTLANDS LÄN</t>
        </is>
      </c>
      <c r="E7530" t="inlineStr">
        <is>
          <t>ÅRE</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3196-2023</t>
        </is>
      </c>
      <c r="B7531" s="1" t="n">
        <v>44946</v>
      </c>
      <c r="C7531" s="1" t="n">
        <v>45363</v>
      </c>
      <c r="D7531" t="inlineStr">
        <is>
          <t>JÄMTLANDS LÄN</t>
        </is>
      </c>
      <c r="E7531" t="inlineStr">
        <is>
          <t>ÅRE</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3210-2023</t>
        </is>
      </c>
      <c r="B7532" s="1" t="n">
        <v>44946</v>
      </c>
      <c r="C7532" s="1" t="n">
        <v>45363</v>
      </c>
      <c r="D7532" t="inlineStr">
        <is>
          <t>JÄMTLANDS LÄN</t>
        </is>
      </c>
      <c r="E7532" t="inlineStr">
        <is>
          <t>KROKOM</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3242-2023</t>
        </is>
      </c>
      <c r="B7533" s="1" t="n">
        <v>44946</v>
      </c>
      <c r="C7533" s="1" t="n">
        <v>45363</v>
      </c>
      <c r="D7533" t="inlineStr">
        <is>
          <t>JÄMTLANDS LÄN</t>
        </is>
      </c>
      <c r="E7533" t="inlineStr">
        <is>
          <t>RAGUNDA</t>
        </is>
      </c>
      <c r="F7533" t="inlineStr">
        <is>
          <t>SCA</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3204-2023</t>
        </is>
      </c>
      <c r="B7534" s="1" t="n">
        <v>44946</v>
      </c>
      <c r="C7534" s="1" t="n">
        <v>45363</v>
      </c>
      <c r="D7534" t="inlineStr">
        <is>
          <t>JÄMTLANDS LÄN</t>
        </is>
      </c>
      <c r="E7534" t="inlineStr">
        <is>
          <t>ÅRE</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3243-2023</t>
        </is>
      </c>
      <c r="B7535" s="1" t="n">
        <v>44946</v>
      </c>
      <c r="C7535" s="1" t="n">
        <v>45363</v>
      </c>
      <c r="D7535" t="inlineStr">
        <is>
          <t>JÄMTLANDS LÄN</t>
        </is>
      </c>
      <c r="E7535" t="inlineStr">
        <is>
          <t>RAGUNDA</t>
        </is>
      </c>
      <c r="F7535" t="inlineStr">
        <is>
          <t>SCA</t>
        </is>
      </c>
      <c r="G7535" t="n">
        <v>11.2</v>
      </c>
      <c r="H7535" t="n">
        <v>0</v>
      </c>
      <c r="I7535" t="n">
        <v>0</v>
      </c>
      <c r="J7535" t="n">
        <v>0</v>
      </c>
      <c r="K7535" t="n">
        <v>0</v>
      </c>
      <c r="L7535" t="n">
        <v>0</v>
      </c>
      <c r="M7535" t="n">
        <v>0</v>
      </c>
      <c r="N7535" t="n">
        <v>0</v>
      </c>
      <c r="O7535" t="n">
        <v>0</v>
      </c>
      <c r="P7535" t="n">
        <v>0</v>
      </c>
      <c r="Q7535" t="n">
        <v>0</v>
      </c>
      <c r="R7535" s="2" t="inlineStr"/>
    </row>
    <row r="7536" ht="15" customHeight="1">
      <c r="A7536" t="inlineStr">
        <is>
          <t>A 3263-2023</t>
        </is>
      </c>
      <c r="B7536" s="1" t="n">
        <v>44949</v>
      </c>
      <c r="C7536" s="1" t="n">
        <v>45363</v>
      </c>
      <c r="D7536" t="inlineStr">
        <is>
          <t>JÄMTLANDS LÄN</t>
        </is>
      </c>
      <c r="E7536" t="inlineStr">
        <is>
          <t>ÅRE</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3339-2023</t>
        </is>
      </c>
      <c r="B7537" s="1" t="n">
        <v>44949</v>
      </c>
      <c r="C7537" s="1" t="n">
        <v>45363</v>
      </c>
      <c r="D7537" t="inlineStr">
        <is>
          <t>JÄMTLANDS LÄN</t>
        </is>
      </c>
      <c r="E7537" t="inlineStr">
        <is>
          <t>ÖSTERSUND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3481-2023</t>
        </is>
      </c>
      <c r="B7538" s="1" t="n">
        <v>44949</v>
      </c>
      <c r="C7538" s="1" t="n">
        <v>45363</v>
      </c>
      <c r="D7538" t="inlineStr">
        <is>
          <t>JÄMTLANDS LÄN</t>
        </is>
      </c>
      <c r="E7538" t="inlineStr">
        <is>
          <t>STRÖMSUND</t>
        </is>
      </c>
      <c r="G7538" t="n">
        <v>21.6</v>
      </c>
      <c r="H7538" t="n">
        <v>0</v>
      </c>
      <c r="I7538" t="n">
        <v>0</v>
      </c>
      <c r="J7538" t="n">
        <v>0</v>
      </c>
      <c r="K7538" t="n">
        <v>0</v>
      </c>
      <c r="L7538" t="n">
        <v>0</v>
      </c>
      <c r="M7538" t="n">
        <v>0</v>
      </c>
      <c r="N7538" t="n">
        <v>0</v>
      </c>
      <c r="O7538" t="n">
        <v>0</v>
      </c>
      <c r="P7538" t="n">
        <v>0</v>
      </c>
      <c r="Q7538" t="n">
        <v>0</v>
      </c>
      <c r="R7538" s="2" t="inlineStr"/>
    </row>
    <row r="7539" ht="15" customHeight="1">
      <c r="A7539" t="inlineStr">
        <is>
          <t>A 3749-2023</t>
        </is>
      </c>
      <c r="B7539" s="1" t="n">
        <v>44949</v>
      </c>
      <c r="C7539" s="1" t="n">
        <v>45363</v>
      </c>
      <c r="D7539" t="inlineStr">
        <is>
          <t>JÄMTLANDS LÄN</t>
        </is>
      </c>
      <c r="E7539" t="inlineStr">
        <is>
          <t>ÖSTERSUND</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3693-2023</t>
        </is>
      </c>
      <c r="B7540" s="1" t="n">
        <v>44950</v>
      </c>
      <c r="C7540" s="1" t="n">
        <v>45363</v>
      </c>
      <c r="D7540" t="inlineStr">
        <is>
          <t>JÄMTLANDS LÄN</t>
        </is>
      </c>
      <c r="E7540" t="inlineStr">
        <is>
          <t>STRÖMSUND</t>
        </is>
      </c>
      <c r="F7540" t="inlineStr">
        <is>
          <t>SCA</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3698-2023</t>
        </is>
      </c>
      <c r="B7541" s="1" t="n">
        <v>44950</v>
      </c>
      <c r="C7541" s="1" t="n">
        <v>45363</v>
      </c>
      <c r="D7541" t="inlineStr">
        <is>
          <t>JÄMTLANDS LÄN</t>
        </is>
      </c>
      <c r="E7541" t="inlineStr">
        <is>
          <t>BRÄCKE</t>
        </is>
      </c>
      <c r="F7541" t="inlineStr">
        <is>
          <t>SCA</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3702-2023</t>
        </is>
      </c>
      <c r="B7542" s="1" t="n">
        <v>44950</v>
      </c>
      <c r="C7542" s="1" t="n">
        <v>45363</v>
      </c>
      <c r="D7542" t="inlineStr">
        <is>
          <t>JÄMTLANDS LÄN</t>
        </is>
      </c>
      <c r="E7542" t="inlineStr">
        <is>
          <t>BRÄCKE</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3845-2023</t>
        </is>
      </c>
      <c r="B7543" s="1" t="n">
        <v>44950</v>
      </c>
      <c r="C7543" s="1" t="n">
        <v>45363</v>
      </c>
      <c r="D7543" t="inlineStr">
        <is>
          <t>JÄMTLANDS LÄN</t>
        </is>
      </c>
      <c r="E7543" t="inlineStr">
        <is>
          <t>BRÄCKE</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3949-2023</t>
        </is>
      </c>
      <c r="B7544" s="1" t="n">
        <v>44950</v>
      </c>
      <c r="C7544" s="1" t="n">
        <v>45363</v>
      </c>
      <c r="D7544" t="inlineStr">
        <is>
          <t>JÄMTLANDS LÄN</t>
        </is>
      </c>
      <c r="E7544" t="inlineStr">
        <is>
          <t>ÖSTERSUND</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3842-2023</t>
        </is>
      </c>
      <c r="B7545" s="1" t="n">
        <v>44951</v>
      </c>
      <c r="C7545" s="1" t="n">
        <v>45363</v>
      </c>
      <c r="D7545" t="inlineStr">
        <is>
          <t>JÄMTLANDS LÄN</t>
        </is>
      </c>
      <c r="E7545" t="inlineStr">
        <is>
          <t>BERG</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3892-2023</t>
        </is>
      </c>
      <c r="B7546" s="1" t="n">
        <v>44951</v>
      </c>
      <c r="C7546" s="1" t="n">
        <v>45363</v>
      </c>
      <c r="D7546" t="inlineStr">
        <is>
          <t>JÄMTLANDS LÄN</t>
        </is>
      </c>
      <c r="E7546" t="inlineStr">
        <is>
          <t>BRÄCKE</t>
        </is>
      </c>
      <c r="F7546" t="inlineStr">
        <is>
          <t>SCA</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3895-2023</t>
        </is>
      </c>
      <c r="B7547" s="1" t="n">
        <v>44951</v>
      </c>
      <c r="C7547" s="1" t="n">
        <v>45363</v>
      </c>
      <c r="D7547" t="inlineStr">
        <is>
          <t>JÄMTLANDS LÄN</t>
        </is>
      </c>
      <c r="E7547" t="inlineStr">
        <is>
          <t>BRÄCKE</t>
        </is>
      </c>
      <c r="F7547" t="inlineStr">
        <is>
          <t>SCA</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4045-2023</t>
        </is>
      </c>
      <c r="B7548" s="1" t="n">
        <v>44952</v>
      </c>
      <c r="C7548" s="1" t="n">
        <v>45363</v>
      </c>
      <c r="D7548" t="inlineStr">
        <is>
          <t>JÄMTLANDS LÄN</t>
        </is>
      </c>
      <c r="E7548" t="inlineStr">
        <is>
          <t>STRÖMSUND</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4134-2023</t>
        </is>
      </c>
      <c r="B7549" s="1" t="n">
        <v>44952</v>
      </c>
      <c r="C7549" s="1" t="n">
        <v>45363</v>
      </c>
      <c r="D7549" t="inlineStr">
        <is>
          <t>JÄMTLANDS LÄN</t>
        </is>
      </c>
      <c r="E7549" t="inlineStr">
        <is>
          <t>ÖSTERSUND</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4537-2023</t>
        </is>
      </c>
      <c r="B7550" s="1" t="n">
        <v>44952</v>
      </c>
      <c r="C7550" s="1" t="n">
        <v>45363</v>
      </c>
      <c r="D7550" t="inlineStr">
        <is>
          <t>JÄMTLANDS LÄN</t>
        </is>
      </c>
      <c r="E7550" t="inlineStr">
        <is>
          <t>STRÖMSUND</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4050-2023</t>
        </is>
      </c>
      <c r="B7551" s="1" t="n">
        <v>44952</v>
      </c>
      <c r="C7551" s="1" t="n">
        <v>45363</v>
      </c>
      <c r="D7551" t="inlineStr">
        <is>
          <t>JÄMTLANDS LÄN</t>
        </is>
      </c>
      <c r="E7551" t="inlineStr">
        <is>
          <t>STRÖMSUND</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4135-2023</t>
        </is>
      </c>
      <c r="B7552" s="1" t="n">
        <v>44952</v>
      </c>
      <c r="C7552" s="1" t="n">
        <v>45363</v>
      </c>
      <c r="D7552" t="inlineStr">
        <is>
          <t>JÄMTLANDS LÄN</t>
        </is>
      </c>
      <c r="E7552" t="inlineStr">
        <is>
          <t>ÖSTERSUND</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4684-2023</t>
        </is>
      </c>
      <c r="B7553" s="1" t="n">
        <v>44952</v>
      </c>
      <c r="C7553" s="1" t="n">
        <v>45363</v>
      </c>
      <c r="D7553" t="inlineStr">
        <is>
          <t>JÄMTLANDS LÄN</t>
        </is>
      </c>
      <c r="E7553" t="inlineStr">
        <is>
          <t>STRÖMSUND</t>
        </is>
      </c>
      <c r="G7553" t="n">
        <v>24.1</v>
      </c>
      <c r="H7553" t="n">
        <v>0</v>
      </c>
      <c r="I7553" t="n">
        <v>0</v>
      </c>
      <c r="J7553" t="n">
        <v>0</v>
      </c>
      <c r="K7553" t="n">
        <v>0</v>
      </c>
      <c r="L7553" t="n">
        <v>0</v>
      </c>
      <c r="M7553" t="n">
        <v>0</v>
      </c>
      <c r="N7553" t="n">
        <v>0</v>
      </c>
      <c r="O7553" t="n">
        <v>0</v>
      </c>
      <c r="P7553" t="n">
        <v>0</v>
      </c>
      <c r="Q7553" t="n">
        <v>0</v>
      </c>
      <c r="R7553" s="2" t="inlineStr"/>
    </row>
    <row r="7554" ht="15" customHeight="1">
      <c r="A7554" t="inlineStr">
        <is>
          <t>A 4136-2023</t>
        </is>
      </c>
      <c r="B7554" s="1" t="n">
        <v>44952</v>
      </c>
      <c r="C7554" s="1" t="n">
        <v>45363</v>
      </c>
      <c r="D7554" t="inlineStr">
        <is>
          <t>JÄMTLANDS LÄN</t>
        </is>
      </c>
      <c r="E7554" t="inlineStr">
        <is>
          <t>ÖSTERSUND</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4523-2023</t>
        </is>
      </c>
      <c r="B7555" s="1" t="n">
        <v>44952</v>
      </c>
      <c r="C7555" s="1" t="n">
        <v>45363</v>
      </c>
      <c r="D7555" t="inlineStr">
        <is>
          <t>JÄMTLANDS LÄN</t>
        </is>
      </c>
      <c r="E7555" t="inlineStr">
        <is>
          <t>STRÖMSUND</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4196-2023</t>
        </is>
      </c>
      <c r="B7556" s="1" t="n">
        <v>44953</v>
      </c>
      <c r="C7556" s="1" t="n">
        <v>45363</v>
      </c>
      <c r="D7556" t="inlineStr">
        <is>
          <t>JÄMTLANDS LÄN</t>
        </is>
      </c>
      <c r="E7556" t="inlineStr">
        <is>
          <t>HÄRJEDALEN</t>
        </is>
      </c>
      <c r="G7556" t="n">
        <v>9.800000000000001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4273-2023</t>
        </is>
      </c>
      <c r="B7557" s="1" t="n">
        <v>44953</v>
      </c>
      <c r="C7557" s="1" t="n">
        <v>45363</v>
      </c>
      <c r="D7557" t="inlineStr">
        <is>
          <t>JÄMTLANDS LÄN</t>
        </is>
      </c>
      <c r="E7557" t="inlineStr">
        <is>
          <t>BRÄCKE</t>
        </is>
      </c>
      <c r="F7557" t="inlineStr">
        <is>
          <t>Övriga Aktiebolag</t>
        </is>
      </c>
      <c r="G7557" t="n">
        <v>24.4</v>
      </c>
      <c r="H7557" t="n">
        <v>0</v>
      </c>
      <c r="I7557" t="n">
        <v>0</v>
      </c>
      <c r="J7557" t="n">
        <v>0</v>
      </c>
      <c r="K7557" t="n">
        <v>0</v>
      </c>
      <c r="L7557" t="n">
        <v>0</v>
      </c>
      <c r="M7557" t="n">
        <v>0</v>
      </c>
      <c r="N7557" t="n">
        <v>0</v>
      </c>
      <c r="O7557" t="n">
        <v>0</v>
      </c>
      <c r="P7557" t="n">
        <v>0</v>
      </c>
      <c r="Q7557" t="n">
        <v>0</v>
      </c>
      <c r="R7557" s="2" t="inlineStr"/>
    </row>
    <row r="7558" ht="15" customHeight="1">
      <c r="A7558" t="inlineStr">
        <is>
          <t>A 4348-2023</t>
        </is>
      </c>
      <c r="B7558" s="1" t="n">
        <v>44953</v>
      </c>
      <c r="C7558" s="1" t="n">
        <v>45363</v>
      </c>
      <c r="D7558" t="inlineStr">
        <is>
          <t>JÄMTLANDS LÄN</t>
        </is>
      </c>
      <c r="E7558" t="inlineStr">
        <is>
          <t>RAGUNDA</t>
        </is>
      </c>
      <c r="F7558" t="inlineStr">
        <is>
          <t>SCA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4346-2023</t>
        </is>
      </c>
      <c r="B7559" s="1" t="n">
        <v>44954</v>
      </c>
      <c r="C7559" s="1" t="n">
        <v>45363</v>
      </c>
      <c r="D7559" t="inlineStr">
        <is>
          <t>JÄMTLANDS LÄN</t>
        </is>
      </c>
      <c r="E7559" t="inlineStr">
        <is>
          <t>RAGUNDA</t>
        </is>
      </c>
      <c r="F7559" t="inlineStr">
        <is>
          <t>SCA</t>
        </is>
      </c>
      <c r="G7559" t="n">
        <v>14.2</v>
      </c>
      <c r="H7559" t="n">
        <v>0</v>
      </c>
      <c r="I7559" t="n">
        <v>0</v>
      </c>
      <c r="J7559" t="n">
        <v>0</v>
      </c>
      <c r="K7559" t="n">
        <v>0</v>
      </c>
      <c r="L7559" t="n">
        <v>0</v>
      </c>
      <c r="M7559" t="n">
        <v>0</v>
      </c>
      <c r="N7559" t="n">
        <v>0</v>
      </c>
      <c r="O7559" t="n">
        <v>0</v>
      </c>
      <c r="P7559" t="n">
        <v>0</v>
      </c>
      <c r="Q7559" t="n">
        <v>0</v>
      </c>
      <c r="R7559" s="2" t="inlineStr"/>
    </row>
    <row r="7560" ht="15" customHeight="1">
      <c r="A7560" t="inlineStr">
        <is>
          <t>A 4345-2023</t>
        </is>
      </c>
      <c r="B7560" s="1" t="n">
        <v>44954</v>
      </c>
      <c r="C7560" s="1" t="n">
        <v>45363</v>
      </c>
      <c r="D7560" t="inlineStr">
        <is>
          <t>JÄMTLANDS LÄN</t>
        </is>
      </c>
      <c r="E7560" t="inlineStr">
        <is>
          <t>ÖSTERSUND</t>
        </is>
      </c>
      <c r="F7560" t="inlineStr">
        <is>
          <t>SCA</t>
        </is>
      </c>
      <c r="G7560" t="n">
        <v>7.5</v>
      </c>
      <c r="H7560" t="n">
        <v>0</v>
      </c>
      <c r="I7560" t="n">
        <v>0</v>
      </c>
      <c r="J7560" t="n">
        <v>0</v>
      </c>
      <c r="K7560" t="n">
        <v>0</v>
      </c>
      <c r="L7560" t="n">
        <v>0</v>
      </c>
      <c r="M7560" t="n">
        <v>0</v>
      </c>
      <c r="N7560" t="n">
        <v>0</v>
      </c>
      <c r="O7560" t="n">
        <v>0</v>
      </c>
      <c r="P7560" t="n">
        <v>0</v>
      </c>
      <c r="Q7560" t="n">
        <v>0</v>
      </c>
      <c r="R7560" s="2" t="inlineStr"/>
    </row>
    <row r="7561" ht="15" customHeight="1">
      <c r="A7561" t="inlineStr">
        <is>
          <t>A 4350-2023</t>
        </is>
      </c>
      <c r="B7561" s="1" t="n">
        <v>44953</v>
      </c>
      <c r="C7561" s="1" t="n">
        <v>45363</v>
      </c>
      <c r="D7561" t="inlineStr">
        <is>
          <t>JÄMTLANDS LÄN</t>
        </is>
      </c>
      <c r="E7561" t="inlineStr">
        <is>
          <t>RAGUNDA</t>
        </is>
      </c>
      <c r="F7561" t="inlineStr">
        <is>
          <t>Naturvårdsverket</t>
        </is>
      </c>
      <c r="G7561" t="n">
        <v>10.4</v>
      </c>
      <c r="H7561" t="n">
        <v>0</v>
      </c>
      <c r="I7561" t="n">
        <v>0</v>
      </c>
      <c r="J7561" t="n">
        <v>0</v>
      </c>
      <c r="K7561" t="n">
        <v>0</v>
      </c>
      <c r="L7561" t="n">
        <v>0</v>
      </c>
      <c r="M7561" t="n">
        <v>0</v>
      </c>
      <c r="N7561" t="n">
        <v>0</v>
      </c>
      <c r="O7561" t="n">
        <v>0</v>
      </c>
      <c r="P7561" t="n">
        <v>0</v>
      </c>
      <c r="Q7561" t="n">
        <v>0</v>
      </c>
      <c r="R7561" s="2" t="inlineStr"/>
    </row>
    <row r="7562" ht="15" customHeight="1">
      <c r="A7562" t="inlineStr">
        <is>
          <t>A 5197-2023</t>
        </is>
      </c>
      <c r="B7562" s="1" t="n">
        <v>44953</v>
      </c>
      <c r="C7562" s="1" t="n">
        <v>45363</v>
      </c>
      <c r="D7562" t="inlineStr">
        <is>
          <t>JÄMTLANDS LÄN</t>
        </is>
      </c>
      <c r="E7562" t="inlineStr">
        <is>
          <t>ÖSTERSUND</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4349-2023</t>
        </is>
      </c>
      <c r="B7563" s="1" t="n">
        <v>44954</v>
      </c>
      <c r="C7563" s="1" t="n">
        <v>45363</v>
      </c>
      <c r="D7563" t="inlineStr">
        <is>
          <t>JÄMTLANDS LÄN</t>
        </is>
      </c>
      <c r="E7563" t="inlineStr">
        <is>
          <t>RAGUNDA</t>
        </is>
      </c>
      <c r="F7563" t="inlineStr">
        <is>
          <t>SCA</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4365-2023</t>
        </is>
      </c>
      <c r="B7564" s="1" t="n">
        <v>44954</v>
      </c>
      <c r="C7564" s="1" t="n">
        <v>45363</v>
      </c>
      <c r="D7564" t="inlineStr">
        <is>
          <t>JÄMTLANDS LÄN</t>
        </is>
      </c>
      <c r="E7564" t="inlineStr">
        <is>
          <t>BRÄCKE</t>
        </is>
      </c>
      <c r="F7564" t="inlineStr">
        <is>
          <t>SCA</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4366-2023</t>
        </is>
      </c>
      <c r="B7565" s="1" t="n">
        <v>44954</v>
      </c>
      <c r="C7565" s="1" t="n">
        <v>45363</v>
      </c>
      <c r="D7565" t="inlineStr">
        <is>
          <t>JÄMTLANDS LÄN</t>
        </is>
      </c>
      <c r="E7565" t="inlineStr">
        <is>
          <t>BRÄCKE</t>
        </is>
      </c>
      <c r="F7565" t="inlineStr">
        <is>
          <t>SCA</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4381-2023</t>
        </is>
      </c>
      <c r="B7566" s="1" t="n">
        <v>44955</v>
      </c>
      <c r="C7566" s="1" t="n">
        <v>45363</v>
      </c>
      <c r="D7566" t="inlineStr">
        <is>
          <t>JÄMTLANDS LÄN</t>
        </is>
      </c>
      <c r="E7566" t="inlineStr">
        <is>
          <t>BRÄCKE</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4388-2023</t>
        </is>
      </c>
      <c r="B7567" s="1" t="n">
        <v>44955</v>
      </c>
      <c r="C7567" s="1" t="n">
        <v>45363</v>
      </c>
      <c r="D7567" t="inlineStr">
        <is>
          <t>JÄMTLANDS LÄN</t>
        </is>
      </c>
      <c r="E7567" t="inlineStr">
        <is>
          <t>STRÖMSUND</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4622-2023</t>
        </is>
      </c>
      <c r="B7568" s="1" t="n">
        <v>44956</v>
      </c>
      <c r="C7568" s="1" t="n">
        <v>45363</v>
      </c>
      <c r="D7568" t="inlineStr">
        <is>
          <t>JÄMTLANDS LÄN</t>
        </is>
      </c>
      <c r="E7568" t="inlineStr">
        <is>
          <t>RAGUNDA</t>
        </is>
      </c>
      <c r="F7568" t="inlineStr">
        <is>
          <t>Sveaskog</t>
        </is>
      </c>
      <c r="G7568" t="n">
        <v>8.800000000000001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4620-2023</t>
        </is>
      </c>
      <c r="B7569" s="1" t="n">
        <v>44956</v>
      </c>
      <c r="C7569" s="1" t="n">
        <v>45363</v>
      </c>
      <c r="D7569" t="inlineStr">
        <is>
          <t>JÄMTLANDS LÄN</t>
        </is>
      </c>
      <c r="E7569" t="inlineStr">
        <is>
          <t>RAGUNDA</t>
        </is>
      </c>
      <c r="F7569" t="inlineStr">
        <is>
          <t>Sveaskog</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4621-2023</t>
        </is>
      </c>
      <c r="B7570" s="1" t="n">
        <v>44956</v>
      </c>
      <c r="C7570" s="1" t="n">
        <v>45363</v>
      </c>
      <c r="D7570" t="inlineStr">
        <is>
          <t>JÄMTLANDS LÄN</t>
        </is>
      </c>
      <c r="E7570" t="inlineStr">
        <is>
          <t>STRÖMSUND</t>
        </is>
      </c>
      <c r="F7570" t="inlineStr">
        <is>
          <t>SCA</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4615-2023</t>
        </is>
      </c>
      <c r="B7571" s="1" t="n">
        <v>44956</v>
      </c>
      <c r="C7571" s="1" t="n">
        <v>45363</v>
      </c>
      <c r="D7571" t="inlineStr">
        <is>
          <t>JÄMTLANDS LÄN</t>
        </is>
      </c>
      <c r="E7571" t="inlineStr">
        <is>
          <t>RAGUNDA</t>
        </is>
      </c>
      <c r="F7571" t="inlineStr">
        <is>
          <t>SCA</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4988-2023</t>
        </is>
      </c>
      <c r="B7572" s="1" t="n">
        <v>44956</v>
      </c>
      <c r="C7572" s="1" t="n">
        <v>45363</v>
      </c>
      <c r="D7572" t="inlineStr">
        <is>
          <t>JÄMTLANDS LÄN</t>
        </is>
      </c>
      <c r="E7572" t="inlineStr">
        <is>
          <t>STRÖMSUND</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4916-2023</t>
        </is>
      </c>
      <c r="B7573" s="1" t="n">
        <v>44956</v>
      </c>
      <c r="C7573" s="1" t="n">
        <v>45363</v>
      </c>
      <c r="D7573" t="inlineStr">
        <is>
          <t>JÄMTLANDS LÄN</t>
        </is>
      </c>
      <c r="E7573" t="inlineStr">
        <is>
          <t>ÖSTERSUND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4981-2023</t>
        </is>
      </c>
      <c r="B7574" s="1" t="n">
        <v>44956</v>
      </c>
      <c r="C7574" s="1" t="n">
        <v>45363</v>
      </c>
      <c r="D7574" t="inlineStr">
        <is>
          <t>JÄMTLANDS LÄN</t>
        </is>
      </c>
      <c r="E7574" t="inlineStr">
        <is>
          <t>STRÖMSUND</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5004-2023</t>
        </is>
      </c>
      <c r="B7575" s="1" t="n">
        <v>44956</v>
      </c>
      <c r="C7575" s="1" t="n">
        <v>45363</v>
      </c>
      <c r="D7575" t="inlineStr">
        <is>
          <t>JÄMTLANDS LÄN</t>
        </is>
      </c>
      <c r="E7575" t="inlineStr">
        <is>
          <t>BRÄCKE</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4872-2023</t>
        </is>
      </c>
      <c r="B7576" s="1" t="n">
        <v>44957</v>
      </c>
      <c r="C7576" s="1" t="n">
        <v>45363</v>
      </c>
      <c r="D7576" t="inlineStr">
        <is>
          <t>JÄMTLANDS LÄN</t>
        </is>
      </c>
      <c r="E7576" t="inlineStr">
        <is>
          <t>ÖSTERSUND</t>
        </is>
      </c>
      <c r="G7576" t="n">
        <v>10.7</v>
      </c>
      <c r="H7576" t="n">
        <v>0</v>
      </c>
      <c r="I7576" t="n">
        <v>0</v>
      </c>
      <c r="J7576" t="n">
        <v>0</v>
      </c>
      <c r="K7576" t="n">
        <v>0</v>
      </c>
      <c r="L7576" t="n">
        <v>0</v>
      </c>
      <c r="M7576" t="n">
        <v>0</v>
      </c>
      <c r="N7576" t="n">
        <v>0</v>
      </c>
      <c r="O7576" t="n">
        <v>0</v>
      </c>
      <c r="P7576" t="n">
        <v>0</v>
      </c>
      <c r="Q7576" t="n">
        <v>0</v>
      </c>
      <c r="R7576" s="2" t="inlineStr"/>
    </row>
    <row r="7577" ht="15" customHeight="1">
      <c r="A7577" t="inlineStr">
        <is>
          <t>A 4694-2023</t>
        </is>
      </c>
      <c r="B7577" s="1" t="n">
        <v>44957</v>
      </c>
      <c r="C7577" s="1" t="n">
        <v>45363</v>
      </c>
      <c r="D7577" t="inlineStr">
        <is>
          <t>JÄMTLANDS LÄN</t>
        </is>
      </c>
      <c r="E7577" t="inlineStr">
        <is>
          <t>HÄRJEDALEN</t>
        </is>
      </c>
      <c r="F7577" t="inlineStr">
        <is>
          <t>Holmen skog AB</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4712-2023</t>
        </is>
      </c>
      <c r="B7578" s="1" t="n">
        <v>44957</v>
      </c>
      <c r="C7578" s="1" t="n">
        <v>45363</v>
      </c>
      <c r="D7578" t="inlineStr">
        <is>
          <t>JÄMTLANDS LÄN</t>
        </is>
      </c>
      <c r="E7578" t="inlineStr">
        <is>
          <t>HÄRJEDALEN</t>
        </is>
      </c>
      <c r="F7578" t="inlineStr">
        <is>
          <t>Holmen skog AB</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4711-2023</t>
        </is>
      </c>
      <c r="B7579" s="1" t="n">
        <v>44957</v>
      </c>
      <c r="C7579" s="1" t="n">
        <v>45363</v>
      </c>
      <c r="D7579" t="inlineStr">
        <is>
          <t>JÄMTLANDS LÄN</t>
        </is>
      </c>
      <c r="E7579" t="inlineStr">
        <is>
          <t>HÄRJEDALEN</t>
        </is>
      </c>
      <c r="F7579" t="inlineStr">
        <is>
          <t>Holmen skog AB</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4782-2023</t>
        </is>
      </c>
      <c r="B7580" s="1" t="n">
        <v>44957</v>
      </c>
      <c r="C7580" s="1" t="n">
        <v>45363</v>
      </c>
      <c r="D7580" t="inlineStr">
        <is>
          <t>JÄMTLANDS LÄN</t>
        </is>
      </c>
      <c r="E7580" t="inlineStr">
        <is>
          <t>HÄRJEDALEN</t>
        </is>
      </c>
      <c r="F7580" t="inlineStr">
        <is>
          <t>Holmen skog AB</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4882-2023</t>
        </is>
      </c>
      <c r="B7581" s="1" t="n">
        <v>44957</v>
      </c>
      <c r="C7581" s="1" t="n">
        <v>45363</v>
      </c>
      <c r="D7581" t="inlineStr">
        <is>
          <t>JÄMTLANDS LÄN</t>
        </is>
      </c>
      <c r="E7581" t="inlineStr">
        <is>
          <t>RAGUNDA</t>
        </is>
      </c>
      <c r="F7581" t="inlineStr">
        <is>
          <t>SCA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4874-2023</t>
        </is>
      </c>
      <c r="B7582" s="1" t="n">
        <v>44957</v>
      </c>
      <c r="C7582" s="1" t="n">
        <v>45363</v>
      </c>
      <c r="D7582" t="inlineStr">
        <is>
          <t>JÄMTLANDS LÄN</t>
        </is>
      </c>
      <c r="E7582" t="inlineStr">
        <is>
          <t>RAGUNDA</t>
        </is>
      </c>
      <c r="F7582" t="inlineStr">
        <is>
          <t>SCA</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4880-2023</t>
        </is>
      </c>
      <c r="B7583" s="1" t="n">
        <v>44957</v>
      </c>
      <c r="C7583" s="1" t="n">
        <v>45363</v>
      </c>
      <c r="D7583" t="inlineStr">
        <is>
          <t>JÄMTLANDS LÄN</t>
        </is>
      </c>
      <c r="E7583" t="inlineStr">
        <is>
          <t>STRÖMSUND</t>
        </is>
      </c>
      <c r="F7583" t="inlineStr">
        <is>
          <t>SCA</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4879-2023</t>
        </is>
      </c>
      <c r="B7584" s="1" t="n">
        <v>44957</v>
      </c>
      <c r="C7584" s="1" t="n">
        <v>45363</v>
      </c>
      <c r="D7584" t="inlineStr">
        <is>
          <t>JÄMTLANDS LÄN</t>
        </is>
      </c>
      <c r="E7584" t="inlineStr">
        <is>
          <t>RAGUNDA</t>
        </is>
      </c>
      <c r="F7584" t="inlineStr">
        <is>
          <t>SCA</t>
        </is>
      </c>
      <c r="G7584" t="n">
        <v>17.4</v>
      </c>
      <c r="H7584" t="n">
        <v>0</v>
      </c>
      <c r="I7584" t="n">
        <v>0</v>
      </c>
      <c r="J7584" t="n">
        <v>0</v>
      </c>
      <c r="K7584" t="n">
        <v>0</v>
      </c>
      <c r="L7584" t="n">
        <v>0</v>
      </c>
      <c r="M7584" t="n">
        <v>0</v>
      </c>
      <c r="N7584" t="n">
        <v>0</v>
      </c>
      <c r="O7584" t="n">
        <v>0</v>
      </c>
      <c r="P7584" t="n">
        <v>0</v>
      </c>
      <c r="Q7584" t="n">
        <v>0</v>
      </c>
      <c r="R7584" s="2" t="inlineStr"/>
    </row>
    <row r="7585" ht="15" customHeight="1">
      <c r="A7585" t="inlineStr">
        <is>
          <t>A 5013-2023</t>
        </is>
      </c>
      <c r="B7585" s="1" t="n">
        <v>44958</v>
      </c>
      <c r="C7585" s="1" t="n">
        <v>45363</v>
      </c>
      <c r="D7585" t="inlineStr">
        <is>
          <t>JÄMTLANDS LÄN</t>
        </is>
      </c>
      <c r="E7585" t="inlineStr">
        <is>
          <t>HÄRJEDALEN</t>
        </is>
      </c>
      <c r="F7585" t="inlineStr">
        <is>
          <t>Bergvik skog väst AB</t>
        </is>
      </c>
      <c r="G7585" t="n">
        <v>0.2</v>
      </c>
      <c r="H7585" t="n">
        <v>0</v>
      </c>
      <c r="I7585" t="n">
        <v>0</v>
      </c>
      <c r="J7585" t="n">
        <v>0</v>
      </c>
      <c r="K7585" t="n">
        <v>0</v>
      </c>
      <c r="L7585" t="n">
        <v>0</v>
      </c>
      <c r="M7585" t="n">
        <v>0</v>
      </c>
      <c r="N7585" t="n">
        <v>0</v>
      </c>
      <c r="O7585" t="n">
        <v>0</v>
      </c>
      <c r="P7585" t="n">
        <v>0</v>
      </c>
      <c r="Q7585" t="n">
        <v>0</v>
      </c>
      <c r="R7585" s="2" t="inlineStr"/>
    </row>
    <row r="7586" ht="15" customHeight="1">
      <c r="A7586" t="inlineStr">
        <is>
          <t>A 5163-2023</t>
        </is>
      </c>
      <c r="B7586" s="1" t="n">
        <v>44958</v>
      </c>
      <c r="C7586" s="1" t="n">
        <v>45363</v>
      </c>
      <c r="D7586" t="inlineStr">
        <is>
          <t>JÄMTLANDS LÄN</t>
        </is>
      </c>
      <c r="E7586" t="inlineStr">
        <is>
          <t>RAGUNDA</t>
        </is>
      </c>
      <c r="F7586" t="inlineStr">
        <is>
          <t>SCA</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5651-2023</t>
        </is>
      </c>
      <c r="B7587" s="1" t="n">
        <v>44958</v>
      </c>
      <c r="C7587" s="1" t="n">
        <v>45363</v>
      </c>
      <c r="D7587" t="inlineStr">
        <is>
          <t>JÄMTLANDS LÄN</t>
        </is>
      </c>
      <c r="E7587" t="inlineStr">
        <is>
          <t>ÅRE</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5815-2023</t>
        </is>
      </c>
      <c r="B7588" s="1" t="n">
        <v>44958</v>
      </c>
      <c r="C7588" s="1" t="n">
        <v>45363</v>
      </c>
      <c r="D7588" t="inlineStr">
        <is>
          <t>JÄMTLANDS LÄN</t>
        </is>
      </c>
      <c r="E7588" t="inlineStr">
        <is>
          <t>RAGUNDA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5148-2023</t>
        </is>
      </c>
      <c r="B7589" s="1" t="n">
        <v>44958</v>
      </c>
      <c r="C7589" s="1" t="n">
        <v>45363</v>
      </c>
      <c r="D7589" t="inlineStr">
        <is>
          <t>JÄMTLANDS LÄN</t>
        </is>
      </c>
      <c r="E7589" t="inlineStr">
        <is>
          <t>RAGUNDA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5154-2023</t>
        </is>
      </c>
      <c r="B7590" s="1" t="n">
        <v>44958</v>
      </c>
      <c r="C7590" s="1" t="n">
        <v>45363</v>
      </c>
      <c r="D7590" t="inlineStr">
        <is>
          <t>JÄMTLANDS LÄN</t>
        </is>
      </c>
      <c r="E7590" t="inlineStr">
        <is>
          <t>STRÖMSUND</t>
        </is>
      </c>
      <c r="F7590" t="inlineStr">
        <is>
          <t>SCA</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5160-2023</t>
        </is>
      </c>
      <c r="B7591" s="1" t="n">
        <v>44958</v>
      </c>
      <c r="C7591" s="1" t="n">
        <v>45363</v>
      </c>
      <c r="D7591" t="inlineStr">
        <is>
          <t>JÄMTLANDS LÄN</t>
        </is>
      </c>
      <c r="E7591" t="inlineStr">
        <is>
          <t>BRÄCKE</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5164-2023</t>
        </is>
      </c>
      <c r="B7592" s="1" t="n">
        <v>44958</v>
      </c>
      <c r="C7592" s="1" t="n">
        <v>45363</v>
      </c>
      <c r="D7592" t="inlineStr">
        <is>
          <t>JÄMTLANDS LÄN</t>
        </is>
      </c>
      <c r="E7592" t="inlineStr">
        <is>
          <t>RAGUNDA</t>
        </is>
      </c>
      <c r="F7592" t="inlineStr">
        <is>
          <t>SCA</t>
        </is>
      </c>
      <c r="G7592" t="n">
        <v>9.5</v>
      </c>
      <c r="H7592" t="n">
        <v>0</v>
      </c>
      <c r="I7592" t="n">
        <v>0</v>
      </c>
      <c r="J7592" t="n">
        <v>0</v>
      </c>
      <c r="K7592" t="n">
        <v>0</v>
      </c>
      <c r="L7592" t="n">
        <v>0</v>
      </c>
      <c r="M7592" t="n">
        <v>0</v>
      </c>
      <c r="N7592" t="n">
        <v>0</v>
      </c>
      <c r="O7592" t="n">
        <v>0</v>
      </c>
      <c r="P7592" t="n">
        <v>0</v>
      </c>
      <c r="Q7592" t="n">
        <v>0</v>
      </c>
      <c r="R7592" s="2" t="inlineStr"/>
    </row>
    <row r="7593" ht="15" customHeight="1">
      <c r="A7593" t="inlineStr">
        <is>
          <t>A 5174-2023</t>
        </is>
      </c>
      <c r="B7593" s="1" t="n">
        <v>44958</v>
      </c>
      <c r="C7593" s="1" t="n">
        <v>45363</v>
      </c>
      <c r="D7593" t="inlineStr">
        <is>
          <t>JÄMTLANDS LÄN</t>
        </is>
      </c>
      <c r="E7593" t="inlineStr">
        <is>
          <t>STRÖMSUND</t>
        </is>
      </c>
      <c r="F7593" t="inlineStr">
        <is>
          <t>SCA</t>
        </is>
      </c>
      <c r="G7593" t="n">
        <v>64.5</v>
      </c>
      <c r="H7593" t="n">
        <v>0</v>
      </c>
      <c r="I7593" t="n">
        <v>0</v>
      </c>
      <c r="J7593" t="n">
        <v>0</v>
      </c>
      <c r="K7593" t="n">
        <v>0</v>
      </c>
      <c r="L7593" t="n">
        <v>0</v>
      </c>
      <c r="M7593" t="n">
        <v>0</v>
      </c>
      <c r="N7593" t="n">
        <v>0</v>
      </c>
      <c r="O7593" t="n">
        <v>0</v>
      </c>
      <c r="P7593" t="n">
        <v>0</v>
      </c>
      <c r="Q7593" t="n">
        <v>0</v>
      </c>
      <c r="R7593" s="2" t="inlineStr"/>
    </row>
    <row r="7594" ht="15" customHeight="1">
      <c r="A7594" t="inlineStr">
        <is>
          <t>A 5654-2023</t>
        </is>
      </c>
      <c r="B7594" s="1" t="n">
        <v>44958</v>
      </c>
      <c r="C7594" s="1" t="n">
        <v>45363</v>
      </c>
      <c r="D7594" t="inlineStr">
        <is>
          <t>JÄMTLANDS LÄN</t>
        </is>
      </c>
      <c r="E7594" t="inlineStr">
        <is>
          <t>ÅRE</t>
        </is>
      </c>
      <c r="G7594" t="n">
        <v>14.4</v>
      </c>
      <c r="H7594" t="n">
        <v>0</v>
      </c>
      <c r="I7594" t="n">
        <v>0</v>
      </c>
      <c r="J7594" t="n">
        <v>0</v>
      </c>
      <c r="K7594" t="n">
        <v>0</v>
      </c>
      <c r="L7594" t="n">
        <v>0</v>
      </c>
      <c r="M7594" t="n">
        <v>0</v>
      </c>
      <c r="N7594" t="n">
        <v>0</v>
      </c>
      <c r="O7594" t="n">
        <v>0</v>
      </c>
      <c r="P7594" t="n">
        <v>0</v>
      </c>
      <c r="Q7594" t="n">
        <v>0</v>
      </c>
      <c r="R7594" s="2" t="inlineStr"/>
    </row>
    <row r="7595" ht="15" customHeight="1">
      <c r="A7595" t="inlineStr">
        <is>
          <t>A 5155-2023</t>
        </is>
      </c>
      <c r="B7595" s="1" t="n">
        <v>44958</v>
      </c>
      <c r="C7595" s="1" t="n">
        <v>45363</v>
      </c>
      <c r="D7595" t="inlineStr">
        <is>
          <t>JÄMTLANDS LÄN</t>
        </is>
      </c>
      <c r="E7595" t="inlineStr">
        <is>
          <t>STRÖMSUND</t>
        </is>
      </c>
      <c r="F7595" t="inlineStr">
        <is>
          <t>SCA</t>
        </is>
      </c>
      <c r="G7595" t="n">
        <v>34.1</v>
      </c>
      <c r="H7595" t="n">
        <v>0</v>
      </c>
      <c r="I7595" t="n">
        <v>0</v>
      </c>
      <c r="J7595" t="n">
        <v>0</v>
      </c>
      <c r="K7595" t="n">
        <v>0</v>
      </c>
      <c r="L7595" t="n">
        <v>0</v>
      </c>
      <c r="M7595" t="n">
        <v>0</v>
      </c>
      <c r="N7595" t="n">
        <v>0</v>
      </c>
      <c r="O7595" t="n">
        <v>0</v>
      </c>
      <c r="P7595" t="n">
        <v>0</v>
      </c>
      <c r="Q7595" t="n">
        <v>0</v>
      </c>
      <c r="R7595" s="2" t="inlineStr"/>
    </row>
    <row r="7596" ht="15" customHeight="1">
      <c r="A7596" t="inlineStr">
        <is>
          <t>A 5180-2023</t>
        </is>
      </c>
      <c r="B7596" s="1" t="n">
        <v>44958</v>
      </c>
      <c r="C7596" s="1" t="n">
        <v>45363</v>
      </c>
      <c r="D7596" t="inlineStr">
        <is>
          <t>JÄMTLANDS LÄN</t>
        </is>
      </c>
      <c r="E7596" t="inlineStr">
        <is>
          <t>BRÄCKE</t>
        </is>
      </c>
      <c r="F7596" t="inlineStr">
        <is>
          <t>SCA</t>
        </is>
      </c>
      <c r="G7596" t="n">
        <v>13.3</v>
      </c>
      <c r="H7596" t="n">
        <v>0</v>
      </c>
      <c r="I7596" t="n">
        <v>0</v>
      </c>
      <c r="J7596" t="n">
        <v>0</v>
      </c>
      <c r="K7596" t="n">
        <v>0</v>
      </c>
      <c r="L7596" t="n">
        <v>0</v>
      </c>
      <c r="M7596" t="n">
        <v>0</v>
      </c>
      <c r="N7596" t="n">
        <v>0</v>
      </c>
      <c r="O7596" t="n">
        <v>0</v>
      </c>
      <c r="P7596" t="n">
        <v>0</v>
      </c>
      <c r="Q7596" t="n">
        <v>0</v>
      </c>
      <c r="R7596" s="2" t="inlineStr"/>
    </row>
    <row r="7597" ht="15" customHeight="1">
      <c r="A7597" t="inlineStr">
        <is>
          <t>A 5162-2023</t>
        </is>
      </c>
      <c r="B7597" s="1" t="n">
        <v>44958</v>
      </c>
      <c r="C7597" s="1" t="n">
        <v>45363</v>
      </c>
      <c r="D7597" t="inlineStr">
        <is>
          <t>JÄMTLANDS LÄN</t>
        </is>
      </c>
      <c r="E7597" t="inlineStr">
        <is>
          <t>STRÖMSUND</t>
        </is>
      </c>
      <c r="F7597" t="inlineStr">
        <is>
          <t>SCA</t>
        </is>
      </c>
      <c r="G7597" t="n">
        <v>62.1</v>
      </c>
      <c r="H7597" t="n">
        <v>0</v>
      </c>
      <c r="I7597" t="n">
        <v>0</v>
      </c>
      <c r="J7597" t="n">
        <v>0</v>
      </c>
      <c r="K7597" t="n">
        <v>0</v>
      </c>
      <c r="L7597" t="n">
        <v>0</v>
      </c>
      <c r="M7597" t="n">
        <v>0</v>
      </c>
      <c r="N7597" t="n">
        <v>0</v>
      </c>
      <c r="O7597" t="n">
        <v>0</v>
      </c>
      <c r="P7597" t="n">
        <v>0</v>
      </c>
      <c r="Q7597" t="n">
        <v>0</v>
      </c>
      <c r="R7597" s="2" t="inlineStr"/>
    </row>
    <row r="7598" ht="15" customHeight="1">
      <c r="A7598" t="inlineStr">
        <is>
          <t>A 5175-2023</t>
        </is>
      </c>
      <c r="B7598" s="1" t="n">
        <v>44958</v>
      </c>
      <c r="C7598" s="1" t="n">
        <v>45363</v>
      </c>
      <c r="D7598" t="inlineStr">
        <is>
          <t>JÄMTLANDS LÄN</t>
        </is>
      </c>
      <c r="E7598" t="inlineStr">
        <is>
          <t>RAGUNDA</t>
        </is>
      </c>
      <c r="F7598" t="inlineStr">
        <is>
          <t>SCA</t>
        </is>
      </c>
      <c r="G7598" t="n">
        <v>17.9</v>
      </c>
      <c r="H7598" t="n">
        <v>0</v>
      </c>
      <c r="I7598" t="n">
        <v>0</v>
      </c>
      <c r="J7598" t="n">
        <v>0</v>
      </c>
      <c r="K7598" t="n">
        <v>0</v>
      </c>
      <c r="L7598" t="n">
        <v>0</v>
      </c>
      <c r="M7598" t="n">
        <v>0</v>
      </c>
      <c r="N7598" t="n">
        <v>0</v>
      </c>
      <c r="O7598" t="n">
        <v>0</v>
      </c>
      <c r="P7598" t="n">
        <v>0</v>
      </c>
      <c r="Q7598" t="n">
        <v>0</v>
      </c>
      <c r="R7598" s="2" t="inlineStr"/>
    </row>
    <row r="7599" ht="15" customHeight="1">
      <c r="A7599" t="inlineStr">
        <is>
          <t>A 5611-2023</t>
        </is>
      </c>
      <c r="B7599" s="1" t="n">
        <v>44958</v>
      </c>
      <c r="C7599" s="1" t="n">
        <v>45363</v>
      </c>
      <c r="D7599" t="inlineStr">
        <is>
          <t>JÄMTLANDS LÄN</t>
        </is>
      </c>
      <c r="E7599" t="inlineStr">
        <is>
          <t>ÅRE</t>
        </is>
      </c>
      <c r="G7599" t="n">
        <v>10.5</v>
      </c>
      <c r="H7599" t="n">
        <v>0</v>
      </c>
      <c r="I7599" t="n">
        <v>0</v>
      </c>
      <c r="J7599" t="n">
        <v>0</v>
      </c>
      <c r="K7599" t="n">
        <v>0</v>
      </c>
      <c r="L7599" t="n">
        <v>0</v>
      </c>
      <c r="M7599" t="n">
        <v>0</v>
      </c>
      <c r="N7599" t="n">
        <v>0</v>
      </c>
      <c r="O7599" t="n">
        <v>0</v>
      </c>
      <c r="P7599" t="n">
        <v>0</v>
      </c>
      <c r="Q7599" t="n">
        <v>0</v>
      </c>
      <c r="R7599" s="2" t="inlineStr"/>
    </row>
    <row r="7600" ht="15" customHeight="1">
      <c r="A7600" t="inlineStr">
        <is>
          <t>A 5279-2023</t>
        </is>
      </c>
      <c r="B7600" s="1" t="n">
        <v>44959</v>
      </c>
      <c r="C7600" s="1" t="n">
        <v>45363</v>
      </c>
      <c r="D7600" t="inlineStr">
        <is>
          <t>JÄMTLANDS LÄN</t>
        </is>
      </c>
      <c r="E7600" t="inlineStr">
        <is>
          <t>STRÖMSUND</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5277-2023</t>
        </is>
      </c>
      <c r="B7601" s="1" t="n">
        <v>44959</v>
      </c>
      <c r="C7601" s="1" t="n">
        <v>45363</v>
      </c>
      <c r="D7601" t="inlineStr">
        <is>
          <t>JÄMTLANDS LÄN</t>
        </is>
      </c>
      <c r="E7601" t="inlineStr">
        <is>
          <t>STRÖMSUND</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5278-2023</t>
        </is>
      </c>
      <c r="B7602" s="1" t="n">
        <v>44959</v>
      </c>
      <c r="C7602" s="1" t="n">
        <v>45363</v>
      </c>
      <c r="D7602" t="inlineStr">
        <is>
          <t>JÄMTLANDS LÄN</t>
        </is>
      </c>
      <c r="E7602" t="inlineStr">
        <is>
          <t>STRÖMSUND</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5397-2023</t>
        </is>
      </c>
      <c r="B7603" s="1" t="n">
        <v>44959</v>
      </c>
      <c r="C7603" s="1" t="n">
        <v>45363</v>
      </c>
      <c r="D7603" t="inlineStr">
        <is>
          <t>JÄMTLANDS LÄN</t>
        </is>
      </c>
      <c r="E7603" t="inlineStr">
        <is>
          <t>STRÖMSUND</t>
        </is>
      </c>
      <c r="G7603" t="n">
        <v>11.6</v>
      </c>
      <c r="H7603" t="n">
        <v>0</v>
      </c>
      <c r="I7603" t="n">
        <v>0</v>
      </c>
      <c r="J7603" t="n">
        <v>0</v>
      </c>
      <c r="K7603" t="n">
        <v>0</v>
      </c>
      <c r="L7603" t="n">
        <v>0</v>
      </c>
      <c r="M7603" t="n">
        <v>0</v>
      </c>
      <c r="N7603" t="n">
        <v>0</v>
      </c>
      <c r="O7603" t="n">
        <v>0</v>
      </c>
      <c r="P7603" t="n">
        <v>0</v>
      </c>
      <c r="Q7603" t="n">
        <v>0</v>
      </c>
      <c r="R7603" s="2" t="inlineStr"/>
    </row>
    <row r="7604" ht="15" customHeight="1">
      <c r="A7604" t="inlineStr">
        <is>
          <t>A 5439-2023</t>
        </is>
      </c>
      <c r="B7604" s="1" t="n">
        <v>44959</v>
      </c>
      <c r="C7604" s="1" t="n">
        <v>45363</v>
      </c>
      <c r="D7604" t="inlineStr">
        <is>
          <t>JÄMTLANDS LÄN</t>
        </is>
      </c>
      <c r="E7604" t="inlineStr">
        <is>
          <t>RAGUNDA</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5452-2023</t>
        </is>
      </c>
      <c r="B7605" s="1" t="n">
        <v>44959</v>
      </c>
      <c r="C7605" s="1" t="n">
        <v>45363</v>
      </c>
      <c r="D7605" t="inlineStr">
        <is>
          <t>JÄMTLANDS LÄN</t>
        </is>
      </c>
      <c r="E7605" t="inlineStr">
        <is>
          <t>STRÖMSUND</t>
        </is>
      </c>
      <c r="F7605" t="inlineStr">
        <is>
          <t>SCA</t>
        </is>
      </c>
      <c r="G7605" t="n">
        <v>33.6</v>
      </c>
      <c r="H7605" t="n">
        <v>0</v>
      </c>
      <c r="I7605" t="n">
        <v>0</v>
      </c>
      <c r="J7605" t="n">
        <v>0</v>
      </c>
      <c r="K7605" t="n">
        <v>0</v>
      </c>
      <c r="L7605" t="n">
        <v>0</v>
      </c>
      <c r="M7605" t="n">
        <v>0</v>
      </c>
      <c r="N7605" t="n">
        <v>0</v>
      </c>
      <c r="O7605" t="n">
        <v>0</v>
      </c>
      <c r="P7605" t="n">
        <v>0</v>
      </c>
      <c r="Q7605" t="n">
        <v>0</v>
      </c>
      <c r="R7605" s="2" t="inlineStr"/>
      <c r="U7605">
        <f>HYPERLINK("https://klasma.github.io/Logging_2313/knärot/A 5452-2023 karta knärot.png", "A 5452-2023")</f>
        <v/>
      </c>
      <c r="V7605">
        <f>HYPERLINK("https://klasma.github.io/Logging_2313/klagomål/A 5452-2023 FSC-klagomål.docx", "A 5452-2023")</f>
        <v/>
      </c>
      <c r="W7605">
        <f>HYPERLINK("https://klasma.github.io/Logging_2313/klagomålsmail/A 5452-2023 FSC-klagomål mail.docx", "A 5452-2023")</f>
        <v/>
      </c>
      <c r="X7605">
        <f>HYPERLINK("https://klasma.github.io/Logging_2313/tillsyn/A 5452-2023 tillsynsbegäran.docx", "A 5452-2023")</f>
        <v/>
      </c>
      <c r="Y7605">
        <f>HYPERLINK("https://klasma.github.io/Logging_2313/tillsynsmail/A 5452-2023 tillsynsbegäran mail.docx", "A 5452-2023")</f>
        <v/>
      </c>
    </row>
    <row r="7606" ht="15" customHeight="1">
      <c r="A7606" t="inlineStr">
        <is>
          <t>A 5640-2023</t>
        </is>
      </c>
      <c r="B7606" s="1" t="n">
        <v>44960</v>
      </c>
      <c r="C7606" s="1" t="n">
        <v>45363</v>
      </c>
      <c r="D7606" t="inlineStr">
        <is>
          <t>JÄMTLANDS LÄN</t>
        </is>
      </c>
      <c r="E7606" t="inlineStr">
        <is>
          <t>HÄRJEDALEN</t>
        </is>
      </c>
      <c r="G7606" t="n">
        <v>8.4</v>
      </c>
      <c r="H7606" t="n">
        <v>0</v>
      </c>
      <c r="I7606" t="n">
        <v>0</v>
      </c>
      <c r="J7606" t="n">
        <v>0</v>
      </c>
      <c r="K7606" t="n">
        <v>0</v>
      </c>
      <c r="L7606" t="n">
        <v>0</v>
      </c>
      <c r="M7606" t="n">
        <v>0</v>
      </c>
      <c r="N7606" t="n">
        <v>0</v>
      </c>
      <c r="O7606" t="n">
        <v>0</v>
      </c>
      <c r="P7606" t="n">
        <v>0</v>
      </c>
      <c r="Q7606" t="n">
        <v>0</v>
      </c>
      <c r="R7606" s="2" t="inlineStr"/>
    </row>
    <row r="7607" ht="15" customHeight="1">
      <c r="A7607" t="inlineStr">
        <is>
          <t>A 5714-2023</t>
        </is>
      </c>
      <c r="B7607" s="1" t="n">
        <v>44960</v>
      </c>
      <c r="C7607" s="1" t="n">
        <v>45363</v>
      </c>
      <c r="D7607" t="inlineStr">
        <is>
          <t>JÄMTLANDS LÄN</t>
        </is>
      </c>
      <c r="E7607" t="inlineStr">
        <is>
          <t>STRÖMSUND</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5711-2023</t>
        </is>
      </c>
      <c r="B7608" s="1" t="n">
        <v>44960</v>
      </c>
      <c r="C7608" s="1" t="n">
        <v>45363</v>
      </c>
      <c r="D7608" t="inlineStr">
        <is>
          <t>JÄMTLANDS LÄN</t>
        </is>
      </c>
      <c r="E7608" t="inlineStr">
        <is>
          <t>RAGUNDA</t>
        </is>
      </c>
      <c r="F7608" t="inlineStr">
        <is>
          <t>SCA</t>
        </is>
      </c>
      <c r="G7608" t="n">
        <v>15.4</v>
      </c>
      <c r="H7608" t="n">
        <v>0</v>
      </c>
      <c r="I7608" t="n">
        <v>0</v>
      </c>
      <c r="J7608" t="n">
        <v>0</v>
      </c>
      <c r="K7608" t="n">
        <v>0</v>
      </c>
      <c r="L7608" t="n">
        <v>0</v>
      </c>
      <c r="M7608" t="n">
        <v>0</v>
      </c>
      <c r="N7608" t="n">
        <v>0</v>
      </c>
      <c r="O7608" t="n">
        <v>0</v>
      </c>
      <c r="P7608" t="n">
        <v>0</v>
      </c>
      <c r="Q7608" t="n">
        <v>0</v>
      </c>
      <c r="R7608" s="2" t="inlineStr"/>
    </row>
    <row r="7609" ht="15" customHeight="1">
      <c r="A7609" t="inlineStr">
        <is>
          <t>A 6267-2023</t>
        </is>
      </c>
      <c r="B7609" s="1" t="n">
        <v>44960</v>
      </c>
      <c r="C7609" s="1" t="n">
        <v>45363</v>
      </c>
      <c r="D7609" t="inlineStr">
        <is>
          <t>JÄMTLANDS LÄN</t>
        </is>
      </c>
      <c r="E7609" t="inlineStr">
        <is>
          <t>STRÖMSUND</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6345-2023</t>
        </is>
      </c>
      <c r="B7610" s="1" t="n">
        <v>44960</v>
      </c>
      <c r="C7610" s="1" t="n">
        <v>45363</v>
      </c>
      <c r="D7610" t="inlineStr">
        <is>
          <t>JÄMTLANDS LÄN</t>
        </is>
      </c>
      <c r="E7610" t="inlineStr">
        <is>
          <t>BRÄCKE</t>
        </is>
      </c>
      <c r="G7610" t="n">
        <v>11.4</v>
      </c>
      <c r="H7610" t="n">
        <v>0</v>
      </c>
      <c r="I7610" t="n">
        <v>0</v>
      </c>
      <c r="J7610" t="n">
        <v>0</v>
      </c>
      <c r="K7610" t="n">
        <v>0</v>
      </c>
      <c r="L7610" t="n">
        <v>0</v>
      </c>
      <c r="M7610" t="n">
        <v>0</v>
      </c>
      <c r="N7610" t="n">
        <v>0</v>
      </c>
      <c r="O7610" t="n">
        <v>0</v>
      </c>
      <c r="P7610" t="n">
        <v>0</v>
      </c>
      <c r="Q7610" t="n">
        <v>0</v>
      </c>
      <c r="R7610" s="2" t="inlineStr"/>
    </row>
    <row r="7611" ht="15" customHeight="1">
      <c r="A7611" t="inlineStr">
        <is>
          <t>A 5460-2023</t>
        </is>
      </c>
      <c r="B7611" s="1" t="n">
        <v>44960</v>
      </c>
      <c r="C7611" s="1" t="n">
        <v>45363</v>
      </c>
      <c r="D7611" t="inlineStr">
        <is>
          <t>JÄMTLANDS LÄN</t>
        </is>
      </c>
      <c r="E7611" t="inlineStr">
        <is>
          <t>ÅRE</t>
        </is>
      </c>
      <c r="G7611" t="n">
        <v>9.4</v>
      </c>
      <c r="H7611" t="n">
        <v>0</v>
      </c>
      <c r="I7611" t="n">
        <v>0</v>
      </c>
      <c r="J7611" t="n">
        <v>0</v>
      </c>
      <c r="K7611" t="n">
        <v>0</v>
      </c>
      <c r="L7611" t="n">
        <v>0</v>
      </c>
      <c r="M7611" t="n">
        <v>0</v>
      </c>
      <c r="N7611" t="n">
        <v>0</v>
      </c>
      <c r="O7611" t="n">
        <v>0</v>
      </c>
      <c r="P7611" t="n">
        <v>0</v>
      </c>
      <c r="Q7611" t="n">
        <v>0</v>
      </c>
      <c r="R7611" s="2" t="inlineStr"/>
    </row>
    <row r="7612" ht="15" customHeight="1">
      <c r="A7612" t="inlineStr">
        <is>
          <t>A 5722-2023</t>
        </is>
      </c>
      <c r="B7612" s="1" t="n">
        <v>44961</v>
      </c>
      <c r="C7612" s="1" t="n">
        <v>45363</v>
      </c>
      <c r="D7612" t="inlineStr">
        <is>
          <t>JÄMTLANDS LÄN</t>
        </is>
      </c>
      <c r="E7612" t="inlineStr">
        <is>
          <t>KROKOM</t>
        </is>
      </c>
      <c r="G7612" t="n">
        <v>12.3</v>
      </c>
      <c r="H7612" t="n">
        <v>0</v>
      </c>
      <c r="I7612" t="n">
        <v>0</v>
      </c>
      <c r="J7612" t="n">
        <v>0</v>
      </c>
      <c r="K7612" t="n">
        <v>0</v>
      </c>
      <c r="L7612" t="n">
        <v>0</v>
      </c>
      <c r="M7612" t="n">
        <v>0</v>
      </c>
      <c r="N7612" t="n">
        <v>0</v>
      </c>
      <c r="O7612" t="n">
        <v>0</v>
      </c>
      <c r="P7612" t="n">
        <v>0</v>
      </c>
      <c r="Q7612" t="n">
        <v>0</v>
      </c>
      <c r="R7612" s="2" t="inlineStr"/>
    </row>
    <row r="7613" ht="15" customHeight="1">
      <c r="A7613" t="inlineStr">
        <is>
          <t>A 6581-2023</t>
        </is>
      </c>
      <c r="B7613" s="1" t="n">
        <v>44963</v>
      </c>
      <c r="C7613" s="1" t="n">
        <v>45363</v>
      </c>
      <c r="D7613" t="inlineStr">
        <is>
          <t>JÄMTLANDS LÄN</t>
        </is>
      </c>
      <c r="E7613" t="inlineStr">
        <is>
          <t>STRÖMSUND</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6583-2023</t>
        </is>
      </c>
      <c r="B7614" s="1" t="n">
        <v>44963</v>
      </c>
      <c r="C7614" s="1" t="n">
        <v>45363</v>
      </c>
      <c r="D7614" t="inlineStr">
        <is>
          <t>JÄMTLANDS LÄN</t>
        </is>
      </c>
      <c r="E7614" t="inlineStr">
        <is>
          <t>STRÖMSUND</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5951-2023</t>
        </is>
      </c>
      <c r="B7615" s="1" t="n">
        <v>44963</v>
      </c>
      <c r="C7615" s="1" t="n">
        <v>45363</v>
      </c>
      <c r="D7615" t="inlineStr">
        <is>
          <t>JÄMTLANDS LÄN</t>
        </is>
      </c>
      <c r="E7615" t="inlineStr">
        <is>
          <t>ÖSTERSUND</t>
        </is>
      </c>
      <c r="F7615" t="inlineStr">
        <is>
          <t>SCA</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5958-2023</t>
        </is>
      </c>
      <c r="B7616" s="1" t="n">
        <v>44963</v>
      </c>
      <c r="C7616" s="1" t="n">
        <v>45363</v>
      </c>
      <c r="D7616" t="inlineStr">
        <is>
          <t>JÄMTLANDS LÄN</t>
        </is>
      </c>
      <c r="E7616" t="inlineStr">
        <is>
          <t>RAGUNDA</t>
        </is>
      </c>
      <c r="F7616" t="inlineStr">
        <is>
          <t>SCA</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6595-2023</t>
        </is>
      </c>
      <c r="B7617" s="1" t="n">
        <v>44963</v>
      </c>
      <c r="C7617" s="1" t="n">
        <v>45363</v>
      </c>
      <c r="D7617" t="inlineStr">
        <is>
          <t>JÄMTLANDS LÄN</t>
        </is>
      </c>
      <c r="E7617" t="inlineStr">
        <is>
          <t>KROKOM</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5950-2023</t>
        </is>
      </c>
      <c r="B7618" s="1" t="n">
        <v>44963</v>
      </c>
      <c r="C7618" s="1" t="n">
        <v>45363</v>
      </c>
      <c r="D7618" t="inlineStr">
        <is>
          <t>JÄMTLANDS LÄN</t>
        </is>
      </c>
      <c r="E7618" t="inlineStr">
        <is>
          <t>ÖSTERSUND</t>
        </is>
      </c>
      <c r="F7618" t="inlineStr">
        <is>
          <t>SCA</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5956-2023</t>
        </is>
      </c>
      <c r="B7619" s="1" t="n">
        <v>44963</v>
      </c>
      <c r="C7619" s="1" t="n">
        <v>45363</v>
      </c>
      <c r="D7619" t="inlineStr">
        <is>
          <t>JÄMTLANDS LÄN</t>
        </is>
      </c>
      <c r="E7619" t="inlineStr">
        <is>
          <t>STRÖMSUND</t>
        </is>
      </c>
      <c r="F7619" t="inlineStr">
        <is>
          <t>SCA</t>
        </is>
      </c>
      <c r="G7619" t="n">
        <v>20.2</v>
      </c>
      <c r="H7619" t="n">
        <v>0</v>
      </c>
      <c r="I7619" t="n">
        <v>0</v>
      </c>
      <c r="J7619" t="n">
        <v>0</v>
      </c>
      <c r="K7619" t="n">
        <v>0</v>
      </c>
      <c r="L7619" t="n">
        <v>0</v>
      </c>
      <c r="M7619" t="n">
        <v>0</v>
      </c>
      <c r="N7619" t="n">
        <v>0</v>
      </c>
      <c r="O7619" t="n">
        <v>0</v>
      </c>
      <c r="P7619" t="n">
        <v>0</v>
      </c>
      <c r="Q7619" t="n">
        <v>0</v>
      </c>
      <c r="R7619" s="2" t="inlineStr"/>
    </row>
    <row r="7620" ht="15" customHeight="1">
      <c r="A7620" t="inlineStr">
        <is>
          <t>A 6586-2023</t>
        </is>
      </c>
      <c r="B7620" s="1" t="n">
        <v>44963</v>
      </c>
      <c r="C7620" s="1" t="n">
        <v>45363</v>
      </c>
      <c r="D7620" t="inlineStr">
        <is>
          <t>JÄMTLANDS LÄN</t>
        </is>
      </c>
      <c r="E7620" t="inlineStr">
        <is>
          <t>RAGUNDA</t>
        </is>
      </c>
      <c r="G7620" t="n">
        <v>6.9</v>
      </c>
      <c r="H7620" t="n">
        <v>0</v>
      </c>
      <c r="I7620" t="n">
        <v>0</v>
      </c>
      <c r="J7620" t="n">
        <v>0</v>
      </c>
      <c r="K7620" t="n">
        <v>0</v>
      </c>
      <c r="L7620" t="n">
        <v>0</v>
      </c>
      <c r="M7620" t="n">
        <v>0</v>
      </c>
      <c r="N7620" t="n">
        <v>0</v>
      </c>
      <c r="O7620" t="n">
        <v>0</v>
      </c>
      <c r="P7620" t="n">
        <v>0</v>
      </c>
      <c r="Q7620" t="n">
        <v>0</v>
      </c>
      <c r="R7620" s="2" t="inlineStr"/>
    </row>
    <row r="7621" ht="15" customHeight="1">
      <c r="A7621" t="inlineStr">
        <is>
          <t>A 6001-2023</t>
        </is>
      </c>
      <c r="B7621" s="1" t="n">
        <v>44964</v>
      </c>
      <c r="C7621" s="1" t="n">
        <v>45363</v>
      </c>
      <c r="D7621" t="inlineStr">
        <is>
          <t>JÄMTLANDS LÄN</t>
        </is>
      </c>
      <c r="E7621" t="inlineStr">
        <is>
          <t>HÄRJEDALEN</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6852-2023</t>
        </is>
      </c>
      <c r="B7622" s="1" t="n">
        <v>44964</v>
      </c>
      <c r="C7622" s="1" t="n">
        <v>45363</v>
      </c>
      <c r="D7622" t="inlineStr">
        <is>
          <t>JÄMTLANDS LÄN</t>
        </is>
      </c>
      <c r="E7622" t="inlineStr">
        <is>
          <t>BRÄCKE</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6124-2023</t>
        </is>
      </c>
      <c r="B7623" s="1" t="n">
        <v>44964</v>
      </c>
      <c r="C7623" s="1" t="n">
        <v>45363</v>
      </c>
      <c r="D7623" t="inlineStr">
        <is>
          <t>JÄMTLANDS LÄN</t>
        </is>
      </c>
      <c r="E7623" t="inlineStr">
        <is>
          <t>HÄRJEDALEN</t>
        </is>
      </c>
      <c r="G7623" t="n">
        <v>20</v>
      </c>
      <c r="H7623" t="n">
        <v>0</v>
      </c>
      <c r="I7623" t="n">
        <v>0</v>
      </c>
      <c r="J7623" t="n">
        <v>0</v>
      </c>
      <c r="K7623" t="n">
        <v>0</v>
      </c>
      <c r="L7623" t="n">
        <v>0</v>
      </c>
      <c r="M7623" t="n">
        <v>0</v>
      </c>
      <c r="N7623" t="n">
        <v>0</v>
      </c>
      <c r="O7623" t="n">
        <v>0</v>
      </c>
      <c r="P7623" t="n">
        <v>0</v>
      </c>
      <c r="Q7623" t="n">
        <v>0</v>
      </c>
      <c r="R7623" s="2" t="inlineStr"/>
    </row>
    <row r="7624" ht="15" customHeight="1">
      <c r="A7624" t="inlineStr">
        <is>
          <t>A 6234-2023</t>
        </is>
      </c>
      <c r="B7624" s="1" t="n">
        <v>44964</v>
      </c>
      <c r="C7624" s="1" t="n">
        <v>45363</v>
      </c>
      <c r="D7624" t="inlineStr">
        <is>
          <t>JÄMTLANDS LÄN</t>
        </is>
      </c>
      <c r="E7624" t="inlineStr">
        <is>
          <t>STRÖMSUND</t>
        </is>
      </c>
      <c r="F7624" t="inlineStr">
        <is>
          <t>SCA</t>
        </is>
      </c>
      <c r="G7624" t="n">
        <v>13.7</v>
      </c>
      <c r="H7624" t="n">
        <v>0</v>
      </c>
      <c r="I7624" t="n">
        <v>0</v>
      </c>
      <c r="J7624" t="n">
        <v>0</v>
      </c>
      <c r="K7624" t="n">
        <v>0</v>
      </c>
      <c r="L7624" t="n">
        <v>0</v>
      </c>
      <c r="M7624" t="n">
        <v>0</v>
      </c>
      <c r="N7624" t="n">
        <v>0</v>
      </c>
      <c r="O7624" t="n">
        <v>0</v>
      </c>
      <c r="P7624" t="n">
        <v>0</v>
      </c>
      <c r="Q7624" t="n">
        <v>0</v>
      </c>
      <c r="R7624" s="2" t="inlineStr"/>
    </row>
    <row r="7625" ht="15" customHeight="1">
      <c r="A7625" t="inlineStr">
        <is>
          <t>A 6701-2023</t>
        </is>
      </c>
      <c r="B7625" s="1" t="n">
        <v>44964</v>
      </c>
      <c r="C7625" s="1" t="n">
        <v>45363</v>
      </c>
      <c r="D7625" t="inlineStr">
        <is>
          <t>JÄMTLANDS LÄN</t>
        </is>
      </c>
      <c r="E7625" t="inlineStr">
        <is>
          <t>BRÄCKE</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6928-2023</t>
        </is>
      </c>
      <c r="B7626" s="1" t="n">
        <v>44964</v>
      </c>
      <c r="C7626" s="1" t="n">
        <v>45363</v>
      </c>
      <c r="D7626" t="inlineStr">
        <is>
          <t>JÄMTLANDS LÄN</t>
        </is>
      </c>
      <c r="E7626" t="inlineStr">
        <is>
          <t>STRÖMSUND</t>
        </is>
      </c>
      <c r="G7626" t="n">
        <v>8.699999999999999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6932-2023</t>
        </is>
      </c>
      <c r="B7627" s="1" t="n">
        <v>44964</v>
      </c>
      <c r="C7627" s="1" t="n">
        <v>45363</v>
      </c>
      <c r="D7627" t="inlineStr">
        <is>
          <t>JÄMTLANDS LÄN</t>
        </is>
      </c>
      <c r="E7627" t="inlineStr">
        <is>
          <t>STRÖMSUND</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6347-2023</t>
        </is>
      </c>
      <c r="B7628" s="1" t="n">
        <v>44965</v>
      </c>
      <c r="C7628" s="1" t="n">
        <v>45363</v>
      </c>
      <c r="D7628" t="inlineStr">
        <is>
          <t>JÄMTLANDS LÄN</t>
        </is>
      </c>
      <c r="E7628" t="inlineStr">
        <is>
          <t>KROKOM</t>
        </is>
      </c>
      <c r="F7628" t="inlineStr">
        <is>
          <t>Övriga Aktiebolag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6390-2023</t>
        </is>
      </c>
      <c r="B7629" s="1" t="n">
        <v>44965</v>
      </c>
      <c r="C7629" s="1" t="n">
        <v>45363</v>
      </c>
      <c r="D7629" t="inlineStr">
        <is>
          <t>JÄMTLANDS LÄN</t>
        </is>
      </c>
      <c r="E7629" t="inlineStr">
        <is>
          <t>BRÄCKE</t>
        </is>
      </c>
      <c r="F7629" t="inlineStr">
        <is>
          <t>Övriga Aktiebolag</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6455-2023</t>
        </is>
      </c>
      <c r="B7630" s="1" t="n">
        <v>44965</v>
      </c>
      <c r="C7630" s="1" t="n">
        <v>45363</v>
      </c>
      <c r="D7630" t="inlineStr">
        <is>
          <t>JÄMTLANDS LÄN</t>
        </is>
      </c>
      <c r="E7630" t="inlineStr">
        <is>
          <t>STRÖMSUND</t>
        </is>
      </c>
      <c r="F7630" t="inlineStr">
        <is>
          <t>SCA</t>
        </is>
      </c>
      <c r="G7630" t="n">
        <v>74.7</v>
      </c>
      <c r="H7630" t="n">
        <v>0</v>
      </c>
      <c r="I7630" t="n">
        <v>0</v>
      </c>
      <c r="J7630" t="n">
        <v>0</v>
      </c>
      <c r="K7630" t="n">
        <v>0</v>
      </c>
      <c r="L7630" t="n">
        <v>0</v>
      </c>
      <c r="M7630" t="n">
        <v>0</v>
      </c>
      <c r="N7630" t="n">
        <v>0</v>
      </c>
      <c r="O7630" t="n">
        <v>0</v>
      </c>
      <c r="P7630" t="n">
        <v>0</v>
      </c>
      <c r="Q7630" t="n">
        <v>0</v>
      </c>
      <c r="R7630" s="2" t="inlineStr"/>
    </row>
    <row r="7631" ht="15" customHeight="1">
      <c r="A7631" t="inlineStr">
        <is>
          <t>A 6341-2023</t>
        </is>
      </c>
      <c r="B7631" s="1" t="n">
        <v>44965</v>
      </c>
      <c r="C7631" s="1" t="n">
        <v>45363</v>
      </c>
      <c r="D7631" t="inlineStr">
        <is>
          <t>JÄMTLANDS LÄN</t>
        </is>
      </c>
      <c r="E7631" t="inlineStr">
        <is>
          <t>ÖSTERSUND</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6462-2023</t>
        </is>
      </c>
      <c r="B7632" s="1" t="n">
        <v>44965</v>
      </c>
      <c r="C7632" s="1" t="n">
        <v>45363</v>
      </c>
      <c r="D7632" t="inlineStr">
        <is>
          <t>JÄMTLANDS LÄN</t>
        </is>
      </c>
      <c r="E7632" t="inlineStr">
        <is>
          <t>STRÖMSUND</t>
        </is>
      </c>
      <c r="F7632" t="inlineStr">
        <is>
          <t>SCA</t>
        </is>
      </c>
      <c r="G7632" t="n">
        <v>14.4</v>
      </c>
      <c r="H7632" t="n">
        <v>0</v>
      </c>
      <c r="I7632" t="n">
        <v>0</v>
      </c>
      <c r="J7632" t="n">
        <v>0</v>
      </c>
      <c r="K7632" t="n">
        <v>0</v>
      </c>
      <c r="L7632" t="n">
        <v>0</v>
      </c>
      <c r="M7632" t="n">
        <v>0</v>
      </c>
      <c r="N7632" t="n">
        <v>0</v>
      </c>
      <c r="O7632" t="n">
        <v>0</v>
      </c>
      <c r="P7632" t="n">
        <v>0</v>
      </c>
      <c r="Q7632" t="n">
        <v>0</v>
      </c>
      <c r="R7632" s="2" t="inlineStr"/>
    </row>
    <row r="7633" ht="15" customHeight="1">
      <c r="A7633" t="inlineStr">
        <is>
          <t>A 6467-2023</t>
        </is>
      </c>
      <c r="B7633" s="1" t="n">
        <v>44965</v>
      </c>
      <c r="C7633" s="1" t="n">
        <v>45363</v>
      </c>
      <c r="D7633" t="inlineStr">
        <is>
          <t>JÄMTLANDS LÄN</t>
        </is>
      </c>
      <c r="E7633" t="inlineStr">
        <is>
          <t>RAGUNDA</t>
        </is>
      </c>
      <c r="F7633" t="inlineStr">
        <is>
          <t>SCA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7099-2023</t>
        </is>
      </c>
      <c r="B7634" s="1" t="n">
        <v>44965</v>
      </c>
      <c r="C7634" s="1" t="n">
        <v>45363</v>
      </c>
      <c r="D7634" t="inlineStr">
        <is>
          <t>JÄMTLANDS LÄN</t>
        </is>
      </c>
      <c r="E7634" t="inlineStr">
        <is>
          <t>BERG</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6470-2023</t>
        </is>
      </c>
      <c r="B7635" s="1" t="n">
        <v>44965</v>
      </c>
      <c r="C7635" s="1" t="n">
        <v>45363</v>
      </c>
      <c r="D7635" t="inlineStr">
        <is>
          <t>JÄMTLANDS LÄN</t>
        </is>
      </c>
      <c r="E7635" t="inlineStr">
        <is>
          <t>RAGUNDA</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7105-2023</t>
        </is>
      </c>
      <c r="B7636" s="1" t="n">
        <v>44965</v>
      </c>
      <c r="C7636" s="1" t="n">
        <v>45363</v>
      </c>
      <c r="D7636" t="inlineStr">
        <is>
          <t>JÄMTLANDS LÄN</t>
        </is>
      </c>
      <c r="E7636" t="inlineStr">
        <is>
          <t>BERG</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6764-2023</t>
        </is>
      </c>
      <c r="B7637" s="1" t="n">
        <v>44966</v>
      </c>
      <c r="C7637" s="1" t="n">
        <v>45363</v>
      </c>
      <c r="D7637" t="inlineStr">
        <is>
          <t>JÄMTLANDS LÄN</t>
        </is>
      </c>
      <c r="E7637" t="inlineStr">
        <is>
          <t>BRÄCKE</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6768-2023</t>
        </is>
      </c>
      <c r="B7638" s="1" t="n">
        <v>44966</v>
      </c>
      <c r="C7638" s="1" t="n">
        <v>45363</v>
      </c>
      <c r="D7638" t="inlineStr">
        <is>
          <t>JÄMTLANDS LÄN</t>
        </is>
      </c>
      <c r="E7638" t="inlineStr">
        <is>
          <t>BRÄCKE</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6773-2023</t>
        </is>
      </c>
      <c r="B7639" s="1" t="n">
        <v>44966</v>
      </c>
      <c r="C7639" s="1" t="n">
        <v>45363</v>
      </c>
      <c r="D7639" t="inlineStr">
        <is>
          <t>JÄMTLANDS LÄN</t>
        </is>
      </c>
      <c r="E7639" t="inlineStr">
        <is>
          <t>STRÖMSUND</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6798-2023</t>
        </is>
      </c>
      <c r="B7640" s="1" t="n">
        <v>44966</v>
      </c>
      <c r="C7640" s="1" t="n">
        <v>45363</v>
      </c>
      <c r="D7640" t="inlineStr">
        <is>
          <t>JÄMTLANDS LÄN</t>
        </is>
      </c>
      <c r="E7640" t="inlineStr">
        <is>
          <t>STRÖMSUND</t>
        </is>
      </c>
      <c r="F7640" t="inlineStr">
        <is>
          <t>SCA</t>
        </is>
      </c>
      <c r="G7640" t="n">
        <v>70.3</v>
      </c>
      <c r="H7640" t="n">
        <v>0</v>
      </c>
      <c r="I7640" t="n">
        <v>0</v>
      </c>
      <c r="J7640" t="n">
        <v>0</v>
      </c>
      <c r="K7640" t="n">
        <v>0</v>
      </c>
      <c r="L7640" t="n">
        <v>0</v>
      </c>
      <c r="M7640" t="n">
        <v>0</v>
      </c>
      <c r="N7640" t="n">
        <v>0</v>
      </c>
      <c r="O7640" t="n">
        <v>0</v>
      </c>
      <c r="P7640" t="n">
        <v>0</v>
      </c>
      <c r="Q7640" t="n">
        <v>0</v>
      </c>
      <c r="R7640" s="2" t="inlineStr"/>
    </row>
    <row r="7641" ht="15" customHeight="1">
      <c r="A7641" t="inlineStr">
        <is>
          <t>A 6766-2023</t>
        </is>
      </c>
      <c r="B7641" s="1" t="n">
        <v>44966</v>
      </c>
      <c r="C7641" s="1" t="n">
        <v>45363</v>
      </c>
      <c r="D7641" t="inlineStr">
        <is>
          <t>JÄMTLANDS LÄN</t>
        </is>
      </c>
      <c r="E7641" t="inlineStr">
        <is>
          <t>BRÄCKE</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6780-2023</t>
        </is>
      </c>
      <c r="B7642" s="1" t="n">
        <v>44966</v>
      </c>
      <c r="C7642" s="1" t="n">
        <v>45363</v>
      </c>
      <c r="D7642" t="inlineStr">
        <is>
          <t>JÄMTLANDS LÄN</t>
        </is>
      </c>
      <c r="E7642" t="inlineStr">
        <is>
          <t>STRÖMSUND</t>
        </is>
      </c>
      <c r="F7642" t="inlineStr">
        <is>
          <t>SCA</t>
        </is>
      </c>
      <c r="G7642" t="n">
        <v>38.5</v>
      </c>
      <c r="H7642" t="n">
        <v>0</v>
      </c>
      <c r="I7642" t="n">
        <v>0</v>
      </c>
      <c r="J7642" t="n">
        <v>0</v>
      </c>
      <c r="K7642" t="n">
        <v>0</v>
      </c>
      <c r="L7642" t="n">
        <v>0</v>
      </c>
      <c r="M7642" t="n">
        <v>0</v>
      </c>
      <c r="N7642" t="n">
        <v>0</v>
      </c>
      <c r="O7642" t="n">
        <v>0</v>
      </c>
      <c r="P7642" t="n">
        <v>0</v>
      </c>
      <c r="Q7642" t="n">
        <v>0</v>
      </c>
      <c r="R7642" s="2" t="inlineStr"/>
    </row>
    <row r="7643" ht="15" customHeight="1">
      <c r="A7643" t="inlineStr">
        <is>
          <t>A 6801-2023</t>
        </is>
      </c>
      <c r="B7643" s="1" t="n">
        <v>44966</v>
      </c>
      <c r="C7643" s="1" t="n">
        <v>45363</v>
      </c>
      <c r="D7643" t="inlineStr">
        <is>
          <t>JÄMTLANDS LÄN</t>
        </is>
      </c>
      <c r="E7643" t="inlineStr">
        <is>
          <t>RAGUNDA</t>
        </is>
      </c>
      <c r="F7643" t="inlineStr">
        <is>
          <t>SCA</t>
        </is>
      </c>
      <c r="G7643" t="n">
        <v>10.6</v>
      </c>
      <c r="H7643" t="n">
        <v>0</v>
      </c>
      <c r="I7643" t="n">
        <v>0</v>
      </c>
      <c r="J7643" t="n">
        <v>0</v>
      </c>
      <c r="K7643" t="n">
        <v>0</v>
      </c>
      <c r="L7643" t="n">
        <v>0</v>
      </c>
      <c r="M7643" t="n">
        <v>0</v>
      </c>
      <c r="N7643" t="n">
        <v>0</v>
      </c>
      <c r="O7643" t="n">
        <v>0</v>
      </c>
      <c r="P7643" t="n">
        <v>0</v>
      </c>
      <c r="Q7643" t="n">
        <v>0</v>
      </c>
      <c r="R7643" s="2" t="inlineStr"/>
    </row>
    <row r="7644" ht="15" customHeight="1">
      <c r="A7644" t="inlineStr">
        <is>
          <t>A 7371-2023</t>
        </is>
      </c>
      <c r="B7644" s="1" t="n">
        <v>44966</v>
      </c>
      <c r="C7644" s="1" t="n">
        <v>45363</v>
      </c>
      <c r="D7644" t="inlineStr">
        <is>
          <t>JÄMTLANDS LÄN</t>
        </is>
      </c>
      <c r="E7644" t="inlineStr">
        <is>
          <t>KROKOM</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6802-2023</t>
        </is>
      </c>
      <c r="B7645" s="1" t="n">
        <v>44966</v>
      </c>
      <c r="C7645" s="1" t="n">
        <v>45363</v>
      </c>
      <c r="D7645" t="inlineStr">
        <is>
          <t>JÄMTLANDS LÄN</t>
        </is>
      </c>
      <c r="E7645" t="inlineStr">
        <is>
          <t>RAGUNDA</t>
        </is>
      </c>
      <c r="F7645" t="inlineStr">
        <is>
          <t>SCA</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7488-2023</t>
        </is>
      </c>
      <c r="B7646" s="1" t="n">
        <v>44966</v>
      </c>
      <c r="C7646" s="1" t="n">
        <v>45363</v>
      </c>
      <c r="D7646" t="inlineStr">
        <is>
          <t>JÄMTLANDS LÄN</t>
        </is>
      </c>
      <c r="E7646" t="inlineStr">
        <is>
          <t>BERG</t>
        </is>
      </c>
      <c r="G7646" t="n">
        <v>19.5</v>
      </c>
      <c r="H7646" t="n">
        <v>0</v>
      </c>
      <c r="I7646" t="n">
        <v>0</v>
      </c>
      <c r="J7646" t="n">
        <v>0</v>
      </c>
      <c r="K7646" t="n">
        <v>0</v>
      </c>
      <c r="L7646" t="n">
        <v>0</v>
      </c>
      <c r="M7646" t="n">
        <v>0</v>
      </c>
      <c r="N7646" t="n">
        <v>0</v>
      </c>
      <c r="O7646" t="n">
        <v>0</v>
      </c>
      <c r="P7646" t="n">
        <v>0</v>
      </c>
      <c r="Q7646" t="n">
        <v>0</v>
      </c>
      <c r="R7646" s="2" t="inlineStr"/>
    </row>
    <row r="7647" ht="15" customHeight="1">
      <c r="A7647" t="inlineStr">
        <is>
          <t>A 6763-2023</t>
        </is>
      </c>
      <c r="B7647" s="1" t="n">
        <v>44966</v>
      </c>
      <c r="C7647" s="1" t="n">
        <v>45363</v>
      </c>
      <c r="D7647" t="inlineStr">
        <is>
          <t>JÄMTLANDS LÄN</t>
        </is>
      </c>
      <c r="E7647" t="inlineStr">
        <is>
          <t>BRÄCKE</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7489-2023</t>
        </is>
      </c>
      <c r="B7648" s="1" t="n">
        <v>44966</v>
      </c>
      <c r="C7648" s="1" t="n">
        <v>45363</v>
      </c>
      <c r="D7648" t="inlineStr">
        <is>
          <t>JÄMTLANDS LÄN</t>
        </is>
      </c>
      <c r="E7648" t="inlineStr">
        <is>
          <t>STRÖMSUND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7463-2023</t>
        </is>
      </c>
      <c r="B7649" s="1" t="n">
        <v>44966</v>
      </c>
      <c r="C7649" s="1" t="n">
        <v>45363</v>
      </c>
      <c r="D7649" t="inlineStr">
        <is>
          <t>JÄMTLANDS LÄN</t>
        </is>
      </c>
      <c r="E7649" t="inlineStr">
        <is>
          <t>BERG</t>
        </is>
      </c>
      <c r="G7649" t="n">
        <v>13.1</v>
      </c>
      <c r="H7649" t="n">
        <v>0</v>
      </c>
      <c r="I7649" t="n">
        <v>0</v>
      </c>
      <c r="J7649" t="n">
        <v>0</v>
      </c>
      <c r="K7649" t="n">
        <v>0</v>
      </c>
      <c r="L7649" t="n">
        <v>0</v>
      </c>
      <c r="M7649" t="n">
        <v>0</v>
      </c>
      <c r="N7649" t="n">
        <v>0</v>
      </c>
      <c r="O7649" t="n">
        <v>0</v>
      </c>
      <c r="P7649" t="n">
        <v>0</v>
      </c>
      <c r="Q7649" t="n">
        <v>0</v>
      </c>
      <c r="R7649" s="2" t="inlineStr"/>
    </row>
    <row r="7650" ht="15" customHeight="1">
      <c r="A7650" t="inlineStr">
        <is>
          <t>A 7483-2023</t>
        </is>
      </c>
      <c r="B7650" s="1" t="n">
        <v>44966</v>
      </c>
      <c r="C7650" s="1" t="n">
        <v>45363</v>
      </c>
      <c r="D7650" t="inlineStr">
        <is>
          <t>JÄMTLANDS LÄN</t>
        </is>
      </c>
      <c r="E7650" t="inlineStr">
        <is>
          <t>BERG</t>
        </is>
      </c>
      <c r="G7650" t="n">
        <v>20.1</v>
      </c>
      <c r="H7650" t="n">
        <v>0</v>
      </c>
      <c r="I7650" t="n">
        <v>0</v>
      </c>
      <c r="J7650" t="n">
        <v>0</v>
      </c>
      <c r="K7650" t="n">
        <v>0</v>
      </c>
      <c r="L7650" t="n">
        <v>0</v>
      </c>
      <c r="M7650" t="n">
        <v>0</v>
      </c>
      <c r="N7650" t="n">
        <v>0</v>
      </c>
      <c r="O7650" t="n">
        <v>0</v>
      </c>
      <c r="P7650" t="n">
        <v>0</v>
      </c>
      <c r="Q7650" t="n">
        <v>0</v>
      </c>
      <c r="R7650" s="2" t="inlineStr"/>
    </row>
    <row r="7651" ht="15" customHeight="1">
      <c r="A7651" t="inlineStr">
        <is>
          <t>A 6800-2023</t>
        </is>
      </c>
      <c r="B7651" s="1" t="n">
        <v>44966</v>
      </c>
      <c r="C7651" s="1" t="n">
        <v>45363</v>
      </c>
      <c r="D7651" t="inlineStr">
        <is>
          <t>JÄMTLANDS LÄN</t>
        </is>
      </c>
      <c r="E7651" t="inlineStr">
        <is>
          <t>RAGUNDA</t>
        </is>
      </c>
      <c r="F7651" t="inlineStr">
        <is>
          <t>SCA</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7373-2023</t>
        </is>
      </c>
      <c r="B7652" s="1" t="n">
        <v>44966</v>
      </c>
      <c r="C7652" s="1" t="n">
        <v>45363</v>
      </c>
      <c r="D7652" t="inlineStr">
        <is>
          <t>JÄMTLANDS LÄN</t>
        </is>
      </c>
      <c r="E7652" t="inlineStr">
        <is>
          <t>KROKOM</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6870-2023</t>
        </is>
      </c>
      <c r="B7653" s="1" t="n">
        <v>44967</v>
      </c>
      <c r="C7653" s="1" t="n">
        <v>45363</v>
      </c>
      <c r="D7653" t="inlineStr">
        <is>
          <t>JÄMTLANDS LÄN</t>
        </is>
      </c>
      <c r="E7653" t="inlineStr">
        <is>
          <t>BRÄCKE</t>
        </is>
      </c>
      <c r="F7653" t="inlineStr">
        <is>
          <t>Övriga Aktiebolag</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7020-2023</t>
        </is>
      </c>
      <c r="B7654" s="1" t="n">
        <v>44967</v>
      </c>
      <c r="C7654" s="1" t="n">
        <v>45363</v>
      </c>
      <c r="D7654" t="inlineStr">
        <is>
          <t>JÄMTLANDS LÄN</t>
        </is>
      </c>
      <c r="E7654" t="inlineStr">
        <is>
          <t>STRÖMSUND</t>
        </is>
      </c>
      <c r="F7654" t="inlineStr">
        <is>
          <t>SCA</t>
        </is>
      </c>
      <c r="G7654" t="n">
        <v>33.9</v>
      </c>
      <c r="H7654" t="n">
        <v>0</v>
      </c>
      <c r="I7654" t="n">
        <v>0</v>
      </c>
      <c r="J7654" t="n">
        <v>0</v>
      </c>
      <c r="K7654" t="n">
        <v>0</v>
      </c>
      <c r="L7654" t="n">
        <v>0</v>
      </c>
      <c r="M7654" t="n">
        <v>0</v>
      </c>
      <c r="N7654" t="n">
        <v>0</v>
      </c>
      <c r="O7654" t="n">
        <v>0</v>
      </c>
      <c r="P7654" t="n">
        <v>0</v>
      </c>
      <c r="Q7654" t="n">
        <v>0</v>
      </c>
      <c r="R7654" s="2" t="inlineStr"/>
    </row>
    <row r="7655" ht="15" customHeight="1">
      <c r="A7655" t="inlineStr">
        <is>
          <t>A 7015-2023</t>
        </is>
      </c>
      <c r="B7655" s="1" t="n">
        <v>44967</v>
      </c>
      <c r="C7655" s="1" t="n">
        <v>45363</v>
      </c>
      <c r="D7655" t="inlineStr">
        <is>
          <t>JÄMTLANDS LÄN</t>
        </is>
      </c>
      <c r="E7655" t="inlineStr">
        <is>
          <t>STRÖMSUND</t>
        </is>
      </c>
      <c r="F7655" t="inlineStr">
        <is>
          <t>SCA</t>
        </is>
      </c>
      <c r="G7655" t="n">
        <v>12.4</v>
      </c>
      <c r="H7655" t="n">
        <v>0</v>
      </c>
      <c r="I7655" t="n">
        <v>0</v>
      </c>
      <c r="J7655" t="n">
        <v>0</v>
      </c>
      <c r="K7655" t="n">
        <v>0</v>
      </c>
      <c r="L7655" t="n">
        <v>0</v>
      </c>
      <c r="M7655" t="n">
        <v>0</v>
      </c>
      <c r="N7655" t="n">
        <v>0</v>
      </c>
      <c r="O7655" t="n">
        <v>0</v>
      </c>
      <c r="P7655" t="n">
        <v>0</v>
      </c>
      <c r="Q7655" t="n">
        <v>0</v>
      </c>
      <c r="R7655" s="2" t="inlineStr"/>
    </row>
    <row r="7656" ht="15" customHeight="1">
      <c r="A7656" t="inlineStr">
        <is>
          <t>A 7019-2023</t>
        </is>
      </c>
      <c r="B7656" s="1" t="n">
        <v>44968</v>
      </c>
      <c r="C7656" s="1" t="n">
        <v>45363</v>
      </c>
      <c r="D7656" t="inlineStr">
        <is>
          <t>JÄMTLANDS LÄN</t>
        </is>
      </c>
      <c r="E7656" t="inlineStr">
        <is>
          <t>RAGUNDA</t>
        </is>
      </c>
      <c r="F7656" t="inlineStr">
        <is>
          <t>SCA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7573-2023</t>
        </is>
      </c>
      <c r="B7657" s="1" t="n">
        <v>44967</v>
      </c>
      <c r="C7657" s="1" t="n">
        <v>45363</v>
      </c>
      <c r="D7657" t="inlineStr">
        <is>
          <t>JÄMTLANDS LÄN</t>
        </is>
      </c>
      <c r="E7657" t="inlineStr">
        <is>
          <t>ÅRE</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7021-2023</t>
        </is>
      </c>
      <c r="B7658" s="1" t="n">
        <v>44967</v>
      </c>
      <c r="C7658" s="1" t="n">
        <v>45363</v>
      </c>
      <c r="D7658" t="inlineStr">
        <is>
          <t>JÄMTLANDS LÄN</t>
        </is>
      </c>
      <c r="E7658" t="inlineStr">
        <is>
          <t>RAGUNDA</t>
        </is>
      </c>
      <c r="F7658" t="inlineStr">
        <is>
          <t>SCA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7326-2023</t>
        </is>
      </c>
      <c r="B7659" s="1" t="n">
        <v>44971</v>
      </c>
      <c r="C7659" s="1" t="n">
        <v>45363</v>
      </c>
      <c r="D7659" t="inlineStr">
        <is>
          <t>JÄMTLANDS LÄN</t>
        </is>
      </c>
      <c r="E7659" t="inlineStr">
        <is>
          <t>STRÖMSUND</t>
        </is>
      </c>
      <c r="F7659" t="inlineStr">
        <is>
          <t>SCA</t>
        </is>
      </c>
      <c r="G7659" t="n">
        <v>15.7</v>
      </c>
      <c r="H7659" t="n">
        <v>0</v>
      </c>
      <c r="I7659" t="n">
        <v>0</v>
      </c>
      <c r="J7659" t="n">
        <v>0</v>
      </c>
      <c r="K7659" t="n">
        <v>0</v>
      </c>
      <c r="L7659" t="n">
        <v>0</v>
      </c>
      <c r="M7659" t="n">
        <v>0</v>
      </c>
      <c r="N7659" t="n">
        <v>0</v>
      </c>
      <c r="O7659" t="n">
        <v>0</v>
      </c>
      <c r="P7659" t="n">
        <v>0</v>
      </c>
      <c r="Q7659" t="n">
        <v>0</v>
      </c>
      <c r="R7659" s="2" t="inlineStr"/>
    </row>
    <row r="7660" ht="15" customHeight="1">
      <c r="A7660" t="inlineStr">
        <is>
          <t>A 7327-2023</t>
        </is>
      </c>
      <c r="B7660" s="1" t="n">
        <v>44971</v>
      </c>
      <c r="C7660" s="1" t="n">
        <v>45363</v>
      </c>
      <c r="D7660" t="inlineStr">
        <is>
          <t>JÄMTLANDS LÄN</t>
        </is>
      </c>
      <c r="E7660" t="inlineStr">
        <is>
          <t>ÖSTERSUND</t>
        </is>
      </c>
      <c r="F7660" t="inlineStr">
        <is>
          <t>SCA</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7334-2023</t>
        </is>
      </c>
      <c r="B7661" s="1" t="n">
        <v>44971</v>
      </c>
      <c r="C7661" s="1" t="n">
        <v>45363</v>
      </c>
      <c r="D7661" t="inlineStr">
        <is>
          <t>JÄMTLANDS LÄN</t>
        </is>
      </c>
      <c r="E7661" t="inlineStr">
        <is>
          <t>STRÖMSUND</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7970-2023</t>
        </is>
      </c>
      <c r="B7662" s="1" t="n">
        <v>44970</v>
      </c>
      <c r="C7662" s="1" t="n">
        <v>45363</v>
      </c>
      <c r="D7662" t="inlineStr">
        <is>
          <t>JÄMTLANDS LÄN</t>
        </is>
      </c>
      <c r="E7662" t="inlineStr">
        <is>
          <t>ÅRE</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7952-2023</t>
        </is>
      </c>
      <c r="B7663" s="1" t="n">
        <v>44970</v>
      </c>
      <c r="C7663" s="1" t="n">
        <v>45363</v>
      </c>
      <c r="D7663" t="inlineStr">
        <is>
          <t>JÄMTLANDS LÄN</t>
        </is>
      </c>
      <c r="E7663" t="inlineStr">
        <is>
          <t>KROKOM</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7962-2023</t>
        </is>
      </c>
      <c r="B7664" s="1" t="n">
        <v>44970</v>
      </c>
      <c r="C7664" s="1" t="n">
        <v>45363</v>
      </c>
      <c r="D7664" t="inlineStr">
        <is>
          <t>JÄMTLANDS LÄN</t>
        </is>
      </c>
      <c r="E7664" t="inlineStr">
        <is>
          <t>KROKOM</t>
        </is>
      </c>
      <c r="G7664" t="n">
        <v>12.2</v>
      </c>
      <c r="H7664" t="n">
        <v>0</v>
      </c>
      <c r="I7664" t="n">
        <v>0</v>
      </c>
      <c r="J7664" t="n">
        <v>0</v>
      </c>
      <c r="K7664" t="n">
        <v>0</v>
      </c>
      <c r="L7664" t="n">
        <v>0</v>
      </c>
      <c r="M7664" t="n">
        <v>0</v>
      </c>
      <c r="N7664" t="n">
        <v>0</v>
      </c>
      <c r="O7664" t="n">
        <v>0</v>
      </c>
      <c r="P7664" t="n">
        <v>0</v>
      </c>
      <c r="Q7664" t="n">
        <v>0</v>
      </c>
      <c r="R7664" s="2" t="inlineStr"/>
    </row>
    <row r="7665" ht="15" customHeight="1">
      <c r="A7665" t="inlineStr">
        <is>
          <t>A 7977-2023</t>
        </is>
      </c>
      <c r="B7665" s="1" t="n">
        <v>44970</v>
      </c>
      <c r="C7665" s="1" t="n">
        <v>45363</v>
      </c>
      <c r="D7665" t="inlineStr">
        <is>
          <t>JÄMTLANDS LÄN</t>
        </is>
      </c>
      <c r="E7665" t="inlineStr">
        <is>
          <t>ÅRE</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7929-2023</t>
        </is>
      </c>
      <c r="B7666" s="1" t="n">
        <v>44970</v>
      </c>
      <c r="C7666" s="1" t="n">
        <v>45363</v>
      </c>
      <c r="D7666" t="inlineStr">
        <is>
          <t>JÄMTLANDS LÄN</t>
        </is>
      </c>
      <c r="E7666" t="inlineStr">
        <is>
          <t>STRÖMSUND</t>
        </is>
      </c>
      <c r="F7666" t="inlineStr">
        <is>
          <t>Kommuner</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7983-2023</t>
        </is>
      </c>
      <c r="B7667" s="1" t="n">
        <v>44970</v>
      </c>
      <c r="C7667" s="1" t="n">
        <v>45363</v>
      </c>
      <c r="D7667" t="inlineStr">
        <is>
          <t>JÄMTLANDS LÄN</t>
        </is>
      </c>
      <c r="E7667" t="inlineStr">
        <is>
          <t>ÖSTERSUND</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7520-2023</t>
        </is>
      </c>
      <c r="B7668" s="1" t="n">
        <v>44971</v>
      </c>
      <c r="C7668" s="1" t="n">
        <v>45363</v>
      </c>
      <c r="D7668" t="inlineStr">
        <is>
          <t>JÄMTLANDS LÄN</t>
        </is>
      </c>
      <c r="E7668" t="inlineStr">
        <is>
          <t>RAGUNDA</t>
        </is>
      </c>
      <c r="F7668" t="inlineStr">
        <is>
          <t>SCA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7521-2023</t>
        </is>
      </c>
      <c r="B7669" s="1" t="n">
        <v>44972</v>
      </c>
      <c r="C7669" s="1" t="n">
        <v>45363</v>
      </c>
      <c r="D7669" t="inlineStr">
        <is>
          <t>JÄMTLANDS LÄN</t>
        </is>
      </c>
      <c r="E7669" t="inlineStr">
        <is>
          <t>RAGUNDA</t>
        </is>
      </c>
      <c r="F7669" t="inlineStr">
        <is>
          <t>SCA</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8223-2023</t>
        </is>
      </c>
      <c r="B7670" s="1" t="n">
        <v>44971</v>
      </c>
      <c r="C7670" s="1" t="n">
        <v>45363</v>
      </c>
      <c r="D7670" t="inlineStr">
        <is>
          <t>JÄMTLANDS LÄN</t>
        </is>
      </c>
      <c r="E7670" t="inlineStr">
        <is>
          <t>ÖSTERSUND</t>
        </is>
      </c>
      <c r="G7670" t="n">
        <v>7.6</v>
      </c>
      <c r="H7670" t="n">
        <v>0</v>
      </c>
      <c r="I7670" t="n">
        <v>0</v>
      </c>
      <c r="J7670" t="n">
        <v>0</v>
      </c>
      <c r="K7670" t="n">
        <v>0</v>
      </c>
      <c r="L7670" t="n">
        <v>0</v>
      </c>
      <c r="M7670" t="n">
        <v>0</v>
      </c>
      <c r="N7670" t="n">
        <v>0</v>
      </c>
      <c r="O7670" t="n">
        <v>0</v>
      </c>
      <c r="P7670" t="n">
        <v>0</v>
      </c>
      <c r="Q7670" t="n">
        <v>0</v>
      </c>
      <c r="R7670" s="2" t="inlineStr"/>
    </row>
    <row r="7671" ht="15" customHeight="1">
      <c r="A7671" t="inlineStr">
        <is>
          <t>A 8369-2023</t>
        </is>
      </c>
      <c r="B7671" s="1" t="n">
        <v>44971</v>
      </c>
      <c r="C7671" s="1" t="n">
        <v>45363</v>
      </c>
      <c r="D7671" t="inlineStr">
        <is>
          <t>JÄMTLANDS LÄN</t>
        </is>
      </c>
      <c r="E7671" t="inlineStr">
        <is>
          <t>KROKOM</t>
        </is>
      </c>
      <c r="G7671" t="n">
        <v>47.2</v>
      </c>
      <c r="H7671" t="n">
        <v>0</v>
      </c>
      <c r="I7671" t="n">
        <v>0</v>
      </c>
      <c r="J7671" t="n">
        <v>0</v>
      </c>
      <c r="K7671" t="n">
        <v>0</v>
      </c>
      <c r="L7671" t="n">
        <v>0</v>
      </c>
      <c r="M7671" t="n">
        <v>0</v>
      </c>
      <c r="N7671" t="n">
        <v>0</v>
      </c>
      <c r="O7671" t="n">
        <v>0</v>
      </c>
      <c r="P7671" t="n">
        <v>0</v>
      </c>
      <c r="Q7671" t="n">
        <v>0</v>
      </c>
      <c r="R7671" s="2" t="inlineStr"/>
    </row>
    <row r="7672" ht="15" customHeight="1">
      <c r="A7672" t="inlineStr">
        <is>
          <t>A 7549-2023</t>
        </is>
      </c>
      <c r="B7672" s="1" t="n">
        <v>44972</v>
      </c>
      <c r="C7672" s="1" t="n">
        <v>45363</v>
      </c>
      <c r="D7672" t="inlineStr">
        <is>
          <t>JÄMTLANDS LÄN</t>
        </is>
      </c>
      <c r="E7672" t="inlineStr">
        <is>
          <t>BRÄCKE</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7630-2023</t>
        </is>
      </c>
      <c r="B7673" s="1" t="n">
        <v>44972</v>
      </c>
      <c r="C7673" s="1" t="n">
        <v>45363</v>
      </c>
      <c r="D7673" t="inlineStr">
        <is>
          <t>JÄMTLANDS LÄN</t>
        </is>
      </c>
      <c r="E7673" t="inlineStr">
        <is>
          <t>KROKOM</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7722-2023</t>
        </is>
      </c>
      <c r="B7674" s="1" t="n">
        <v>44972</v>
      </c>
      <c r="C7674" s="1" t="n">
        <v>45363</v>
      </c>
      <c r="D7674" t="inlineStr">
        <is>
          <t>JÄMTLANDS LÄN</t>
        </is>
      </c>
      <c r="E7674" t="inlineStr">
        <is>
          <t>RAGUNDA</t>
        </is>
      </c>
      <c r="F7674" t="inlineStr">
        <is>
          <t>SCA</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7636-2023</t>
        </is>
      </c>
      <c r="B7675" s="1" t="n">
        <v>44972</v>
      </c>
      <c r="C7675" s="1" t="n">
        <v>45363</v>
      </c>
      <c r="D7675" t="inlineStr">
        <is>
          <t>JÄMTLANDS LÄN</t>
        </is>
      </c>
      <c r="E7675" t="inlineStr">
        <is>
          <t>HÄRJEDALEN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7802-2023</t>
        </is>
      </c>
      <c r="B7676" s="1" t="n">
        <v>44973</v>
      </c>
      <c r="C7676" s="1" t="n">
        <v>45363</v>
      </c>
      <c r="D7676" t="inlineStr">
        <is>
          <t>JÄMTLANDS LÄN</t>
        </is>
      </c>
      <c r="E7676" t="inlineStr">
        <is>
          <t>BERG</t>
        </is>
      </c>
      <c r="F7676" t="inlineStr">
        <is>
          <t>Kyrkan</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8031-2023</t>
        </is>
      </c>
      <c r="B7677" s="1" t="n">
        <v>44973</v>
      </c>
      <c r="C7677" s="1" t="n">
        <v>45363</v>
      </c>
      <c r="D7677" t="inlineStr">
        <is>
          <t>JÄMTLANDS LÄN</t>
        </is>
      </c>
      <c r="E7677" t="inlineStr">
        <is>
          <t>STRÖMSUND</t>
        </is>
      </c>
      <c r="F7677" t="inlineStr">
        <is>
          <t>SCA</t>
        </is>
      </c>
      <c r="G7677" t="n">
        <v>39.1</v>
      </c>
      <c r="H7677" t="n">
        <v>0</v>
      </c>
      <c r="I7677" t="n">
        <v>0</v>
      </c>
      <c r="J7677" t="n">
        <v>0</v>
      </c>
      <c r="K7677" t="n">
        <v>0</v>
      </c>
      <c r="L7677" t="n">
        <v>0</v>
      </c>
      <c r="M7677" t="n">
        <v>0</v>
      </c>
      <c r="N7677" t="n">
        <v>0</v>
      </c>
      <c r="O7677" t="n">
        <v>0</v>
      </c>
      <c r="P7677" t="n">
        <v>0</v>
      </c>
      <c r="Q7677" t="n">
        <v>0</v>
      </c>
      <c r="R7677" s="2" t="inlineStr"/>
    </row>
    <row r="7678" ht="15" customHeight="1">
      <c r="A7678" t="inlineStr">
        <is>
          <t>A 8037-2023</t>
        </is>
      </c>
      <c r="B7678" s="1" t="n">
        <v>44973</v>
      </c>
      <c r="C7678" s="1" t="n">
        <v>45363</v>
      </c>
      <c r="D7678" t="inlineStr">
        <is>
          <t>JÄMTLANDS LÄN</t>
        </is>
      </c>
      <c r="E7678" t="inlineStr">
        <is>
          <t>KROKOM</t>
        </is>
      </c>
      <c r="F7678" t="inlineStr">
        <is>
          <t>SCA</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8251-2023</t>
        </is>
      </c>
      <c r="B7679" s="1" t="n">
        <v>44974</v>
      </c>
      <c r="C7679" s="1" t="n">
        <v>45363</v>
      </c>
      <c r="D7679" t="inlineStr">
        <is>
          <t>JÄMTLANDS LÄN</t>
        </is>
      </c>
      <c r="E7679" t="inlineStr">
        <is>
          <t>BERG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9132-2023</t>
        </is>
      </c>
      <c r="B7680" s="1" t="n">
        <v>44974</v>
      </c>
      <c r="C7680" s="1" t="n">
        <v>45363</v>
      </c>
      <c r="D7680" t="inlineStr">
        <is>
          <t>JÄMTLANDS LÄN</t>
        </is>
      </c>
      <c r="E7680" t="inlineStr">
        <is>
          <t>KROKOM</t>
        </is>
      </c>
      <c r="F7680" t="inlineStr">
        <is>
          <t>SCA</t>
        </is>
      </c>
      <c r="G7680" t="n">
        <v>22.7</v>
      </c>
      <c r="H7680" t="n">
        <v>0</v>
      </c>
      <c r="I7680" t="n">
        <v>0</v>
      </c>
      <c r="J7680" t="n">
        <v>0</v>
      </c>
      <c r="K7680" t="n">
        <v>0</v>
      </c>
      <c r="L7680" t="n">
        <v>0</v>
      </c>
      <c r="M7680" t="n">
        <v>0</v>
      </c>
      <c r="N7680" t="n">
        <v>0</v>
      </c>
      <c r="O7680" t="n">
        <v>0</v>
      </c>
      <c r="P7680" t="n">
        <v>0</v>
      </c>
      <c r="Q7680" t="n">
        <v>0</v>
      </c>
      <c r="R7680" s="2" t="inlineStr"/>
    </row>
    <row r="7681" ht="15" customHeight="1">
      <c r="A7681" t="inlineStr">
        <is>
          <t>A 8975-2023</t>
        </is>
      </c>
      <c r="B7681" s="1" t="n">
        <v>44974</v>
      </c>
      <c r="C7681" s="1" t="n">
        <v>45363</v>
      </c>
      <c r="D7681" t="inlineStr">
        <is>
          <t>JÄMTLANDS LÄN</t>
        </is>
      </c>
      <c r="E7681" t="inlineStr">
        <is>
          <t>BRÄCKE</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8416-2023</t>
        </is>
      </c>
      <c r="B7682" s="1" t="n">
        <v>44977</v>
      </c>
      <c r="C7682" s="1" t="n">
        <v>45363</v>
      </c>
      <c r="D7682" t="inlineStr">
        <is>
          <t>JÄMTLANDS LÄN</t>
        </is>
      </c>
      <c r="E7682" t="inlineStr">
        <is>
          <t>RAGUNDA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8423-2023</t>
        </is>
      </c>
      <c r="B7683" s="1" t="n">
        <v>44977</v>
      </c>
      <c r="C7683" s="1" t="n">
        <v>45363</v>
      </c>
      <c r="D7683" t="inlineStr">
        <is>
          <t>JÄMTLANDS LÄN</t>
        </is>
      </c>
      <c r="E7683" t="inlineStr">
        <is>
          <t>ÖSTERSUND</t>
        </is>
      </c>
      <c r="F7683" t="inlineStr">
        <is>
          <t>Övriga Aktiebolag</t>
        </is>
      </c>
      <c r="G7683" t="n">
        <v>53.1</v>
      </c>
      <c r="H7683" t="n">
        <v>0</v>
      </c>
      <c r="I7683" t="n">
        <v>0</v>
      </c>
      <c r="J7683" t="n">
        <v>0</v>
      </c>
      <c r="K7683" t="n">
        <v>0</v>
      </c>
      <c r="L7683" t="n">
        <v>0</v>
      </c>
      <c r="M7683" t="n">
        <v>0</v>
      </c>
      <c r="N7683" t="n">
        <v>0</v>
      </c>
      <c r="O7683" t="n">
        <v>0</v>
      </c>
      <c r="P7683" t="n">
        <v>0</v>
      </c>
      <c r="Q7683" t="n">
        <v>0</v>
      </c>
      <c r="R7683" s="2" t="inlineStr"/>
    </row>
    <row r="7684" ht="15" customHeight="1">
      <c r="A7684" t="inlineStr">
        <is>
          <t>A 8365-2023</t>
        </is>
      </c>
      <c r="B7684" s="1" t="n">
        <v>44977</v>
      </c>
      <c r="C7684" s="1" t="n">
        <v>45363</v>
      </c>
      <c r="D7684" t="inlineStr">
        <is>
          <t>JÄMTLANDS LÄN</t>
        </is>
      </c>
      <c r="E7684" t="inlineStr">
        <is>
          <t>HÄRJEDALEN</t>
        </is>
      </c>
      <c r="F7684" t="inlineStr">
        <is>
          <t>Holmen skog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8403-2023</t>
        </is>
      </c>
      <c r="B7685" s="1" t="n">
        <v>44977</v>
      </c>
      <c r="C7685" s="1" t="n">
        <v>45363</v>
      </c>
      <c r="D7685" t="inlineStr">
        <is>
          <t>JÄMTLANDS LÄN</t>
        </is>
      </c>
      <c r="E7685" t="inlineStr">
        <is>
          <t>RAGUNDA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8413-2023</t>
        </is>
      </c>
      <c r="B7686" s="1" t="n">
        <v>44977</v>
      </c>
      <c r="C7686" s="1" t="n">
        <v>45363</v>
      </c>
      <c r="D7686" t="inlineStr">
        <is>
          <t>JÄMTLANDS LÄN</t>
        </is>
      </c>
      <c r="E7686" t="inlineStr">
        <is>
          <t>BERG</t>
        </is>
      </c>
      <c r="F7686" t="inlineStr">
        <is>
          <t>Kyrkan</t>
        </is>
      </c>
      <c r="G7686" t="n">
        <v>10.1</v>
      </c>
      <c r="H7686" t="n">
        <v>0</v>
      </c>
      <c r="I7686" t="n">
        <v>0</v>
      </c>
      <c r="J7686" t="n">
        <v>0</v>
      </c>
      <c r="K7686" t="n">
        <v>0</v>
      </c>
      <c r="L7686" t="n">
        <v>0</v>
      </c>
      <c r="M7686" t="n">
        <v>0</v>
      </c>
      <c r="N7686" t="n">
        <v>0</v>
      </c>
      <c r="O7686" t="n">
        <v>0</v>
      </c>
      <c r="P7686" t="n">
        <v>0</v>
      </c>
      <c r="Q7686" t="n">
        <v>0</v>
      </c>
      <c r="R7686" s="2" t="inlineStr"/>
    </row>
    <row r="7687" ht="15" customHeight="1">
      <c r="A7687" t="inlineStr">
        <is>
          <t>A 8420-2023</t>
        </is>
      </c>
      <c r="B7687" s="1" t="n">
        <v>44977</v>
      </c>
      <c r="C7687" s="1" t="n">
        <v>45363</v>
      </c>
      <c r="D7687" t="inlineStr">
        <is>
          <t>JÄMTLANDS LÄN</t>
        </is>
      </c>
      <c r="E7687" t="inlineStr">
        <is>
          <t>HÄRJEDALEN</t>
        </is>
      </c>
      <c r="F7687" t="inlineStr">
        <is>
          <t>Holmen skog AB</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8443-2023</t>
        </is>
      </c>
      <c r="B7688" s="1" t="n">
        <v>44977</v>
      </c>
      <c r="C7688" s="1" t="n">
        <v>45363</v>
      </c>
      <c r="D7688" t="inlineStr">
        <is>
          <t>JÄMTLANDS LÄN</t>
        </is>
      </c>
      <c r="E7688" t="inlineStr">
        <is>
          <t>ÅRE</t>
        </is>
      </c>
      <c r="F7688" t="inlineStr">
        <is>
          <t>Övriga Aktiebolag</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8647-2023</t>
        </is>
      </c>
      <c r="B7689" s="1" t="n">
        <v>44977</v>
      </c>
      <c r="C7689" s="1" t="n">
        <v>45363</v>
      </c>
      <c r="D7689" t="inlineStr">
        <is>
          <t>JÄMTLANDS LÄN</t>
        </is>
      </c>
      <c r="E7689" t="inlineStr">
        <is>
          <t>STRÖMSUND</t>
        </is>
      </c>
      <c r="F7689" t="inlineStr">
        <is>
          <t>SCA</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8624-2023</t>
        </is>
      </c>
      <c r="B7690" s="1" t="n">
        <v>44977</v>
      </c>
      <c r="C7690" s="1" t="n">
        <v>45363</v>
      </c>
      <c r="D7690" t="inlineStr">
        <is>
          <t>JÄMTLANDS LÄN</t>
        </is>
      </c>
      <c r="E7690" t="inlineStr">
        <is>
          <t>BERG</t>
        </is>
      </c>
      <c r="F7690" t="inlineStr">
        <is>
          <t>Kyrkan</t>
        </is>
      </c>
      <c r="G7690" t="n">
        <v>7</v>
      </c>
      <c r="H7690" t="n">
        <v>0</v>
      </c>
      <c r="I7690" t="n">
        <v>0</v>
      </c>
      <c r="J7690" t="n">
        <v>0</v>
      </c>
      <c r="K7690" t="n">
        <v>0</v>
      </c>
      <c r="L7690" t="n">
        <v>0</v>
      </c>
      <c r="M7690" t="n">
        <v>0</v>
      </c>
      <c r="N7690" t="n">
        <v>0</v>
      </c>
      <c r="O7690" t="n">
        <v>0</v>
      </c>
      <c r="P7690" t="n">
        <v>0</v>
      </c>
      <c r="Q7690" t="n">
        <v>0</v>
      </c>
      <c r="R7690" s="2" t="inlineStr"/>
    </row>
    <row r="7691" ht="15" customHeight="1">
      <c r="A7691" t="inlineStr">
        <is>
          <t>A 8577-2023</t>
        </is>
      </c>
      <c r="B7691" s="1" t="n">
        <v>44977</v>
      </c>
      <c r="C7691" s="1" t="n">
        <v>45363</v>
      </c>
      <c r="D7691" t="inlineStr">
        <is>
          <t>JÄMTLANDS LÄN</t>
        </is>
      </c>
      <c r="E7691" t="inlineStr">
        <is>
          <t>HÄRJEDALEN</t>
        </is>
      </c>
      <c r="G7691" t="n">
        <v>19.6</v>
      </c>
      <c r="H7691" t="n">
        <v>0</v>
      </c>
      <c r="I7691" t="n">
        <v>0</v>
      </c>
      <c r="J7691" t="n">
        <v>0</v>
      </c>
      <c r="K7691" t="n">
        <v>0</v>
      </c>
      <c r="L7691" t="n">
        <v>0</v>
      </c>
      <c r="M7691" t="n">
        <v>0</v>
      </c>
      <c r="N7691" t="n">
        <v>0</v>
      </c>
      <c r="O7691" t="n">
        <v>0</v>
      </c>
      <c r="P7691" t="n">
        <v>0</v>
      </c>
      <c r="Q7691" t="n">
        <v>0</v>
      </c>
      <c r="R7691" s="2" t="inlineStr"/>
    </row>
    <row r="7692" ht="15" customHeight="1">
      <c r="A7692" t="inlineStr">
        <is>
          <t>A 8630-2023</t>
        </is>
      </c>
      <c r="B7692" s="1" t="n">
        <v>44977</v>
      </c>
      <c r="C7692" s="1" t="n">
        <v>45363</v>
      </c>
      <c r="D7692" t="inlineStr">
        <is>
          <t>JÄMTLANDS LÄN</t>
        </is>
      </c>
      <c r="E7692" t="inlineStr">
        <is>
          <t>ÅRE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8657-2023</t>
        </is>
      </c>
      <c r="B7693" s="1" t="n">
        <v>44978</v>
      </c>
      <c r="C7693" s="1" t="n">
        <v>45363</v>
      </c>
      <c r="D7693" t="inlineStr">
        <is>
          <t>JÄMTLANDS LÄN</t>
        </is>
      </c>
      <c r="E7693" t="inlineStr">
        <is>
          <t>BRÄCKE</t>
        </is>
      </c>
      <c r="F7693" t="inlineStr">
        <is>
          <t>SCA</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8676-2023</t>
        </is>
      </c>
      <c r="B7694" s="1" t="n">
        <v>44978</v>
      </c>
      <c r="C7694" s="1" t="n">
        <v>45363</v>
      </c>
      <c r="D7694" t="inlineStr">
        <is>
          <t>JÄMTLANDS LÄN</t>
        </is>
      </c>
      <c r="E7694" t="inlineStr">
        <is>
          <t>STRÖMSUND</t>
        </is>
      </c>
      <c r="F7694" t="inlineStr">
        <is>
          <t>SCA</t>
        </is>
      </c>
      <c r="G7694" t="n">
        <v>16.5</v>
      </c>
      <c r="H7694" t="n">
        <v>0</v>
      </c>
      <c r="I7694" t="n">
        <v>0</v>
      </c>
      <c r="J7694" t="n">
        <v>0</v>
      </c>
      <c r="K7694" t="n">
        <v>0</v>
      </c>
      <c r="L7694" t="n">
        <v>0</v>
      </c>
      <c r="M7694" t="n">
        <v>0</v>
      </c>
      <c r="N7694" t="n">
        <v>0</v>
      </c>
      <c r="O7694" t="n">
        <v>0</v>
      </c>
      <c r="P7694" t="n">
        <v>0</v>
      </c>
      <c r="Q7694" t="n">
        <v>0</v>
      </c>
      <c r="R7694" s="2" t="inlineStr"/>
    </row>
    <row r="7695" ht="15" customHeight="1">
      <c r="A7695" t="inlineStr">
        <is>
          <t>A 8678-2023</t>
        </is>
      </c>
      <c r="B7695" s="1" t="n">
        <v>44978</v>
      </c>
      <c r="C7695" s="1" t="n">
        <v>45363</v>
      </c>
      <c r="D7695" t="inlineStr">
        <is>
          <t>JÄMTLANDS LÄN</t>
        </is>
      </c>
      <c r="E7695" t="inlineStr">
        <is>
          <t>RAGUNDA</t>
        </is>
      </c>
      <c r="F7695" t="inlineStr">
        <is>
          <t>SCA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8679-2023</t>
        </is>
      </c>
      <c r="B7696" s="1" t="n">
        <v>44978</v>
      </c>
      <c r="C7696" s="1" t="n">
        <v>45363</v>
      </c>
      <c r="D7696" t="inlineStr">
        <is>
          <t>JÄMTLANDS LÄN</t>
        </is>
      </c>
      <c r="E7696" t="inlineStr">
        <is>
          <t>RAGUNDA</t>
        </is>
      </c>
      <c r="F7696" t="inlineStr">
        <is>
          <t>SCA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8675-2023</t>
        </is>
      </c>
      <c r="B7697" s="1" t="n">
        <v>44978</v>
      </c>
      <c r="C7697" s="1" t="n">
        <v>45363</v>
      </c>
      <c r="D7697" t="inlineStr">
        <is>
          <t>JÄMTLANDS LÄN</t>
        </is>
      </c>
      <c r="E7697" t="inlineStr">
        <is>
          <t>ÖSTERSUND</t>
        </is>
      </c>
      <c r="F7697" t="inlineStr">
        <is>
          <t>SCA</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8674-2023</t>
        </is>
      </c>
      <c r="B7698" s="1" t="n">
        <v>44977</v>
      </c>
      <c r="C7698" s="1" t="n">
        <v>45363</v>
      </c>
      <c r="D7698" t="inlineStr">
        <is>
          <t>JÄMTLANDS LÄN</t>
        </is>
      </c>
      <c r="E7698" t="inlineStr">
        <is>
          <t>BRÄCKE</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9301-2023</t>
        </is>
      </c>
      <c r="B7699" s="1" t="n">
        <v>44977</v>
      </c>
      <c r="C7699" s="1" t="n">
        <v>45363</v>
      </c>
      <c r="D7699" t="inlineStr">
        <is>
          <t>JÄMTLANDS LÄN</t>
        </is>
      </c>
      <c r="E7699" t="inlineStr">
        <is>
          <t>STRÖMSUND</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9263-2023</t>
        </is>
      </c>
      <c r="B7700" s="1" t="n">
        <v>44977</v>
      </c>
      <c r="C7700" s="1" t="n">
        <v>45363</v>
      </c>
      <c r="D7700" t="inlineStr">
        <is>
          <t>JÄMTLANDS LÄN</t>
        </is>
      </c>
      <c r="E7700" t="inlineStr">
        <is>
          <t>KROKOM</t>
        </is>
      </c>
      <c r="F7700" t="inlineStr">
        <is>
          <t>SCA</t>
        </is>
      </c>
      <c r="G7700" t="n">
        <v>11.7</v>
      </c>
      <c r="H7700" t="n">
        <v>0</v>
      </c>
      <c r="I7700" t="n">
        <v>0</v>
      </c>
      <c r="J7700" t="n">
        <v>0</v>
      </c>
      <c r="K7700" t="n">
        <v>0</v>
      </c>
      <c r="L7700" t="n">
        <v>0</v>
      </c>
      <c r="M7700" t="n">
        <v>0</v>
      </c>
      <c r="N7700" t="n">
        <v>0</v>
      </c>
      <c r="O7700" t="n">
        <v>0</v>
      </c>
      <c r="P7700" t="n">
        <v>0</v>
      </c>
      <c r="Q7700" t="n">
        <v>0</v>
      </c>
      <c r="R7700" s="2" t="inlineStr"/>
    </row>
    <row r="7701" ht="15" customHeight="1">
      <c r="A7701" t="inlineStr">
        <is>
          <t>A 9269-2023</t>
        </is>
      </c>
      <c r="B7701" s="1" t="n">
        <v>44977</v>
      </c>
      <c r="C7701" s="1" t="n">
        <v>45363</v>
      </c>
      <c r="D7701" t="inlineStr">
        <is>
          <t>JÄMTLANDS LÄN</t>
        </is>
      </c>
      <c r="E7701" t="inlineStr">
        <is>
          <t>KROKOM</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8864-2023</t>
        </is>
      </c>
      <c r="B7702" s="1" t="n">
        <v>44978</v>
      </c>
      <c r="C7702" s="1" t="n">
        <v>45363</v>
      </c>
      <c r="D7702" t="inlineStr">
        <is>
          <t>JÄMTLANDS LÄN</t>
        </is>
      </c>
      <c r="E7702" t="inlineStr">
        <is>
          <t>BRÄCKE</t>
        </is>
      </c>
      <c r="G7702" t="n">
        <v>17.3</v>
      </c>
      <c r="H7702" t="n">
        <v>0</v>
      </c>
      <c r="I7702" t="n">
        <v>0</v>
      </c>
      <c r="J7702" t="n">
        <v>0</v>
      </c>
      <c r="K7702" t="n">
        <v>0</v>
      </c>
      <c r="L7702" t="n">
        <v>0</v>
      </c>
      <c r="M7702" t="n">
        <v>0</v>
      </c>
      <c r="N7702" t="n">
        <v>0</v>
      </c>
      <c r="O7702" t="n">
        <v>0</v>
      </c>
      <c r="P7702" t="n">
        <v>0</v>
      </c>
      <c r="Q7702" t="n">
        <v>0</v>
      </c>
      <c r="R7702" s="2" t="inlineStr"/>
    </row>
    <row r="7703" ht="15" customHeight="1">
      <c r="A7703" t="inlineStr">
        <is>
          <t>A 8804-2023</t>
        </is>
      </c>
      <c r="B7703" s="1" t="n">
        <v>44978</v>
      </c>
      <c r="C7703" s="1" t="n">
        <v>45363</v>
      </c>
      <c r="D7703" t="inlineStr">
        <is>
          <t>JÄMTLANDS LÄN</t>
        </is>
      </c>
      <c r="E7703" t="inlineStr">
        <is>
          <t>HÄRJEDALEN</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8865-2023</t>
        </is>
      </c>
      <c r="B7704" s="1" t="n">
        <v>44978</v>
      </c>
      <c r="C7704" s="1" t="n">
        <v>45363</v>
      </c>
      <c r="D7704" t="inlineStr">
        <is>
          <t>JÄMTLANDS LÄN</t>
        </is>
      </c>
      <c r="E7704" t="inlineStr">
        <is>
          <t>BRÄCKE</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8877-2023</t>
        </is>
      </c>
      <c r="B7705" s="1" t="n">
        <v>44978</v>
      </c>
      <c r="C7705" s="1" t="n">
        <v>45363</v>
      </c>
      <c r="D7705" t="inlineStr">
        <is>
          <t>JÄMTLANDS LÄN</t>
        </is>
      </c>
      <c r="E7705" t="inlineStr">
        <is>
          <t>RAGUNDA</t>
        </is>
      </c>
      <c r="F7705" t="inlineStr">
        <is>
          <t>SCA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9657-2023</t>
        </is>
      </c>
      <c r="B7706" s="1" t="n">
        <v>44978</v>
      </c>
      <c r="C7706" s="1" t="n">
        <v>45363</v>
      </c>
      <c r="D7706" t="inlineStr">
        <is>
          <t>JÄMTLANDS LÄN</t>
        </is>
      </c>
      <c r="E7706" t="inlineStr">
        <is>
          <t>BERG</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9716-2023</t>
        </is>
      </c>
      <c r="B7707" s="1" t="n">
        <v>44978</v>
      </c>
      <c r="C7707" s="1" t="n">
        <v>45363</v>
      </c>
      <c r="D7707" t="inlineStr">
        <is>
          <t>JÄMTLANDS LÄN</t>
        </is>
      </c>
      <c r="E7707" t="inlineStr">
        <is>
          <t>STRÖMSUND</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8878-2023</t>
        </is>
      </c>
      <c r="B7708" s="1" t="n">
        <v>44978</v>
      </c>
      <c r="C7708" s="1" t="n">
        <v>45363</v>
      </c>
      <c r="D7708" t="inlineStr">
        <is>
          <t>JÄMTLANDS LÄN</t>
        </is>
      </c>
      <c r="E7708" t="inlineStr">
        <is>
          <t>RAGUNDA</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8876-2023</t>
        </is>
      </c>
      <c r="B7709" s="1" t="n">
        <v>44978</v>
      </c>
      <c r="C7709" s="1" t="n">
        <v>45363</v>
      </c>
      <c r="D7709" t="inlineStr">
        <is>
          <t>JÄMTLANDS LÄN</t>
        </is>
      </c>
      <c r="E7709" t="inlineStr">
        <is>
          <t>RAGUNDA</t>
        </is>
      </c>
      <c r="F7709" t="inlineStr">
        <is>
          <t>SCA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9671-2023</t>
        </is>
      </c>
      <c r="B7710" s="1" t="n">
        <v>44978</v>
      </c>
      <c r="C7710" s="1" t="n">
        <v>45363</v>
      </c>
      <c r="D7710" t="inlineStr">
        <is>
          <t>JÄMTLANDS LÄN</t>
        </is>
      </c>
      <c r="E7710" t="inlineStr">
        <is>
          <t>KROKOM</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8958-2023</t>
        </is>
      </c>
      <c r="B7711" s="1" t="n">
        <v>44979</v>
      </c>
      <c r="C7711" s="1" t="n">
        <v>45363</v>
      </c>
      <c r="D7711" t="inlineStr">
        <is>
          <t>JÄMTLANDS LÄN</t>
        </is>
      </c>
      <c r="E7711" t="inlineStr">
        <is>
          <t>BRÄCKE</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9084-2023</t>
        </is>
      </c>
      <c r="B7712" s="1" t="n">
        <v>44979</v>
      </c>
      <c r="C7712" s="1" t="n">
        <v>45363</v>
      </c>
      <c r="D7712" t="inlineStr">
        <is>
          <t>JÄMTLANDS LÄN</t>
        </is>
      </c>
      <c r="E7712" t="inlineStr">
        <is>
          <t>RAGUNDA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9077-2023</t>
        </is>
      </c>
      <c r="B7713" s="1" t="n">
        <v>44979</v>
      </c>
      <c r="C7713" s="1" t="n">
        <v>45363</v>
      </c>
      <c r="D7713" t="inlineStr">
        <is>
          <t>JÄMTLANDS LÄN</t>
        </is>
      </c>
      <c r="E7713" t="inlineStr">
        <is>
          <t>BERG</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9082-2023</t>
        </is>
      </c>
      <c r="B7714" s="1" t="n">
        <v>44979</v>
      </c>
      <c r="C7714" s="1" t="n">
        <v>45363</v>
      </c>
      <c r="D7714" t="inlineStr">
        <is>
          <t>JÄMTLANDS LÄN</t>
        </is>
      </c>
      <c r="E7714" t="inlineStr">
        <is>
          <t>RAGUNDA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9089-2023</t>
        </is>
      </c>
      <c r="B7715" s="1" t="n">
        <v>44979</v>
      </c>
      <c r="C7715" s="1" t="n">
        <v>45363</v>
      </c>
      <c r="D7715" t="inlineStr">
        <is>
          <t>JÄMTLANDS LÄN</t>
        </is>
      </c>
      <c r="E7715" t="inlineStr">
        <is>
          <t>STRÖMSUND</t>
        </is>
      </c>
      <c r="F7715" t="inlineStr">
        <is>
          <t>SCA</t>
        </is>
      </c>
      <c r="G7715" t="n">
        <v>41.2</v>
      </c>
      <c r="H7715" t="n">
        <v>0</v>
      </c>
      <c r="I7715" t="n">
        <v>0</v>
      </c>
      <c r="J7715" t="n">
        <v>0</v>
      </c>
      <c r="K7715" t="n">
        <v>0</v>
      </c>
      <c r="L7715" t="n">
        <v>0</v>
      </c>
      <c r="M7715" t="n">
        <v>0</v>
      </c>
      <c r="N7715" t="n">
        <v>0</v>
      </c>
      <c r="O7715" t="n">
        <v>0</v>
      </c>
      <c r="P7715" t="n">
        <v>0</v>
      </c>
      <c r="Q7715" t="n">
        <v>0</v>
      </c>
      <c r="R7715" s="2" t="inlineStr"/>
    </row>
    <row r="7716" ht="15" customHeight="1">
      <c r="A7716" t="inlineStr">
        <is>
          <t>A 9100-2023</t>
        </is>
      </c>
      <c r="B7716" s="1" t="n">
        <v>44979</v>
      </c>
      <c r="C7716" s="1" t="n">
        <v>45363</v>
      </c>
      <c r="D7716" t="inlineStr">
        <is>
          <t>JÄMTLANDS LÄN</t>
        </is>
      </c>
      <c r="E7716" t="inlineStr">
        <is>
          <t>RAGUNDA</t>
        </is>
      </c>
      <c r="F7716" t="inlineStr">
        <is>
          <t>SCA</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9094-2023</t>
        </is>
      </c>
      <c r="B7717" s="1" t="n">
        <v>44979</v>
      </c>
      <c r="C7717" s="1" t="n">
        <v>45363</v>
      </c>
      <c r="D7717" t="inlineStr">
        <is>
          <t>JÄMTLANDS LÄN</t>
        </is>
      </c>
      <c r="E7717" t="inlineStr">
        <is>
          <t>RAGUNDA</t>
        </is>
      </c>
      <c r="F7717" t="inlineStr">
        <is>
          <t>SCA</t>
        </is>
      </c>
      <c r="G7717" t="n">
        <v>28.2</v>
      </c>
      <c r="H7717" t="n">
        <v>0</v>
      </c>
      <c r="I7717" t="n">
        <v>0</v>
      </c>
      <c r="J7717" t="n">
        <v>0</v>
      </c>
      <c r="K7717" t="n">
        <v>0</v>
      </c>
      <c r="L7717" t="n">
        <v>0</v>
      </c>
      <c r="M7717" t="n">
        <v>0</v>
      </c>
      <c r="N7717" t="n">
        <v>0</v>
      </c>
      <c r="O7717" t="n">
        <v>0</v>
      </c>
      <c r="P7717" t="n">
        <v>0</v>
      </c>
      <c r="Q7717" t="n">
        <v>0</v>
      </c>
      <c r="R7717" s="2" t="inlineStr"/>
    </row>
    <row r="7718" ht="15" customHeight="1">
      <c r="A7718" t="inlineStr">
        <is>
          <t>A 9194-2023</t>
        </is>
      </c>
      <c r="B7718" s="1" t="n">
        <v>44980</v>
      </c>
      <c r="C7718" s="1" t="n">
        <v>45363</v>
      </c>
      <c r="D7718" t="inlineStr">
        <is>
          <t>JÄMTLANDS LÄN</t>
        </is>
      </c>
      <c r="E7718" t="inlineStr">
        <is>
          <t>BRÄCKE</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9348-2023</t>
        </is>
      </c>
      <c r="B7719" s="1" t="n">
        <v>44980</v>
      </c>
      <c r="C7719" s="1" t="n">
        <v>45363</v>
      </c>
      <c r="D7719" t="inlineStr">
        <is>
          <t>JÄMTLANDS LÄN</t>
        </is>
      </c>
      <c r="E7719" t="inlineStr">
        <is>
          <t>BRÄCKE</t>
        </is>
      </c>
      <c r="F7719" t="inlineStr">
        <is>
          <t>SCA</t>
        </is>
      </c>
      <c r="G7719" t="n">
        <v>64.5</v>
      </c>
      <c r="H7719" t="n">
        <v>0</v>
      </c>
      <c r="I7719" t="n">
        <v>0</v>
      </c>
      <c r="J7719" t="n">
        <v>0</v>
      </c>
      <c r="K7719" t="n">
        <v>0</v>
      </c>
      <c r="L7719" t="n">
        <v>0</v>
      </c>
      <c r="M7719" t="n">
        <v>0</v>
      </c>
      <c r="N7719" t="n">
        <v>0</v>
      </c>
      <c r="O7719" t="n">
        <v>0</v>
      </c>
      <c r="P7719" t="n">
        <v>0</v>
      </c>
      <c r="Q7719" t="n">
        <v>0</v>
      </c>
      <c r="R7719" s="2" t="inlineStr"/>
    </row>
    <row r="7720" ht="15" customHeight="1">
      <c r="A7720" t="inlineStr">
        <is>
          <t>A 9188-2023</t>
        </is>
      </c>
      <c r="B7720" s="1" t="n">
        <v>44980</v>
      </c>
      <c r="C7720" s="1" t="n">
        <v>45363</v>
      </c>
      <c r="D7720" t="inlineStr">
        <is>
          <t>JÄMTLANDS LÄN</t>
        </is>
      </c>
      <c r="E7720" t="inlineStr">
        <is>
          <t>HÄRJEDALEN</t>
        </is>
      </c>
      <c r="F7720" t="inlineStr">
        <is>
          <t>Holmen skog AB</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9346-2023</t>
        </is>
      </c>
      <c r="B7721" s="1" t="n">
        <v>44980</v>
      </c>
      <c r="C7721" s="1" t="n">
        <v>45363</v>
      </c>
      <c r="D7721" t="inlineStr">
        <is>
          <t>JÄMTLANDS LÄN</t>
        </is>
      </c>
      <c r="E7721" t="inlineStr">
        <is>
          <t>RAGUNDA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9356-2023</t>
        </is>
      </c>
      <c r="B7722" s="1" t="n">
        <v>44980</v>
      </c>
      <c r="C7722" s="1" t="n">
        <v>45363</v>
      </c>
      <c r="D7722" t="inlineStr">
        <is>
          <t>JÄMTLANDS LÄN</t>
        </is>
      </c>
      <c r="E7722" t="inlineStr">
        <is>
          <t>BRÄCKE</t>
        </is>
      </c>
      <c r="F7722" t="inlineStr">
        <is>
          <t>SCA</t>
        </is>
      </c>
      <c r="G7722" t="n">
        <v>10.8</v>
      </c>
      <c r="H7722" t="n">
        <v>0</v>
      </c>
      <c r="I7722" t="n">
        <v>0</v>
      </c>
      <c r="J7722" t="n">
        <v>0</v>
      </c>
      <c r="K7722" t="n">
        <v>0</v>
      </c>
      <c r="L7722" t="n">
        <v>0</v>
      </c>
      <c r="M7722" t="n">
        <v>0</v>
      </c>
      <c r="N7722" t="n">
        <v>0</v>
      </c>
      <c r="O7722" t="n">
        <v>0</v>
      </c>
      <c r="P7722" t="n">
        <v>0</v>
      </c>
      <c r="Q7722" t="n">
        <v>0</v>
      </c>
      <c r="R7722" s="2" t="inlineStr"/>
    </row>
    <row r="7723" ht="15" customHeight="1">
      <c r="A7723" t="inlineStr">
        <is>
          <t>A 9360-2023</t>
        </is>
      </c>
      <c r="B7723" s="1" t="n">
        <v>44980</v>
      </c>
      <c r="C7723" s="1" t="n">
        <v>45363</v>
      </c>
      <c r="D7723" t="inlineStr">
        <is>
          <t>JÄMTLANDS LÄN</t>
        </is>
      </c>
      <c r="E7723" t="inlineStr">
        <is>
          <t>RAGUNDA</t>
        </is>
      </c>
      <c r="F7723" t="inlineStr">
        <is>
          <t>SCA</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9339-2023</t>
        </is>
      </c>
      <c r="B7724" s="1" t="n">
        <v>44980</v>
      </c>
      <c r="C7724" s="1" t="n">
        <v>45363</v>
      </c>
      <c r="D7724" t="inlineStr">
        <is>
          <t>JÄMTLANDS LÄN</t>
        </is>
      </c>
      <c r="E7724" t="inlineStr">
        <is>
          <t>RAGUNDA</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9354-2023</t>
        </is>
      </c>
      <c r="B7725" s="1" t="n">
        <v>44980</v>
      </c>
      <c r="C7725" s="1" t="n">
        <v>45363</v>
      </c>
      <c r="D7725" t="inlineStr">
        <is>
          <t>JÄMTLANDS LÄN</t>
        </is>
      </c>
      <c r="E7725" t="inlineStr">
        <is>
          <t>STRÖMSUND</t>
        </is>
      </c>
      <c r="F7725" t="inlineStr">
        <is>
          <t>SCA</t>
        </is>
      </c>
      <c r="G7725" t="n">
        <v>6.8</v>
      </c>
      <c r="H7725" t="n">
        <v>0</v>
      </c>
      <c r="I7725" t="n">
        <v>0</v>
      </c>
      <c r="J7725" t="n">
        <v>0</v>
      </c>
      <c r="K7725" t="n">
        <v>0</v>
      </c>
      <c r="L7725" t="n">
        <v>0</v>
      </c>
      <c r="M7725" t="n">
        <v>0</v>
      </c>
      <c r="N7725" t="n">
        <v>0</v>
      </c>
      <c r="O7725" t="n">
        <v>0</v>
      </c>
      <c r="P7725" t="n">
        <v>0</v>
      </c>
      <c r="Q7725" t="n">
        <v>0</v>
      </c>
      <c r="R7725" s="2" t="inlineStr"/>
    </row>
    <row r="7726" ht="15" customHeight="1">
      <c r="A7726" t="inlineStr">
        <is>
          <t>A 10226-2023</t>
        </is>
      </c>
      <c r="B7726" s="1" t="n">
        <v>44980</v>
      </c>
      <c r="C7726" s="1" t="n">
        <v>45363</v>
      </c>
      <c r="D7726" t="inlineStr">
        <is>
          <t>JÄMTLANDS LÄN</t>
        </is>
      </c>
      <c r="E7726" t="inlineStr">
        <is>
          <t>BERG</t>
        </is>
      </c>
      <c r="G7726" t="n">
        <v>12.1</v>
      </c>
      <c r="H7726" t="n">
        <v>0</v>
      </c>
      <c r="I7726" t="n">
        <v>0</v>
      </c>
      <c r="J7726" t="n">
        <v>0</v>
      </c>
      <c r="K7726" t="n">
        <v>0</v>
      </c>
      <c r="L7726" t="n">
        <v>0</v>
      </c>
      <c r="M7726" t="n">
        <v>0</v>
      </c>
      <c r="N7726" t="n">
        <v>0</v>
      </c>
      <c r="O7726" t="n">
        <v>0</v>
      </c>
      <c r="P7726" t="n">
        <v>0</v>
      </c>
      <c r="Q7726" t="n">
        <v>0</v>
      </c>
      <c r="R7726" s="2" t="inlineStr"/>
    </row>
    <row r="7727" ht="15" customHeight="1">
      <c r="A7727" t="inlineStr">
        <is>
          <t>A 10248-2023</t>
        </is>
      </c>
      <c r="B7727" s="1" t="n">
        <v>44980</v>
      </c>
      <c r="C7727" s="1" t="n">
        <v>45363</v>
      </c>
      <c r="D7727" t="inlineStr">
        <is>
          <t>JÄMTLANDS LÄN</t>
        </is>
      </c>
      <c r="E7727" t="inlineStr">
        <is>
          <t>ÅRE</t>
        </is>
      </c>
      <c r="G7727" t="n">
        <v>9.199999999999999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10254-2023</t>
        </is>
      </c>
      <c r="B7728" s="1" t="n">
        <v>44980</v>
      </c>
      <c r="C7728" s="1" t="n">
        <v>45363</v>
      </c>
      <c r="D7728" t="inlineStr">
        <is>
          <t>JÄMTLANDS LÄN</t>
        </is>
      </c>
      <c r="E7728" t="inlineStr">
        <is>
          <t>BERG</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10255-2023</t>
        </is>
      </c>
      <c r="B7729" s="1" t="n">
        <v>44980</v>
      </c>
      <c r="C7729" s="1" t="n">
        <v>45363</v>
      </c>
      <c r="D7729" t="inlineStr">
        <is>
          <t>JÄMTLANDS LÄN</t>
        </is>
      </c>
      <c r="E7729" t="inlineStr">
        <is>
          <t>BERG</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9353-2023</t>
        </is>
      </c>
      <c r="B7730" s="1" t="n">
        <v>44980</v>
      </c>
      <c r="C7730" s="1" t="n">
        <v>45363</v>
      </c>
      <c r="D7730" t="inlineStr">
        <is>
          <t>JÄMTLANDS LÄN</t>
        </is>
      </c>
      <c r="E7730" t="inlineStr">
        <is>
          <t>STRÖMSUND</t>
        </is>
      </c>
      <c r="F7730" t="inlineStr">
        <is>
          <t>SCA</t>
        </is>
      </c>
      <c r="G7730" t="n">
        <v>10.8</v>
      </c>
      <c r="H7730" t="n">
        <v>0</v>
      </c>
      <c r="I7730" t="n">
        <v>0</v>
      </c>
      <c r="J7730" t="n">
        <v>0</v>
      </c>
      <c r="K7730" t="n">
        <v>0</v>
      </c>
      <c r="L7730" t="n">
        <v>0</v>
      </c>
      <c r="M7730" t="n">
        <v>0</v>
      </c>
      <c r="N7730" t="n">
        <v>0</v>
      </c>
      <c r="O7730" t="n">
        <v>0</v>
      </c>
      <c r="P7730" t="n">
        <v>0</v>
      </c>
      <c r="Q7730" t="n">
        <v>0</v>
      </c>
      <c r="R7730" s="2" t="inlineStr"/>
    </row>
    <row r="7731" ht="15" customHeight="1">
      <c r="A7731" t="inlineStr">
        <is>
          <t>A 9357-2023</t>
        </is>
      </c>
      <c r="B7731" s="1" t="n">
        <v>44980</v>
      </c>
      <c r="C7731" s="1" t="n">
        <v>45363</v>
      </c>
      <c r="D7731" t="inlineStr">
        <is>
          <t>JÄMTLANDS LÄN</t>
        </is>
      </c>
      <c r="E7731" t="inlineStr">
        <is>
          <t>BRÄCKE</t>
        </is>
      </c>
      <c r="F7731" t="inlineStr">
        <is>
          <t>SCA</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9555-2023</t>
        </is>
      </c>
      <c r="B7732" s="1" t="n">
        <v>44981</v>
      </c>
      <c r="C7732" s="1" t="n">
        <v>45363</v>
      </c>
      <c r="D7732" t="inlineStr">
        <is>
          <t>JÄMTLANDS LÄN</t>
        </is>
      </c>
      <c r="E7732" t="inlineStr">
        <is>
          <t>STRÖMSUND</t>
        </is>
      </c>
      <c r="F7732" t="inlineStr">
        <is>
          <t>SCA</t>
        </is>
      </c>
      <c r="G7732" t="n">
        <v>18.8</v>
      </c>
      <c r="H7732" t="n">
        <v>0</v>
      </c>
      <c r="I7732" t="n">
        <v>0</v>
      </c>
      <c r="J7732" t="n">
        <v>0</v>
      </c>
      <c r="K7732" t="n">
        <v>0</v>
      </c>
      <c r="L7732" t="n">
        <v>0</v>
      </c>
      <c r="M7732" t="n">
        <v>0</v>
      </c>
      <c r="N7732" t="n">
        <v>0</v>
      </c>
      <c r="O7732" t="n">
        <v>0</v>
      </c>
      <c r="P7732" t="n">
        <v>0</v>
      </c>
      <c r="Q7732" t="n">
        <v>0</v>
      </c>
      <c r="R7732" s="2" t="inlineStr"/>
    </row>
    <row r="7733" ht="15" customHeight="1">
      <c r="A7733" t="inlineStr">
        <is>
          <t>A 9554-2023</t>
        </is>
      </c>
      <c r="B7733" s="1" t="n">
        <v>44981</v>
      </c>
      <c r="C7733" s="1" t="n">
        <v>45363</v>
      </c>
      <c r="D7733" t="inlineStr">
        <is>
          <t>JÄMTLANDS LÄN</t>
        </is>
      </c>
      <c r="E7733" t="inlineStr">
        <is>
          <t>STRÖMSUND</t>
        </is>
      </c>
      <c r="F7733" t="inlineStr">
        <is>
          <t>SCA</t>
        </is>
      </c>
      <c r="G7733" t="n">
        <v>8.4</v>
      </c>
      <c r="H7733" t="n">
        <v>0</v>
      </c>
      <c r="I7733" t="n">
        <v>0</v>
      </c>
      <c r="J7733" t="n">
        <v>0</v>
      </c>
      <c r="K7733" t="n">
        <v>0</v>
      </c>
      <c r="L7733" t="n">
        <v>0</v>
      </c>
      <c r="M7733" t="n">
        <v>0</v>
      </c>
      <c r="N7733" t="n">
        <v>0</v>
      </c>
      <c r="O7733" t="n">
        <v>0</v>
      </c>
      <c r="P7733" t="n">
        <v>0</v>
      </c>
      <c r="Q7733" t="n">
        <v>0</v>
      </c>
      <c r="R7733" s="2" t="inlineStr"/>
    </row>
    <row r="7734" ht="15" customHeight="1">
      <c r="A7734" t="inlineStr">
        <is>
          <t>A 9678-2023</t>
        </is>
      </c>
      <c r="B7734" s="1" t="n">
        <v>44984</v>
      </c>
      <c r="C7734" s="1" t="n">
        <v>45363</v>
      </c>
      <c r="D7734" t="inlineStr">
        <is>
          <t>JÄMTLANDS LÄN</t>
        </is>
      </c>
      <c r="E7734" t="inlineStr">
        <is>
          <t>STRÖMSUND</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9838-2023</t>
        </is>
      </c>
      <c r="B7735" s="1" t="n">
        <v>44984</v>
      </c>
      <c r="C7735" s="1" t="n">
        <v>45363</v>
      </c>
      <c r="D7735" t="inlineStr">
        <is>
          <t>JÄMTLANDS LÄN</t>
        </is>
      </c>
      <c r="E7735" t="inlineStr">
        <is>
          <t>BERG</t>
        </is>
      </c>
      <c r="F7735" t="inlineStr">
        <is>
          <t>Kyrkan</t>
        </is>
      </c>
      <c r="G7735" t="n">
        <v>13.7</v>
      </c>
      <c r="H7735" t="n">
        <v>0</v>
      </c>
      <c r="I7735" t="n">
        <v>0</v>
      </c>
      <c r="J7735" t="n">
        <v>0</v>
      </c>
      <c r="K7735" t="n">
        <v>0</v>
      </c>
      <c r="L7735" t="n">
        <v>0</v>
      </c>
      <c r="M7735" t="n">
        <v>0</v>
      </c>
      <c r="N7735" t="n">
        <v>0</v>
      </c>
      <c r="O7735" t="n">
        <v>0</v>
      </c>
      <c r="P7735" t="n">
        <v>0</v>
      </c>
      <c r="Q7735" t="n">
        <v>0</v>
      </c>
      <c r="R7735" s="2" t="inlineStr"/>
    </row>
    <row r="7736" ht="15" customHeight="1">
      <c r="A7736" t="inlineStr">
        <is>
          <t>A 9851-2023</t>
        </is>
      </c>
      <c r="B7736" s="1" t="n">
        <v>44984</v>
      </c>
      <c r="C7736" s="1" t="n">
        <v>45363</v>
      </c>
      <c r="D7736" t="inlineStr">
        <is>
          <t>JÄMTLANDS LÄN</t>
        </is>
      </c>
      <c r="E7736" t="inlineStr">
        <is>
          <t>STRÖMSUND</t>
        </is>
      </c>
      <c r="F7736" t="inlineStr">
        <is>
          <t>SCA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9775-2023</t>
        </is>
      </c>
      <c r="B7737" s="1" t="n">
        <v>44984</v>
      </c>
      <c r="C7737" s="1" t="n">
        <v>45363</v>
      </c>
      <c r="D7737" t="inlineStr">
        <is>
          <t>JÄMTLANDS LÄN</t>
        </is>
      </c>
      <c r="E7737" t="inlineStr">
        <is>
          <t>ÅRE</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10738-2023</t>
        </is>
      </c>
      <c r="B7738" s="1" t="n">
        <v>44984</v>
      </c>
      <c r="C7738" s="1" t="n">
        <v>45363</v>
      </c>
      <c r="D7738" t="inlineStr">
        <is>
          <t>JÄMTLANDS LÄN</t>
        </is>
      </c>
      <c r="E7738" t="inlineStr">
        <is>
          <t>STRÖMSUND</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10706-2023</t>
        </is>
      </c>
      <c r="B7739" s="1" t="n">
        <v>44984</v>
      </c>
      <c r="C7739" s="1" t="n">
        <v>45363</v>
      </c>
      <c r="D7739" t="inlineStr">
        <is>
          <t>JÄMTLANDS LÄN</t>
        </is>
      </c>
      <c r="E7739" t="inlineStr">
        <is>
          <t>RAGUNDA</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9998-2023</t>
        </is>
      </c>
      <c r="B7740" s="1" t="n">
        <v>44985</v>
      </c>
      <c r="C7740" s="1" t="n">
        <v>45363</v>
      </c>
      <c r="D7740" t="inlineStr">
        <is>
          <t>JÄMTLANDS LÄN</t>
        </is>
      </c>
      <c r="E7740" t="inlineStr">
        <is>
          <t>HÄRJEDALEN</t>
        </is>
      </c>
      <c r="F7740" t="inlineStr">
        <is>
          <t>Holmen skog AB</t>
        </is>
      </c>
      <c r="G7740" t="n">
        <v>8.300000000000001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10002-2023</t>
        </is>
      </c>
      <c r="B7741" s="1" t="n">
        <v>44985</v>
      </c>
      <c r="C7741" s="1" t="n">
        <v>45363</v>
      </c>
      <c r="D7741" t="inlineStr">
        <is>
          <t>JÄMTLANDS LÄN</t>
        </is>
      </c>
      <c r="E7741" t="inlineStr">
        <is>
          <t>HÄRJEDALEN</t>
        </is>
      </c>
      <c r="F7741" t="inlineStr">
        <is>
          <t>Holmen skog AB</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10006-2023</t>
        </is>
      </c>
      <c r="B7742" s="1" t="n">
        <v>44985</v>
      </c>
      <c r="C7742" s="1" t="n">
        <v>45363</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10000-2023</t>
        </is>
      </c>
      <c r="B7743" s="1" t="n">
        <v>44985</v>
      </c>
      <c r="C7743" s="1" t="n">
        <v>45363</v>
      </c>
      <c r="D7743" t="inlineStr">
        <is>
          <t>JÄMTLANDS LÄN</t>
        </is>
      </c>
      <c r="E7743" t="inlineStr">
        <is>
          <t>HÄRJEDALEN</t>
        </is>
      </c>
      <c r="F7743" t="inlineStr">
        <is>
          <t>Holmen skog AB</t>
        </is>
      </c>
      <c r="G7743" t="n">
        <v>12.6</v>
      </c>
      <c r="H7743" t="n">
        <v>0</v>
      </c>
      <c r="I7743" t="n">
        <v>0</v>
      </c>
      <c r="J7743" t="n">
        <v>0</v>
      </c>
      <c r="K7743" t="n">
        <v>0</v>
      </c>
      <c r="L7743" t="n">
        <v>0</v>
      </c>
      <c r="M7743" t="n">
        <v>0</v>
      </c>
      <c r="N7743" t="n">
        <v>0</v>
      </c>
      <c r="O7743" t="n">
        <v>0</v>
      </c>
      <c r="P7743" t="n">
        <v>0</v>
      </c>
      <c r="Q7743" t="n">
        <v>0</v>
      </c>
      <c r="R7743" s="2" t="inlineStr"/>
    </row>
    <row r="7744" ht="15" customHeight="1">
      <c r="A7744" t="inlineStr">
        <is>
          <t>A 9997-2023</t>
        </is>
      </c>
      <c r="B7744" s="1" t="n">
        <v>44985</v>
      </c>
      <c r="C7744" s="1" t="n">
        <v>45363</v>
      </c>
      <c r="D7744" t="inlineStr">
        <is>
          <t>JÄMTLANDS LÄN</t>
        </is>
      </c>
      <c r="E7744" t="inlineStr">
        <is>
          <t>HÄRJEDALEN</t>
        </is>
      </c>
      <c r="F7744" t="inlineStr">
        <is>
          <t>Holmen skog AB</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10014-2023</t>
        </is>
      </c>
      <c r="B7745" s="1" t="n">
        <v>44985</v>
      </c>
      <c r="C7745" s="1" t="n">
        <v>45363</v>
      </c>
      <c r="D7745" t="inlineStr">
        <is>
          <t>JÄMTLANDS LÄN</t>
        </is>
      </c>
      <c r="E7745" t="inlineStr">
        <is>
          <t>HÄRJEDALEN</t>
        </is>
      </c>
      <c r="F7745" t="inlineStr">
        <is>
          <t>Holmen skog AB</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10008-2023</t>
        </is>
      </c>
      <c r="B7746" s="1" t="n">
        <v>44985</v>
      </c>
      <c r="C7746" s="1" t="n">
        <v>45363</v>
      </c>
      <c r="D7746" t="inlineStr">
        <is>
          <t>JÄMTLANDS LÄN</t>
        </is>
      </c>
      <c r="E7746" t="inlineStr">
        <is>
          <t>HÄRJEDALEN</t>
        </is>
      </c>
      <c r="F7746" t="inlineStr">
        <is>
          <t>Holmen skog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10046-2023</t>
        </is>
      </c>
      <c r="B7747" s="1" t="n">
        <v>44985</v>
      </c>
      <c r="C7747" s="1" t="n">
        <v>45363</v>
      </c>
      <c r="D7747" t="inlineStr">
        <is>
          <t>JÄMTLANDS LÄN</t>
        </is>
      </c>
      <c r="E7747" t="inlineStr">
        <is>
          <t>HÄRJEDALEN</t>
        </is>
      </c>
      <c r="F7747" t="inlineStr">
        <is>
          <t>Holmen skog AB</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10101-2023</t>
        </is>
      </c>
      <c r="B7748" s="1" t="n">
        <v>44985</v>
      </c>
      <c r="C7748" s="1" t="n">
        <v>45363</v>
      </c>
      <c r="D7748" t="inlineStr">
        <is>
          <t>JÄMTLANDS LÄN</t>
        </is>
      </c>
      <c r="E7748" t="inlineStr">
        <is>
          <t>STRÖMSUND</t>
        </is>
      </c>
      <c r="F7748" t="inlineStr">
        <is>
          <t>SCA</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10015-2023</t>
        </is>
      </c>
      <c r="B7749" s="1" t="n">
        <v>44985</v>
      </c>
      <c r="C7749" s="1" t="n">
        <v>45363</v>
      </c>
      <c r="D7749" t="inlineStr">
        <is>
          <t>JÄMTLANDS LÄN</t>
        </is>
      </c>
      <c r="E7749" t="inlineStr">
        <is>
          <t>HÄRJEDALEN</t>
        </is>
      </c>
      <c r="F7749" t="inlineStr">
        <is>
          <t>Holmen skog AB</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10043-2023</t>
        </is>
      </c>
      <c r="B7750" s="1" t="n">
        <v>44985</v>
      </c>
      <c r="C7750" s="1" t="n">
        <v>45363</v>
      </c>
      <c r="D7750" t="inlineStr">
        <is>
          <t>JÄMTLANDS LÄN</t>
        </is>
      </c>
      <c r="E7750" t="inlineStr">
        <is>
          <t>HÄRJEDALEN</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10102-2023</t>
        </is>
      </c>
      <c r="B7751" s="1" t="n">
        <v>44985</v>
      </c>
      <c r="C7751" s="1" t="n">
        <v>45363</v>
      </c>
      <c r="D7751" t="inlineStr">
        <is>
          <t>JÄMTLANDS LÄN</t>
        </is>
      </c>
      <c r="E7751" t="inlineStr">
        <is>
          <t>STRÖMSUND</t>
        </is>
      </c>
      <c r="F7751" t="inlineStr">
        <is>
          <t>SCA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9993-2023</t>
        </is>
      </c>
      <c r="B7752" s="1" t="n">
        <v>44985</v>
      </c>
      <c r="C7752" s="1" t="n">
        <v>45363</v>
      </c>
      <c r="D7752" t="inlineStr">
        <is>
          <t>JÄMTLANDS LÄN</t>
        </is>
      </c>
      <c r="E7752" t="inlineStr">
        <is>
          <t>HÄRJEDALEN</t>
        </is>
      </c>
      <c r="F7752" t="inlineStr">
        <is>
          <t>Holmen skog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10003-2023</t>
        </is>
      </c>
      <c r="B7753" s="1" t="n">
        <v>44985</v>
      </c>
      <c r="C7753" s="1" t="n">
        <v>45363</v>
      </c>
      <c r="D7753" t="inlineStr">
        <is>
          <t>JÄMTLANDS LÄN</t>
        </is>
      </c>
      <c r="E7753" t="inlineStr">
        <is>
          <t>HÄRJEDALEN</t>
        </is>
      </c>
      <c r="F7753" t="inlineStr">
        <is>
          <t>Holmen skog AB</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10007-2023</t>
        </is>
      </c>
      <c r="B7754" s="1" t="n">
        <v>44985</v>
      </c>
      <c r="C7754" s="1" t="n">
        <v>45363</v>
      </c>
      <c r="D7754" t="inlineStr">
        <is>
          <t>JÄMTLANDS LÄN</t>
        </is>
      </c>
      <c r="E7754" t="inlineStr">
        <is>
          <t>HÄRJEDALEN</t>
        </is>
      </c>
      <c r="F7754" t="inlineStr">
        <is>
          <t>Holmen skog AB</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10012-2023</t>
        </is>
      </c>
      <c r="B7755" s="1" t="n">
        <v>44985</v>
      </c>
      <c r="C7755" s="1" t="n">
        <v>45363</v>
      </c>
      <c r="D7755" t="inlineStr">
        <is>
          <t>JÄMTLANDS LÄN</t>
        </is>
      </c>
      <c r="E7755" t="inlineStr">
        <is>
          <t>HÄRJEDALEN</t>
        </is>
      </c>
      <c r="F7755" t="inlineStr">
        <is>
          <t>Holmen skog AB</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10040-2023</t>
        </is>
      </c>
      <c r="B7756" s="1" t="n">
        <v>44985</v>
      </c>
      <c r="C7756" s="1" t="n">
        <v>45363</v>
      </c>
      <c r="D7756" t="inlineStr">
        <is>
          <t>JÄMTLANDS LÄN</t>
        </is>
      </c>
      <c r="E7756" t="inlineStr">
        <is>
          <t>HÄRJEDALEN</t>
        </is>
      </c>
      <c r="F7756" t="inlineStr">
        <is>
          <t>Holmen skog AB</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10092-2023</t>
        </is>
      </c>
      <c r="B7757" s="1" t="n">
        <v>44985</v>
      </c>
      <c r="C7757" s="1" t="n">
        <v>45363</v>
      </c>
      <c r="D7757" t="inlineStr">
        <is>
          <t>JÄMTLANDS LÄN</t>
        </is>
      </c>
      <c r="E7757" t="inlineStr">
        <is>
          <t>RAGUNDA</t>
        </is>
      </c>
      <c r="F7757" t="inlineStr">
        <is>
          <t>SCA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10074-2023</t>
        </is>
      </c>
      <c r="B7758" s="1" t="n">
        <v>44985</v>
      </c>
      <c r="C7758" s="1" t="n">
        <v>45363</v>
      </c>
      <c r="D7758" t="inlineStr">
        <is>
          <t>JÄMTLANDS LÄN</t>
        </is>
      </c>
      <c r="E7758" t="inlineStr">
        <is>
          <t>STRÖMSUND</t>
        </is>
      </c>
      <c r="F7758" t="inlineStr">
        <is>
          <t>SCA</t>
        </is>
      </c>
      <c r="G7758" t="n">
        <v>58.9</v>
      </c>
      <c r="H7758" t="n">
        <v>0</v>
      </c>
      <c r="I7758" t="n">
        <v>0</v>
      </c>
      <c r="J7758" t="n">
        <v>0</v>
      </c>
      <c r="K7758" t="n">
        <v>0</v>
      </c>
      <c r="L7758" t="n">
        <v>0</v>
      </c>
      <c r="M7758" t="n">
        <v>0</v>
      </c>
      <c r="N7758" t="n">
        <v>0</v>
      </c>
      <c r="O7758" t="n">
        <v>0</v>
      </c>
      <c r="P7758" t="n">
        <v>0</v>
      </c>
      <c r="Q7758" t="n">
        <v>0</v>
      </c>
      <c r="R7758" s="2" t="inlineStr"/>
    </row>
    <row r="7759" ht="15" customHeight="1">
      <c r="A7759" t="inlineStr">
        <is>
          <t>A 10944-2023</t>
        </is>
      </c>
      <c r="B7759" s="1" t="n">
        <v>44985</v>
      </c>
      <c r="C7759" s="1" t="n">
        <v>45363</v>
      </c>
      <c r="D7759" t="inlineStr">
        <is>
          <t>JÄMTLANDS LÄN</t>
        </is>
      </c>
      <c r="E7759" t="inlineStr">
        <is>
          <t>STRÖMSUND</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10125-2023</t>
        </is>
      </c>
      <c r="B7760" s="1" t="n">
        <v>44986</v>
      </c>
      <c r="C7760" s="1" t="n">
        <v>45363</v>
      </c>
      <c r="D7760" t="inlineStr">
        <is>
          <t>JÄMTLANDS LÄN</t>
        </is>
      </c>
      <c r="E7760" t="inlineStr">
        <is>
          <t>BERG</t>
        </is>
      </c>
      <c r="F7760" t="inlineStr">
        <is>
          <t>Holmen skog AB</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10138-2023</t>
        </is>
      </c>
      <c r="B7761" s="1" t="n">
        <v>44986</v>
      </c>
      <c r="C7761" s="1" t="n">
        <v>45363</v>
      </c>
      <c r="D7761" t="inlineStr">
        <is>
          <t>JÄMTLANDS LÄN</t>
        </is>
      </c>
      <c r="E7761" t="inlineStr">
        <is>
          <t>BERG</t>
        </is>
      </c>
      <c r="F7761" t="inlineStr">
        <is>
          <t>Holmen skog AB</t>
        </is>
      </c>
      <c r="G7761" t="n">
        <v>7.5</v>
      </c>
      <c r="H7761" t="n">
        <v>0</v>
      </c>
      <c r="I7761" t="n">
        <v>0</v>
      </c>
      <c r="J7761" t="n">
        <v>0</v>
      </c>
      <c r="K7761" t="n">
        <v>0</v>
      </c>
      <c r="L7761" t="n">
        <v>0</v>
      </c>
      <c r="M7761" t="n">
        <v>0</v>
      </c>
      <c r="N7761" t="n">
        <v>0</v>
      </c>
      <c r="O7761" t="n">
        <v>0</v>
      </c>
      <c r="P7761" t="n">
        <v>0</v>
      </c>
      <c r="Q7761" t="n">
        <v>0</v>
      </c>
      <c r="R7761" s="2" t="inlineStr"/>
    </row>
    <row r="7762" ht="15" customHeight="1">
      <c r="A7762" t="inlineStr">
        <is>
          <t>A 10306-2023</t>
        </is>
      </c>
      <c r="B7762" s="1" t="n">
        <v>44986</v>
      </c>
      <c r="C7762" s="1" t="n">
        <v>45363</v>
      </c>
      <c r="D7762" t="inlineStr">
        <is>
          <t>JÄMTLANDS LÄN</t>
        </is>
      </c>
      <c r="E7762" t="inlineStr">
        <is>
          <t>ÖSTERSUND</t>
        </is>
      </c>
      <c r="F7762" t="inlineStr">
        <is>
          <t>SCA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10310-2023</t>
        </is>
      </c>
      <c r="B7763" s="1" t="n">
        <v>44986</v>
      </c>
      <c r="C7763" s="1" t="n">
        <v>45363</v>
      </c>
      <c r="D7763" t="inlineStr">
        <is>
          <t>JÄMTLANDS LÄN</t>
        </is>
      </c>
      <c r="E7763" t="inlineStr">
        <is>
          <t>KROKOM</t>
        </is>
      </c>
      <c r="F7763" t="inlineStr">
        <is>
          <t>SCA</t>
        </is>
      </c>
      <c r="G7763" t="n">
        <v>10.6</v>
      </c>
      <c r="H7763" t="n">
        <v>0</v>
      </c>
      <c r="I7763" t="n">
        <v>0</v>
      </c>
      <c r="J7763" t="n">
        <v>0</v>
      </c>
      <c r="K7763" t="n">
        <v>0</v>
      </c>
      <c r="L7763" t="n">
        <v>0</v>
      </c>
      <c r="M7763" t="n">
        <v>0</v>
      </c>
      <c r="N7763" t="n">
        <v>0</v>
      </c>
      <c r="O7763" t="n">
        <v>0</v>
      </c>
      <c r="P7763" t="n">
        <v>0</v>
      </c>
      <c r="Q7763" t="n">
        <v>0</v>
      </c>
      <c r="R7763" s="2" t="inlineStr"/>
    </row>
    <row r="7764" ht="15" customHeight="1">
      <c r="A7764" t="inlineStr">
        <is>
          <t>A 10314-2023</t>
        </is>
      </c>
      <c r="B7764" s="1" t="n">
        <v>44986</v>
      </c>
      <c r="C7764" s="1" t="n">
        <v>45363</v>
      </c>
      <c r="D7764" t="inlineStr">
        <is>
          <t>JÄMTLANDS LÄN</t>
        </is>
      </c>
      <c r="E7764" t="inlineStr">
        <is>
          <t>KROKOM</t>
        </is>
      </c>
      <c r="F7764" t="inlineStr">
        <is>
          <t>SCA</t>
        </is>
      </c>
      <c r="G7764" t="n">
        <v>9.9</v>
      </c>
      <c r="H7764" t="n">
        <v>0</v>
      </c>
      <c r="I7764" t="n">
        <v>0</v>
      </c>
      <c r="J7764" t="n">
        <v>0</v>
      </c>
      <c r="K7764" t="n">
        <v>0</v>
      </c>
      <c r="L7764" t="n">
        <v>0</v>
      </c>
      <c r="M7764" t="n">
        <v>0</v>
      </c>
      <c r="N7764" t="n">
        <v>0</v>
      </c>
      <c r="O7764" t="n">
        <v>0</v>
      </c>
      <c r="P7764" t="n">
        <v>0</v>
      </c>
      <c r="Q7764" t="n">
        <v>0</v>
      </c>
      <c r="R7764" s="2" t="inlineStr"/>
    </row>
    <row r="7765" ht="15" customHeight="1">
      <c r="A7765" t="inlineStr">
        <is>
          <t>A 10308-2023</t>
        </is>
      </c>
      <c r="B7765" s="1" t="n">
        <v>44986</v>
      </c>
      <c r="C7765" s="1" t="n">
        <v>45363</v>
      </c>
      <c r="D7765" t="inlineStr">
        <is>
          <t>JÄMTLANDS LÄN</t>
        </is>
      </c>
      <c r="E7765" t="inlineStr">
        <is>
          <t>ÖSTERSUND</t>
        </is>
      </c>
      <c r="F7765" t="inlineStr">
        <is>
          <t>SCA</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10307-2023</t>
        </is>
      </c>
      <c r="B7766" s="1" t="n">
        <v>44986</v>
      </c>
      <c r="C7766" s="1" t="n">
        <v>45363</v>
      </c>
      <c r="D7766" t="inlineStr">
        <is>
          <t>JÄMTLANDS LÄN</t>
        </is>
      </c>
      <c r="E7766" t="inlineStr">
        <is>
          <t>ÖSTERSUND</t>
        </is>
      </c>
      <c r="F7766" t="inlineStr">
        <is>
          <t>SCA</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10315-2023</t>
        </is>
      </c>
      <c r="B7767" s="1" t="n">
        <v>44986</v>
      </c>
      <c r="C7767" s="1" t="n">
        <v>45363</v>
      </c>
      <c r="D7767" t="inlineStr">
        <is>
          <t>JÄMTLANDS LÄN</t>
        </is>
      </c>
      <c r="E7767" t="inlineStr">
        <is>
          <t>ÖSTERSUND</t>
        </is>
      </c>
      <c r="F7767" t="inlineStr">
        <is>
          <t>SCA</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10305-2023</t>
        </is>
      </c>
      <c r="B7768" s="1" t="n">
        <v>44986</v>
      </c>
      <c r="C7768" s="1" t="n">
        <v>45363</v>
      </c>
      <c r="D7768" t="inlineStr">
        <is>
          <t>JÄMTLANDS LÄN</t>
        </is>
      </c>
      <c r="E7768" t="inlineStr">
        <is>
          <t>ÖSTERSUND</t>
        </is>
      </c>
      <c r="F7768" t="inlineStr">
        <is>
          <t>SCA</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10309-2023</t>
        </is>
      </c>
      <c r="B7769" s="1" t="n">
        <v>44986</v>
      </c>
      <c r="C7769" s="1" t="n">
        <v>45363</v>
      </c>
      <c r="D7769" t="inlineStr">
        <is>
          <t>JÄMTLANDS LÄN</t>
        </is>
      </c>
      <c r="E7769" t="inlineStr">
        <is>
          <t>BRÄCKE</t>
        </is>
      </c>
      <c r="F7769" t="inlineStr">
        <is>
          <t>SCA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11093-2023</t>
        </is>
      </c>
      <c r="B7770" s="1" t="n">
        <v>44986</v>
      </c>
      <c r="C7770" s="1" t="n">
        <v>45363</v>
      </c>
      <c r="D7770" t="inlineStr">
        <is>
          <t>JÄMTLANDS LÄN</t>
        </is>
      </c>
      <c r="E7770" t="inlineStr">
        <is>
          <t>RAGUNDA</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10329-2023</t>
        </is>
      </c>
      <c r="B7771" s="1" t="n">
        <v>44987</v>
      </c>
      <c r="C7771" s="1" t="n">
        <v>45363</v>
      </c>
      <c r="D7771" t="inlineStr">
        <is>
          <t>JÄMTLANDS LÄN</t>
        </is>
      </c>
      <c r="E7771" t="inlineStr">
        <is>
          <t>HÄRJEDALEN</t>
        </is>
      </c>
      <c r="F7771" t="inlineStr">
        <is>
          <t>Holmen skog AB</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10353-2023</t>
        </is>
      </c>
      <c r="B7772" s="1" t="n">
        <v>44987</v>
      </c>
      <c r="C7772" s="1" t="n">
        <v>45363</v>
      </c>
      <c r="D7772" t="inlineStr">
        <is>
          <t>JÄMTLANDS LÄN</t>
        </is>
      </c>
      <c r="E7772" t="inlineStr">
        <is>
          <t>HÄRJEDALEN</t>
        </is>
      </c>
      <c r="F7772" t="inlineStr">
        <is>
          <t>Holmen skog AB</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10342-2023</t>
        </is>
      </c>
      <c r="B7773" s="1" t="n">
        <v>44987</v>
      </c>
      <c r="C7773" s="1" t="n">
        <v>45363</v>
      </c>
      <c r="D7773" t="inlineStr">
        <is>
          <t>JÄMTLANDS LÄN</t>
        </is>
      </c>
      <c r="E7773" t="inlineStr">
        <is>
          <t>HÄRJEDALEN</t>
        </is>
      </c>
      <c r="F7773" t="inlineStr">
        <is>
          <t>Holmen skog AB</t>
        </is>
      </c>
      <c r="G7773" t="n">
        <v>32.6</v>
      </c>
      <c r="H7773" t="n">
        <v>0</v>
      </c>
      <c r="I7773" t="n">
        <v>0</v>
      </c>
      <c r="J7773" t="n">
        <v>0</v>
      </c>
      <c r="K7773" t="n">
        <v>0</v>
      </c>
      <c r="L7773" t="n">
        <v>0</v>
      </c>
      <c r="M7773" t="n">
        <v>0</v>
      </c>
      <c r="N7773" t="n">
        <v>0</v>
      </c>
      <c r="O7773" t="n">
        <v>0</v>
      </c>
      <c r="P7773" t="n">
        <v>0</v>
      </c>
      <c r="Q7773" t="n">
        <v>0</v>
      </c>
      <c r="R7773" s="2" t="inlineStr"/>
    </row>
    <row r="7774" ht="15" customHeight="1">
      <c r="A7774" t="inlineStr">
        <is>
          <t>A 10340-2023</t>
        </is>
      </c>
      <c r="B7774" s="1" t="n">
        <v>44987</v>
      </c>
      <c r="C7774" s="1" t="n">
        <v>45363</v>
      </c>
      <c r="D7774" t="inlineStr">
        <is>
          <t>JÄMTLANDS LÄN</t>
        </is>
      </c>
      <c r="E7774" t="inlineStr">
        <is>
          <t>HÄRJEDALEN</t>
        </is>
      </c>
      <c r="F7774" t="inlineStr">
        <is>
          <t>Holmen skog AB</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10348-2023</t>
        </is>
      </c>
      <c r="B7775" s="1" t="n">
        <v>44987</v>
      </c>
      <c r="C7775" s="1" t="n">
        <v>45363</v>
      </c>
      <c r="D7775" t="inlineStr">
        <is>
          <t>JÄMTLANDS LÄN</t>
        </is>
      </c>
      <c r="E7775" t="inlineStr">
        <is>
          <t>HÄRJEDALEN</t>
        </is>
      </c>
      <c r="F7775" t="inlineStr">
        <is>
          <t>Holmen skog AB</t>
        </is>
      </c>
      <c r="G7775" t="n">
        <v>17.8</v>
      </c>
      <c r="H7775" t="n">
        <v>0</v>
      </c>
      <c r="I7775" t="n">
        <v>0</v>
      </c>
      <c r="J7775" t="n">
        <v>0</v>
      </c>
      <c r="K7775" t="n">
        <v>0</v>
      </c>
      <c r="L7775" t="n">
        <v>0</v>
      </c>
      <c r="M7775" t="n">
        <v>0</v>
      </c>
      <c r="N7775" t="n">
        <v>0</v>
      </c>
      <c r="O7775" t="n">
        <v>0</v>
      </c>
      <c r="P7775" t="n">
        <v>0</v>
      </c>
      <c r="Q7775" t="n">
        <v>0</v>
      </c>
      <c r="R7775" s="2" t="inlineStr"/>
    </row>
    <row r="7776" ht="15" customHeight="1">
      <c r="A7776" t="inlineStr">
        <is>
          <t>A 10338-2023</t>
        </is>
      </c>
      <c r="B7776" s="1" t="n">
        <v>44987</v>
      </c>
      <c r="C7776" s="1" t="n">
        <v>45363</v>
      </c>
      <c r="D7776" t="inlineStr">
        <is>
          <t>JÄMTLANDS LÄN</t>
        </is>
      </c>
      <c r="E7776" t="inlineStr">
        <is>
          <t>HÄRJEDALEN</t>
        </is>
      </c>
      <c r="F7776" t="inlineStr">
        <is>
          <t>Holmen skog AB</t>
        </is>
      </c>
      <c r="G7776" t="n">
        <v>11.8</v>
      </c>
      <c r="H7776" t="n">
        <v>0</v>
      </c>
      <c r="I7776" t="n">
        <v>0</v>
      </c>
      <c r="J7776" t="n">
        <v>0</v>
      </c>
      <c r="K7776" t="n">
        <v>0</v>
      </c>
      <c r="L7776" t="n">
        <v>0</v>
      </c>
      <c r="M7776" t="n">
        <v>0</v>
      </c>
      <c r="N7776" t="n">
        <v>0</v>
      </c>
      <c r="O7776" t="n">
        <v>0</v>
      </c>
      <c r="P7776" t="n">
        <v>0</v>
      </c>
      <c r="Q7776" t="n">
        <v>0</v>
      </c>
      <c r="R7776" s="2" t="inlineStr"/>
    </row>
    <row r="7777" ht="15" customHeight="1">
      <c r="A7777" t="inlineStr">
        <is>
          <t>A 10465-2023</t>
        </is>
      </c>
      <c r="B7777" s="1" t="n">
        <v>44987</v>
      </c>
      <c r="C7777" s="1" t="n">
        <v>45363</v>
      </c>
      <c r="D7777" t="inlineStr">
        <is>
          <t>JÄMTLANDS LÄN</t>
        </is>
      </c>
      <c r="E7777" t="inlineStr">
        <is>
          <t>BERG</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10495-2023</t>
        </is>
      </c>
      <c r="B7778" s="1" t="n">
        <v>44987</v>
      </c>
      <c r="C7778" s="1" t="n">
        <v>45363</v>
      </c>
      <c r="D7778" t="inlineStr">
        <is>
          <t>JÄMTLANDS LÄN</t>
        </is>
      </c>
      <c r="E7778" t="inlineStr">
        <is>
          <t>BERG</t>
        </is>
      </c>
      <c r="G7778" t="n">
        <v>12.8</v>
      </c>
      <c r="H7778" t="n">
        <v>0</v>
      </c>
      <c r="I7778" t="n">
        <v>0</v>
      </c>
      <c r="J7778" t="n">
        <v>0</v>
      </c>
      <c r="K7778" t="n">
        <v>0</v>
      </c>
      <c r="L7778" t="n">
        <v>0</v>
      </c>
      <c r="M7778" t="n">
        <v>0</v>
      </c>
      <c r="N7778" t="n">
        <v>0</v>
      </c>
      <c r="O7778" t="n">
        <v>0</v>
      </c>
      <c r="P7778" t="n">
        <v>0</v>
      </c>
      <c r="Q7778" t="n">
        <v>0</v>
      </c>
      <c r="R7778" s="2" t="inlineStr"/>
    </row>
    <row r="7779" ht="15" customHeight="1">
      <c r="A7779" t="inlineStr">
        <is>
          <t>A 10537-2023</t>
        </is>
      </c>
      <c r="B7779" s="1" t="n">
        <v>44987</v>
      </c>
      <c r="C7779" s="1" t="n">
        <v>45363</v>
      </c>
      <c r="D7779" t="inlineStr">
        <is>
          <t>JÄMTLANDS LÄN</t>
        </is>
      </c>
      <c r="E7779" t="inlineStr">
        <is>
          <t>STRÖMSUND</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10550-2023</t>
        </is>
      </c>
      <c r="B7780" s="1" t="n">
        <v>44987</v>
      </c>
      <c r="C7780" s="1" t="n">
        <v>45363</v>
      </c>
      <c r="D7780" t="inlineStr">
        <is>
          <t>JÄMTLANDS LÄN</t>
        </is>
      </c>
      <c r="E7780" t="inlineStr">
        <is>
          <t>RAGUNDA</t>
        </is>
      </c>
      <c r="F7780" t="inlineStr">
        <is>
          <t>SCA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10478-2023</t>
        </is>
      </c>
      <c r="B7781" s="1" t="n">
        <v>44987</v>
      </c>
      <c r="C7781" s="1" t="n">
        <v>45363</v>
      </c>
      <c r="D7781" t="inlineStr">
        <is>
          <t>JÄMTLANDS LÄN</t>
        </is>
      </c>
      <c r="E7781" t="inlineStr">
        <is>
          <t>BERG</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10559-2023</t>
        </is>
      </c>
      <c r="B7782" s="1" t="n">
        <v>44987</v>
      </c>
      <c r="C7782" s="1" t="n">
        <v>45363</v>
      </c>
      <c r="D7782" t="inlineStr">
        <is>
          <t>JÄMTLANDS LÄN</t>
        </is>
      </c>
      <c r="E7782" t="inlineStr">
        <is>
          <t>RAGUNDA</t>
        </is>
      </c>
      <c r="F7782" t="inlineStr">
        <is>
          <t>SCA</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11185-2023</t>
        </is>
      </c>
      <c r="B7783" s="1" t="n">
        <v>44987</v>
      </c>
      <c r="C7783" s="1" t="n">
        <v>45363</v>
      </c>
      <c r="D7783" t="inlineStr">
        <is>
          <t>JÄMTLANDS LÄN</t>
        </is>
      </c>
      <c r="E7783" t="inlineStr">
        <is>
          <t>BERG</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10782-2023</t>
        </is>
      </c>
      <c r="B7784" s="1" t="n">
        <v>44988</v>
      </c>
      <c r="C7784" s="1" t="n">
        <v>45363</v>
      </c>
      <c r="D7784" t="inlineStr">
        <is>
          <t>JÄMTLANDS LÄN</t>
        </is>
      </c>
      <c r="E7784" t="inlineStr">
        <is>
          <t>KROKOM</t>
        </is>
      </c>
      <c r="F7784" t="inlineStr">
        <is>
          <t>SCA</t>
        </is>
      </c>
      <c r="G7784" t="n">
        <v>68.8</v>
      </c>
      <c r="H7784" t="n">
        <v>0</v>
      </c>
      <c r="I7784" t="n">
        <v>0</v>
      </c>
      <c r="J7784" t="n">
        <v>0</v>
      </c>
      <c r="K7784" t="n">
        <v>0</v>
      </c>
      <c r="L7784" t="n">
        <v>0</v>
      </c>
      <c r="M7784" t="n">
        <v>0</v>
      </c>
      <c r="N7784" t="n">
        <v>0</v>
      </c>
      <c r="O7784" t="n">
        <v>0</v>
      </c>
      <c r="P7784" t="n">
        <v>0</v>
      </c>
      <c r="Q7784" t="n">
        <v>0</v>
      </c>
      <c r="R7784" s="2" t="inlineStr"/>
    </row>
    <row r="7785" ht="15" customHeight="1">
      <c r="A7785" t="inlineStr">
        <is>
          <t>A 10763-2023</t>
        </is>
      </c>
      <c r="B7785" s="1" t="n">
        <v>44988</v>
      </c>
      <c r="C7785" s="1" t="n">
        <v>45363</v>
      </c>
      <c r="D7785" t="inlineStr">
        <is>
          <t>JÄMTLANDS LÄN</t>
        </is>
      </c>
      <c r="E7785" t="inlineStr">
        <is>
          <t>BRÄCKE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10826-2023</t>
        </is>
      </c>
      <c r="B7786" s="1" t="n">
        <v>44990</v>
      </c>
      <c r="C7786" s="1" t="n">
        <v>45363</v>
      </c>
      <c r="D7786" t="inlineStr">
        <is>
          <t>JÄMTLANDS LÄN</t>
        </is>
      </c>
      <c r="E7786" t="inlineStr">
        <is>
          <t>STRÖMSUND</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11058-2023</t>
        </is>
      </c>
      <c r="B7787" s="1" t="n">
        <v>44991</v>
      </c>
      <c r="C7787" s="1" t="n">
        <v>45363</v>
      </c>
      <c r="D7787" t="inlineStr">
        <is>
          <t>JÄMTLANDS LÄN</t>
        </is>
      </c>
      <c r="E7787" t="inlineStr">
        <is>
          <t>STRÖMSUND</t>
        </is>
      </c>
      <c r="F7787" t="inlineStr">
        <is>
          <t>SCA</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11061-2023</t>
        </is>
      </c>
      <c r="B7788" s="1" t="n">
        <v>44991</v>
      </c>
      <c r="C7788" s="1" t="n">
        <v>45363</v>
      </c>
      <c r="D7788" t="inlineStr">
        <is>
          <t>JÄMTLANDS LÄN</t>
        </is>
      </c>
      <c r="E7788" t="inlineStr">
        <is>
          <t>STRÖMSUND</t>
        </is>
      </c>
      <c r="F7788" t="inlineStr">
        <is>
          <t>SCA</t>
        </is>
      </c>
      <c r="G7788" t="n">
        <v>26.7</v>
      </c>
      <c r="H7788" t="n">
        <v>0</v>
      </c>
      <c r="I7788" t="n">
        <v>0</v>
      </c>
      <c r="J7788" t="n">
        <v>0</v>
      </c>
      <c r="K7788" t="n">
        <v>0</v>
      </c>
      <c r="L7788" t="n">
        <v>0</v>
      </c>
      <c r="M7788" t="n">
        <v>0</v>
      </c>
      <c r="N7788" t="n">
        <v>0</v>
      </c>
      <c r="O7788" t="n">
        <v>0</v>
      </c>
      <c r="P7788" t="n">
        <v>0</v>
      </c>
      <c r="Q7788" t="n">
        <v>0</v>
      </c>
      <c r="R7788" s="2" t="inlineStr"/>
    </row>
    <row r="7789" ht="15" customHeight="1">
      <c r="A7789" t="inlineStr">
        <is>
          <t>A 11040-2023</t>
        </is>
      </c>
      <c r="B7789" s="1" t="n">
        <v>44991</v>
      </c>
      <c r="C7789" s="1" t="n">
        <v>45363</v>
      </c>
      <c r="D7789" t="inlineStr">
        <is>
          <t>JÄMTLANDS LÄN</t>
        </is>
      </c>
      <c r="E7789" t="inlineStr">
        <is>
          <t>RAGUNDA</t>
        </is>
      </c>
      <c r="F7789" t="inlineStr">
        <is>
          <t>SCA</t>
        </is>
      </c>
      <c r="G7789" t="n">
        <v>10.2</v>
      </c>
      <c r="H7789" t="n">
        <v>0</v>
      </c>
      <c r="I7789" t="n">
        <v>0</v>
      </c>
      <c r="J7789" t="n">
        <v>0</v>
      </c>
      <c r="K7789" t="n">
        <v>0</v>
      </c>
      <c r="L7789" t="n">
        <v>0</v>
      </c>
      <c r="M7789" t="n">
        <v>0</v>
      </c>
      <c r="N7789" t="n">
        <v>0</v>
      </c>
      <c r="O7789" t="n">
        <v>0</v>
      </c>
      <c r="P7789" t="n">
        <v>0</v>
      </c>
      <c r="Q7789" t="n">
        <v>0</v>
      </c>
      <c r="R7789" s="2" t="inlineStr"/>
    </row>
    <row r="7790" ht="15" customHeight="1">
      <c r="A7790" t="inlineStr">
        <is>
          <t>A 11048-2023</t>
        </is>
      </c>
      <c r="B7790" s="1" t="n">
        <v>44991</v>
      </c>
      <c r="C7790" s="1" t="n">
        <v>45363</v>
      </c>
      <c r="D7790" t="inlineStr">
        <is>
          <t>JÄMTLANDS LÄN</t>
        </is>
      </c>
      <c r="E7790" t="inlineStr">
        <is>
          <t>RAGUNDA</t>
        </is>
      </c>
      <c r="F7790" t="inlineStr">
        <is>
          <t>SCA</t>
        </is>
      </c>
      <c r="G7790" t="n">
        <v>13.5</v>
      </c>
      <c r="H7790" t="n">
        <v>0</v>
      </c>
      <c r="I7790" t="n">
        <v>0</v>
      </c>
      <c r="J7790" t="n">
        <v>0</v>
      </c>
      <c r="K7790" t="n">
        <v>0</v>
      </c>
      <c r="L7790" t="n">
        <v>0</v>
      </c>
      <c r="M7790" t="n">
        <v>0</v>
      </c>
      <c r="N7790" t="n">
        <v>0</v>
      </c>
      <c r="O7790" t="n">
        <v>0</v>
      </c>
      <c r="P7790" t="n">
        <v>0</v>
      </c>
      <c r="Q7790" t="n">
        <v>0</v>
      </c>
      <c r="R7790" s="2" t="inlineStr"/>
    </row>
    <row r="7791" ht="15" customHeight="1">
      <c r="A7791" t="inlineStr">
        <is>
          <t>A 11063-2023</t>
        </is>
      </c>
      <c r="B7791" s="1" t="n">
        <v>44991</v>
      </c>
      <c r="C7791" s="1" t="n">
        <v>45363</v>
      </c>
      <c r="D7791" t="inlineStr">
        <is>
          <t>JÄMTLANDS LÄN</t>
        </is>
      </c>
      <c r="E7791" t="inlineStr">
        <is>
          <t>RAGUNDA</t>
        </is>
      </c>
      <c r="F7791" t="inlineStr">
        <is>
          <t>SCA</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11458-2023</t>
        </is>
      </c>
      <c r="B7792" s="1" t="n">
        <v>44991</v>
      </c>
      <c r="C7792" s="1" t="n">
        <v>45363</v>
      </c>
      <c r="D7792" t="inlineStr">
        <is>
          <t>JÄMTLANDS LÄN</t>
        </is>
      </c>
      <c r="E7792" t="inlineStr">
        <is>
          <t>STRÖMSUND</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11062-2023</t>
        </is>
      </c>
      <c r="B7793" s="1" t="n">
        <v>44991</v>
      </c>
      <c r="C7793" s="1" t="n">
        <v>45363</v>
      </c>
      <c r="D7793" t="inlineStr">
        <is>
          <t>JÄMTLANDS LÄN</t>
        </is>
      </c>
      <c r="E7793" t="inlineStr">
        <is>
          <t>RAGUNDA</t>
        </is>
      </c>
      <c r="F7793" t="inlineStr">
        <is>
          <t>SCA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11444-2023</t>
        </is>
      </c>
      <c r="B7794" s="1" t="n">
        <v>44991</v>
      </c>
      <c r="C7794" s="1" t="n">
        <v>45363</v>
      </c>
      <c r="D7794" t="inlineStr">
        <is>
          <t>JÄMTLANDS LÄN</t>
        </is>
      </c>
      <c r="E7794" t="inlineStr">
        <is>
          <t>STRÖMSUND</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11603-2023</t>
        </is>
      </c>
      <c r="B7795" s="1" t="n">
        <v>44992</v>
      </c>
      <c r="C7795" s="1" t="n">
        <v>45363</v>
      </c>
      <c r="D7795" t="inlineStr">
        <is>
          <t>JÄMTLANDS LÄN</t>
        </is>
      </c>
      <c r="E7795" t="inlineStr">
        <is>
          <t>RAGUNDA</t>
        </is>
      </c>
      <c r="G7795" t="n">
        <v>7.1</v>
      </c>
      <c r="H7795" t="n">
        <v>0</v>
      </c>
      <c r="I7795" t="n">
        <v>0</v>
      </c>
      <c r="J7795" t="n">
        <v>0</v>
      </c>
      <c r="K7795" t="n">
        <v>0</v>
      </c>
      <c r="L7795" t="n">
        <v>0</v>
      </c>
      <c r="M7795" t="n">
        <v>0</v>
      </c>
      <c r="N7795" t="n">
        <v>0</v>
      </c>
      <c r="O7795" t="n">
        <v>0</v>
      </c>
      <c r="P7795" t="n">
        <v>0</v>
      </c>
      <c r="Q7795" t="n">
        <v>0</v>
      </c>
      <c r="R7795" s="2" t="inlineStr"/>
    </row>
    <row r="7796" ht="15" customHeight="1">
      <c r="A7796" t="inlineStr">
        <is>
          <t>A 11319-2023</t>
        </is>
      </c>
      <c r="B7796" s="1" t="n">
        <v>44993</v>
      </c>
      <c r="C7796" s="1" t="n">
        <v>45363</v>
      </c>
      <c r="D7796" t="inlineStr">
        <is>
          <t>JÄMTLANDS LÄN</t>
        </is>
      </c>
      <c r="E7796" t="inlineStr">
        <is>
          <t>KROKOM</t>
        </is>
      </c>
      <c r="F7796" t="inlineStr">
        <is>
          <t>SCA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11356-2023</t>
        </is>
      </c>
      <c r="B7797" s="1" t="n">
        <v>44993</v>
      </c>
      <c r="C7797" s="1" t="n">
        <v>45363</v>
      </c>
      <c r="D7797" t="inlineStr">
        <is>
          <t>JÄMTLANDS LÄN</t>
        </is>
      </c>
      <c r="E7797" t="inlineStr">
        <is>
          <t>ÖSTERSUND</t>
        </is>
      </c>
      <c r="G7797" t="n">
        <v>8.1</v>
      </c>
      <c r="H7797" t="n">
        <v>0</v>
      </c>
      <c r="I7797" t="n">
        <v>0</v>
      </c>
      <c r="J7797" t="n">
        <v>0</v>
      </c>
      <c r="K7797" t="n">
        <v>0</v>
      </c>
      <c r="L7797" t="n">
        <v>0</v>
      </c>
      <c r="M7797" t="n">
        <v>0</v>
      </c>
      <c r="N7797" t="n">
        <v>0</v>
      </c>
      <c r="O7797" t="n">
        <v>0</v>
      </c>
      <c r="P7797" t="n">
        <v>0</v>
      </c>
      <c r="Q7797" t="n">
        <v>0</v>
      </c>
      <c r="R7797" s="2" t="inlineStr"/>
    </row>
    <row r="7798" ht="15" customHeight="1">
      <c r="A7798" t="inlineStr">
        <is>
          <t>A 11556-2023</t>
        </is>
      </c>
      <c r="B7798" s="1" t="n">
        <v>44993</v>
      </c>
      <c r="C7798" s="1" t="n">
        <v>45363</v>
      </c>
      <c r="D7798" t="inlineStr">
        <is>
          <t>JÄMTLANDS LÄN</t>
        </is>
      </c>
      <c r="E7798" t="inlineStr">
        <is>
          <t>RAGUNDA</t>
        </is>
      </c>
      <c r="F7798" t="inlineStr">
        <is>
          <t>SCA</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11303-2023</t>
        </is>
      </c>
      <c r="B7799" s="1" t="n">
        <v>44993</v>
      </c>
      <c r="C7799" s="1" t="n">
        <v>45363</v>
      </c>
      <c r="D7799" t="inlineStr">
        <is>
          <t>JÄMTLANDS LÄN</t>
        </is>
      </c>
      <c r="E7799" t="inlineStr">
        <is>
          <t>STRÖMSUND</t>
        </is>
      </c>
      <c r="F7799" t="inlineStr">
        <is>
          <t>SCA</t>
        </is>
      </c>
      <c r="G7799" t="n">
        <v>39.2</v>
      </c>
      <c r="H7799" t="n">
        <v>0</v>
      </c>
      <c r="I7799" t="n">
        <v>0</v>
      </c>
      <c r="J7799" t="n">
        <v>0</v>
      </c>
      <c r="K7799" t="n">
        <v>0</v>
      </c>
      <c r="L7799" t="n">
        <v>0</v>
      </c>
      <c r="M7799" t="n">
        <v>0</v>
      </c>
      <c r="N7799" t="n">
        <v>0</v>
      </c>
      <c r="O7799" t="n">
        <v>0</v>
      </c>
      <c r="P7799" t="n">
        <v>0</v>
      </c>
      <c r="Q7799" t="n">
        <v>0</v>
      </c>
      <c r="R7799" s="2" t="inlineStr"/>
    </row>
    <row r="7800" ht="15" customHeight="1">
      <c r="A7800" t="inlineStr">
        <is>
          <t>A 11302-2023</t>
        </is>
      </c>
      <c r="B7800" s="1" t="n">
        <v>44993</v>
      </c>
      <c r="C7800" s="1" t="n">
        <v>45363</v>
      </c>
      <c r="D7800" t="inlineStr">
        <is>
          <t>JÄMTLANDS LÄN</t>
        </is>
      </c>
      <c r="E7800" t="inlineStr">
        <is>
          <t>STRÖMSUND</t>
        </is>
      </c>
      <c r="F7800" t="inlineStr">
        <is>
          <t>SCA</t>
        </is>
      </c>
      <c r="G7800" t="n">
        <v>67.40000000000001</v>
      </c>
      <c r="H7800" t="n">
        <v>0</v>
      </c>
      <c r="I7800" t="n">
        <v>0</v>
      </c>
      <c r="J7800" t="n">
        <v>0</v>
      </c>
      <c r="K7800" t="n">
        <v>0</v>
      </c>
      <c r="L7800" t="n">
        <v>0</v>
      </c>
      <c r="M7800" t="n">
        <v>0</v>
      </c>
      <c r="N7800" t="n">
        <v>0</v>
      </c>
      <c r="O7800" t="n">
        <v>0</v>
      </c>
      <c r="P7800" t="n">
        <v>0</v>
      </c>
      <c r="Q7800" t="n">
        <v>0</v>
      </c>
      <c r="R7800" s="2" t="inlineStr"/>
    </row>
    <row r="7801" ht="15" customHeight="1">
      <c r="A7801" t="inlineStr">
        <is>
          <t>A 11324-2023</t>
        </is>
      </c>
      <c r="B7801" s="1" t="n">
        <v>44993</v>
      </c>
      <c r="C7801" s="1" t="n">
        <v>45363</v>
      </c>
      <c r="D7801" t="inlineStr">
        <is>
          <t>JÄMTLANDS LÄN</t>
        </is>
      </c>
      <c r="E7801" t="inlineStr">
        <is>
          <t>STRÖMSUND</t>
        </is>
      </c>
      <c r="F7801" t="inlineStr">
        <is>
          <t>SCA</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11448-2023</t>
        </is>
      </c>
      <c r="B7802" s="1" t="n">
        <v>44993</v>
      </c>
      <c r="C7802" s="1" t="n">
        <v>45363</v>
      </c>
      <c r="D7802" t="inlineStr">
        <is>
          <t>JÄMTLANDS LÄN</t>
        </is>
      </c>
      <c r="E7802" t="inlineStr">
        <is>
          <t>HÄRJEDALEN</t>
        </is>
      </c>
      <c r="G7802" t="n">
        <v>12.1</v>
      </c>
      <c r="H7802" t="n">
        <v>0</v>
      </c>
      <c r="I7802" t="n">
        <v>0</v>
      </c>
      <c r="J7802" t="n">
        <v>0</v>
      </c>
      <c r="K7802" t="n">
        <v>0</v>
      </c>
      <c r="L7802" t="n">
        <v>0</v>
      </c>
      <c r="M7802" t="n">
        <v>0</v>
      </c>
      <c r="N7802" t="n">
        <v>0</v>
      </c>
      <c r="O7802" t="n">
        <v>0</v>
      </c>
      <c r="P7802" t="n">
        <v>0</v>
      </c>
      <c r="Q7802" t="n">
        <v>0</v>
      </c>
      <c r="R7802" s="2" t="inlineStr"/>
    </row>
    <row r="7803" ht="15" customHeight="1">
      <c r="A7803" t="inlineStr">
        <is>
          <t>A 11548-2023</t>
        </is>
      </c>
      <c r="B7803" s="1" t="n">
        <v>44993</v>
      </c>
      <c r="C7803" s="1" t="n">
        <v>45363</v>
      </c>
      <c r="D7803" t="inlineStr">
        <is>
          <t>JÄMTLANDS LÄN</t>
        </is>
      </c>
      <c r="E7803" t="inlineStr">
        <is>
          <t>BRÄCKE</t>
        </is>
      </c>
      <c r="F7803" t="inlineStr">
        <is>
          <t>SCA</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11322-2023</t>
        </is>
      </c>
      <c r="B7804" s="1" t="n">
        <v>44993</v>
      </c>
      <c r="C7804" s="1" t="n">
        <v>45363</v>
      </c>
      <c r="D7804" t="inlineStr">
        <is>
          <t>JÄMTLANDS LÄN</t>
        </is>
      </c>
      <c r="E7804" t="inlineStr">
        <is>
          <t>RAGUNDA</t>
        </is>
      </c>
      <c r="F7804" t="inlineStr">
        <is>
          <t>SCA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11550-2023</t>
        </is>
      </c>
      <c r="B7805" s="1" t="n">
        <v>44993</v>
      </c>
      <c r="C7805" s="1" t="n">
        <v>45363</v>
      </c>
      <c r="D7805" t="inlineStr">
        <is>
          <t>JÄMTLANDS LÄN</t>
        </is>
      </c>
      <c r="E7805" t="inlineStr">
        <is>
          <t>BRÄCKE</t>
        </is>
      </c>
      <c r="F7805" t="inlineStr">
        <is>
          <t>SCA</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11558-2023</t>
        </is>
      </c>
      <c r="B7806" s="1" t="n">
        <v>44993</v>
      </c>
      <c r="C7806" s="1" t="n">
        <v>45363</v>
      </c>
      <c r="D7806" t="inlineStr">
        <is>
          <t>JÄMTLANDS LÄN</t>
        </is>
      </c>
      <c r="E7806" t="inlineStr">
        <is>
          <t>RAGUNDA</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11563-2023</t>
        </is>
      </c>
      <c r="B7807" s="1" t="n">
        <v>44993</v>
      </c>
      <c r="C7807" s="1" t="n">
        <v>45363</v>
      </c>
      <c r="D7807" t="inlineStr">
        <is>
          <t>JÄMTLANDS LÄN</t>
        </is>
      </c>
      <c r="E7807" t="inlineStr">
        <is>
          <t>BRÄCKE</t>
        </is>
      </c>
      <c r="F7807" t="inlineStr">
        <is>
          <t>SCA</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11553-2023</t>
        </is>
      </c>
      <c r="B7808" s="1" t="n">
        <v>44993</v>
      </c>
      <c r="C7808" s="1" t="n">
        <v>45363</v>
      </c>
      <c r="D7808" t="inlineStr">
        <is>
          <t>JÄMTLANDS LÄN</t>
        </is>
      </c>
      <c r="E7808" t="inlineStr">
        <is>
          <t>RAGUNDA</t>
        </is>
      </c>
      <c r="F7808" t="inlineStr">
        <is>
          <t>SCA</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11557-2023</t>
        </is>
      </c>
      <c r="B7809" s="1" t="n">
        <v>44993</v>
      </c>
      <c r="C7809" s="1" t="n">
        <v>45363</v>
      </c>
      <c r="D7809" t="inlineStr">
        <is>
          <t>JÄMTLANDS LÄN</t>
        </is>
      </c>
      <c r="E7809" t="inlineStr">
        <is>
          <t>RAGUNDA</t>
        </is>
      </c>
      <c r="F7809" t="inlineStr">
        <is>
          <t>SCA</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11562-2023</t>
        </is>
      </c>
      <c r="B7810" s="1" t="n">
        <v>44993</v>
      </c>
      <c r="C7810" s="1" t="n">
        <v>45363</v>
      </c>
      <c r="D7810" t="inlineStr">
        <is>
          <t>JÄMTLANDS LÄN</t>
        </is>
      </c>
      <c r="E7810" t="inlineStr">
        <is>
          <t>RAGUNDA</t>
        </is>
      </c>
      <c r="F7810" t="inlineStr">
        <is>
          <t>SCA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11843-2023</t>
        </is>
      </c>
      <c r="B7811" s="1" t="n">
        <v>44993</v>
      </c>
      <c r="C7811" s="1" t="n">
        <v>45363</v>
      </c>
      <c r="D7811" t="inlineStr">
        <is>
          <t>JÄMTLANDS LÄN</t>
        </is>
      </c>
      <c r="E7811" t="inlineStr">
        <is>
          <t>RAGUNDA</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11702-2023</t>
        </is>
      </c>
      <c r="B7812" s="1" t="n">
        <v>44994</v>
      </c>
      <c r="C7812" s="1" t="n">
        <v>45363</v>
      </c>
      <c r="D7812" t="inlineStr">
        <is>
          <t>JÄMTLANDS LÄN</t>
        </is>
      </c>
      <c r="E7812" t="inlineStr">
        <is>
          <t>BERG</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11697-2023</t>
        </is>
      </c>
      <c r="B7813" s="1" t="n">
        <v>44994</v>
      </c>
      <c r="C7813" s="1" t="n">
        <v>45363</v>
      </c>
      <c r="D7813" t="inlineStr">
        <is>
          <t>JÄMTLANDS LÄN</t>
        </is>
      </c>
      <c r="E7813" t="inlineStr">
        <is>
          <t>BERG</t>
        </is>
      </c>
      <c r="G7813" t="n">
        <v>8.9</v>
      </c>
      <c r="H7813" t="n">
        <v>0</v>
      </c>
      <c r="I7813" t="n">
        <v>0</v>
      </c>
      <c r="J7813" t="n">
        <v>0</v>
      </c>
      <c r="K7813" t="n">
        <v>0</v>
      </c>
      <c r="L7813" t="n">
        <v>0</v>
      </c>
      <c r="M7813" t="n">
        <v>0</v>
      </c>
      <c r="N7813" t="n">
        <v>0</v>
      </c>
      <c r="O7813" t="n">
        <v>0</v>
      </c>
      <c r="P7813" t="n">
        <v>0</v>
      </c>
      <c r="Q7813" t="n">
        <v>0</v>
      </c>
      <c r="R7813" s="2" t="inlineStr"/>
    </row>
    <row r="7814" ht="15" customHeight="1">
      <c r="A7814" t="inlineStr">
        <is>
          <t>A 11704-2023</t>
        </is>
      </c>
      <c r="B7814" s="1" t="n">
        <v>44994</v>
      </c>
      <c r="C7814" s="1" t="n">
        <v>45363</v>
      </c>
      <c r="D7814" t="inlineStr">
        <is>
          <t>JÄMTLANDS LÄN</t>
        </is>
      </c>
      <c r="E7814" t="inlineStr">
        <is>
          <t>BERG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11821-2023</t>
        </is>
      </c>
      <c r="B7815" s="1" t="n">
        <v>44994</v>
      </c>
      <c r="C7815" s="1" t="n">
        <v>45363</v>
      </c>
      <c r="D7815" t="inlineStr">
        <is>
          <t>JÄMTLANDS LÄN</t>
        </is>
      </c>
      <c r="E7815" t="inlineStr">
        <is>
          <t>BRÄCKE</t>
        </is>
      </c>
      <c r="F7815" t="inlineStr">
        <is>
          <t>SCA</t>
        </is>
      </c>
      <c r="G7815" t="n">
        <v>36.6</v>
      </c>
      <c r="H7815" t="n">
        <v>0</v>
      </c>
      <c r="I7815" t="n">
        <v>0</v>
      </c>
      <c r="J7815" t="n">
        <v>0</v>
      </c>
      <c r="K7815" t="n">
        <v>0</v>
      </c>
      <c r="L7815" t="n">
        <v>0</v>
      </c>
      <c r="M7815" t="n">
        <v>0</v>
      </c>
      <c r="N7815" t="n">
        <v>0</v>
      </c>
      <c r="O7815" t="n">
        <v>0</v>
      </c>
      <c r="P7815" t="n">
        <v>0</v>
      </c>
      <c r="Q7815" t="n">
        <v>0</v>
      </c>
      <c r="R7815" s="2" t="inlineStr"/>
    </row>
    <row r="7816" ht="15" customHeight="1">
      <c r="A7816" t="inlineStr">
        <is>
          <t>A 11813-2023</t>
        </is>
      </c>
      <c r="B7816" s="1" t="n">
        <v>44994</v>
      </c>
      <c r="C7816" s="1" t="n">
        <v>45363</v>
      </c>
      <c r="D7816" t="inlineStr">
        <is>
          <t>JÄMTLANDS LÄN</t>
        </is>
      </c>
      <c r="E7816" t="inlineStr">
        <is>
          <t>ÅRE</t>
        </is>
      </c>
      <c r="F7816" t="inlineStr">
        <is>
          <t>Kommuner</t>
        </is>
      </c>
      <c r="G7816" t="n">
        <v>8.300000000000001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11818-2023</t>
        </is>
      </c>
      <c r="B7817" s="1" t="n">
        <v>44994</v>
      </c>
      <c r="C7817" s="1" t="n">
        <v>45363</v>
      </c>
      <c r="D7817" t="inlineStr">
        <is>
          <t>JÄMTLANDS LÄN</t>
        </is>
      </c>
      <c r="E7817" t="inlineStr">
        <is>
          <t>HÄRJEDALEN</t>
        </is>
      </c>
      <c r="G7817" t="n">
        <v>8.9</v>
      </c>
      <c r="H7817" t="n">
        <v>0</v>
      </c>
      <c r="I7817" t="n">
        <v>0</v>
      </c>
      <c r="J7817" t="n">
        <v>0</v>
      </c>
      <c r="K7817" t="n">
        <v>0</v>
      </c>
      <c r="L7817" t="n">
        <v>0</v>
      </c>
      <c r="M7817" t="n">
        <v>0</v>
      </c>
      <c r="N7817" t="n">
        <v>0</v>
      </c>
      <c r="O7817" t="n">
        <v>0</v>
      </c>
      <c r="P7817" t="n">
        <v>0</v>
      </c>
      <c r="Q7817" t="n">
        <v>0</v>
      </c>
      <c r="R7817" s="2" t="inlineStr"/>
    </row>
    <row r="7818" ht="15" customHeight="1">
      <c r="A7818" t="inlineStr">
        <is>
          <t>A 11834-2023</t>
        </is>
      </c>
      <c r="B7818" s="1" t="n">
        <v>44994</v>
      </c>
      <c r="C7818" s="1" t="n">
        <v>45363</v>
      </c>
      <c r="D7818" t="inlineStr">
        <is>
          <t>JÄMTLANDS LÄN</t>
        </is>
      </c>
      <c r="E7818" t="inlineStr">
        <is>
          <t>RAGUNDA</t>
        </is>
      </c>
      <c r="F7818" t="inlineStr">
        <is>
          <t>SCA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11948-2023</t>
        </is>
      </c>
      <c r="B7819" s="1" t="n">
        <v>44994</v>
      </c>
      <c r="C7819" s="1" t="n">
        <v>45363</v>
      </c>
      <c r="D7819" t="inlineStr">
        <is>
          <t>JÄMTLANDS LÄN</t>
        </is>
      </c>
      <c r="E7819" t="inlineStr">
        <is>
          <t>BERG</t>
        </is>
      </c>
      <c r="F7819" t="inlineStr">
        <is>
          <t>Kyrkan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12023-2023</t>
        </is>
      </c>
      <c r="B7820" s="1" t="n">
        <v>44995</v>
      </c>
      <c r="C7820" s="1" t="n">
        <v>45363</v>
      </c>
      <c r="D7820" t="inlineStr">
        <is>
          <t>JÄMTLANDS LÄN</t>
        </is>
      </c>
      <c r="E7820" t="inlineStr">
        <is>
          <t>BRÄCKE</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12034-2023</t>
        </is>
      </c>
      <c r="B7821" s="1" t="n">
        <v>44995</v>
      </c>
      <c r="C7821" s="1" t="n">
        <v>45363</v>
      </c>
      <c r="D7821" t="inlineStr">
        <is>
          <t>JÄMTLANDS LÄN</t>
        </is>
      </c>
      <c r="E7821" t="inlineStr">
        <is>
          <t>BRÄCKE</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12055-2023</t>
        </is>
      </c>
      <c r="B7822" s="1" t="n">
        <v>44995</v>
      </c>
      <c r="C7822" s="1" t="n">
        <v>45363</v>
      </c>
      <c r="D7822" t="inlineStr">
        <is>
          <t>JÄMTLANDS LÄN</t>
        </is>
      </c>
      <c r="E7822" t="inlineStr">
        <is>
          <t>RAGUNDA</t>
        </is>
      </c>
      <c r="F7822" t="inlineStr">
        <is>
          <t>SCA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12051-2023</t>
        </is>
      </c>
      <c r="B7823" s="1" t="n">
        <v>44995</v>
      </c>
      <c r="C7823" s="1" t="n">
        <v>45363</v>
      </c>
      <c r="D7823" t="inlineStr">
        <is>
          <t>JÄMTLANDS LÄN</t>
        </is>
      </c>
      <c r="E7823" t="inlineStr">
        <is>
          <t>RAGUNDA</t>
        </is>
      </c>
      <c r="F7823" t="inlineStr">
        <is>
          <t>SCA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12040-2023</t>
        </is>
      </c>
      <c r="B7824" s="1" t="n">
        <v>44996</v>
      </c>
      <c r="C7824" s="1" t="n">
        <v>45363</v>
      </c>
      <c r="D7824" t="inlineStr">
        <is>
          <t>JÄMTLANDS LÄN</t>
        </is>
      </c>
      <c r="E7824" t="inlineStr">
        <is>
          <t>RAGUNDA</t>
        </is>
      </c>
      <c r="F7824" t="inlineStr">
        <is>
          <t>SCA</t>
        </is>
      </c>
      <c r="G7824" t="n">
        <v>13.2</v>
      </c>
      <c r="H7824" t="n">
        <v>0</v>
      </c>
      <c r="I7824" t="n">
        <v>0</v>
      </c>
      <c r="J7824" t="n">
        <v>0</v>
      </c>
      <c r="K7824" t="n">
        <v>0</v>
      </c>
      <c r="L7824" t="n">
        <v>0</v>
      </c>
      <c r="M7824" t="n">
        <v>0</v>
      </c>
      <c r="N7824" t="n">
        <v>0</v>
      </c>
      <c r="O7824" t="n">
        <v>0</v>
      </c>
      <c r="P7824" t="n">
        <v>0</v>
      </c>
      <c r="Q7824" t="n">
        <v>0</v>
      </c>
      <c r="R7824" s="2" t="inlineStr"/>
    </row>
    <row r="7825" ht="15" customHeight="1">
      <c r="A7825" t="inlineStr">
        <is>
          <t>A 12036-2023</t>
        </is>
      </c>
      <c r="B7825" s="1" t="n">
        <v>44995</v>
      </c>
      <c r="C7825" s="1" t="n">
        <v>45363</v>
      </c>
      <c r="D7825" t="inlineStr">
        <is>
          <t>JÄMTLANDS LÄN</t>
        </is>
      </c>
      <c r="E7825" t="inlineStr">
        <is>
          <t>BRÄCKE</t>
        </is>
      </c>
      <c r="G7825" t="n">
        <v>16.3</v>
      </c>
      <c r="H7825" t="n">
        <v>0</v>
      </c>
      <c r="I7825" t="n">
        <v>0</v>
      </c>
      <c r="J7825" t="n">
        <v>0</v>
      </c>
      <c r="K7825" t="n">
        <v>0</v>
      </c>
      <c r="L7825" t="n">
        <v>0</v>
      </c>
      <c r="M7825" t="n">
        <v>0</v>
      </c>
      <c r="N7825" t="n">
        <v>0</v>
      </c>
      <c r="O7825" t="n">
        <v>0</v>
      </c>
      <c r="P7825" t="n">
        <v>0</v>
      </c>
      <c r="Q7825" t="n">
        <v>0</v>
      </c>
      <c r="R7825" s="2" t="inlineStr"/>
    </row>
    <row r="7826" ht="15" customHeight="1">
      <c r="A7826" t="inlineStr">
        <is>
          <t>A 12050-2023</t>
        </is>
      </c>
      <c r="B7826" s="1" t="n">
        <v>44996</v>
      </c>
      <c r="C7826" s="1" t="n">
        <v>45363</v>
      </c>
      <c r="D7826" t="inlineStr">
        <is>
          <t>JÄMTLANDS LÄN</t>
        </is>
      </c>
      <c r="E7826" t="inlineStr">
        <is>
          <t>RAGUNDA</t>
        </is>
      </c>
      <c r="F7826" t="inlineStr">
        <is>
          <t>SCA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12042-2023</t>
        </is>
      </c>
      <c r="B7827" s="1" t="n">
        <v>44996</v>
      </c>
      <c r="C7827" s="1" t="n">
        <v>45363</v>
      </c>
      <c r="D7827" t="inlineStr">
        <is>
          <t>JÄMTLANDS LÄN</t>
        </is>
      </c>
      <c r="E7827" t="inlineStr">
        <is>
          <t>STRÖMSUND</t>
        </is>
      </c>
      <c r="F7827" t="inlineStr">
        <is>
          <t>SCA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12039-2023</t>
        </is>
      </c>
      <c r="B7828" s="1" t="n">
        <v>44996</v>
      </c>
      <c r="C7828" s="1" t="n">
        <v>45363</v>
      </c>
      <c r="D7828" t="inlineStr">
        <is>
          <t>JÄMTLANDS LÄN</t>
        </is>
      </c>
      <c r="E7828" t="inlineStr">
        <is>
          <t>RAGUNDA</t>
        </is>
      </c>
      <c r="F7828" t="inlineStr">
        <is>
          <t>SCA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12063-2023</t>
        </is>
      </c>
      <c r="B7829" s="1" t="n">
        <v>44996</v>
      </c>
      <c r="C7829" s="1" t="n">
        <v>45363</v>
      </c>
      <c r="D7829" t="inlineStr">
        <is>
          <t>JÄMTLANDS LÄN</t>
        </is>
      </c>
      <c r="E7829" t="inlineStr">
        <is>
          <t>BRÄCKE</t>
        </is>
      </c>
      <c r="G7829" t="n">
        <v>7.1</v>
      </c>
      <c r="H7829" t="n">
        <v>0</v>
      </c>
      <c r="I7829" t="n">
        <v>0</v>
      </c>
      <c r="J7829" t="n">
        <v>0</v>
      </c>
      <c r="K7829" t="n">
        <v>0</v>
      </c>
      <c r="L7829" t="n">
        <v>0</v>
      </c>
      <c r="M7829" t="n">
        <v>0</v>
      </c>
      <c r="N7829" t="n">
        <v>0</v>
      </c>
      <c r="O7829" t="n">
        <v>0</v>
      </c>
      <c r="P7829" t="n">
        <v>0</v>
      </c>
      <c r="Q7829" t="n">
        <v>0</v>
      </c>
      <c r="R7829" s="2" t="inlineStr"/>
    </row>
    <row r="7830" ht="15" customHeight="1">
      <c r="A7830" t="inlineStr">
        <is>
          <t>A 12061-2023</t>
        </is>
      </c>
      <c r="B7830" s="1" t="n">
        <v>44996</v>
      </c>
      <c r="C7830" s="1" t="n">
        <v>45363</v>
      </c>
      <c r="D7830" t="inlineStr">
        <is>
          <t>JÄMTLANDS LÄN</t>
        </is>
      </c>
      <c r="E7830" t="inlineStr">
        <is>
          <t>BRÄCKE</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12224-2023</t>
        </is>
      </c>
      <c r="B7831" s="1" t="n">
        <v>44998</v>
      </c>
      <c r="C7831" s="1" t="n">
        <v>45363</v>
      </c>
      <c r="D7831" t="inlineStr">
        <is>
          <t>JÄMTLANDS LÄN</t>
        </is>
      </c>
      <c r="E7831" t="inlineStr">
        <is>
          <t>ÅRE</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12286-2023</t>
        </is>
      </c>
      <c r="B7832" s="1" t="n">
        <v>44998</v>
      </c>
      <c r="C7832" s="1" t="n">
        <v>45363</v>
      </c>
      <c r="D7832" t="inlineStr">
        <is>
          <t>JÄMTLANDS LÄN</t>
        </is>
      </c>
      <c r="E7832" t="inlineStr">
        <is>
          <t>ÅRE</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12290-2023</t>
        </is>
      </c>
      <c r="B7833" s="1" t="n">
        <v>44998</v>
      </c>
      <c r="C7833" s="1" t="n">
        <v>45363</v>
      </c>
      <c r="D7833" t="inlineStr">
        <is>
          <t>JÄMTLANDS LÄN</t>
        </is>
      </c>
      <c r="E7833" t="inlineStr">
        <is>
          <t>ÅRE</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12168-2023</t>
        </is>
      </c>
      <c r="B7834" s="1" t="n">
        <v>44998</v>
      </c>
      <c r="C7834" s="1" t="n">
        <v>45363</v>
      </c>
      <c r="D7834" t="inlineStr">
        <is>
          <t>JÄMTLANDS LÄN</t>
        </is>
      </c>
      <c r="E7834" t="inlineStr">
        <is>
          <t>ÅRE</t>
        </is>
      </c>
      <c r="G7834" t="n">
        <v>8.699999999999999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12173-2023</t>
        </is>
      </c>
      <c r="B7835" s="1" t="n">
        <v>44998</v>
      </c>
      <c r="C7835" s="1" t="n">
        <v>45363</v>
      </c>
      <c r="D7835" t="inlineStr">
        <is>
          <t>JÄMTLANDS LÄN</t>
        </is>
      </c>
      <c r="E7835" t="inlineStr">
        <is>
          <t>ÅRE</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12182-2023</t>
        </is>
      </c>
      <c r="B7836" s="1" t="n">
        <v>44998</v>
      </c>
      <c r="C7836" s="1" t="n">
        <v>45363</v>
      </c>
      <c r="D7836" t="inlineStr">
        <is>
          <t>JÄMTLANDS LÄN</t>
        </is>
      </c>
      <c r="E7836" t="inlineStr">
        <is>
          <t>ÅRE</t>
        </is>
      </c>
      <c r="G7836" t="n">
        <v>11.7</v>
      </c>
      <c r="H7836" t="n">
        <v>0</v>
      </c>
      <c r="I7836" t="n">
        <v>0</v>
      </c>
      <c r="J7836" t="n">
        <v>0</v>
      </c>
      <c r="K7836" t="n">
        <v>0</v>
      </c>
      <c r="L7836" t="n">
        <v>0</v>
      </c>
      <c r="M7836" t="n">
        <v>0</v>
      </c>
      <c r="N7836" t="n">
        <v>0</v>
      </c>
      <c r="O7836" t="n">
        <v>0</v>
      </c>
      <c r="P7836" t="n">
        <v>0</v>
      </c>
      <c r="Q7836" t="n">
        <v>0</v>
      </c>
      <c r="R7836" s="2" t="inlineStr"/>
    </row>
    <row r="7837" ht="15" customHeight="1">
      <c r="A7837" t="inlineStr">
        <is>
          <t>A 12216-2023</t>
        </is>
      </c>
      <c r="B7837" s="1" t="n">
        <v>44998</v>
      </c>
      <c r="C7837" s="1" t="n">
        <v>45363</v>
      </c>
      <c r="D7837" t="inlineStr">
        <is>
          <t>JÄMTLANDS LÄN</t>
        </is>
      </c>
      <c r="E7837" t="inlineStr">
        <is>
          <t>ÅRE</t>
        </is>
      </c>
      <c r="G7837" t="n">
        <v>11.8</v>
      </c>
      <c r="H7837" t="n">
        <v>0</v>
      </c>
      <c r="I7837" t="n">
        <v>0</v>
      </c>
      <c r="J7837" t="n">
        <v>0</v>
      </c>
      <c r="K7837" t="n">
        <v>0</v>
      </c>
      <c r="L7837" t="n">
        <v>0</v>
      </c>
      <c r="M7837" t="n">
        <v>0</v>
      </c>
      <c r="N7837" t="n">
        <v>0</v>
      </c>
      <c r="O7837" t="n">
        <v>0</v>
      </c>
      <c r="P7837" t="n">
        <v>0</v>
      </c>
      <c r="Q7837" t="n">
        <v>0</v>
      </c>
      <c r="R7837" s="2" t="inlineStr"/>
    </row>
    <row r="7838" ht="15" customHeight="1">
      <c r="A7838" t="inlineStr">
        <is>
          <t>A 12227-2023</t>
        </is>
      </c>
      <c r="B7838" s="1" t="n">
        <v>44998</v>
      </c>
      <c r="C7838" s="1" t="n">
        <v>45363</v>
      </c>
      <c r="D7838" t="inlineStr">
        <is>
          <t>JÄMTLANDS LÄN</t>
        </is>
      </c>
      <c r="E7838" t="inlineStr">
        <is>
          <t>ÅRE</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12288-2023</t>
        </is>
      </c>
      <c r="B7839" s="1" t="n">
        <v>44998</v>
      </c>
      <c r="C7839" s="1" t="n">
        <v>45363</v>
      </c>
      <c r="D7839" t="inlineStr">
        <is>
          <t>JÄMTLANDS LÄN</t>
        </is>
      </c>
      <c r="E7839" t="inlineStr">
        <is>
          <t>ÅRE</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12292-2023</t>
        </is>
      </c>
      <c r="B7840" s="1" t="n">
        <v>44998</v>
      </c>
      <c r="C7840" s="1" t="n">
        <v>45363</v>
      </c>
      <c r="D7840" t="inlineStr">
        <is>
          <t>JÄMTLANDS LÄN</t>
        </is>
      </c>
      <c r="E7840" t="inlineStr">
        <is>
          <t>ÅRE</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12193-2023</t>
        </is>
      </c>
      <c r="B7841" s="1" t="n">
        <v>44998</v>
      </c>
      <c r="C7841" s="1" t="n">
        <v>45363</v>
      </c>
      <c r="D7841" t="inlineStr">
        <is>
          <t>JÄMTLANDS LÄN</t>
        </is>
      </c>
      <c r="E7841" t="inlineStr">
        <is>
          <t>ÅRE</t>
        </is>
      </c>
      <c r="G7841" t="n">
        <v>14.7</v>
      </c>
      <c r="H7841" t="n">
        <v>0</v>
      </c>
      <c r="I7841" t="n">
        <v>0</v>
      </c>
      <c r="J7841" t="n">
        <v>0</v>
      </c>
      <c r="K7841" t="n">
        <v>0</v>
      </c>
      <c r="L7841" t="n">
        <v>0</v>
      </c>
      <c r="M7841" t="n">
        <v>0</v>
      </c>
      <c r="N7841" t="n">
        <v>0</v>
      </c>
      <c r="O7841" t="n">
        <v>0</v>
      </c>
      <c r="P7841" t="n">
        <v>0</v>
      </c>
      <c r="Q7841" t="n">
        <v>0</v>
      </c>
      <c r="R7841" s="2" t="inlineStr"/>
    </row>
    <row r="7842" ht="15" customHeight="1">
      <c r="A7842" t="inlineStr">
        <is>
          <t>A 12287-2023</t>
        </is>
      </c>
      <c r="B7842" s="1" t="n">
        <v>44998</v>
      </c>
      <c r="C7842" s="1" t="n">
        <v>45363</v>
      </c>
      <c r="D7842" t="inlineStr">
        <is>
          <t>JÄMTLANDS LÄN</t>
        </is>
      </c>
      <c r="E7842" t="inlineStr">
        <is>
          <t>ÅRE</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12291-2023</t>
        </is>
      </c>
      <c r="B7843" s="1" t="n">
        <v>44998</v>
      </c>
      <c r="C7843" s="1" t="n">
        <v>45363</v>
      </c>
      <c r="D7843" t="inlineStr">
        <is>
          <t>JÄMTLANDS LÄN</t>
        </is>
      </c>
      <c r="E7843" t="inlineStr">
        <is>
          <t>ÅRE</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12179-2023</t>
        </is>
      </c>
      <c r="B7844" s="1" t="n">
        <v>44998</v>
      </c>
      <c r="C7844" s="1" t="n">
        <v>45363</v>
      </c>
      <c r="D7844" t="inlineStr">
        <is>
          <t>JÄMTLANDS LÄN</t>
        </is>
      </c>
      <c r="E7844" t="inlineStr">
        <is>
          <t>ÅRE</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12294-2023</t>
        </is>
      </c>
      <c r="B7845" s="1" t="n">
        <v>44998</v>
      </c>
      <c r="C7845" s="1" t="n">
        <v>45363</v>
      </c>
      <c r="D7845" t="inlineStr">
        <is>
          <t>JÄMTLANDS LÄN</t>
        </is>
      </c>
      <c r="E7845" t="inlineStr">
        <is>
          <t>ÅRE</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12342-2023</t>
        </is>
      </c>
      <c r="B7846" s="1" t="n">
        <v>44998</v>
      </c>
      <c r="C7846" s="1" t="n">
        <v>45363</v>
      </c>
      <c r="D7846" t="inlineStr">
        <is>
          <t>JÄMTLANDS LÄN</t>
        </is>
      </c>
      <c r="E7846" t="inlineStr">
        <is>
          <t>BERG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12484-2023</t>
        </is>
      </c>
      <c r="B7847" s="1" t="n">
        <v>44998</v>
      </c>
      <c r="C7847" s="1" t="n">
        <v>45363</v>
      </c>
      <c r="D7847" t="inlineStr">
        <is>
          <t>JÄMTLANDS LÄN</t>
        </is>
      </c>
      <c r="E7847" t="inlineStr">
        <is>
          <t>HÄRJEDALEN</t>
        </is>
      </c>
      <c r="G7847" t="n">
        <v>43.1</v>
      </c>
      <c r="H7847" t="n">
        <v>0</v>
      </c>
      <c r="I7847" t="n">
        <v>0</v>
      </c>
      <c r="J7847" t="n">
        <v>0</v>
      </c>
      <c r="K7847" t="n">
        <v>0</v>
      </c>
      <c r="L7847" t="n">
        <v>0</v>
      </c>
      <c r="M7847" t="n">
        <v>0</v>
      </c>
      <c r="N7847" t="n">
        <v>0</v>
      </c>
      <c r="O7847" t="n">
        <v>0</v>
      </c>
      <c r="P7847" t="n">
        <v>0</v>
      </c>
      <c r="Q7847" t="n">
        <v>0</v>
      </c>
      <c r="R7847" s="2" t="inlineStr"/>
    </row>
    <row r="7848" ht="15" customHeight="1">
      <c r="A7848" t="inlineStr">
        <is>
          <t>A 12462-2023</t>
        </is>
      </c>
      <c r="B7848" s="1" t="n">
        <v>44999</v>
      </c>
      <c r="C7848" s="1" t="n">
        <v>45363</v>
      </c>
      <c r="D7848" t="inlineStr">
        <is>
          <t>JÄMTLANDS LÄN</t>
        </is>
      </c>
      <c r="E7848" t="inlineStr">
        <is>
          <t>HÄRJEDALEN</t>
        </is>
      </c>
      <c r="G7848" t="n">
        <v>7.8</v>
      </c>
      <c r="H7848" t="n">
        <v>0</v>
      </c>
      <c r="I7848" t="n">
        <v>0</v>
      </c>
      <c r="J7848" t="n">
        <v>0</v>
      </c>
      <c r="K7848" t="n">
        <v>0</v>
      </c>
      <c r="L7848" t="n">
        <v>0</v>
      </c>
      <c r="M7848" t="n">
        <v>0</v>
      </c>
      <c r="N7848" t="n">
        <v>0</v>
      </c>
      <c r="O7848" t="n">
        <v>0</v>
      </c>
      <c r="P7848" t="n">
        <v>0</v>
      </c>
      <c r="Q7848" t="n">
        <v>0</v>
      </c>
      <c r="R7848" s="2" t="inlineStr"/>
    </row>
    <row r="7849" ht="15" customHeight="1">
      <c r="A7849" t="inlineStr">
        <is>
          <t>A 12636-2023</t>
        </is>
      </c>
      <c r="B7849" s="1" t="n">
        <v>44999</v>
      </c>
      <c r="C7849" s="1" t="n">
        <v>45363</v>
      </c>
      <c r="D7849" t="inlineStr">
        <is>
          <t>JÄMTLANDS LÄN</t>
        </is>
      </c>
      <c r="E7849" t="inlineStr">
        <is>
          <t>BERG</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12520-2023</t>
        </is>
      </c>
      <c r="B7850" s="1" t="n">
        <v>45000</v>
      </c>
      <c r="C7850" s="1" t="n">
        <v>45363</v>
      </c>
      <c r="D7850" t="inlineStr">
        <is>
          <t>JÄMTLANDS LÄN</t>
        </is>
      </c>
      <c r="E7850" t="inlineStr">
        <is>
          <t>KROKOM</t>
        </is>
      </c>
      <c r="F7850" t="inlineStr">
        <is>
          <t>SCA</t>
        </is>
      </c>
      <c r="G7850" t="n">
        <v>12.6</v>
      </c>
      <c r="H7850" t="n">
        <v>0</v>
      </c>
      <c r="I7850" t="n">
        <v>0</v>
      </c>
      <c r="J7850" t="n">
        <v>0</v>
      </c>
      <c r="K7850" t="n">
        <v>0</v>
      </c>
      <c r="L7850" t="n">
        <v>0</v>
      </c>
      <c r="M7850" t="n">
        <v>0</v>
      </c>
      <c r="N7850" t="n">
        <v>0</v>
      </c>
      <c r="O7850" t="n">
        <v>0</v>
      </c>
      <c r="P7850" t="n">
        <v>0</v>
      </c>
      <c r="Q7850" t="n">
        <v>0</v>
      </c>
      <c r="R7850" s="2" t="inlineStr"/>
    </row>
    <row r="7851" ht="15" customHeight="1">
      <c r="A7851" t="inlineStr">
        <is>
          <t>A 12663-2023</t>
        </is>
      </c>
      <c r="B7851" s="1" t="n">
        <v>45000</v>
      </c>
      <c r="C7851" s="1" t="n">
        <v>45363</v>
      </c>
      <c r="D7851" t="inlineStr">
        <is>
          <t>JÄMTLANDS LÄN</t>
        </is>
      </c>
      <c r="E7851" t="inlineStr">
        <is>
          <t>ÅRE</t>
        </is>
      </c>
      <c r="F7851" t="inlineStr">
        <is>
          <t>Övriga Aktiebolag</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12669-2023</t>
        </is>
      </c>
      <c r="B7852" s="1" t="n">
        <v>45000</v>
      </c>
      <c r="C7852" s="1" t="n">
        <v>45363</v>
      </c>
      <c r="D7852" t="inlineStr">
        <is>
          <t>JÄMTLANDS LÄN</t>
        </is>
      </c>
      <c r="E7852" t="inlineStr">
        <is>
          <t>ÅRE</t>
        </is>
      </c>
      <c r="F7852" t="inlineStr">
        <is>
          <t>Övriga Aktiebolag</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12523-2023</t>
        </is>
      </c>
      <c r="B7853" s="1" t="n">
        <v>45000</v>
      </c>
      <c r="C7853" s="1" t="n">
        <v>45363</v>
      </c>
      <c r="D7853" t="inlineStr">
        <is>
          <t>JÄMTLANDS LÄN</t>
        </is>
      </c>
      <c r="E7853" t="inlineStr">
        <is>
          <t>RAGUNDA</t>
        </is>
      </c>
      <c r="F7853" t="inlineStr">
        <is>
          <t>SCA</t>
        </is>
      </c>
      <c r="G7853" t="n">
        <v>14.3</v>
      </c>
      <c r="H7853" t="n">
        <v>0</v>
      </c>
      <c r="I7853" t="n">
        <v>0</v>
      </c>
      <c r="J7853" t="n">
        <v>0</v>
      </c>
      <c r="K7853" t="n">
        <v>0</v>
      </c>
      <c r="L7853" t="n">
        <v>0</v>
      </c>
      <c r="M7853" t="n">
        <v>0</v>
      </c>
      <c r="N7853" t="n">
        <v>0</v>
      </c>
      <c r="O7853" t="n">
        <v>0</v>
      </c>
      <c r="P7853" t="n">
        <v>0</v>
      </c>
      <c r="Q7853" t="n">
        <v>0</v>
      </c>
      <c r="R7853" s="2" t="inlineStr"/>
    </row>
    <row r="7854" ht="15" customHeight="1">
      <c r="A7854" t="inlineStr">
        <is>
          <t>A 12518-2023</t>
        </is>
      </c>
      <c r="B7854" s="1" t="n">
        <v>45000</v>
      </c>
      <c r="C7854" s="1" t="n">
        <v>45363</v>
      </c>
      <c r="D7854" t="inlineStr">
        <is>
          <t>JÄMTLANDS LÄN</t>
        </is>
      </c>
      <c r="E7854" t="inlineStr">
        <is>
          <t>BRÄCKE</t>
        </is>
      </c>
      <c r="G7854" t="n">
        <v>9.199999999999999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12522-2023</t>
        </is>
      </c>
      <c r="B7855" s="1" t="n">
        <v>45000</v>
      </c>
      <c r="C7855" s="1" t="n">
        <v>45363</v>
      </c>
      <c r="D7855" t="inlineStr">
        <is>
          <t>JÄMTLANDS LÄN</t>
        </is>
      </c>
      <c r="E7855" t="inlineStr">
        <is>
          <t>RAGUNDA</t>
        </is>
      </c>
      <c r="F7855" t="inlineStr">
        <is>
          <t>SCA</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12521-2023</t>
        </is>
      </c>
      <c r="B7856" s="1" t="n">
        <v>45000</v>
      </c>
      <c r="C7856" s="1" t="n">
        <v>45363</v>
      </c>
      <c r="D7856" t="inlineStr">
        <is>
          <t>JÄMTLANDS LÄN</t>
        </is>
      </c>
      <c r="E7856" t="inlineStr">
        <is>
          <t>RAGUNDA</t>
        </is>
      </c>
      <c r="F7856" t="inlineStr">
        <is>
          <t>SCA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12625-2023</t>
        </is>
      </c>
      <c r="B7857" s="1" t="n">
        <v>45000</v>
      </c>
      <c r="C7857" s="1" t="n">
        <v>45363</v>
      </c>
      <c r="D7857" t="inlineStr">
        <is>
          <t>JÄMTLANDS LÄN</t>
        </is>
      </c>
      <c r="E7857" t="inlineStr">
        <is>
          <t>HÄRJEDALEN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12644-2023</t>
        </is>
      </c>
      <c r="B7858" s="1" t="n">
        <v>45000</v>
      </c>
      <c r="C7858" s="1" t="n">
        <v>45363</v>
      </c>
      <c r="D7858" t="inlineStr">
        <is>
          <t>JÄMTLANDS LÄN</t>
        </is>
      </c>
      <c r="E7858" t="inlineStr">
        <is>
          <t>STRÖMSUND</t>
        </is>
      </c>
      <c r="F7858" t="inlineStr">
        <is>
          <t>Kyrkan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12783-2023</t>
        </is>
      </c>
      <c r="B7859" s="1" t="n">
        <v>45000</v>
      </c>
      <c r="C7859" s="1" t="n">
        <v>45363</v>
      </c>
      <c r="D7859" t="inlineStr">
        <is>
          <t>JÄMTLANDS LÄN</t>
        </is>
      </c>
      <c r="E7859" t="inlineStr">
        <is>
          <t>RAGUNDA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12813-2023</t>
        </is>
      </c>
      <c r="B7860" s="1" t="n">
        <v>45000</v>
      </c>
      <c r="C7860" s="1" t="n">
        <v>45363</v>
      </c>
      <c r="D7860" t="inlineStr">
        <is>
          <t>JÄMTLANDS LÄN</t>
        </is>
      </c>
      <c r="E7860" t="inlineStr">
        <is>
          <t>KROKOM</t>
        </is>
      </c>
      <c r="G7860" t="n">
        <v>9.800000000000001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12731-2023</t>
        </is>
      </c>
      <c r="B7861" s="1" t="n">
        <v>45000</v>
      </c>
      <c r="C7861" s="1" t="n">
        <v>45363</v>
      </c>
      <c r="D7861" t="inlineStr">
        <is>
          <t>JÄMTLANDS LÄN</t>
        </is>
      </c>
      <c r="E7861" t="inlineStr">
        <is>
          <t>STRÖMSUND</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12750-2023</t>
        </is>
      </c>
      <c r="B7862" s="1" t="n">
        <v>45000</v>
      </c>
      <c r="C7862" s="1" t="n">
        <v>45363</v>
      </c>
      <c r="D7862" t="inlineStr">
        <is>
          <t>JÄMTLANDS LÄN</t>
        </is>
      </c>
      <c r="E7862" t="inlineStr">
        <is>
          <t>RAGUNDA</t>
        </is>
      </c>
      <c r="F7862" t="inlineStr">
        <is>
          <t>Naturvårdsverket</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12816-2023</t>
        </is>
      </c>
      <c r="B7863" s="1" t="n">
        <v>45000</v>
      </c>
      <c r="C7863" s="1" t="n">
        <v>45363</v>
      </c>
      <c r="D7863" t="inlineStr">
        <is>
          <t>JÄMTLANDS LÄN</t>
        </is>
      </c>
      <c r="E7863" t="inlineStr">
        <is>
          <t>ÅRE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12821-2023</t>
        </is>
      </c>
      <c r="B7864" s="1" t="n">
        <v>45000</v>
      </c>
      <c r="C7864" s="1" t="n">
        <v>45363</v>
      </c>
      <c r="D7864" t="inlineStr">
        <is>
          <t>JÄMTLANDS LÄN</t>
        </is>
      </c>
      <c r="E7864" t="inlineStr">
        <is>
          <t>ÖSTERSUND</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12774-2023</t>
        </is>
      </c>
      <c r="B7865" s="1" t="n">
        <v>45001</v>
      </c>
      <c r="C7865" s="1" t="n">
        <v>45363</v>
      </c>
      <c r="D7865" t="inlineStr">
        <is>
          <t>JÄMTLANDS LÄN</t>
        </is>
      </c>
      <c r="E7865" t="inlineStr">
        <is>
          <t>BERG</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12900-2023</t>
        </is>
      </c>
      <c r="B7866" s="1" t="n">
        <v>45001</v>
      </c>
      <c r="C7866" s="1" t="n">
        <v>45363</v>
      </c>
      <c r="D7866" t="inlineStr">
        <is>
          <t>JÄMTLANDS LÄN</t>
        </is>
      </c>
      <c r="E7866" t="inlineStr">
        <is>
          <t>BRÄCKE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12921-2023</t>
        </is>
      </c>
      <c r="B7867" s="1" t="n">
        <v>45001</v>
      </c>
      <c r="C7867" s="1" t="n">
        <v>45363</v>
      </c>
      <c r="D7867" t="inlineStr">
        <is>
          <t>JÄMTLANDS LÄN</t>
        </is>
      </c>
      <c r="E7867" t="inlineStr">
        <is>
          <t>HÄRJEDALEN</t>
        </is>
      </c>
      <c r="G7867" t="n">
        <v>13.9</v>
      </c>
      <c r="H7867" t="n">
        <v>0</v>
      </c>
      <c r="I7867" t="n">
        <v>0</v>
      </c>
      <c r="J7867" t="n">
        <v>0</v>
      </c>
      <c r="K7867" t="n">
        <v>0</v>
      </c>
      <c r="L7867" t="n">
        <v>0</v>
      </c>
      <c r="M7867" t="n">
        <v>0</v>
      </c>
      <c r="N7867" t="n">
        <v>0</v>
      </c>
      <c r="O7867" t="n">
        <v>0</v>
      </c>
      <c r="P7867" t="n">
        <v>0</v>
      </c>
      <c r="Q7867" t="n">
        <v>0</v>
      </c>
      <c r="R7867" s="2" t="inlineStr"/>
    </row>
    <row r="7868" ht="15" customHeight="1">
      <c r="A7868" t="inlineStr">
        <is>
          <t>A 13033-2023</t>
        </is>
      </c>
      <c r="B7868" s="1" t="n">
        <v>45001</v>
      </c>
      <c r="C7868" s="1" t="n">
        <v>45363</v>
      </c>
      <c r="D7868" t="inlineStr">
        <is>
          <t>JÄMTLANDS LÄN</t>
        </is>
      </c>
      <c r="E7868" t="inlineStr">
        <is>
          <t>BRÄCKE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13019-2023</t>
        </is>
      </c>
      <c r="B7869" s="1" t="n">
        <v>45001</v>
      </c>
      <c r="C7869" s="1" t="n">
        <v>45363</v>
      </c>
      <c r="D7869" t="inlineStr">
        <is>
          <t>JÄMTLANDS LÄN</t>
        </is>
      </c>
      <c r="E7869" t="inlineStr">
        <is>
          <t>BRÄCKE</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12971-2023</t>
        </is>
      </c>
      <c r="B7870" s="1" t="n">
        <v>45001</v>
      </c>
      <c r="C7870" s="1" t="n">
        <v>45363</v>
      </c>
      <c r="D7870" t="inlineStr">
        <is>
          <t>JÄMTLANDS LÄN</t>
        </is>
      </c>
      <c r="E7870" t="inlineStr">
        <is>
          <t>STRÖMSUND</t>
        </is>
      </c>
      <c r="G7870" t="n">
        <v>15.7</v>
      </c>
      <c r="H7870" t="n">
        <v>0</v>
      </c>
      <c r="I7870" t="n">
        <v>0</v>
      </c>
      <c r="J7870" t="n">
        <v>0</v>
      </c>
      <c r="K7870" t="n">
        <v>0</v>
      </c>
      <c r="L7870" t="n">
        <v>0</v>
      </c>
      <c r="M7870" t="n">
        <v>0</v>
      </c>
      <c r="N7870" t="n">
        <v>0</v>
      </c>
      <c r="O7870" t="n">
        <v>0</v>
      </c>
      <c r="P7870" t="n">
        <v>0</v>
      </c>
      <c r="Q7870" t="n">
        <v>0</v>
      </c>
      <c r="R7870" s="2" t="inlineStr"/>
    </row>
    <row r="7871" ht="15" customHeight="1">
      <c r="A7871" t="inlineStr">
        <is>
          <t>A 12977-2023</t>
        </is>
      </c>
      <c r="B7871" s="1" t="n">
        <v>45001</v>
      </c>
      <c r="C7871" s="1" t="n">
        <v>45363</v>
      </c>
      <c r="D7871" t="inlineStr">
        <is>
          <t>JÄMTLANDS LÄN</t>
        </is>
      </c>
      <c r="E7871" t="inlineStr">
        <is>
          <t>BRÄCKE</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12993-2023</t>
        </is>
      </c>
      <c r="B7872" s="1" t="n">
        <v>45002</v>
      </c>
      <c r="C7872" s="1" t="n">
        <v>45363</v>
      </c>
      <c r="D7872" t="inlineStr">
        <is>
          <t>JÄMTLANDS LÄN</t>
        </is>
      </c>
      <c r="E7872" t="inlineStr">
        <is>
          <t>STRÖMSUND</t>
        </is>
      </c>
      <c r="F7872" t="inlineStr">
        <is>
          <t>SCA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12995-2023</t>
        </is>
      </c>
      <c r="B7873" s="1" t="n">
        <v>45002</v>
      </c>
      <c r="C7873" s="1" t="n">
        <v>45363</v>
      </c>
      <c r="D7873" t="inlineStr">
        <is>
          <t>JÄMTLANDS LÄN</t>
        </is>
      </c>
      <c r="E7873" t="inlineStr">
        <is>
          <t>RAGUNDA</t>
        </is>
      </c>
      <c r="F7873" t="inlineStr">
        <is>
          <t>SCA</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12994-2023</t>
        </is>
      </c>
      <c r="B7874" s="1" t="n">
        <v>45002</v>
      </c>
      <c r="C7874" s="1" t="n">
        <v>45363</v>
      </c>
      <c r="D7874" t="inlineStr">
        <is>
          <t>JÄMTLANDS LÄN</t>
        </is>
      </c>
      <c r="E7874" t="inlineStr">
        <is>
          <t>STRÖMSUND</t>
        </is>
      </c>
      <c r="F7874" t="inlineStr">
        <is>
          <t>SCA</t>
        </is>
      </c>
      <c r="G7874" t="n">
        <v>14.5</v>
      </c>
      <c r="H7874" t="n">
        <v>0</v>
      </c>
      <c r="I7874" t="n">
        <v>0</v>
      </c>
      <c r="J7874" t="n">
        <v>0</v>
      </c>
      <c r="K7874" t="n">
        <v>0</v>
      </c>
      <c r="L7874" t="n">
        <v>0</v>
      </c>
      <c r="M7874" t="n">
        <v>0</v>
      </c>
      <c r="N7874" t="n">
        <v>0</v>
      </c>
      <c r="O7874" t="n">
        <v>0</v>
      </c>
      <c r="P7874" t="n">
        <v>0</v>
      </c>
      <c r="Q7874" t="n">
        <v>0</v>
      </c>
      <c r="R7874" s="2" t="inlineStr"/>
    </row>
    <row r="7875" ht="15" customHeight="1">
      <c r="A7875" t="inlineStr">
        <is>
          <t>A 13166-2023</t>
        </is>
      </c>
      <c r="B7875" s="1" t="n">
        <v>45002</v>
      </c>
      <c r="C7875" s="1" t="n">
        <v>45363</v>
      </c>
      <c r="D7875" t="inlineStr">
        <is>
          <t>JÄMTLANDS LÄN</t>
        </is>
      </c>
      <c r="E7875" t="inlineStr">
        <is>
          <t>ÖSTERSUND</t>
        </is>
      </c>
      <c r="F7875" t="inlineStr">
        <is>
          <t>Övriga statliga verk och myndigheter</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13148-2023</t>
        </is>
      </c>
      <c r="B7876" s="1" t="n">
        <v>45002</v>
      </c>
      <c r="C7876" s="1" t="n">
        <v>45363</v>
      </c>
      <c r="D7876" t="inlineStr">
        <is>
          <t>JÄMTLANDS LÄN</t>
        </is>
      </c>
      <c r="E7876" t="inlineStr">
        <is>
          <t>ÖSTERSUND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13152-2023</t>
        </is>
      </c>
      <c r="B7877" s="1" t="n">
        <v>45002</v>
      </c>
      <c r="C7877" s="1" t="n">
        <v>45363</v>
      </c>
      <c r="D7877" t="inlineStr">
        <is>
          <t>JÄMTLANDS LÄN</t>
        </is>
      </c>
      <c r="E7877" t="inlineStr">
        <is>
          <t>ÖSTERSUND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13246-2023</t>
        </is>
      </c>
      <c r="B7878" s="1" t="n">
        <v>45002</v>
      </c>
      <c r="C7878" s="1" t="n">
        <v>45363</v>
      </c>
      <c r="D7878" t="inlineStr">
        <is>
          <t>JÄMTLANDS LÄN</t>
        </is>
      </c>
      <c r="E7878" t="inlineStr">
        <is>
          <t>RAGUNDA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13258-2023</t>
        </is>
      </c>
      <c r="B7879" s="1" t="n">
        <v>45002</v>
      </c>
      <c r="C7879" s="1" t="n">
        <v>45363</v>
      </c>
      <c r="D7879" t="inlineStr">
        <is>
          <t>JÄMTLANDS LÄN</t>
        </is>
      </c>
      <c r="E7879" t="inlineStr">
        <is>
          <t>BRÄCKE</t>
        </is>
      </c>
      <c r="F7879" t="inlineStr">
        <is>
          <t>SCA</t>
        </is>
      </c>
      <c r="G7879" t="n">
        <v>14.3</v>
      </c>
      <c r="H7879" t="n">
        <v>0</v>
      </c>
      <c r="I7879" t="n">
        <v>0</v>
      </c>
      <c r="J7879" t="n">
        <v>0</v>
      </c>
      <c r="K7879" t="n">
        <v>0</v>
      </c>
      <c r="L7879" t="n">
        <v>0</v>
      </c>
      <c r="M7879" t="n">
        <v>0</v>
      </c>
      <c r="N7879" t="n">
        <v>0</v>
      </c>
      <c r="O7879" t="n">
        <v>0</v>
      </c>
      <c r="P7879" t="n">
        <v>0</v>
      </c>
      <c r="Q7879" t="n">
        <v>0</v>
      </c>
      <c r="R7879" s="2" t="inlineStr"/>
    </row>
    <row r="7880" ht="15" customHeight="1">
      <c r="A7880" t="inlineStr">
        <is>
          <t>A 13244-2023</t>
        </is>
      </c>
      <c r="B7880" s="1" t="n">
        <v>45002</v>
      </c>
      <c r="C7880" s="1" t="n">
        <v>45363</v>
      </c>
      <c r="D7880" t="inlineStr">
        <is>
          <t>JÄMTLANDS LÄN</t>
        </is>
      </c>
      <c r="E7880" t="inlineStr">
        <is>
          <t>BRÄCKE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13282-2023</t>
        </is>
      </c>
      <c r="B7881" s="1" t="n">
        <v>45004</v>
      </c>
      <c r="C7881" s="1" t="n">
        <v>45363</v>
      </c>
      <c r="D7881" t="inlineStr">
        <is>
          <t>JÄMTLANDS LÄN</t>
        </is>
      </c>
      <c r="E7881" t="inlineStr">
        <is>
          <t>ÖSTERSUND</t>
        </is>
      </c>
      <c r="G7881" t="n">
        <v>28.5</v>
      </c>
      <c r="H7881" t="n">
        <v>0</v>
      </c>
      <c r="I7881" t="n">
        <v>0</v>
      </c>
      <c r="J7881" t="n">
        <v>0</v>
      </c>
      <c r="K7881" t="n">
        <v>0</v>
      </c>
      <c r="L7881" t="n">
        <v>0</v>
      </c>
      <c r="M7881" t="n">
        <v>0</v>
      </c>
      <c r="N7881" t="n">
        <v>0</v>
      </c>
      <c r="O7881" t="n">
        <v>0</v>
      </c>
      <c r="P7881" t="n">
        <v>0</v>
      </c>
      <c r="Q7881" t="n">
        <v>0</v>
      </c>
      <c r="R7881" s="2" t="inlineStr"/>
    </row>
    <row r="7882" ht="15" customHeight="1">
      <c r="A7882" t="inlineStr">
        <is>
          <t>A 13648-2023</t>
        </is>
      </c>
      <c r="B7882" s="1" t="n">
        <v>45006</v>
      </c>
      <c r="C7882" s="1" t="n">
        <v>45363</v>
      </c>
      <c r="D7882" t="inlineStr">
        <is>
          <t>JÄMTLANDS LÄN</t>
        </is>
      </c>
      <c r="E7882" t="inlineStr">
        <is>
          <t>ÅRE</t>
        </is>
      </c>
      <c r="F7882" t="inlineStr">
        <is>
          <t>Övriga Aktiebolag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13631-2023</t>
        </is>
      </c>
      <c r="B7883" s="1" t="n">
        <v>45006</v>
      </c>
      <c r="C7883" s="1" t="n">
        <v>45363</v>
      </c>
      <c r="D7883" t="inlineStr">
        <is>
          <t>JÄMTLANDS LÄN</t>
        </is>
      </c>
      <c r="E7883" t="inlineStr">
        <is>
          <t>ÅRE</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13685-2023</t>
        </is>
      </c>
      <c r="B7884" s="1" t="n">
        <v>45006</v>
      </c>
      <c r="C7884" s="1" t="n">
        <v>45363</v>
      </c>
      <c r="D7884" t="inlineStr">
        <is>
          <t>JÄMTLANDS LÄN</t>
        </is>
      </c>
      <c r="E7884" t="inlineStr">
        <is>
          <t>STRÖMSUND</t>
        </is>
      </c>
      <c r="G7884" t="n">
        <v>11.4</v>
      </c>
      <c r="H7884" t="n">
        <v>0</v>
      </c>
      <c r="I7884" t="n">
        <v>0</v>
      </c>
      <c r="J7884" t="n">
        <v>0</v>
      </c>
      <c r="K7884" t="n">
        <v>0</v>
      </c>
      <c r="L7884" t="n">
        <v>0</v>
      </c>
      <c r="M7884" t="n">
        <v>0</v>
      </c>
      <c r="N7884" t="n">
        <v>0</v>
      </c>
      <c r="O7884" t="n">
        <v>0</v>
      </c>
      <c r="P7884" t="n">
        <v>0</v>
      </c>
      <c r="Q7884" t="n">
        <v>0</v>
      </c>
      <c r="R7884" s="2" t="inlineStr"/>
    </row>
    <row r="7885" ht="15" customHeight="1">
      <c r="A7885" t="inlineStr">
        <is>
          <t>A 13703-2023</t>
        </is>
      </c>
      <c r="B7885" s="1" t="n">
        <v>45006</v>
      </c>
      <c r="C7885" s="1" t="n">
        <v>45363</v>
      </c>
      <c r="D7885" t="inlineStr">
        <is>
          <t>JÄMTLANDS LÄN</t>
        </is>
      </c>
      <c r="E7885" t="inlineStr">
        <is>
          <t>KROKOM</t>
        </is>
      </c>
      <c r="F7885" t="inlineStr">
        <is>
          <t>SCA</t>
        </is>
      </c>
      <c r="G7885" t="n">
        <v>22.2</v>
      </c>
      <c r="H7885" t="n">
        <v>0</v>
      </c>
      <c r="I7885" t="n">
        <v>0</v>
      </c>
      <c r="J7885" t="n">
        <v>0</v>
      </c>
      <c r="K7885" t="n">
        <v>0</v>
      </c>
      <c r="L7885" t="n">
        <v>0</v>
      </c>
      <c r="M7885" t="n">
        <v>0</v>
      </c>
      <c r="N7885" t="n">
        <v>0</v>
      </c>
      <c r="O7885" t="n">
        <v>0</v>
      </c>
      <c r="P7885" t="n">
        <v>0</v>
      </c>
      <c r="Q7885" t="n">
        <v>0</v>
      </c>
      <c r="R7885" s="2" t="inlineStr"/>
    </row>
    <row r="7886" ht="15" customHeight="1">
      <c r="A7886" t="inlineStr">
        <is>
          <t>A 13684-2023</t>
        </is>
      </c>
      <c r="B7886" s="1" t="n">
        <v>45006</v>
      </c>
      <c r="C7886" s="1" t="n">
        <v>45363</v>
      </c>
      <c r="D7886" t="inlineStr">
        <is>
          <t>JÄMTLANDS LÄN</t>
        </is>
      </c>
      <c r="E7886" t="inlineStr">
        <is>
          <t>STRÖMSUND</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13645-2023</t>
        </is>
      </c>
      <c r="B7887" s="1" t="n">
        <v>45006</v>
      </c>
      <c r="C7887" s="1" t="n">
        <v>45363</v>
      </c>
      <c r="D7887" t="inlineStr">
        <is>
          <t>JÄMTLANDS LÄN</t>
        </is>
      </c>
      <c r="E7887" t="inlineStr">
        <is>
          <t>ÅRE</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13687-2023</t>
        </is>
      </c>
      <c r="B7888" s="1" t="n">
        <v>45006</v>
      </c>
      <c r="C7888" s="1" t="n">
        <v>45363</v>
      </c>
      <c r="D7888" t="inlineStr">
        <is>
          <t>JÄMTLANDS LÄN</t>
        </is>
      </c>
      <c r="E7888" t="inlineStr">
        <is>
          <t>STRÖMSUND</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13686-2023</t>
        </is>
      </c>
      <c r="B7889" s="1" t="n">
        <v>45006</v>
      </c>
      <c r="C7889" s="1" t="n">
        <v>45363</v>
      </c>
      <c r="D7889" t="inlineStr">
        <is>
          <t>JÄMTLANDS LÄN</t>
        </is>
      </c>
      <c r="E7889" t="inlineStr">
        <is>
          <t>STRÖMSUND</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13700-2023</t>
        </is>
      </c>
      <c r="B7890" s="1" t="n">
        <v>45006</v>
      </c>
      <c r="C7890" s="1" t="n">
        <v>45363</v>
      </c>
      <c r="D7890" t="inlineStr">
        <is>
          <t>JÄMTLANDS LÄN</t>
        </is>
      </c>
      <c r="E7890" t="inlineStr">
        <is>
          <t>RAGUNDA</t>
        </is>
      </c>
      <c r="F7890" t="inlineStr">
        <is>
          <t>SCA</t>
        </is>
      </c>
      <c r="G7890" t="n">
        <v>50.3</v>
      </c>
      <c r="H7890" t="n">
        <v>0</v>
      </c>
      <c r="I7890" t="n">
        <v>0</v>
      </c>
      <c r="J7890" t="n">
        <v>0</v>
      </c>
      <c r="K7890" t="n">
        <v>0</v>
      </c>
      <c r="L7890" t="n">
        <v>0</v>
      </c>
      <c r="M7890" t="n">
        <v>0</v>
      </c>
      <c r="N7890" t="n">
        <v>0</v>
      </c>
      <c r="O7890" t="n">
        <v>0</v>
      </c>
      <c r="P7890" t="n">
        <v>0</v>
      </c>
      <c r="Q7890" t="n">
        <v>0</v>
      </c>
      <c r="R7890" s="2" t="inlineStr"/>
    </row>
    <row r="7891" ht="15" customHeight="1">
      <c r="A7891" t="inlineStr">
        <is>
          <t>A 13709-2023</t>
        </is>
      </c>
      <c r="B7891" s="1" t="n">
        <v>45006</v>
      </c>
      <c r="C7891" s="1" t="n">
        <v>45363</v>
      </c>
      <c r="D7891" t="inlineStr">
        <is>
          <t>JÄMTLANDS LÄN</t>
        </is>
      </c>
      <c r="E7891" t="inlineStr">
        <is>
          <t>BRÄCKE</t>
        </is>
      </c>
      <c r="F7891" t="inlineStr">
        <is>
          <t>SCA</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13708-2023</t>
        </is>
      </c>
      <c r="B7892" s="1" t="n">
        <v>45006</v>
      </c>
      <c r="C7892" s="1" t="n">
        <v>45363</v>
      </c>
      <c r="D7892" t="inlineStr">
        <is>
          <t>JÄMTLANDS LÄN</t>
        </is>
      </c>
      <c r="E7892" t="inlineStr">
        <is>
          <t>BRÄCKE</t>
        </is>
      </c>
      <c r="F7892" t="inlineStr">
        <is>
          <t>SCA</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13707-2023</t>
        </is>
      </c>
      <c r="B7893" s="1" t="n">
        <v>45006</v>
      </c>
      <c r="C7893" s="1" t="n">
        <v>45363</v>
      </c>
      <c r="D7893" t="inlineStr">
        <is>
          <t>JÄMTLANDS LÄN</t>
        </is>
      </c>
      <c r="E7893" t="inlineStr">
        <is>
          <t>BRÄCKE</t>
        </is>
      </c>
      <c r="F7893" t="inlineStr">
        <is>
          <t>SCA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13774-2023</t>
        </is>
      </c>
      <c r="B7894" s="1" t="n">
        <v>45007</v>
      </c>
      <c r="C7894" s="1" t="n">
        <v>45363</v>
      </c>
      <c r="D7894" t="inlineStr">
        <is>
          <t>JÄMTLANDS LÄN</t>
        </is>
      </c>
      <c r="E7894" t="inlineStr">
        <is>
          <t>HÄRJEDALEN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13917-2023</t>
        </is>
      </c>
      <c r="B7895" s="1" t="n">
        <v>45007</v>
      </c>
      <c r="C7895" s="1" t="n">
        <v>45363</v>
      </c>
      <c r="D7895" t="inlineStr">
        <is>
          <t>JÄMTLANDS LÄN</t>
        </is>
      </c>
      <c r="E7895" t="inlineStr">
        <is>
          <t>RAGUNDA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13900-2023</t>
        </is>
      </c>
      <c r="B7896" s="1" t="n">
        <v>45008</v>
      </c>
      <c r="C7896" s="1" t="n">
        <v>45363</v>
      </c>
      <c r="D7896" t="inlineStr">
        <is>
          <t>JÄMTLANDS LÄN</t>
        </is>
      </c>
      <c r="E7896" t="inlineStr">
        <is>
          <t>RAGUNDA</t>
        </is>
      </c>
      <c r="F7896" t="inlineStr">
        <is>
          <t>SCA</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13898-2023</t>
        </is>
      </c>
      <c r="B7897" s="1" t="n">
        <v>45008</v>
      </c>
      <c r="C7897" s="1" t="n">
        <v>45363</v>
      </c>
      <c r="D7897" t="inlineStr">
        <is>
          <t>JÄMTLANDS LÄN</t>
        </is>
      </c>
      <c r="E7897" t="inlineStr">
        <is>
          <t>RAGUNDA</t>
        </is>
      </c>
      <c r="F7897" t="inlineStr">
        <is>
          <t>SCA</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13921-2023</t>
        </is>
      </c>
      <c r="B7898" s="1" t="n">
        <v>45008</v>
      </c>
      <c r="C7898" s="1" t="n">
        <v>45363</v>
      </c>
      <c r="D7898" t="inlineStr">
        <is>
          <t>JÄMTLANDS LÄN</t>
        </is>
      </c>
      <c r="E7898" t="inlineStr">
        <is>
          <t>ÖSTERSUND</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13925-2023</t>
        </is>
      </c>
      <c r="B7899" s="1" t="n">
        <v>45008</v>
      </c>
      <c r="C7899" s="1" t="n">
        <v>45363</v>
      </c>
      <c r="D7899" t="inlineStr">
        <is>
          <t>JÄMTLANDS LÄN</t>
        </is>
      </c>
      <c r="E7899" t="inlineStr">
        <is>
          <t>BRÄCKE</t>
        </is>
      </c>
      <c r="F7899" t="inlineStr">
        <is>
          <t>Kyrkan</t>
        </is>
      </c>
      <c r="G7899" t="n">
        <v>15.1</v>
      </c>
      <c r="H7899" t="n">
        <v>0</v>
      </c>
      <c r="I7899" t="n">
        <v>0</v>
      </c>
      <c r="J7899" t="n">
        <v>0</v>
      </c>
      <c r="K7899" t="n">
        <v>0</v>
      </c>
      <c r="L7899" t="n">
        <v>0</v>
      </c>
      <c r="M7899" t="n">
        <v>0</v>
      </c>
      <c r="N7899" t="n">
        <v>0</v>
      </c>
      <c r="O7899" t="n">
        <v>0</v>
      </c>
      <c r="P7899" t="n">
        <v>0</v>
      </c>
      <c r="Q7899" t="n">
        <v>0</v>
      </c>
      <c r="R7899" s="2" t="inlineStr"/>
    </row>
    <row r="7900" ht="15" customHeight="1">
      <c r="A7900" t="inlineStr">
        <is>
          <t>A 13999-2023</t>
        </is>
      </c>
      <c r="B7900" s="1" t="n">
        <v>45008</v>
      </c>
      <c r="C7900" s="1" t="n">
        <v>45363</v>
      </c>
      <c r="D7900" t="inlineStr">
        <is>
          <t>JÄMTLANDS LÄN</t>
        </is>
      </c>
      <c r="E7900" t="inlineStr">
        <is>
          <t>BRÄCKE</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14070-2023</t>
        </is>
      </c>
      <c r="B7901" s="1" t="n">
        <v>45008</v>
      </c>
      <c r="C7901" s="1" t="n">
        <v>45363</v>
      </c>
      <c r="D7901" t="inlineStr">
        <is>
          <t>JÄMTLANDS LÄN</t>
        </is>
      </c>
      <c r="E7901" t="inlineStr">
        <is>
          <t>STRÖMSUND</t>
        </is>
      </c>
      <c r="G7901" t="n">
        <v>17.9</v>
      </c>
      <c r="H7901" t="n">
        <v>0</v>
      </c>
      <c r="I7901" t="n">
        <v>0</v>
      </c>
      <c r="J7901" t="n">
        <v>0</v>
      </c>
      <c r="K7901" t="n">
        <v>0</v>
      </c>
      <c r="L7901" t="n">
        <v>0</v>
      </c>
      <c r="M7901" t="n">
        <v>0</v>
      </c>
      <c r="N7901" t="n">
        <v>0</v>
      </c>
      <c r="O7901" t="n">
        <v>0</v>
      </c>
      <c r="P7901" t="n">
        <v>0</v>
      </c>
      <c r="Q7901" t="n">
        <v>0</v>
      </c>
      <c r="R7901" s="2" t="inlineStr"/>
    </row>
    <row r="7902" ht="15" customHeight="1">
      <c r="A7902" t="inlineStr">
        <is>
          <t>A 14160-2023</t>
        </is>
      </c>
      <c r="B7902" s="1" t="n">
        <v>45008</v>
      </c>
      <c r="C7902" s="1" t="n">
        <v>45363</v>
      </c>
      <c r="D7902" t="inlineStr">
        <is>
          <t>JÄMTLANDS LÄN</t>
        </is>
      </c>
      <c r="E7902" t="inlineStr">
        <is>
          <t>BERG</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14069-2023</t>
        </is>
      </c>
      <c r="B7903" s="1" t="n">
        <v>45008</v>
      </c>
      <c r="C7903" s="1" t="n">
        <v>45363</v>
      </c>
      <c r="D7903" t="inlineStr">
        <is>
          <t>JÄMTLANDS LÄN</t>
        </is>
      </c>
      <c r="E7903" t="inlineStr">
        <is>
          <t>STRÖMSUND</t>
        </is>
      </c>
      <c r="G7903" t="n">
        <v>28.2</v>
      </c>
      <c r="H7903" t="n">
        <v>0</v>
      </c>
      <c r="I7903" t="n">
        <v>0</v>
      </c>
      <c r="J7903" t="n">
        <v>0</v>
      </c>
      <c r="K7903" t="n">
        <v>0</v>
      </c>
      <c r="L7903" t="n">
        <v>0</v>
      </c>
      <c r="M7903" t="n">
        <v>0</v>
      </c>
      <c r="N7903" t="n">
        <v>0</v>
      </c>
      <c r="O7903" t="n">
        <v>0</v>
      </c>
      <c r="P7903" t="n">
        <v>0</v>
      </c>
      <c r="Q7903" t="n">
        <v>0</v>
      </c>
      <c r="R7903" s="2" t="inlineStr"/>
    </row>
    <row r="7904" ht="15" customHeight="1">
      <c r="A7904" t="inlineStr">
        <is>
          <t>A 14068-2023</t>
        </is>
      </c>
      <c r="B7904" s="1" t="n">
        <v>45009</v>
      </c>
      <c r="C7904" s="1" t="n">
        <v>45363</v>
      </c>
      <c r="D7904" t="inlineStr">
        <is>
          <t>JÄMTLANDS LÄN</t>
        </is>
      </c>
      <c r="E7904" t="inlineStr">
        <is>
          <t>STRÖMSUND</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14153-2023</t>
        </is>
      </c>
      <c r="B7905" s="1" t="n">
        <v>45008</v>
      </c>
      <c r="C7905" s="1" t="n">
        <v>45363</v>
      </c>
      <c r="D7905" t="inlineStr">
        <is>
          <t>JÄMTLANDS LÄN</t>
        </is>
      </c>
      <c r="E7905" t="inlineStr">
        <is>
          <t>BERG</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14192-2023</t>
        </is>
      </c>
      <c r="B7906" s="1" t="n">
        <v>45009</v>
      </c>
      <c r="C7906" s="1" t="n">
        <v>45363</v>
      </c>
      <c r="D7906" t="inlineStr">
        <is>
          <t>JÄMTLANDS LÄN</t>
        </is>
      </c>
      <c r="E7906" t="inlineStr">
        <is>
          <t>BERG</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14179-2023</t>
        </is>
      </c>
      <c r="B7907" s="1" t="n">
        <v>45009</v>
      </c>
      <c r="C7907" s="1" t="n">
        <v>45363</v>
      </c>
      <c r="D7907" t="inlineStr">
        <is>
          <t>JÄMTLANDS LÄN</t>
        </is>
      </c>
      <c r="E7907" t="inlineStr">
        <is>
          <t>RAGUNDA</t>
        </is>
      </c>
      <c r="G7907" t="n">
        <v>33.8</v>
      </c>
      <c r="H7907" t="n">
        <v>0</v>
      </c>
      <c r="I7907" t="n">
        <v>0</v>
      </c>
      <c r="J7907" t="n">
        <v>0</v>
      </c>
      <c r="K7907" t="n">
        <v>0</v>
      </c>
      <c r="L7907" t="n">
        <v>0</v>
      </c>
      <c r="M7907" t="n">
        <v>0</v>
      </c>
      <c r="N7907" t="n">
        <v>0</v>
      </c>
      <c r="O7907" t="n">
        <v>0</v>
      </c>
      <c r="P7907" t="n">
        <v>0</v>
      </c>
      <c r="Q7907" t="n">
        <v>0</v>
      </c>
      <c r="R7907" s="2" t="inlineStr"/>
    </row>
    <row r="7908" ht="15" customHeight="1">
      <c r="A7908" t="inlineStr">
        <is>
          <t>A 14190-2023</t>
        </is>
      </c>
      <c r="B7908" s="1" t="n">
        <v>45009</v>
      </c>
      <c r="C7908" s="1" t="n">
        <v>45363</v>
      </c>
      <c r="D7908" t="inlineStr">
        <is>
          <t>JÄMTLANDS LÄN</t>
        </is>
      </c>
      <c r="E7908" t="inlineStr">
        <is>
          <t>BERG</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14072-2023</t>
        </is>
      </c>
      <c r="B7909" s="1" t="n">
        <v>45009</v>
      </c>
      <c r="C7909" s="1" t="n">
        <v>45363</v>
      </c>
      <c r="D7909" t="inlineStr">
        <is>
          <t>JÄMTLANDS LÄN</t>
        </is>
      </c>
      <c r="E7909" t="inlineStr">
        <is>
          <t>STRÖMSUND</t>
        </is>
      </c>
      <c r="F7909" t="inlineStr">
        <is>
          <t>SCA</t>
        </is>
      </c>
      <c r="G7909" t="n">
        <v>24.8</v>
      </c>
      <c r="H7909" t="n">
        <v>0</v>
      </c>
      <c r="I7909" t="n">
        <v>0</v>
      </c>
      <c r="J7909" t="n">
        <v>0</v>
      </c>
      <c r="K7909" t="n">
        <v>0</v>
      </c>
      <c r="L7909" t="n">
        <v>0</v>
      </c>
      <c r="M7909" t="n">
        <v>0</v>
      </c>
      <c r="N7909" t="n">
        <v>0</v>
      </c>
      <c r="O7909" t="n">
        <v>0</v>
      </c>
      <c r="P7909" t="n">
        <v>0</v>
      </c>
      <c r="Q7909" t="n">
        <v>0</v>
      </c>
      <c r="R7909" s="2" t="inlineStr"/>
    </row>
    <row r="7910" ht="15" customHeight="1">
      <c r="A7910" t="inlineStr">
        <is>
          <t>A 14198-2023</t>
        </is>
      </c>
      <c r="B7910" s="1" t="n">
        <v>45009</v>
      </c>
      <c r="C7910" s="1" t="n">
        <v>45363</v>
      </c>
      <c r="D7910" t="inlineStr">
        <is>
          <t>JÄMTLANDS LÄN</t>
        </is>
      </c>
      <c r="E7910" t="inlineStr">
        <is>
          <t>BERG</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14074-2023</t>
        </is>
      </c>
      <c r="B7911" s="1" t="n">
        <v>45009</v>
      </c>
      <c r="C7911" s="1" t="n">
        <v>45363</v>
      </c>
      <c r="D7911" t="inlineStr">
        <is>
          <t>JÄMTLANDS LÄN</t>
        </is>
      </c>
      <c r="E7911" t="inlineStr">
        <is>
          <t>RAGUNDA</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14212-2023</t>
        </is>
      </c>
      <c r="B7912" s="1" t="n">
        <v>45009</v>
      </c>
      <c r="C7912" s="1" t="n">
        <v>45363</v>
      </c>
      <c r="D7912" t="inlineStr">
        <is>
          <t>JÄMTLANDS LÄN</t>
        </is>
      </c>
      <c r="E7912" t="inlineStr">
        <is>
          <t>RAGUNDA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14076-2023</t>
        </is>
      </c>
      <c r="B7913" s="1" t="n">
        <v>45009</v>
      </c>
      <c r="C7913" s="1" t="n">
        <v>45363</v>
      </c>
      <c r="D7913" t="inlineStr">
        <is>
          <t>JÄMTLANDS LÄN</t>
        </is>
      </c>
      <c r="E7913" t="inlineStr">
        <is>
          <t>RAGUNDA</t>
        </is>
      </c>
      <c r="F7913" t="inlineStr">
        <is>
          <t>SCA</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14081-2023</t>
        </is>
      </c>
      <c r="B7914" s="1" t="n">
        <v>45009</v>
      </c>
      <c r="C7914" s="1" t="n">
        <v>45363</v>
      </c>
      <c r="D7914" t="inlineStr">
        <is>
          <t>JÄMTLANDS LÄN</t>
        </is>
      </c>
      <c r="E7914" t="inlineStr">
        <is>
          <t>RAGUNDA</t>
        </is>
      </c>
      <c r="F7914" t="inlineStr">
        <is>
          <t>SCA</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14080-2023</t>
        </is>
      </c>
      <c r="B7915" s="1" t="n">
        <v>45009</v>
      </c>
      <c r="C7915" s="1" t="n">
        <v>45363</v>
      </c>
      <c r="D7915" t="inlineStr">
        <is>
          <t>JÄMTLANDS LÄN</t>
        </is>
      </c>
      <c r="E7915" t="inlineStr">
        <is>
          <t>RAGUNDA</t>
        </is>
      </c>
      <c r="F7915" t="inlineStr">
        <is>
          <t>SCA</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14262-2023</t>
        </is>
      </c>
      <c r="B7916" s="1" t="n">
        <v>45009</v>
      </c>
      <c r="C7916" s="1" t="n">
        <v>45363</v>
      </c>
      <c r="D7916" t="inlineStr">
        <is>
          <t>JÄMTLANDS LÄN</t>
        </is>
      </c>
      <c r="E7916" t="inlineStr">
        <is>
          <t>BRÄCKE</t>
        </is>
      </c>
      <c r="F7916" t="inlineStr">
        <is>
          <t>SCA</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14266-2023</t>
        </is>
      </c>
      <c r="B7917" s="1" t="n">
        <v>45010</v>
      </c>
      <c r="C7917" s="1" t="n">
        <v>45363</v>
      </c>
      <c r="D7917" t="inlineStr">
        <is>
          <t>JÄMTLANDS LÄN</t>
        </is>
      </c>
      <c r="E7917" t="inlineStr">
        <is>
          <t>BRÄCKE</t>
        </is>
      </c>
      <c r="F7917" t="inlineStr">
        <is>
          <t>SCA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14274-2023</t>
        </is>
      </c>
      <c r="B7918" s="1" t="n">
        <v>45009</v>
      </c>
      <c r="C7918" s="1" t="n">
        <v>45363</v>
      </c>
      <c r="D7918" t="inlineStr">
        <is>
          <t>JÄMTLANDS LÄN</t>
        </is>
      </c>
      <c r="E7918" t="inlineStr">
        <is>
          <t>BRÄCKE</t>
        </is>
      </c>
      <c r="F7918" t="inlineStr">
        <is>
          <t>SCA</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14275-2023</t>
        </is>
      </c>
      <c r="B7919" s="1" t="n">
        <v>45009</v>
      </c>
      <c r="C7919" s="1" t="n">
        <v>45363</v>
      </c>
      <c r="D7919" t="inlineStr">
        <is>
          <t>JÄMTLANDS LÄN</t>
        </is>
      </c>
      <c r="E7919" t="inlineStr">
        <is>
          <t>BRÄCKE</t>
        </is>
      </c>
      <c r="F7919" t="inlineStr">
        <is>
          <t>SCA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14276-2023</t>
        </is>
      </c>
      <c r="B7920" s="1" t="n">
        <v>45010</v>
      </c>
      <c r="C7920" s="1" t="n">
        <v>45363</v>
      </c>
      <c r="D7920" t="inlineStr">
        <is>
          <t>JÄMTLANDS LÄN</t>
        </is>
      </c>
      <c r="E7920" t="inlineStr">
        <is>
          <t>BRÄCKE</t>
        </is>
      </c>
      <c r="F7920" t="inlineStr">
        <is>
          <t>SCA</t>
        </is>
      </c>
      <c r="G7920" t="n">
        <v>6.5</v>
      </c>
      <c r="H7920" t="n">
        <v>0</v>
      </c>
      <c r="I7920" t="n">
        <v>0</v>
      </c>
      <c r="J7920" t="n">
        <v>0</v>
      </c>
      <c r="K7920" t="n">
        <v>0</v>
      </c>
      <c r="L7920" t="n">
        <v>0</v>
      </c>
      <c r="M7920" t="n">
        <v>0</v>
      </c>
      <c r="N7920" t="n">
        <v>0</v>
      </c>
      <c r="O7920" t="n">
        <v>0</v>
      </c>
      <c r="P7920" t="n">
        <v>0</v>
      </c>
      <c r="Q7920" t="n">
        <v>0</v>
      </c>
      <c r="R7920" s="2" t="inlineStr"/>
    </row>
    <row r="7921" ht="15" customHeight="1">
      <c r="A7921" t="inlineStr">
        <is>
          <t>A 14278-2023</t>
        </is>
      </c>
      <c r="B7921" s="1" t="n">
        <v>45009</v>
      </c>
      <c r="C7921" s="1" t="n">
        <v>45363</v>
      </c>
      <c r="D7921" t="inlineStr">
        <is>
          <t>JÄMTLANDS LÄN</t>
        </is>
      </c>
      <c r="E7921" t="inlineStr">
        <is>
          <t>BRÄCKE</t>
        </is>
      </c>
      <c r="F7921" t="inlineStr">
        <is>
          <t>SCA</t>
        </is>
      </c>
      <c r="G7921" t="n">
        <v>10.1</v>
      </c>
      <c r="H7921" t="n">
        <v>0</v>
      </c>
      <c r="I7921" t="n">
        <v>0</v>
      </c>
      <c r="J7921" t="n">
        <v>0</v>
      </c>
      <c r="K7921" t="n">
        <v>0</v>
      </c>
      <c r="L7921" t="n">
        <v>0</v>
      </c>
      <c r="M7921" t="n">
        <v>0</v>
      </c>
      <c r="N7921" t="n">
        <v>0</v>
      </c>
      <c r="O7921" t="n">
        <v>0</v>
      </c>
      <c r="P7921" t="n">
        <v>0</v>
      </c>
      <c r="Q7921" t="n">
        <v>0</v>
      </c>
      <c r="R7921" s="2" t="inlineStr"/>
    </row>
    <row r="7922" ht="15" customHeight="1">
      <c r="A7922" t="inlineStr">
        <is>
          <t>A 14338-2023</t>
        </is>
      </c>
      <c r="B7922" s="1" t="n">
        <v>45012</v>
      </c>
      <c r="C7922" s="1" t="n">
        <v>45363</v>
      </c>
      <c r="D7922" t="inlineStr">
        <is>
          <t>JÄMTLANDS LÄN</t>
        </is>
      </c>
      <c r="E7922" t="inlineStr">
        <is>
          <t>STRÖMSUND</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14344-2023</t>
        </is>
      </c>
      <c r="B7923" s="1" t="n">
        <v>45012</v>
      </c>
      <c r="C7923" s="1" t="n">
        <v>45363</v>
      </c>
      <c r="D7923" t="inlineStr">
        <is>
          <t>JÄMTLANDS LÄN</t>
        </is>
      </c>
      <c r="E7923" t="inlineStr">
        <is>
          <t>STRÖMSUND</t>
        </is>
      </c>
      <c r="G7923" t="n">
        <v>0.2</v>
      </c>
      <c r="H7923" t="n">
        <v>0</v>
      </c>
      <c r="I7923" t="n">
        <v>0</v>
      </c>
      <c r="J7923" t="n">
        <v>0</v>
      </c>
      <c r="K7923" t="n">
        <v>0</v>
      </c>
      <c r="L7923" t="n">
        <v>0</v>
      </c>
      <c r="M7923" t="n">
        <v>0</v>
      </c>
      <c r="N7923" t="n">
        <v>0</v>
      </c>
      <c r="O7923" t="n">
        <v>0</v>
      </c>
      <c r="P7923" t="n">
        <v>0</v>
      </c>
      <c r="Q7923" t="n">
        <v>0</v>
      </c>
      <c r="R7923" s="2" t="inlineStr"/>
    </row>
    <row r="7924" ht="15" customHeight="1">
      <c r="A7924" t="inlineStr">
        <is>
          <t>A 14371-2023</t>
        </is>
      </c>
      <c r="B7924" s="1" t="n">
        <v>45012</v>
      </c>
      <c r="C7924" s="1" t="n">
        <v>45363</v>
      </c>
      <c r="D7924" t="inlineStr">
        <is>
          <t>JÄMTLANDS LÄN</t>
        </is>
      </c>
      <c r="E7924" t="inlineStr">
        <is>
          <t>STRÖMSUND</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14347-2023</t>
        </is>
      </c>
      <c r="B7925" s="1" t="n">
        <v>45012</v>
      </c>
      <c r="C7925" s="1" t="n">
        <v>45363</v>
      </c>
      <c r="D7925" t="inlineStr">
        <is>
          <t>JÄMTLANDS LÄN</t>
        </is>
      </c>
      <c r="E7925" t="inlineStr">
        <is>
          <t>STRÖMSUND</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14520-2023</t>
        </is>
      </c>
      <c r="B7926" s="1" t="n">
        <v>45012</v>
      </c>
      <c r="C7926" s="1" t="n">
        <v>45363</v>
      </c>
      <c r="D7926" t="inlineStr">
        <is>
          <t>JÄMTLANDS LÄN</t>
        </is>
      </c>
      <c r="E7926" t="inlineStr">
        <is>
          <t>ÖSTERSUND</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14531-2023</t>
        </is>
      </c>
      <c r="B7927" s="1" t="n">
        <v>45013</v>
      </c>
      <c r="C7927" s="1" t="n">
        <v>45363</v>
      </c>
      <c r="D7927" t="inlineStr">
        <is>
          <t>JÄMTLANDS LÄN</t>
        </is>
      </c>
      <c r="E7927" t="inlineStr">
        <is>
          <t>RAGUNDA</t>
        </is>
      </c>
      <c r="F7927" t="inlineStr">
        <is>
          <t>SCA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14631-2023</t>
        </is>
      </c>
      <c r="B7928" s="1" t="n">
        <v>45012</v>
      </c>
      <c r="C7928" s="1" t="n">
        <v>45363</v>
      </c>
      <c r="D7928" t="inlineStr">
        <is>
          <t>JÄMTLANDS LÄN</t>
        </is>
      </c>
      <c r="E7928" t="inlineStr">
        <is>
          <t>HÄRJEDALEN</t>
        </is>
      </c>
      <c r="F7928" t="inlineStr">
        <is>
          <t>Bergvik skog väst AB</t>
        </is>
      </c>
      <c r="G7928" t="n">
        <v>14.2</v>
      </c>
      <c r="H7928" t="n">
        <v>0</v>
      </c>
      <c r="I7928" t="n">
        <v>0</v>
      </c>
      <c r="J7928" t="n">
        <v>0</v>
      </c>
      <c r="K7928" t="n">
        <v>0</v>
      </c>
      <c r="L7928" t="n">
        <v>0</v>
      </c>
      <c r="M7928" t="n">
        <v>0</v>
      </c>
      <c r="N7928" t="n">
        <v>0</v>
      </c>
      <c r="O7928" t="n">
        <v>0</v>
      </c>
      <c r="P7928" t="n">
        <v>0</v>
      </c>
      <c r="Q7928" t="n">
        <v>0</v>
      </c>
      <c r="R7928" s="2" t="inlineStr"/>
    </row>
    <row r="7929" ht="15" customHeight="1">
      <c r="A7929" t="inlineStr">
        <is>
          <t>A 14523-2023</t>
        </is>
      </c>
      <c r="B7929" s="1" t="n">
        <v>45012</v>
      </c>
      <c r="C7929" s="1" t="n">
        <v>45363</v>
      </c>
      <c r="D7929" t="inlineStr">
        <is>
          <t>JÄMTLANDS LÄN</t>
        </is>
      </c>
      <c r="E7929" t="inlineStr">
        <is>
          <t>ÖSTERSUND</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14530-2023</t>
        </is>
      </c>
      <c r="B7930" s="1" t="n">
        <v>45013</v>
      </c>
      <c r="C7930" s="1" t="n">
        <v>45363</v>
      </c>
      <c r="D7930" t="inlineStr">
        <is>
          <t>JÄMTLANDS LÄN</t>
        </is>
      </c>
      <c r="E7930" t="inlineStr">
        <is>
          <t>BRÄCKE</t>
        </is>
      </c>
      <c r="F7930" t="inlineStr">
        <is>
          <t>SCA</t>
        </is>
      </c>
      <c r="G7930" t="n">
        <v>8.199999999999999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14521-2023</t>
        </is>
      </c>
      <c r="B7931" s="1" t="n">
        <v>45013</v>
      </c>
      <c r="C7931" s="1" t="n">
        <v>45363</v>
      </c>
      <c r="D7931" t="inlineStr">
        <is>
          <t>JÄMTLANDS LÄN</t>
        </is>
      </c>
      <c r="E7931" t="inlineStr">
        <is>
          <t>ÖSTERSUND</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14528-2023</t>
        </is>
      </c>
      <c r="B7932" s="1" t="n">
        <v>45012</v>
      </c>
      <c r="C7932" s="1" t="n">
        <v>45363</v>
      </c>
      <c r="D7932" t="inlineStr">
        <is>
          <t>JÄMTLANDS LÄN</t>
        </is>
      </c>
      <c r="E7932" t="inlineStr">
        <is>
          <t>STRÖMSUND</t>
        </is>
      </c>
      <c r="F7932" t="inlineStr">
        <is>
          <t>SCA</t>
        </is>
      </c>
      <c r="G7932" t="n">
        <v>9.6</v>
      </c>
      <c r="H7932" t="n">
        <v>0</v>
      </c>
      <c r="I7932" t="n">
        <v>0</v>
      </c>
      <c r="J7932" t="n">
        <v>0</v>
      </c>
      <c r="K7932" t="n">
        <v>0</v>
      </c>
      <c r="L7932" t="n">
        <v>0</v>
      </c>
      <c r="M7932" t="n">
        <v>0</v>
      </c>
      <c r="N7932" t="n">
        <v>0</v>
      </c>
      <c r="O7932" t="n">
        <v>0</v>
      </c>
      <c r="P7932" t="n">
        <v>0</v>
      </c>
      <c r="Q7932" t="n">
        <v>0</v>
      </c>
      <c r="R7932" s="2" t="inlineStr"/>
    </row>
    <row r="7933" ht="15" customHeight="1">
      <c r="A7933" t="inlineStr">
        <is>
          <t>A 14518-2023</t>
        </is>
      </c>
      <c r="B7933" s="1" t="n">
        <v>45012</v>
      </c>
      <c r="C7933" s="1" t="n">
        <v>45363</v>
      </c>
      <c r="D7933" t="inlineStr">
        <is>
          <t>JÄMTLANDS LÄN</t>
        </is>
      </c>
      <c r="E7933" t="inlineStr">
        <is>
          <t>ÖSTERSUND</t>
        </is>
      </c>
      <c r="G7933" t="n">
        <v>14.4</v>
      </c>
      <c r="H7933" t="n">
        <v>0</v>
      </c>
      <c r="I7933" t="n">
        <v>0</v>
      </c>
      <c r="J7933" t="n">
        <v>0</v>
      </c>
      <c r="K7933" t="n">
        <v>0</v>
      </c>
      <c r="L7933" t="n">
        <v>0</v>
      </c>
      <c r="M7933" t="n">
        <v>0</v>
      </c>
      <c r="N7933" t="n">
        <v>0</v>
      </c>
      <c r="O7933" t="n">
        <v>0</v>
      </c>
      <c r="P7933" t="n">
        <v>0</v>
      </c>
      <c r="Q7933" t="n">
        <v>0</v>
      </c>
      <c r="R7933" s="2" t="inlineStr"/>
    </row>
    <row r="7934" ht="15" customHeight="1">
      <c r="A7934" t="inlineStr">
        <is>
          <t>A 14642-2023</t>
        </is>
      </c>
      <c r="B7934" s="1" t="n">
        <v>45012</v>
      </c>
      <c r="C7934" s="1" t="n">
        <v>45363</v>
      </c>
      <c r="D7934" t="inlineStr">
        <is>
          <t>JÄMTLANDS LÄN</t>
        </is>
      </c>
      <c r="E7934" t="inlineStr">
        <is>
          <t>BRÄCKE</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14693-2023</t>
        </is>
      </c>
      <c r="B7935" s="1" t="n">
        <v>45012</v>
      </c>
      <c r="C7935" s="1" t="n">
        <v>45363</v>
      </c>
      <c r="D7935" t="inlineStr">
        <is>
          <t>JÄMTLANDS LÄN</t>
        </is>
      </c>
      <c r="E7935" t="inlineStr">
        <is>
          <t>BRÄCKE</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14663-2023</t>
        </is>
      </c>
      <c r="B7936" s="1" t="n">
        <v>45014</v>
      </c>
      <c r="C7936" s="1" t="n">
        <v>45363</v>
      </c>
      <c r="D7936" t="inlineStr">
        <is>
          <t>JÄMTLANDS LÄN</t>
        </is>
      </c>
      <c r="E7936" t="inlineStr">
        <is>
          <t>BERG</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14975-2023</t>
        </is>
      </c>
      <c r="B7937" s="1" t="n">
        <v>45013</v>
      </c>
      <c r="C7937" s="1" t="n">
        <v>45363</v>
      </c>
      <c r="D7937" t="inlineStr">
        <is>
          <t>JÄMTLANDS LÄN</t>
        </is>
      </c>
      <c r="E7937" t="inlineStr">
        <is>
          <t>STRÖMSUND</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14821-2023</t>
        </is>
      </c>
      <c r="B7938" s="1" t="n">
        <v>45013</v>
      </c>
      <c r="C7938" s="1" t="n">
        <v>45363</v>
      </c>
      <c r="D7938" t="inlineStr">
        <is>
          <t>JÄMTLANDS LÄN</t>
        </is>
      </c>
      <c r="E7938" t="inlineStr">
        <is>
          <t>STRÖMSUND</t>
        </is>
      </c>
      <c r="G7938" t="n">
        <v>39.3</v>
      </c>
      <c r="H7938" t="n">
        <v>0</v>
      </c>
      <c r="I7938" t="n">
        <v>0</v>
      </c>
      <c r="J7938" t="n">
        <v>0</v>
      </c>
      <c r="K7938" t="n">
        <v>0</v>
      </c>
      <c r="L7938" t="n">
        <v>0</v>
      </c>
      <c r="M7938" t="n">
        <v>0</v>
      </c>
      <c r="N7938" t="n">
        <v>0</v>
      </c>
      <c r="O7938" t="n">
        <v>0</v>
      </c>
      <c r="P7938" t="n">
        <v>0</v>
      </c>
      <c r="Q7938" t="n">
        <v>0</v>
      </c>
      <c r="R7938" s="2" t="inlineStr"/>
    </row>
    <row r="7939" ht="15" customHeight="1">
      <c r="A7939" t="inlineStr">
        <is>
          <t>A 14798-2023</t>
        </is>
      </c>
      <c r="B7939" s="1" t="n">
        <v>45014</v>
      </c>
      <c r="C7939" s="1" t="n">
        <v>45363</v>
      </c>
      <c r="D7939" t="inlineStr">
        <is>
          <t>JÄMTLANDS LÄN</t>
        </is>
      </c>
      <c r="E7939" t="inlineStr">
        <is>
          <t>BRÄCKE</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14861-2023</t>
        </is>
      </c>
      <c r="B7940" s="1" t="n">
        <v>45015</v>
      </c>
      <c r="C7940" s="1" t="n">
        <v>45363</v>
      </c>
      <c r="D7940" t="inlineStr">
        <is>
          <t>JÄMTLANDS LÄN</t>
        </is>
      </c>
      <c r="E7940" t="inlineStr">
        <is>
          <t>STRÖMSUND</t>
        </is>
      </c>
      <c r="F7940" t="inlineStr">
        <is>
          <t>SCA</t>
        </is>
      </c>
      <c r="G7940" t="n">
        <v>26.3</v>
      </c>
      <c r="H7940" t="n">
        <v>0</v>
      </c>
      <c r="I7940" t="n">
        <v>0</v>
      </c>
      <c r="J7940" t="n">
        <v>0</v>
      </c>
      <c r="K7940" t="n">
        <v>0</v>
      </c>
      <c r="L7940" t="n">
        <v>0</v>
      </c>
      <c r="M7940" t="n">
        <v>0</v>
      </c>
      <c r="N7940" t="n">
        <v>0</v>
      </c>
      <c r="O7940" t="n">
        <v>0</v>
      </c>
      <c r="P7940" t="n">
        <v>0</v>
      </c>
      <c r="Q7940" t="n">
        <v>0</v>
      </c>
      <c r="R7940" s="2" t="inlineStr"/>
    </row>
    <row r="7941" ht="15" customHeight="1">
      <c r="A7941" t="inlineStr">
        <is>
          <t>A 14869-2023</t>
        </is>
      </c>
      <c r="B7941" s="1" t="n">
        <v>45015</v>
      </c>
      <c r="C7941" s="1" t="n">
        <v>45363</v>
      </c>
      <c r="D7941" t="inlineStr">
        <is>
          <t>JÄMTLANDS LÄN</t>
        </is>
      </c>
      <c r="E7941" t="inlineStr">
        <is>
          <t>RAGUNDA</t>
        </is>
      </c>
      <c r="F7941" t="inlineStr">
        <is>
          <t>SCA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14867-2023</t>
        </is>
      </c>
      <c r="B7942" s="1" t="n">
        <v>45015</v>
      </c>
      <c r="C7942" s="1" t="n">
        <v>45363</v>
      </c>
      <c r="D7942" t="inlineStr">
        <is>
          <t>JÄMTLANDS LÄN</t>
        </is>
      </c>
      <c r="E7942" t="inlineStr">
        <is>
          <t>STRÖMSUND</t>
        </is>
      </c>
      <c r="F7942" t="inlineStr">
        <is>
          <t>SCA</t>
        </is>
      </c>
      <c r="G7942" t="n">
        <v>8</v>
      </c>
      <c r="H7942" t="n">
        <v>0</v>
      </c>
      <c r="I7942" t="n">
        <v>0</v>
      </c>
      <c r="J7942" t="n">
        <v>0</v>
      </c>
      <c r="K7942" t="n">
        <v>0</v>
      </c>
      <c r="L7942" t="n">
        <v>0</v>
      </c>
      <c r="M7942" t="n">
        <v>0</v>
      </c>
      <c r="N7942" t="n">
        <v>0</v>
      </c>
      <c r="O7942" t="n">
        <v>0</v>
      </c>
      <c r="P7942" t="n">
        <v>0</v>
      </c>
      <c r="Q7942" t="n">
        <v>0</v>
      </c>
      <c r="R7942" s="2" t="inlineStr"/>
    </row>
    <row r="7943" ht="15" customHeight="1">
      <c r="A7943" t="inlineStr">
        <is>
          <t>A 14868-2023</t>
        </is>
      </c>
      <c r="B7943" s="1" t="n">
        <v>45015</v>
      </c>
      <c r="C7943" s="1" t="n">
        <v>45363</v>
      </c>
      <c r="D7943" t="inlineStr">
        <is>
          <t>JÄMTLANDS LÄN</t>
        </is>
      </c>
      <c r="E7943" t="inlineStr">
        <is>
          <t>RAGUNDA</t>
        </is>
      </c>
      <c r="F7943" t="inlineStr">
        <is>
          <t>SCA</t>
        </is>
      </c>
      <c r="G7943" t="n">
        <v>7</v>
      </c>
      <c r="H7943" t="n">
        <v>0</v>
      </c>
      <c r="I7943" t="n">
        <v>0</v>
      </c>
      <c r="J7943" t="n">
        <v>0</v>
      </c>
      <c r="K7943" t="n">
        <v>0</v>
      </c>
      <c r="L7943" t="n">
        <v>0</v>
      </c>
      <c r="M7943" t="n">
        <v>0</v>
      </c>
      <c r="N7943" t="n">
        <v>0</v>
      </c>
      <c r="O7943" t="n">
        <v>0</v>
      </c>
      <c r="P7943" t="n">
        <v>0</v>
      </c>
      <c r="Q7943" t="n">
        <v>0</v>
      </c>
      <c r="R7943" s="2" t="inlineStr"/>
    </row>
    <row r="7944" ht="15" customHeight="1">
      <c r="A7944" t="inlineStr">
        <is>
          <t>A 14866-2023</t>
        </is>
      </c>
      <c r="B7944" s="1" t="n">
        <v>45015</v>
      </c>
      <c r="C7944" s="1" t="n">
        <v>45363</v>
      </c>
      <c r="D7944" t="inlineStr">
        <is>
          <t>JÄMTLANDS LÄN</t>
        </is>
      </c>
      <c r="E7944" t="inlineStr">
        <is>
          <t>STRÖMSUND</t>
        </is>
      </c>
      <c r="F7944" t="inlineStr">
        <is>
          <t>SCA</t>
        </is>
      </c>
      <c r="G7944" t="n">
        <v>64.90000000000001</v>
      </c>
      <c r="H7944" t="n">
        <v>0</v>
      </c>
      <c r="I7944" t="n">
        <v>0</v>
      </c>
      <c r="J7944" t="n">
        <v>0</v>
      </c>
      <c r="K7944" t="n">
        <v>0</v>
      </c>
      <c r="L7944" t="n">
        <v>0</v>
      </c>
      <c r="M7944" t="n">
        <v>0</v>
      </c>
      <c r="N7944" t="n">
        <v>0</v>
      </c>
      <c r="O7944" t="n">
        <v>0</v>
      </c>
      <c r="P7944" t="n">
        <v>0</v>
      </c>
      <c r="Q7944" t="n">
        <v>0</v>
      </c>
      <c r="R7944" s="2" t="inlineStr"/>
    </row>
    <row r="7945" ht="15" customHeight="1">
      <c r="A7945" t="inlineStr">
        <is>
          <t>A 15078-2023</t>
        </is>
      </c>
      <c r="B7945" s="1" t="n">
        <v>45015</v>
      </c>
      <c r="C7945" s="1" t="n">
        <v>45363</v>
      </c>
      <c r="D7945" t="inlineStr">
        <is>
          <t>JÄMTLANDS LÄN</t>
        </is>
      </c>
      <c r="E7945" t="inlineStr">
        <is>
          <t>RAGUNDA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15064-2023</t>
        </is>
      </c>
      <c r="B7946" s="1" t="n">
        <v>45015</v>
      </c>
      <c r="C7946" s="1" t="n">
        <v>45363</v>
      </c>
      <c r="D7946" t="inlineStr">
        <is>
          <t>JÄMTLANDS LÄN</t>
        </is>
      </c>
      <c r="E7946" t="inlineStr">
        <is>
          <t>STRÖMSUND</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15077-2023</t>
        </is>
      </c>
      <c r="B7947" s="1" t="n">
        <v>45015</v>
      </c>
      <c r="C7947" s="1" t="n">
        <v>45363</v>
      </c>
      <c r="D7947" t="inlineStr">
        <is>
          <t>JÄMTLANDS LÄN</t>
        </is>
      </c>
      <c r="E7947" t="inlineStr">
        <is>
          <t>RAGUNDA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15409-2023</t>
        </is>
      </c>
      <c r="B7948" s="1" t="n">
        <v>45016</v>
      </c>
      <c r="C7948" s="1" t="n">
        <v>45363</v>
      </c>
      <c r="D7948" t="inlineStr">
        <is>
          <t>JÄMTLANDS LÄN</t>
        </is>
      </c>
      <c r="E7948" t="inlineStr">
        <is>
          <t>BERG</t>
        </is>
      </c>
      <c r="G7948" t="n">
        <v>10.7</v>
      </c>
      <c r="H7948" t="n">
        <v>0</v>
      </c>
      <c r="I7948" t="n">
        <v>0</v>
      </c>
      <c r="J7948" t="n">
        <v>0</v>
      </c>
      <c r="K7948" t="n">
        <v>0</v>
      </c>
      <c r="L7948" t="n">
        <v>0</v>
      </c>
      <c r="M7948" t="n">
        <v>0</v>
      </c>
      <c r="N7948" t="n">
        <v>0</v>
      </c>
      <c r="O7948" t="n">
        <v>0</v>
      </c>
      <c r="P7948" t="n">
        <v>0</v>
      </c>
      <c r="Q7948" t="n">
        <v>0</v>
      </c>
      <c r="R7948" s="2" t="inlineStr"/>
    </row>
    <row r="7949" ht="15" customHeight="1">
      <c r="A7949" t="inlineStr">
        <is>
          <t>A 15207-2023</t>
        </is>
      </c>
      <c r="B7949" s="1" t="n">
        <v>45018</v>
      </c>
      <c r="C7949" s="1" t="n">
        <v>45363</v>
      </c>
      <c r="D7949" t="inlineStr">
        <is>
          <t>JÄMTLANDS LÄN</t>
        </is>
      </c>
      <c r="E7949" t="inlineStr">
        <is>
          <t>STRÖMSUND</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15457-2023</t>
        </is>
      </c>
      <c r="B7950" s="1" t="n">
        <v>45019</v>
      </c>
      <c r="C7950" s="1" t="n">
        <v>45363</v>
      </c>
      <c r="D7950" t="inlineStr">
        <is>
          <t>JÄMTLANDS LÄN</t>
        </is>
      </c>
      <c r="E7950" t="inlineStr">
        <is>
          <t>STRÖMSUND</t>
        </is>
      </c>
      <c r="G7950" t="n">
        <v>17.2</v>
      </c>
      <c r="H7950" t="n">
        <v>0</v>
      </c>
      <c r="I7950" t="n">
        <v>0</v>
      </c>
      <c r="J7950" t="n">
        <v>0</v>
      </c>
      <c r="K7950" t="n">
        <v>0</v>
      </c>
      <c r="L7950" t="n">
        <v>0</v>
      </c>
      <c r="M7950" t="n">
        <v>0</v>
      </c>
      <c r="N7950" t="n">
        <v>0</v>
      </c>
      <c r="O7950" t="n">
        <v>0</v>
      </c>
      <c r="P7950" t="n">
        <v>0</v>
      </c>
      <c r="Q7950" t="n">
        <v>0</v>
      </c>
      <c r="R7950" s="2" t="inlineStr"/>
    </row>
    <row r="7951" ht="15" customHeight="1">
      <c r="A7951" t="inlineStr">
        <is>
          <t>A 15366-2023</t>
        </is>
      </c>
      <c r="B7951" s="1" t="n">
        <v>45019</v>
      </c>
      <c r="C7951" s="1" t="n">
        <v>45363</v>
      </c>
      <c r="D7951" t="inlineStr">
        <is>
          <t>JÄMTLANDS LÄN</t>
        </is>
      </c>
      <c r="E7951" t="inlineStr">
        <is>
          <t>BRÄCKE</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15455-2023</t>
        </is>
      </c>
      <c r="B7952" s="1" t="n">
        <v>45019</v>
      </c>
      <c r="C7952" s="1" t="n">
        <v>45363</v>
      </c>
      <c r="D7952" t="inlineStr">
        <is>
          <t>JÄMTLANDS LÄN</t>
        </is>
      </c>
      <c r="E7952" t="inlineStr">
        <is>
          <t>STRÖMSUND</t>
        </is>
      </c>
      <c r="G7952" t="n">
        <v>20.3</v>
      </c>
      <c r="H7952" t="n">
        <v>0</v>
      </c>
      <c r="I7952" t="n">
        <v>0</v>
      </c>
      <c r="J7952" t="n">
        <v>0</v>
      </c>
      <c r="K7952" t="n">
        <v>0</v>
      </c>
      <c r="L7952" t="n">
        <v>0</v>
      </c>
      <c r="M7952" t="n">
        <v>0</v>
      </c>
      <c r="N7952" t="n">
        <v>0</v>
      </c>
      <c r="O7952" t="n">
        <v>0</v>
      </c>
      <c r="P7952" t="n">
        <v>0</v>
      </c>
      <c r="Q7952" t="n">
        <v>0</v>
      </c>
      <c r="R7952" s="2" t="inlineStr"/>
    </row>
    <row r="7953" ht="15" customHeight="1">
      <c r="A7953" t="inlineStr">
        <is>
          <t>A 15461-2023</t>
        </is>
      </c>
      <c r="B7953" s="1" t="n">
        <v>45019</v>
      </c>
      <c r="C7953" s="1" t="n">
        <v>45363</v>
      </c>
      <c r="D7953" t="inlineStr">
        <is>
          <t>JÄMTLANDS LÄN</t>
        </is>
      </c>
      <c r="E7953" t="inlineStr">
        <is>
          <t>STRÖMSUND</t>
        </is>
      </c>
      <c r="G7953" t="n">
        <v>13.9</v>
      </c>
      <c r="H7953" t="n">
        <v>0</v>
      </c>
      <c r="I7953" t="n">
        <v>0</v>
      </c>
      <c r="J7953" t="n">
        <v>0</v>
      </c>
      <c r="K7953" t="n">
        <v>0</v>
      </c>
      <c r="L7953" t="n">
        <v>0</v>
      </c>
      <c r="M7953" t="n">
        <v>0</v>
      </c>
      <c r="N7953" t="n">
        <v>0</v>
      </c>
      <c r="O7953" t="n">
        <v>0</v>
      </c>
      <c r="P7953" t="n">
        <v>0</v>
      </c>
      <c r="Q7953" t="n">
        <v>0</v>
      </c>
      <c r="R7953" s="2" t="inlineStr"/>
    </row>
    <row r="7954" ht="15" customHeight="1">
      <c r="A7954" t="inlineStr">
        <is>
          <t>A 15595-2023</t>
        </is>
      </c>
      <c r="B7954" s="1" t="n">
        <v>45019</v>
      </c>
      <c r="C7954" s="1" t="n">
        <v>45363</v>
      </c>
      <c r="D7954" t="inlineStr">
        <is>
          <t>JÄMTLANDS LÄN</t>
        </is>
      </c>
      <c r="E7954" t="inlineStr">
        <is>
          <t>KROKOM</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15511-2023</t>
        </is>
      </c>
      <c r="B7955" s="1" t="n">
        <v>45020</v>
      </c>
      <c r="C7955" s="1" t="n">
        <v>45363</v>
      </c>
      <c r="D7955" t="inlineStr">
        <is>
          <t>JÄMTLANDS LÄN</t>
        </is>
      </c>
      <c r="E7955" t="inlineStr">
        <is>
          <t>HÄRJEDALEN</t>
        </is>
      </c>
      <c r="G7955" t="n">
        <v>14.6</v>
      </c>
      <c r="H7955" t="n">
        <v>0</v>
      </c>
      <c r="I7955" t="n">
        <v>0</v>
      </c>
      <c r="J7955" t="n">
        <v>0</v>
      </c>
      <c r="K7955" t="n">
        <v>0</v>
      </c>
      <c r="L7955" t="n">
        <v>0</v>
      </c>
      <c r="M7955" t="n">
        <v>0</v>
      </c>
      <c r="N7955" t="n">
        <v>0</v>
      </c>
      <c r="O7955" t="n">
        <v>0</v>
      </c>
      <c r="P7955" t="n">
        <v>0</v>
      </c>
      <c r="Q7955" t="n">
        <v>0</v>
      </c>
      <c r="R7955" s="2" t="inlineStr"/>
    </row>
    <row r="7956" ht="15" customHeight="1">
      <c r="A7956" t="inlineStr">
        <is>
          <t>A 15747-2023</t>
        </is>
      </c>
      <c r="B7956" s="1" t="n">
        <v>45020</v>
      </c>
      <c r="C7956" s="1" t="n">
        <v>45363</v>
      </c>
      <c r="D7956" t="inlineStr">
        <is>
          <t>JÄMTLANDS LÄN</t>
        </is>
      </c>
      <c r="E7956" t="inlineStr">
        <is>
          <t>HÄRJEDALEN</t>
        </is>
      </c>
      <c r="G7956" t="n">
        <v>0.1</v>
      </c>
      <c r="H7956" t="n">
        <v>0</v>
      </c>
      <c r="I7956" t="n">
        <v>0</v>
      </c>
      <c r="J7956" t="n">
        <v>0</v>
      </c>
      <c r="K7956" t="n">
        <v>0</v>
      </c>
      <c r="L7956" t="n">
        <v>0</v>
      </c>
      <c r="M7956" t="n">
        <v>0</v>
      </c>
      <c r="N7956" t="n">
        <v>0</v>
      </c>
      <c r="O7956" t="n">
        <v>0</v>
      </c>
      <c r="P7956" t="n">
        <v>0</v>
      </c>
      <c r="Q7956" t="n">
        <v>0</v>
      </c>
      <c r="R7956" s="2" t="inlineStr"/>
    </row>
    <row r="7957" ht="15" customHeight="1">
      <c r="A7957" t="inlineStr">
        <is>
          <t>A 15624-2023</t>
        </is>
      </c>
      <c r="B7957" s="1" t="n">
        <v>45021</v>
      </c>
      <c r="C7957" s="1" t="n">
        <v>45363</v>
      </c>
      <c r="D7957" t="inlineStr">
        <is>
          <t>JÄMTLANDS LÄN</t>
        </is>
      </c>
      <c r="E7957" t="inlineStr">
        <is>
          <t>BERG</t>
        </is>
      </c>
      <c r="F7957" t="inlineStr">
        <is>
          <t>SCA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15824-2023</t>
        </is>
      </c>
      <c r="B7958" s="1" t="n">
        <v>45022</v>
      </c>
      <c r="C7958" s="1" t="n">
        <v>45363</v>
      </c>
      <c r="D7958" t="inlineStr">
        <is>
          <t>JÄMTLANDS LÄN</t>
        </is>
      </c>
      <c r="E7958" t="inlineStr">
        <is>
          <t>BRÄCKE</t>
        </is>
      </c>
      <c r="F7958" t="inlineStr">
        <is>
          <t>SCA</t>
        </is>
      </c>
      <c r="G7958" t="n">
        <v>15.6</v>
      </c>
      <c r="H7958" t="n">
        <v>0</v>
      </c>
      <c r="I7958" t="n">
        <v>0</v>
      </c>
      <c r="J7958" t="n">
        <v>0</v>
      </c>
      <c r="K7958" t="n">
        <v>0</v>
      </c>
      <c r="L7958" t="n">
        <v>0</v>
      </c>
      <c r="M7958" t="n">
        <v>0</v>
      </c>
      <c r="N7958" t="n">
        <v>0</v>
      </c>
      <c r="O7958" t="n">
        <v>0</v>
      </c>
      <c r="P7958" t="n">
        <v>0</v>
      </c>
      <c r="Q7958" t="n">
        <v>0</v>
      </c>
      <c r="R7958" s="2" t="inlineStr"/>
    </row>
    <row r="7959" ht="15" customHeight="1">
      <c r="A7959" t="inlineStr">
        <is>
          <t>A 15813-2023</t>
        </is>
      </c>
      <c r="B7959" s="1" t="n">
        <v>45021</v>
      </c>
      <c r="C7959" s="1" t="n">
        <v>45363</v>
      </c>
      <c r="D7959" t="inlineStr">
        <is>
          <t>JÄMTLANDS LÄN</t>
        </is>
      </c>
      <c r="E7959" t="inlineStr">
        <is>
          <t>BRÄCKE</t>
        </is>
      </c>
      <c r="F7959" t="inlineStr">
        <is>
          <t>SCA</t>
        </is>
      </c>
      <c r="G7959" t="n">
        <v>18.2</v>
      </c>
      <c r="H7959" t="n">
        <v>0</v>
      </c>
      <c r="I7959" t="n">
        <v>0</v>
      </c>
      <c r="J7959" t="n">
        <v>0</v>
      </c>
      <c r="K7959" t="n">
        <v>0</v>
      </c>
      <c r="L7959" t="n">
        <v>0</v>
      </c>
      <c r="M7959" t="n">
        <v>0</v>
      </c>
      <c r="N7959" t="n">
        <v>0</v>
      </c>
      <c r="O7959" t="n">
        <v>0</v>
      </c>
      <c r="P7959" t="n">
        <v>0</v>
      </c>
      <c r="Q7959" t="n">
        <v>0</v>
      </c>
      <c r="R7959" s="2" t="inlineStr"/>
    </row>
    <row r="7960" ht="15" customHeight="1">
      <c r="A7960" t="inlineStr">
        <is>
          <t>A 15818-2023</t>
        </is>
      </c>
      <c r="B7960" s="1" t="n">
        <v>45021</v>
      </c>
      <c r="C7960" s="1" t="n">
        <v>45363</v>
      </c>
      <c r="D7960" t="inlineStr">
        <is>
          <t>JÄMTLANDS LÄN</t>
        </is>
      </c>
      <c r="E7960" t="inlineStr">
        <is>
          <t>STRÖMSUND</t>
        </is>
      </c>
      <c r="G7960" t="n">
        <v>17.9</v>
      </c>
      <c r="H7960" t="n">
        <v>0</v>
      </c>
      <c r="I7960" t="n">
        <v>0</v>
      </c>
      <c r="J7960" t="n">
        <v>0</v>
      </c>
      <c r="K7960" t="n">
        <v>0</v>
      </c>
      <c r="L7960" t="n">
        <v>0</v>
      </c>
      <c r="M7960" t="n">
        <v>0</v>
      </c>
      <c r="N7960" t="n">
        <v>0</v>
      </c>
      <c r="O7960" t="n">
        <v>0</v>
      </c>
      <c r="P7960" t="n">
        <v>0</v>
      </c>
      <c r="Q7960" t="n">
        <v>0</v>
      </c>
      <c r="R7960" s="2" t="inlineStr"/>
    </row>
    <row r="7961" ht="15" customHeight="1">
      <c r="A7961" t="inlineStr">
        <is>
          <t>A 15826-2023</t>
        </is>
      </c>
      <c r="B7961" s="1" t="n">
        <v>45022</v>
      </c>
      <c r="C7961" s="1" t="n">
        <v>45363</v>
      </c>
      <c r="D7961" t="inlineStr">
        <is>
          <t>JÄMTLANDS LÄN</t>
        </is>
      </c>
      <c r="E7961" t="inlineStr">
        <is>
          <t>KROKOM</t>
        </is>
      </c>
      <c r="F7961" t="inlineStr">
        <is>
          <t>SCA</t>
        </is>
      </c>
      <c r="G7961" t="n">
        <v>13.9</v>
      </c>
      <c r="H7961" t="n">
        <v>0</v>
      </c>
      <c r="I7961" t="n">
        <v>0</v>
      </c>
      <c r="J7961" t="n">
        <v>0</v>
      </c>
      <c r="K7961" t="n">
        <v>0</v>
      </c>
      <c r="L7961" t="n">
        <v>0</v>
      </c>
      <c r="M7961" t="n">
        <v>0</v>
      </c>
      <c r="N7961" t="n">
        <v>0</v>
      </c>
      <c r="O7961" t="n">
        <v>0</v>
      </c>
      <c r="P7961" t="n">
        <v>0</v>
      </c>
      <c r="Q7961" t="n">
        <v>0</v>
      </c>
      <c r="R7961" s="2" t="inlineStr"/>
    </row>
    <row r="7962" ht="15" customHeight="1">
      <c r="A7962" t="inlineStr">
        <is>
          <t>A 15805-2023</t>
        </is>
      </c>
      <c r="B7962" s="1" t="n">
        <v>45022</v>
      </c>
      <c r="C7962" s="1" t="n">
        <v>45363</v>
      </c>
      <c r="D7962" t="inlineStr">
        <is>
          <t>JÄMTLANDS LÄN</t>
        </is>
      </c>
      <c r="E7962" t="inlineStr">
        <is>
          <t>KROKOM</t>
        </is>
      </c>
      <c r="G7962" t="n">
        <v>9.1</v>
      </c>
      <c r="H7962" t="n">
        <v>0</v>
      </c>
      <c r="I7962" t="n">
        <v>0</v>
      </c>
      <c r="J7962" t="n">
        <v>0</v>
      </c>
      <c r="K7962" t="n">
        <v>0</v>
      </c>
      <c r="L7962" t="n">
        <v>0</v>
      </c>
      <c r="M7962" t="n">
        <v>0</v>
      </c>
      <c r="N7962" t="n">
        <v>0</v>
      </c>
      <c r="O7962" t="n">
        <v>0</v>
      </c>
      <c r="P7962" t="n">
        <v>0</v>
      </c>
      <c r="Q7962" t="n">
        <v>0</v>
      </c>
      <c r="R7962" s="2" t="inlineStr"/>
    </row>
    <row r="7963" ht="15" customHeight="1">
      <c r="A7963" t="inlineStr">
        <is>
          <t>A 15885-2023</t>
        </is>
      </c>
      <c r="B7963" s="1" t="n">
        <v>45022</v>
      </c>
      <c r="C7963" s="1" t="n">
        <v>45363</v>
      </c>
      <c r="D7963" t="inlineStr">
        <is>
          <t>JÄMTLANDS LÄN</t>
        </is>
      </c>
      <c r="E7963" t="inlineStr">
        <is>
          <t>KROKOM</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15884-2023</t>
        </is>
      </c>
      <c r="B7964" s="1" t="n">
        <v>45022</v>
      </c>
      <c r="C7964" s="1" t="n">
        <v>45363</v>
      </c>
      <c r="D7964" t="inlineStr">
        <is>
          <t>JÄMTLANDS LÄN</t>
        </is>
      </c>
      <c r="E7964" t="inlineStr">
        <is>
          <t>ÅRE</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15980-2023</t>
        </is>
      </c>
      <c r="B7965" s="1" t="n">
        <v>45023</v>
      </c>
      <c r="C7965" s="1" t="n">
        <v>45363</v>
      </c>
      <c r="D7965" t="inlineStr">
        <is>
          <t>JÄMTLANDS LÄN</t>
        </is>
      </c>
      <c r="E7965" t="inlineStr">
        <is>
          <t>KROKOM</t>
        </is>
      </c>
      <c r="F7965" t="inlineStr">
        <is>
          <t>SCA</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15984-2023</t>
        </is>
      </c>
      <c r="B7966" s="1" t="n">
        <v>45022</v>
      </c>
      <c r="C7966" s="1" t="n">
        <v>45363</v>
      </c>
      <c r="D7966" t="inlineStr">
        <is>
          <t>JÄMTLANDS LÄN</t>
        </is>
      </c>
      <c r="E7966" t="inlineStr">
        <is>
          <t>ÖSTERSUND</t>
        </is>
      </c>
      <c r="F7966" t="inlineStr">
        <is>
          <t>SCA</t>
        </is>
      </c>
      <c r="G7966" t="n">
        <v>10.1</v>
      </c>
      <c r="H7966" t="n">
        <v>0</v>
      </c>
      <c r="I7966" t="n">
        <v>0</v>
      </c>
      <c r="J7966" t="n">
        <v>0</v>
      </c>
      <c r="K7966" t="n">
        <v>0</v>
      </c>
      <c r="L7966" t="n">
        <v>0</v>
      </c>
      <c r="M7966" t="n">
        <v>0</v>
      </c>
      <c r="N7966" t="n">
        <v>0</v>
      </c>
      <c r="O7966" t="n">
        <v>0</v>
      </c>
      <c r="P7966" t="n">
        <v>0</v>
      </c>
      <c r="Q7966" t="n">
        <v>0</v>
      </c>
      <c r="R7966" s="2" t="inlineStr"/>
    </row>
    <row r="7967" ht="15" customHeight="1">
      <c r="A7967" t="inlineStr">
        <is>
          <t>A 15892-2023</t>
        </is>
      </c>
      <c r="B7967" s="1" t="n">
        <v>45022</v>
      </c>
      <c r="C7967" s="1" t="n">
        <v>45363</v>
      </c>
      <c r="D7967" t="inlineStr">
        <is>
          <t>JÄMTLANDS LÄN</t>
        </is>
      </c>
      <c r="E7967" t="inlineStr">
        <is>
          <t>ÅRE</t>
        </is>
      </c>
      <c r="G7967" t="n">
        <v>16.1</v>
      </c>
      <c r="H7967" t="n">
        <v>0</v>
      </c>
      <c r="I7967" t="n">
        <v>0</v>
      </c>
      <c r="J7967" t="n">
        <v>0</v>
      </c>
      <c r="K7967" t="n">
        <v>0</v>
      </c>
      <c r="L7967" t="n">
        <v>0</v>
      </c>
      <c r="M7967" t="n">
        <v>0</v>
      </c>
      <c r="N7967" t="n">
        <v>0</v>
      </c>
      <c r="O7967" t="n">
        <v>0</v>
      </c>
      <c r="P7967" t="n">
        <v>0</v>
      </c>
      <c r="Q7967" t="n">
        <v>0</v>
      </c>
      <c r="R7967" s="2" t="inlineStr"/>
    </row>
    <row r="7968" ht="15" customHeight="1">
      <c r="A7968" t="inlineStr">
        <is>
          <t>A 16115-2023</t>
        </is>
      </c>
      <c r="B7968" s="1" t="n">
        <v>45027</v>
      </c>
      <c r="C7968" s="1" t="n">
        <v>45363</v>
      </c>
      <c r="D7968" t="inlineStr">
        <is>
          <t>JÄMTLANDS LÄN</t>
        </is>
      </c>
      <c r="E7968" t="inlineStr">
        <is>
          <t>HÄRJEDALEN</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16180-2023</t>
        </is>
      </c>
      <c r="B7969" s="1" t="n">
        <v>45027</v>
      </c>
      <c r="C7969" s="1" t="n">
        <v>45363</v>
      </c>
      <c r="D7969" t="inlineStr">
        <is>
          <t>JÄMTLANDS LÄN</t>
        </is>
      </c>
      <c r="E7969" t="inlineStr">
        <is>
          <t>BRÄCKE</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16491-2023</t>
        </is>
      </c>
      <c r="B7970" s="1" t="n">
        <v>45027</v>
      </c>
      <c r="C7970" s="1" t="n">
        <v>45363</v>
      </c>
      <c r="D7970" t="inlineStr">
        <is>
          <t>JÄMTLANDS LÄN</t>
        </is>
      </c>
      <c r="E7970" t="inlineStr">
        <is>
          <t>BERG</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16232-2023</t>
        </is>
      </c>
      <c r="B7971" s="1" t="n">
        <v>45028</v>
      </c>
      <c r="C7971" s="1" t="n">
        <v>45363</v>
      </c>
      <c r="D7971" t="inlineStr">
        <is>
          <t>JÄMTLANDS LÄN</t>
        </is>
      </c>
      <c r="E7971" t="inlineStr">
        <is>
          <t>BRÄCKE</t>
        </is>
      </c>
      <c r="G7971" t="n">
        <v>16.2</v>
      </c>
      <c r="H7971" t="n">
        <v>0</v>
      </c>
      <c r="I7971" t="n">
        <v>0</v>
      </c>
      <c r="J7971" t="n">
        <v>0</v>
      </c>
      <c r="K7971" t="n">
        <v>0</v>
      </c>
      <c r="L7971" t="n">
        <v>0</v>
      </c>
      <c r="M7971" t="n">
        <v>0</v>
      </c>
      <c r="N7971" t="n">
        <v>0</v>
      </c>
      <c r="O7971" t="n">
        <v>0</v>
      </c>
      <c r="P7971" t="n">
        <v>0</v>
      </c>
      <c r="Q7971" t="n">
        <v>0</v>
      </c>
      <c r="R7971" s="2" t="inlineStr"/>
    </row>
    <row r="7972" ht="15" customHeight="1">
      <c r="A7972" t="inlineStr">
        <is>
          <t>A 16245-2023</t>
        </is>
      </c>
      <c r="B7972" s="1" t="n">
        <v>45028</v>
      </c>
      <c r="C7972" s="1" t="n">
        <v>45363</v>
      </c>
      <c r="D7972" t="inlineStr">
        <is>
          <t>JÄMTLANDS LÄN</t>
        </is>
      </c>
      <c r="E7972" t="inlineStr">
        <is>
          <t>BERG</t>
        </is>
      </c>
      <c r="G7972" t="n">
        <v>16.2</v>
      </c>
      <c r="H7972" t="n">
        <v>0</v>
      </c>
      <c r="I7972" t="n">
        <v>0</v>
      </c>
      <c r="J7972" t="n">
        <v>0</v>
      </c>
      <c r="K7972" t="n">
        <v>0</v>
      </c>
      <c r="L7972" t="n">
        <v>0</v>
      </c>
      <c r="M7972" t="n">
        <v>0</v>
      </c>
      <c r="N7972" t="n">
        <v>0</v>
      </c>
      <c r="O7972" t="n">
        <v>0</v>
      </c>
      <c r="P7972" t="n">
        <v>0</v>
      </c>
      <c r="Q7972" t="n">
        <v>0</v>
      </c>
      <c r="R7972" s="2" t="inlineStr"/>
    </row>
    <row r="7973" ht="15" customHeight="1">
      <c r="A7973" t="inlineStr">
        <is>
          <t>A 16364-2023</t>
        </is>
      </c>
      <c r="B7973" s="1" t="n">
        <v>45028</v>
      </c>
      <c r="C7973" s="1" t="n">
        <v>45363</v>
      </c>
      <c r="D7973" t="inlineStr">
        <is>
          <t>JÄMTLANDS LÄN</t>
        </is>
      </c>
      <c r="E7973" t="inlineStr">
        <is>
          <t>RAGUNDA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16372-2023</t>
        </is>
      </c>
      <c r="B7974" s="1" t="n">
        <v>45029</v>
      </c>
      <c r="C7974" s="1" t="n">
        <v>45363</v>
      </c>
      <c r="D7974" t="inlineStr">
        <is>
          <t>JÄMTLANDS LÄN</t>
        </is>
      </c>
      <c r="E7974" t="inlineStr">
        <is>
          <t>BRÄCKE</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16649-2023</t>
        </is>
      </c>
      <c r="B7975" s="1" t="n">
        <v>45028</v>
      </c>
      <c r="C7975" s="1" t="n">
        <v>45363</v>
      </c>
      <c r="D7975" t="inlineStr">
        <is>
          <t>JÄMTLANDS LÄN</t>
        </is>
      </c>
      <c r="E7975" t="inlineStr">
        <is>
          <t>BRÄCKE</t>
        </is>
      </c>
      <c r="G7975" t="n">
        <v>6.2</v>
      </c>
      <c r="H7975" t="n">
        <v>0</v>
      </c>
      <c r="I7975" t="n">
        <v>0</v>
      </c>
      <c r="J7975" t="n">
        <v>0</v>
      </c>
      <c r="K7975" t="n">
        <v>0</v>
      </c>
      <c r="L7975" t="n">
        <v>0</v>
      </c>
      <c r="M7975" t="n">
        <v>0</v>
      </c>
      <c r="N7975" t="n">
        <v>0</v>
      </c>
      <c r="O7975" t="n">
        <v>0</v>
      </c>
      <c r="P7975" t="n">
        <v>0</v>
      </c>
      <c r="Q7975" t="n">
        <v>0</v>
      </c>
      <c r="R7975" s="2" t="inlineStr"/>
    </row>
    <row r="7976" ht="15" customHeight="1">
      <c r="A7976" t="inlineStr">
        <is>
          <t>A 16666-2023</t>
        </is>
      </c>
      <c r="B7976" s="1" t="n">
        <v>45028</v>
      </c>
      <c r="C7976" s="1" t="n">
        <v>45363</v>
      </c>
      <c r="D7976" t="inlineStr">
        <is>
          <t>JÄMTLANDS LÄN</t>
        </is>
      </c>
      <c r="E7976" t="inlineStr">
        <is>
          <t>ÖSTERSUND</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16682-2023</t>
        </is>
      </c>
      <c r="B7977" s="1" t="n">
        <v>45028</v>
      </c>
      <c r="C7977" s="1" t="n">
        <v>45363</v>
      </c>
      <c r="D7977" t="inlineStr">
        <is>
          <t>JÄMTLANDS LÄN</t>
        </is>
      </c>
      <c r="E7977" t="inlineStr">
        <is>
          <t>ÖSTERSUND</t>
        </is>
      </c>
      <c r="G7977" t="n">
        <v>7.9</v>
      </c>
      <c r="H7977" t="n">
        <v>0</v>
      </c>
      <c r="I7977" t="n">
        <v>0</v>
      </c>
      <c r="J7977" t="n">
        <v>0</v>
      </c>
      <c r="K7977" t="n">
        <v>0</v>
      </c>
      <c r="L7977" t="n">
        <v>0</v>
      </c>
      <c r="M7977" t="n">
        <v>0</v>
      </c>
      <c r="N7977" t="n">
        <v>0</v>
      </c>
      <c r="O7977" t="n">
        <v>0</v>
      </c>
      <c r="P7977" t="n">
        <v>0</v>
      </c>
      <c r="Q7977" t="n">
        <v>0</v>
      </c>
      <c r="R7977" s="2" t="inlineStr"/>
    </row>
    <row r="7978" ht="15" customHeight="1">
      <c r="A7978" t="inlineStr">
        <is>
          <t>A 16371-2023</t>
        </is>
      </c>
      <c r="B7978" s="1" t="n">
        <v>45029</v>
      </c>
      <c r="C7978" s="1" t="n">
        <v>45363</v>
      </c>
      <c r="D7978" t="inlineStr">
        <is>
          <t>JÄMTLANDS LÄN</t>
        </is>
      </c>
      <c r="E7978" t="inlineStr">
        <is>
          <t>BRÄCKE</t>
        </is>
      </c>
      <c r="F7978" t="inlineStr">
        <is>
          <t>SCA</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16640-2023</t>
        </is>
      </c>
      <c r="B7979" s="1" t="n">
        <v>45028</v>
      </c>
      <c r="C7979" s="1" t="n">
        <v>45363</v>
      </c>
      <c r="D7979" t="inlineStr">
        <is>
          <t>JÄMTLANDS LÄN</t>
        </is>
      </c>
      <c r="E7979" t="inlineStr">
        <is>
          <t>BERG</t>
        </is>
      </c>
      <c r="G7979" t="n">
        <v>17.9</v>
      </c>
      <c r="H7979" t="n">
        <v>0</v>
      </c>
      <c r="I7979" t="n">
        <v>0</v>
      </c>
      <c r="J7979" t="n">
        <v>0</v>
      </c>
      <c r="K7979" t="n">
        <v>0</v>
      </c>
      <c r="L7979" t="n">
        <v>0</v>
      </c>
      <c r="M7979" t="n">
        <v>0</v>
      </c>
      <c r="N7979" t="n">
        <v>0</v>
      </c>
      <c r="O7979" t="n">
        <v>0</v>
      </c>
      <c r="P7979" t="n">
        <v>0</v>
      </c>
      <c r="Q7979" t="n">
        <v>0</v>
      </c>
      <c r="R7979" s="2" t="inlineStr"/>
    </row>
    <row r="7980" ht="15" customHeight="1">
      <c r="A7980" t="inlineStr">
        <is>
          <t>A 16468-2023</t>
        </is>
      </c>
      <c r="B7980" s="1" t="n">
        <v>45029</v>
      </c>
      <c r="C7980" s="1" t="n">
        <v>45363</v>
      </c>
      <c r="D7980" t="inlineStr">
        <is>
          <t>JÄMTLANDS LÄN</t>
        </is>
      </c>
      <c r="E7980" t="inlineStr">
        <is>
          <t>HÄRJEDALEN</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16573-2023</t>
        </is>
      </c>
      <c r="B7981" s="1" t="n">
        <v>45030</v>
      </c>
      <c r="C7981" s="1" t="n">
        <v>45363</v>
      </c>
      <c r="D7981" t="inlineStr">
        <is>
          <t>JÄMTLANDS LÄN</t>
        </is>
      </c>
      <c r="E7981" t="inlineStr">
        <is>
          <t>BRÄCKE</t>
        </is>
      </c>
      <c r="F7981" t="inlineStr">
        <is>
          <t>SCA</t>
        </is>
      </c>
      <c r="G7981" t="n">
        <v>9.5</v>
      </c>
      <c r="H7981" t="n">
        <v>0</v>
      </c>
      <c r="I7981" t="n">
        <v>0</v>
      </c>
      <c r="J7981" t="n">
        <v>0</v>
      </c>
      <c r="K7981" t="n">
        <v>0</v>
      </c>
      <c r="L7981" t="n">
        <v>0</v>
      </c>
      <c r="M7981" t="n">
        <v>0</v>
      </c>
      <c r="N7981" t="n">
        <v>0</v>
      </c>
      <c r="O7981" t="n">
        <v>0</v>
      </c>
      <c r="P7981" t="n">
        <v>0</v>
      </c>
      <c r="Q7981" t="n">
        <v>0</v>
      </c>
      <c r="R7981" s="2" t="inlineStr"/>
    </row>
    <row r="7982" ht="15" customHeight="1">
      <c r="A7982" t="inlineStr">
        <is>
          <t>A 16566-2023</t>
        </is>
      </c>
      <c r="B7982" s="1" t="n">
        <v>45029</v>
      </c>
      <c r="C7982" s="1" t="n">
        <v>45363</v>
      </c>
      <c r="D7982" t="inlineStr">
        <is>
          <t>JÄMTLANDS LÄN</t>
        </is>
      </c>
      <c r="E7982" t="inlineStr">
        <is>
          <t>KROKOM</t>
        </is>
      </c>
      <c r="F7982" t="inlineStr">
        <is>
          <t>SCA</t>
        </is>
      </c>
      <c r="G7982" t="n">
        <v>11.9</v>
      </c>
      <c r="H7982" t="n">
        <v>0</v>
      </c>
      <c r="I7982" t="n">
        <v>0</v>
      </c>
      <c r="J7982" t="n">
        <v>0</v>
      </c>
      <c r="K7982" t="n">
        <v>0</v>
      </c>
      <c r="L7982" t="n">
        <v>0</v>
      </c>
      <c r="M7982" t="n">
        <v>0</v>
      </c>
      <c r="N7982" t="n">
        <v>0</v>
      </c>
      <c r="O7982" t="n">
        <v>0</v>
      </c>
      <c r="P7982" t="n">
        <v>0</v>
      </c>
      <c r="Q7982" t="n">
        <v>0</v>
      </c>
      <c r="R7982" s="2" t="inlineStr"/>
    </row>
    <row r="7983" ht="15" customHeight="1">
      <c r="A7983" t="inlineStr">
        <is>
          <t>A 16574-2023</t>
        </is>
      </c>
      <c r="B7983" s="1" t="n">
        <v>45029</v>
      </c>
      <c r="C7983" s="1" t="n">
        <v>45363</v>
      </c>
      <c r="D7983" t="inlineStr">
        <is>
          <t>JÄMTLANDS LÄN</t>
        </is>
      </c>
      <c r="E7983" t="inlineStr">
        <is>
          <t>BRÄCKE</t>
        </is>
      </c>
      <c r="F7983" t="inlineStr">
        <is>
          <t>SCA</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16751-2023</t>
        </is>
      </c>
      <c r="B7984" s="1" t="n">
        <v>45030</v>
      </c>
      <c r="C7984" s="1" t="n">
        <v>45363</v>
      </c>
      <c r="D7984" t="inlineStr">
        <is>
          <t>JÄMTLANDS LÄN</t>
        </is>
      </c>
      <c r="E7984" t="inlineStr">
        <is>
          <t>BRÄCKE</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16752-2023</t>
        </is>
      </c>
      <c r="B7985" s="1" t="n">
        <v>45030</v>
      </c>
      <c r="C7985" s="1" t="n">
        <v>45363</v>
      </c>
      <c r="D7985" t="inlineStr">
        <is>
          <t>JÄMTLANDS LÄN</t>
        </is>
      </c>
      <c r="E7985" t="inlineStr">
        <is>
          <t>BRÄCKE</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16780-2023</t>
        </is>
      </c>
      <c r="B7986" s="1" t="n">
        <v>45032</v>
      </c>
      <c r="C7986" s="1" t="n">
        <v>45363</v>
      </c>
      <c r="D7986" t="inlineStr">
        <is>
          <t>JÄMTLANDS LÄN</t>
        </is>
      </c>
      <c r="E7986" t="inlineStr">
        <is>
          <t>STRÖMSUND</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16982-2023</t>
        </is>
      </c>
      <c r="B7987" s="1" t="n">
        <v>45033</v>
      </c>
      <c r="C7987" s="1" t="n">
        <v>45363</v>
      </c>
      <c r="D7987" t="inlineStr">
        <is>
          <t>JÄMTLANDS LÄN</t>
        </is>
      </c>
      <c r="E7987" t="inlineStr">
        <is>
          <t>BRÄCKE</t>
        </is>
      </c>
      <c r="G7987" t="n">
        <v>12.9</v>
      </c>
      <c r="H7987" t="n">
        <v>0</v>
      </c>
      <c r="I7987" t="n">
        <v>0</v>
      </c>
      <c r="J7987" t="n">
        <v>0</v>
      </c>
      <c r="K7987" t="n">
        <v>0</v>
      </c>
      <c r="L7987" t="n">
        <v>0</v>
      </c>
      <c r="M7987" t="n">
        <v>0</v>
      </c>
      <c r="N7987" t="n">
        <v>0</v>
      </c>
      <c r="O7987" t="n">
        <v>0</v>
      </c>
      <c r="P7987" t="n">
        <v>0</v>
      </c>
      <c r="Q7987" t="n">
        <v>0</v>
      </c>
      <c r="R7987" s="2" t="inlineStr"/>
    </row>
    <row r="7988" ht="15" customHeight="1">
      <c r="A7988" t="inlineStr">
        <is>
          <t>A 17334-2023</t>
        </is>
      </c>
      <c r="B7988" s="1" t="n">
        <v>45033</v>
      </c>
      <c r="C7988" s="1" t="n">
        <v>45363</v>
      </c>
      <c r="D7988" t="inlineStr">
        <is>
          <t>JÄMTLANDS LÄN</t>
        </is>
      </c>
      <c r="E7988" t="inlineStr">
        <is>
          <t>STRÖMSUND</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17248-2023</t>
        </is>
      </c>
      <c r="B7989" s="1" t="n">
        <v>45033</v>
      </c>
      <c r="C7989" s="1" t="n">
        <v>45363</v>
      </c>
      <c r="D7989" t="inlineStr">
        <is>
          <t>JÄMTLANDS LÄN</t>
        </is>
      </c>
      <c r="E7989" t="inlineStr">
        <is>
          <t>RAGUNDA</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17006-2023</t>
        </is>
      </c>
      <c r="B7990" s="1" t="n">
        <v>45033</v>
      </c>
      <c r="C7990" s="1" t="n">
        <v>45363</v>
      </c>
      <c r="D7990" t="inlineStr">
        <is>
          <t>JÄMTLANDS LÄN</t>
        </is>
      </c>
      <c r="E7990" t="inlineStr">
        <is>
          <t>STRÖMSUND</t>
        </is>
      </c>
      <c r="F7990" t="inlineStr">
        <is>
          <t>SCA</t>
        </is>
      </c>
      <c r="G7990" t="n">
        <v>13.4</v>
      </c>
      <c r="H7990" t="n">
        <v>0</v>
      </c>
      <c r="I7990" t="n">
        <v>0</v>
      </c>
      <c r="J7990" t="n">
        <v>0</v>
      </c>
      <c r="K7990" t="n">
        <v>0</v>
      </c>
      <c r="L7990" t="n">
        <v>0</v>
      </c>
      <c r="M7990" t="n">
        <v>0</v>
      </c>
      <c r="N7990" t="n">
        <v>0</v>
      </c>
      <c r="O7990" t="n">
        <v>0</v>
      </c>
      <c r="P7990" t="n">
        <v>0</v>
      </c>
      <c r="Q7990" t="n">
        <v>0</v>
      </c>
      <c r="R7990" s="2" t="inlineStr"/>
    </row>
    <row r="7991" ht="15" customHeight="1">
      <c r="A7991" t="inlineStr">
        <is>
          <t>A 17337-2023</t>
        </is>
      </c>
      <c r="B7991" s="1" t="n">
        <v>45033</v>
      </c>
      <c r="C7991" s="1" t="n">
        <v>45363</v>
      </c>
      <c r="D7991" t="inlineStr">
        <is>
          <t>JÄMTLANDS LÄN</t>
        </is>
      </c>
      <c r="E7991" t="inlineStr">
        <is>
          <t>STRÖMSUND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17338-2023</t>
        </is>
      </c>
      <c r="B7992" s="1" t="n">
        <v>45033</v>
      </c>
      <c r="C7992" s="1" t="n">
        <v>45363</v>
      </c>
      <c r="D7992" t="inlineStr">
        <is>
          <t>JÄMTLANDS LÄN</t>
        </is>
      </c>
      <c r="E7992" t="inlineStr">
        <is>
          <t>STRÖMSUND</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17121-2023</t>
        </is>
      </c>
      <c r="B7993" s="1" t="n">
        <v>45034</v>
      </c>
      <c r="C7993" s="1" t="n">
        <v>45363</v>
      </c>
      <c r="D7993" t="inlineStr">
        <is>
          <t>JÄMTLANDS LÄN</t>
        </is>
      </c>
      <c r="E7993" t="inlineStr">
        <is>
          <t>HÄRJEDALEN</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17105-2023</t>
        </is>
      </c>
      <c r="B7994" s="1" t="n">
        <v>45034</v>
      </c>
      <c r="C7994" s="1" t="n">
        <v>45363</v>
      </c>
      <c r="D7994" t="inlineStr">
        <is>
          <t>JÄMTLANDS LÄN</t>
        </is>
      </c>
      <c r="E7994" t="inlineStr">
        <is>
          <t>HÄRJEDALEN</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17122-2023</t>
        </is>
      </c>
      <c r="B7995" s="1" t="n">
        <v>45034</v>
      </c>
      <c r="C7995" s="1" t="n">
        <v>45363</v>
      </c>
      <c r="D7995" t="inlineStr">
        <is>
          <t>JÄMTLANDS LÄN</t>
        </is>
      </c>
      <c r="E7995" t="inlineStr">
        <is>
          <t>HÄRJEDALEN</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17153-2023</t>
        </is>
      </c>
      <c r="B7996" s="1" t="n">
        <v>45034</v>
      </c>
      <c r="C7996" s="1" t="n">
        <v>45363</v>
      </c>
      <c r="D7996" t="inlineStr">
        <is>
          <t>JÄMTLANDS LÄN</t>
        </is>
      </c>
      <c r="E7996" t="inlineStr">
        <is>
          <t>HÄRJEDALEN</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17222-2023</t>
        </is>
      </c>
      <c r="B7997" s="1" t="n">
        <v>45035</v>
      </c>
      <c r="C7997" s="1" t="n">
        <v>45363</v>
      </c>
      <c r="D7997" t="inlineStr">
        <is>
          <t>JÄMTLANDS LÄN</t>
        </is>
      </c>
      <c r="E7997" t="inlineStr">
        <is>
          <t>STRÖMSUND</t>
        </is>
      </c>
      <c r="F7997" t="inlineStr">
        <is>
          <t>SCA</t>
        </is>
      </c>
      <c r="G7997" t="n">
        <v>25.2</v>
      </c>
      <c r="H7997" t="n">
        <v>0</v>
      </c>
      <c r="I7997" t="n">
        <v>0</v>
      </c>
      <c r="J7997" t="n">
        <v>0</v>
      </c>
      <c r="K7997" t="n">
        <v>0</v>
      </c>
      <c r="L7997" t="n">
        <v>0</v>
      </c>
      <c r="M7997" t="n">
        <v>0</v>
      </c>
      <c r="N7997" t="n">
        <v>0</v>
      </c>
      <c r="O7997" t="n">
        <v>0</v>
      </c>
      <c r="P7997" t="n">
        <v>0</v>
      </c>
      <c r="Q7997" t="n">
        <v>0</v>
      </c>
      <c r="R7997" s="2" t="inlineStr"/>
    </row>
    <row r="7998" ht="15" customHeight="1">
      <c r="A7998" t="inlineStr">
        <is>
          <t>A 17118-2023</t>
        </is>
      </c>
      <c r="B7998" s="1" t="n">
        <v>45034</v>
      </c>
      <c r="C7998" s="1" t="n">
        <v>45363</v>
      </c>
      <c r="D7998" t="inlineStr">
        <is>
          <t>JÄMTLANDS LÄN</t>
        </is>
      </c>
      <c r="E7998" t="inlineStr">
        <is>
          <t>HÄRJEDALEN</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17207-2023</t>
        </is>
      </c>
      <c r="B7999" s="1" t="n">
        <v>45035</v>
      </c>
      <c r="C7999" s="1" t="n">
        <v>45363</v>
      </c>
      <c r="D7999" t="inlineStr">
        <is>
          <t>JÄMTLANDS LÄN</t>
        </is>
      </c>
      <c r="E7999" t="inlineStr">
        <is>
          <t>RAGUNDA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17209-2023</t>
        </is>
      </c>
      <c r="B8000" s="1" t="n">
        <v>45034</v>
      </c>
      <c r="C8000" s="1" t="n">
        <v>45363</v>
      </c>
      <c r="D8000" t="inlineStr">
        <is>
          <t>JÄMTLANDS LÄN</t>
        </is>
      </c>
      <c r="E8000" t="inlineStr">
        <is>
          <t>BRÄCKE</t>
        </is>
      </c>
      <c r="G8000" t="n">
        <v>11.1</v>
      </c>
      <c r="H8000" t="n">
        <v>0</v>
      </c>
      <c r="I8000" t="n">
        <v>0</v>
      </c>
      <c r="J8000" t="n">
        <v>0</v>
      </c>
      <c r="K8000" t="n">
        <v>0</v>
      </c>
      <c r="L8000" t="n">
        <v>0</v>
      </c>
      <c r="M8000" t="n">
        <v>0</v>
      </c>
      <c r="N8000" t="n">
        <v>0</v>
      </c>
      <c r="O8000" t="n">
        <v>0</v>
      </c>
      <c r="P8000" t="n">
        <v>0</v>
      </c>
      <c r="Q8000" t="n">
        <v>0</v>
      </c>
      <c r="R8000" s="2" t="inlineStr"/>
    </row>
    <row r="8001" ht="15" customHeight="1">
      <c r="A8001" t="inlineStr">
        <is>
          <t>A 17223-2023</t>
        </is>
      </c>
      <c r="B8001" s="1" t="n">
        <v>45034</v>
      </c>
      <c r="C8001" s="1" t="n">
        <v>45363</v>
      </c>
      <c r="D8001" t="inlineStr">
        <is>
          <t>JÄMTLANDS LÄN</t>
        </is>
      </c>
      <c r="E8001" t="inlineStr">
        <is>
          <t>BRÄCKE</t>
        </is>
      </c>
      <c r="F8001" t="inlineStr">
        <is>
          <t>SCA</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17206-2023</t>
        </is>
      </c>
      <c r="B8002" s="1" t="n">
        <v>45035</v>
      </c>
      <c r="C8002" s="1" t="n">
        <v>45363</v>
      </c>
      <c r="D8002" t="inlineStr">
        <is>
          <t>JÄMTLANDS LÄN</t>
        </is>
      </c>
      <c r="E8002" t="inlineStr">
        <is>
          <t>RAGUNDA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17220-2023</t>
        </is>
      </c>
      <c r="B8003" s="1" t="n">
        <v>45035</v>
      </c>
      <c r="C8003" s="1" t="n">
        <v>45363</v>
      </c>
      <c r="D8003" t="inlineStr">
        <is>
          <t>JÄMTLANDS LÄN</t>
        </is>
      </c>
      <c r="E8003" t="inlineStr">
        <is>
          <t>STRÖMSUND</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17559-2023</t>
        </is>
      </c>
      <c r="B8004" s="1" t="n">
        <v>45034</v>
      </c>
      <c r="C8004" s="1" t="n">
        <v>45363</v>
      </c>
      <c r="D8004" t="inlineStr">
        <is>
          <t>JÄMTLANDS LÄN</t>
        </is>
      </c>
      <c r="E8004" t="inlineStr">
        <is>
          <t>RAGUNDA</t>
        </is>
      </c>
      <c r="G8004" t="n">
        <v>7.5</v>
      </c>
      <c r="H8004" t="n">
        <v>0</v>
      </c>
      <c r="I8004" t="n">
        <v>0</v>
      </c>
      <c r="J8004" t="n">
        <v>0</v>
      </c>
      <c r="K8004" t="n">
        <v>0</v>
      </c>
      <c r="L8004" t="n">
        <v>0</v>
      </c>
      <c r="M8004" t="n">
        <v>0</v>
      </c>
      <c r="N8004" t="n">
        <v>0</v>
      </c>
      <c r="O8004" t="n">
        <v>0</v>
      </c>
      <c r="P8004" t="n">
        <v>0</v>
      </c>
      <c r="Q8004" t="n">
        <v>0</v>
      </c>
      <c r="R8004" s="2" t="inlineStr"/>
    </row>
    <row r="8005" ht="15" customHeight="1">
      <c r="A8005" t="inlineStr">
        <is>
          <t>A 17555-2023</t>
        </is>
      </c>
      <c r="B8005" s="1" t="n">
        <v>45034</v>
      </c>
      <c r="C8005" s="1" t="n">
        <v>45363</v>
      </c>
      <c r="D8005" t="inlineStr">
        <is>
          <t>JÄMTLANDS LÄN</t>
        </is>
      </c>
      <c r="E8005" t="inlineStr">
        <is>
          <t>KROKOM</t>
        </is>
      </c>
      <c r="G8005" t="n">
        <v>7.1</v>
      </c>
      <c r="H8005" t="n">
        <v>0</v>
      </c>
      <c r="I8005" t="n">
        <v>0</v>
      </c>
      <c r="J8005" t="n">
        <v>0</v>
      </c>
      <c r="K8005" t="n">
        <v>0</v>
      </c>
      <c r="L8005" t="n">
        <v>0</v>
      </c>
      <c r="M8005" t="n">
        <v>0</v>
      </c>
      <c r="N8005" t="n">
        <v>0</v>
      </c>
      <c r="O8005" t="n">
        <v>0</v>
      </c>
      <c r="P8005" t="n">
        <v>0</v>
      </c>
      <c r="Q8005" t="n">
        <v>0</v>
      </c>
      <c r="R8005" s="2" t="inlineStr"/>
    </row>
    <row r="8006" ht="15" customHeight="1">
      <c r="A8006" t="inlineStr">
        <is>
          <t>A 17225-2023</t>
        </is>
      </c>
      <c r="B8006" s="1" t="n">
        <v>45035</v>
      </c>
      <c r="C8006" s="1" t="n">
        <v>45363</v>
      </c>
      <c r="D8006" t="inlineStr">
        <is>
          <t>JÄMTLANDS LÄN</t>
        </is>
      </c>
      <c r="E8006" t="inlineStr">
        <is>
          <t>ÖSTERSUND</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17566-2023</t>
        </is>
      </c>
      <c r="B8007" s="1" t="n">
        <v>45034</v>
      </c>
      <c r="C8007" s="1" t="n">
        <v>45363</v>
      </c>
      <c r="D8007" t="inlineStr">
        <is>
          <t>JÄMTLANDS LÄN</t>
        </is>
      </c>
      <c r="E8007" t="inlineStr">
        <is>
          <t>ÅRE</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17238-2023</t>
        </is>
      </c>
      <c r="B8008" s="1" t="n">
        <v>45035</v>
      </c>
      <c r="C8008" s="1" t="n">
        <v>45363</v>
      </c>
      <c r="D8008" t="inlineStr">
        <is>
          <t>JÄMTLANDS LÄN</t>
        </is>
      </c>
      <c r="E8008" t="inlineStr">
        <is>
          <t>HÄRJEDALEN</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17246-2023</t>
        </is>
      </c>
      <c r="B8009" s="1" t="n">
        <v>45035</v>
      </c>
      <c r="C8009" s="1" t="n">
        <v>45363</v>
      </c>
      <c r="D8009" t="inlineStr">
        <is>
          <t>JÄMTLANDS LÄN</t>
        </is>
      </c>
      <c r="E8009" t="inlineStr">
        <is>
          <t>HÄRJEDALEN</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17383-2023</t>
        </is>
      </c>
      <c r="B8010" s="1" t="n">
        <v>45035</v>
      </c>
      <c r="C8010" s="1" t="n">
        <v>45363</v>
      </c>
      <c r="D8010" t="inlineStr">
        <is>
          <t>JÄMTLANDS LÄN</t>
        </is>
      </c>
      <c r="E8010" t="inlineStr">
        <is>
          <t>KROKOM</t>
        </is>
      </c>
      <c r="G8010" t="n">
        <v>8.300000000000001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17232-2023</t>
        </is>
      </c>
      <c r="B8011" s="1" t="n">
        <v>45035</v>
      </c>
      <c r="C8011" s="1" t="n">
        <v>45363</v>
      </c>
      <c r="D8011" t="inlineStr">
        <is>
          <t>JÄMTLANDS LÄN</t>
        </is>
      </c>
      <c r="E8011" t="inlineStr">
        <is>
          <t>HÄRJEDALEN</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17368-2023</t>
        </is>
      </c>
      <c r="B8012" s="1" t="n">
        <v>45035</v>
      </c>
      <c r="C8012" s="1" t="n">
        <v>45363</v>
      </c>
      <c r="D8012" t="inlineStr">
        <is>
          <t>JÄMTLANDS LÄN</t>
        </is>
      </c>
      <c r="E8012" t="inlineStr">
        <is>
          <t>HÄRJEDALEN</t>
        </is>
      </c>
      <c r="F8012" t="inlineStr">
        <is>
          <t>Kyrkan</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17433-2023</t>
        </is>
      </c>
      <c r="B8013" s="1" t="n">
        <v>45035</v>
      </c>
      <c r="C8013" s="1" t="n">
        <v>45363</v>
      </c>
      <c r="D8013" t="inlineStr">
        <is>
          <t>JÄMTLANDS LÄN</t>
        </is>
      </c>
      <c r="E8013" t="inlineStr">
        <is>
          <t>STRÖMSUND</t>
        </is>
      </c>
      <c r="G8013" t="n">
        <v>15.6</v>
      </c>
      <c r="H8013" t="n">
        <v>0</v>
      </c>
      <c r="I8013" t="n">
        <v>0</v>
      </c>
      <c r="J8013" t="n">
        <v>0</v>
      </c>
      <c r="K8013" t="n">
        <v>0</v>
      </c>
      <c r="L8013" t="n">
        <v>0</v>
      </c>
      <c r="M8013" t="n">
        <v>0</v>
      </c>
      <c r="N8013" t="n">
        <v>0</v>
      </c>
      <c r="O8013" t="n">
        <v>0</v>
      </c>
      <c r="P8013" t="n">
        <v>0</v>
      </c>
      <c r="Q8013" t="n">
        <v>0</v>
      </c>
      <c r="R8013" s="2" t="inlineStr"/>
    </row>
    <row r="8014" ht="15" customHeight="1">
      <c r="A8014" t="inlineStr">
        <is>
          <t>A 17568-2023</t>
        </is>
      </c>
      <c r="B8014" s="1" t="n">
        <v>45036</v>
      </c>
      <c r="C8014" s="1" t="n">
        <v>45363</v>
      </c>
      <c r="D8014" t="inlineStr">
        <is>
          <t>JÄMTLANDS LÄN</t>
        </is>
      </c>
      <c r="E8014" t="inlineStr">
        <is>
          <t>BRÄCKE</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17594-2023</t>
        </is>
      </c>
      <c r="B8015" s="1" t="n">
        <v>45036</v>
      </c>
      <c r="C8015" s="1" t="n">
        <v>45363</v>
      </c>
      <c r="D8015" t="inlineStr">
        <is>
          <t>JÄMTLANDS LÄN</t>
        </is>
      </c>
      <c r="E8015" t="inlineStr">
        <is>
          <t>KROKOM</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17636-2023</t>
        </is>
      </c>
      <c r="B8016" s="1" t="n">
        <v>45036</v>
      </c>
      <c r="C8016" s="1" t="n">
        <v>45363</v>
      </c>
      <c r="D8016" t="inlineStr">
        <is>
          <t>JÄMTLANDS LÄN</t>
        </is>
      </c>
      <c r="E8016" t="inlineStr">
        <is>
          <t>ÅRE</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17665-2023</t>
        </is>
      </c>
      <c r="B8017" s="1" t="n">
        <v>45036</v>
      </c>
      <c r="C8017" s="1" t="n">
        <v>45363</v>
      </c>
      <c r="D8017" t="inlineStr">
        <is>
          <t>JÄMTLANDS LÄN</t>
        </is>
      </c>
      <c r="E8017" t="inlineStr">
        <is>
          <t>BRÄCKE</t>
        </is>
      </c>
      <c r="F8017" t="inlineStr">
        <is>
          <t>SCA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17591-2023</t>
        </is>
      </c>
      <c r="B8018" s="1" t="n">
        <v>45036</v>
      </c>
      <c r="C8018" s="1" t="n">
        <v>45363</v>
      </c>
      <c r="D8018" t="inlineStr">
        <is>
          <t>JÄMTLANDS LÄN</t>
        </is>
      </c>
      <c r="E8018" t="inlineStr">
        <is>
          <t>KROKOM</t>
        </is>
      </c>
      <c r="G8018" t="n">
        <v>8.4</v>
      </c>
      <c r="H8018" t="n">
        <v>0</v>
      </c>
      <c r="I8018" t="n">
        <v>0</v>
      </c>
      <c r="J8018" t="n">
        <v>0</v>
      </c>
      <c r="K8018" t="n">
        <v>0</v>
      </c>
      <c r="L8018" t="n">
        <v>0</v>
      </c>
      <c r="M8018" t="n">
        <v>0</v>
      </c>
      <c r="N8018" t="n">
        <v>0</v>
      </c>
      <c r="O8018" t="n">
        <v>0</v>
      </c>
      <c r="P8018" t="n">
        <v>0</v>
      </c>
      <c r="Q8018" t="n">
        <v>0</v>
      </c>
      <c r="R8018" s="2" t="inlineStr"/>
    </row>
    <row r="8019" ht="15" customHeight="1">
      <c r="A8019" t="inlineStr">
        <is>
          <t>A 17603-2023</t>
        </is>
      </c>
      <c r="B8019" s="1" t="n">
        <v>45036</v>
      </c>
      <c r="C8019" s="1" t="n">
        <v>45363</v>
      </c>
      <c r="D8019" t="inlineStr">
        <is>
          <t>JÄMTLANDS LÄN</t>
        </is>
      </c>
      <c r="E8019" t="inlineStr">
        <is>
          <t>KROKOM</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17663-2023</t>
        </is>
      </c>
      <c r="B8020" s="1" t="n">
        <v>45037</v>
      </c>
      <c r="C8020" s="1" t="n">
        <v>45363</v>
      </c>
      <c r="D8020" t="inlineStr">
        <is>
          <t>JÄMTLANDS LÄN</t>
        </is>
      </c>
      <c r="E8020" t="inlineStr">
        <is>
          <t>STRÖMSUND</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17602-2023</t>
        </is>
      </c>
      <c r="B8021" s="1" t="n">
        <v>45036</v>
      </c>
      <c r="C8021" s="1" t="n">
        <v>45363</v>
      </c>
      <c r="D8021" t="inlineStr">
        <is>
          <t>JÄMTLANDS LÄN</t>
        </is>
      </c>
      <c r="E8021" t="inlineStr">
        <is>
          <t>KROKOM</t>
        </is>
      </c>
      <c r="G8021" t="n">
        <v>6.9</v>
      </c>
      <c r="H8021" t="n">
        <v>0</v>
      </c>
      <c r="I8021" t="n">
        <v>0</v>
      </c>
      <c r="J8021" t="n">
        <v>0</v>
      </c>
      <c r="K8021" t="n">
        <v>0</v>
      </c>
      <c r="L8021" t="n">
        <v>0</v>
      </c>
      <c r="M8021" t="n">
        <v>0</v>
      </c>
      <c r="N8021" t="n">
        <v>0</v>
      </c>
      <c r="O8021" t="n">
        <v>0</v>
      </c>
      <c r="P8021" t="n">
        <v>0</v>
      </c>
      <c r="Q8021" t="n">
        <v>0</v>
      </c>
      <c r="R8021" s="2" t="inlineStr"/>
    </row>
    <row r="8022" ht="15" customHeight="1">
      <c r="A8022" t="inlineStr">
        <is>
          <t>A 17662-2023</t>
        </is>
      </c>
      <c r="B8022" s="1" t="n">
        <v>45037</v>
      </c>
      <c r="C8022" s="1" t="n">
        <v>45363</v>
      </c>
      <c r="D8022" t="inlineStr">
        <is>
          <t>JÄMTLANDS LÄN</t>
        </is>
      </c>
      <c r="E8022" t="inlineStr">
        <is>
          <t>STRÖMSUND</t>
        </is>
      </c>
      <c r="F8022" t="inlineStr">
        <is>
          <t>SCA</t>
        </is>
      </c>
      <c r="G8022" t="n">
        <v>12.4</v>
      </c>
      <c r="H8022" t="n">
        <v>0</v>
      </c>
      <c r="I8022" t="n">
        <v>0</v>
      </c>
      <c r="J8022" t="n">
        <v>0</v>
      </c>
      <c r="K8022" t="n">
        <v>0</v>
      </c>
      <c r="L8022" t="n">
        <v>0</v>
      </c>
      <c r="M8022" t="n">
        <v>0</v>
      </c>
      <c r="N8022" t="n">
        <v>0</v>
      </c>
      <c r="O8022" t="n">
        <v>0</v>
      </c>
      <c r="P8022" t="n">
        <v>0</v>
      </c>
      <c r="Q8022" t="n">
        <v>0</v>
      </c>
      <c r="R8022" s="2" t="inlineStr"/>
    </row>
    <row r="8023" ht="15" customHeight="1">
      <c r="A8023" t="inlineStr">
        <is>
          <t>A 17751-2023</t>
        </is>
      </c>
      <c r="B8023" s="1" t="n">
        <v>45036</v>
      </c>
      <c r="C8023" s="1" t="n">
        <v>45363</v>
      </c>
      <c r="D8023" t="inlineStr">
        <is>
          <t>JÄMTLANDS LÄN</t>
        </is>
      </c>
      <c r="E8023" t="inlineStr">
        <is>
          <t>KROKOM</t>
        </is>
      </c>
      <c r="G8023" t="n">
        <v>8.300000000000001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17798-2023</t>
        </is>
      </c>
      <c r="B8024" s="1" t="n">
        <v>45036</v>
      </c>
      <c r="C8024" s="1" t="n">
        <v>45363</v>
      </c>
      <c r="D8024" t="inlineStr">
        <is>
          <t>JÄMTLANDS LÄN</t>
        </is>
      </c>
      <c r="E8024" t="inlineStr">
        <is>
          <t>STRÖMSUND</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17789-2023</t>
        </is>
      </c>
      <c r="B8025" s="1" t="n">
        <v>45036</v>
      </c>
      <c r="C8025" s="1" t="n">
        <v>45363</v>
      </c>
      <c r="D8025" t="inlineStr">
        <is>
          <t>JÄMTLANDS LÄN</t>
        </is>
      </c>
      <c r="E8025" t="inlineStr">
        <is>
          <t>STRÖMSUND</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17703-2023</t>
        </is>
      </c>
      <c r="B8026" s="1" t="n">
        <v>45037</v>
      </c>
      <c r="C8026" s="1" t="n">
        <v>45363</v>
      </c>
      <c r="D8026" t="inlineStr">
        <is>
          <t>JÄMTLANDS LÄN</t>
        </is>
      </c>
      <c r="E8026" t="inlineStr">
        <is>
          <t>ÅRE</t>
        </is>
      </c>
      <c r="F8026" t="inlineStr">
        <is>
          <t>Övriga Aktiebolag</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17847-2023</t>
        </is>
      </c>
      <c r="B8027" s="1" t="n">
        <v>45037</v>
      </c>
      <c r="C8027" s="1" t="n">
        <v>45363</v>
      </c>
      <c r="D8027" t="inlineStr">
        <is>
          <t>JÄMTLANDS LÄN</t>
        </is>
      </c>
      <c r="E8027" t="inlineStr">
        <is>
          <t>ÅRE</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17857-2023</t>
        </is>
      </c>
      <c r="B8028" s="1" t="n">
        <v>45037</v>
      </c>
      <c r="C8028" s="1" t="n">
        <v>45363</v>
      </c>
      <c r="D8028" t="inlineStr">
        <is>
          <t>JÄMTLANDS LÄN</t>
        </is>
      </c>
      <c r="E8028" t="inlineStr">
        <is>
          <t>BRÄCKE</t>
        </is>
      </c>
      <c r="F8028" t="inlineStr">
        <is>
          <t>SCA</t>
        </is>
      </c>
      <c r="G8028" t="n">
        <v>20</v>
      </c>
      <c r="H8028" t="n">
        <v>0</v>
      </c>
      <c r="I8028" t="n">
        <v>0</v>
      </c>
      <c r="J8028" t="n">
        <v>0</v>
      </c>
      <c r="K8028" t="n">
        <v>0</v>
      </c>
      <c r="L8028" t="n">
        <v>0</v>
      </c>
      <c r="M8028" t="n">
        <v>0</v>
      </c>
      <c r="N8028" t="n">
        <v>0</v>
      </c>
      <c r="O8028" t="n">
        <v>0</v>
      </c>
      <c r="P8028" t="n">
        <v>0</v>
      </c>
      <c r="Q8028" t="n">
        <v>0</v>
      </c>
      <c r="R8028" s="2" t="inlineStr"/>
    </row>
    <row r="8029" ht="15" customHeight="1">
      <c r="A8029" t="inlineStr">
        <is>
          <t>A 17888-2023</t>
        </is>
      </c>
      <c r="B8029" s="1" t="n">
        <v>45037</v>
      </c>
      <c r="C8029" s="1" t="n">
        <v>45363</v>
      </c>
      <c r="D8029" t="inlineStr">
        <is>
          <t>JÄMTLANDS LÄN</t>
        </is>
      </c>
      <c r="E8029" t="inlineStr">
        <is>
          <t>BRÄCKE</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17864-2023</t>
        </is>
      </c>
      <c r="B8030" s="1" t="n">
        <v>45038</v>
      </c>
      <c r="C8030" s="1" t="n">
        <v>45363</v>
      </c>
      <c r="D8030" t="inlineStr">
        <is>
          <t>JÄMTLANDS LÄN</t>
        </is>
      </c>
      <c r="E8030" t="inlineStr">
        <is>
          <t>RAGUNDA</t>
        </is>
      </c>
      <c r="F8030" t="inlineStr">
        <is>
          <t>SCA</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17863-2023</t>
        </is>
      </c>
      <c r="B8031" s="1" t="n">
        <v>45038</v>
      </c>
      <c r="C8031" s="1" t="n">
        <v>45363</v>
      </c>
      <c r="D8031" t="inlineStr">
        <is>
          <t>JÄMTLANDS LÄN</t>
        </is>
      </c>
      <c r="E8031" t="inlineStr">
        <is>
          <t>RAGUNDA</t>
        </is>
      </c>
      <c r="F8031" t="inlineStr">
        <is>
          <t>SCA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18152-2023</t>
        </is>
      </c>
      <c r="B8032" s="1" t="n">
        <v>45040</v>
      </c>
      <c r="C8032" s="1" t="n">
        <v>45363</v>
      </c>
      <c r="D8032" t="inlineStr">
        <is>
          <t>JÄMTLANDS LÄN</t>
        </is>
      </c>
      <c r="E8032" t="inlineStr">
        <is>
          <t>BRÄCKE</t>
        </is>
      </c>
      <c r="F8032" t="inlineStr">
        <is>
          <t>SCA</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18159-2023</t>
        </is>
      </c>
      <c r="B8033" s="1" t="n">
        <v>45041</v>
      </c>
      <c r="C8033" s="1" t="n">
        <v>45363</v>
      </c>
      <c r="D8033" t="inlineStr">
        <is>
          <t>JÄMTLANDS LÄN</t>
        </is>
      </c>
      <c r="E8033" t="inlineStr">
        <is>
          <t>RAGUNDA</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18145-2023</t>
        </is>
      </c>
      <c r="B8034" s="1" t="n">
        <v>45041</v>
      </c>
      <c r="C8034" s="1" t="n">
        <v>45363</v>
      </c>
      <c r="D8034" t="inlineStr">
        <is>
          <t>JÄMTLANDS LÄN</t>
        </is>
      </c>
      <c r="E8034" t="inlineStr">
        <is>
          <t>RAGUNDA</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18150-2023</t>
        </is>
      </c>
      <c r="B8035" s="1" t="n">
        <v>45041</v>
      </c>
      <c r="C8035" s="1" t="n">
        <v>45363</v>
      </c>
      <c r="D8035" t="inlineStr">
        <is>
          <t>JÄMTLANDS LÄN</t>
        </is>
      </c>
      <c r="E8035" t="inlineStr">
        <is>
          <t>BRÄCKE</t>
        </is>
      </c>
      <c r="F8035" t="inlineStr">
        <is>
          <t>SCA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18164-2023</t>
        </is>
      </c>
      <c r="B8036" s="1" t="n">
        <v>45041</v>
      </c>
      <c r="C8036" s="1" t="n">
        <v>45363</v>
      </c>
      <c r="D8036" t="inlineStr">
        <is>
          <t>JÄMTLANDS LÄN</t>
        </is>
      </c>
      <c r="E8036" t="inlineStr">
        <is>
          <t>BRÄCKE</t>
        </is>
      </c>
      <c r="F8036" t="inlineStr">
        <is>
          <t>SCA</t>
        </is>
      </c>
      <c r="G8036" t="n">
        <v>31.4</v>
      </c>
      <c r="H8036" t="n">
        <v>0</v>
      </c>
      <c r="I8036" t="n">
        <v>0</v>
      </c>
      <c r="J8036" t="n">
        <v>0</v>
      </c>
      <c r="K8036" t="n">
        <v>0</v>
      </c>
      <c r="L8036" t="n">
        <v>0</v>
      </c>
      <c r="M8036" t="n">
        <v>0</v>
      </c>
      <c r="N8036" t="n">
        <v>0</v>
      </c>
      <c r="O8036" t="n">
        <v>0</v>
      </c>
      <c r="P8036" t="n">
        <v>0</v>
      </c>
      <c r="Q8036" t="n">
        <v>0</v>
      </c>
      <c r="R8036" s="2" t="inlineStr"/>
    </row>
    <row r="8037" ht="15" customHeight="1">
      <c r="A8037" t="inlineStr">
        <is>
          <t>A 18229-2023</t>
        </is>
      </c>
      <c r="B8037" s="1" t="n">
        <v>45040</v>
      </c>
      <c r="C8037" s="1" t="n">
        <v>45363</v>
      </c>
      <c r="D8037" t="inlineStr">
        <is>
          <t>JÄMTLANDS LÄN</t>
        </is>
      </c>
      <c r="E8037" t="inlineStr">
        <is>
          <t>BRÄCKE</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18248-2023</t>
        </is>
      </c>
      <c r="B8038" s="1" t="n">
        <v>45040</v>
      </c>
      <c r="C8038" s="1" t="n">
        <v>45363</v>
      </c>
      <c r="D8038" t="inlineStr">
        <is>
          <t>JÄMTLANDS LÄN</t>
        </is>
      </c>
      <c r="E8038" t="inlineStr">
        <is>
          <t>RAGUNDA</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18139-2023</t>
        </is>
      </c>
      <c r="B8039" s="1" t="n">
        <v>45040</v>
      </c>
      <c r="C8039" s="1" t="n">
        <v>45363</v>
      </c>
      <c r="D8039" t="inlineStr">
        <is>
          <t>JÄMTLANDS LÄN</t>
        </is>
      </c>
      <c r="E8039" t="inlineStr">
        <is>
          <t>KROKOM</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18151-2023</t>
        </is>
      </c>
      <c r="B8040" s="1" t="n">
        <v>45040</v>
      </c>
      <c r="C8040" s="1" t="n">
        <v>45363</v>
      </c>
      <c r="D8040" t="inlineStr">
        <is>
          <t>JÄMTLANDS LÄN</t>
        </is>
      </c>
      <c r="E8040" t="inlineStr">
        <is>
          <t>BRÄCKE</t>
        </is>
      </c>
      <c r="F8040" t="inlineStr">
        <is>
          <t>SCA</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18158-2023</t>
        </is>
      </c>
      <c r="B8041" s="1" t="n">
        <v>45040</v>
      </c>
      <c r="C8041" s="1" t="n">
        <v>45363</v>
      </c>
      <c r="D8041" t="inlineStr">
        <is>
          <t>JÄMTLANDS LÄN</t>
        </is>
      </c>
      <c r="E8041" t="inlineStr">
        <is>
          <t>STRÖMSUND</t>
        </is>
      </c>
      <c r="F8041" t="inlineStr">
        <is>
          <t>SCA</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18204-2023</t>
        </is>
      </c>
      <c r="B8042" s="1" t="n">
        <v>45040</v>
      </c>
      <c r="C8042" s="1" t="n">
        <v>45363</v>
      </c>
      <c r="D8042" t="inlineStr">
        <is>
          <t>JÄMTLANDS LÄN</t>
        </is>
      </c>
      <c r="E8042" t="inlineStr">
        <is>
          <t>ÅRE</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18236-2023</t>
        </is>
      </c>
      <c r="B8043" s="1" t="n">
        <v>45040</v>
      </c>
      <c r="C8043" s="1" t="n">
        <v>45363</v>
      </c>
      <c r="D8043" t="inlineStr">
        <is>
          <t>JÄMTLANDS LÄN</t>
        </is>
      </c>
      <c r="E8043" t="inlineStr">
        <is>
          <t>BRÄCKE</t>
        </is>
      </c>
      <c r="G8043" t="n">
        <v>7.7</v>
      </c>
      <c r="H8043" t="n">
        <v>0</v>
      </c>
      <c r="I8043" t="n">
        <v>0</v>
      </c>
      <c r="J8043" t="n">
        <v>0</v>
      </c>
      <c r="K8043" t="n">
        <v>0</v>
      </c>
      <c r="L8043" t="n">
        <v>0</v>
      </c>
      <c r="M8043" t="n">
        <v>0</v>
      </c>
      <c r="N8043" t="n">
        <v>0</v>
      </c>
      <c r="O8043" t="n">
        <v>0</v>
      </c>
      <c r="P8043" t="n">
        <v>0</v>
      </c>
      <c r="Q8043" t="n">
        <v>0</v>
      </c>
      <c r="R8043" s="2" t="inlineStr"/>
    </row>
    <row r="8044" ht="15" customHeight="1">
      <c r="A8044" t="inlineStr">
        <is>
          <t>A 18296-2023</t>
        </is>
      </c>
      <c r="B8044" s="1" t="n">
        <v>45040</v>
      </c>
      <c r="C8044" s="1" t="n">
        <v>45363</v>
      </c>
      <c r="D8044" t="inlineStr">
        <is>
          <t>JÄMTLANDS LÄN</t>
        </is>
      </c>
      <c r="E8044" t="inlineStr">
        <is>
          <t>KROKOM</t>
        </is>
      </c>
      <c r="G8044" t="n">
        <v>20.3</v>
      </c>
      <c r="H8044" t="n">
        <v>0</v>
      </c>
      <c r="I8044" t="n">
        <v>0</v>
      </c>
      <c r="J8044" t="n">
        <v>0</v>
      </c>
      <c r="K8044" t="n">
        <v>0</v>
      </c>
      <c r="L8044" t="n">
        <v>0</v>
      </c>
      <c r="M8044" t="n">
        <v>0</v>
      </c>
      <c r="N8044" t="n">
        <v>0</v>
      </c>
      <c r="O8044" t="n">
        <v>0</v>
      </c>
      <c r="P8044" t="n">
        <v>0</v>
      </c>
      <c r="Q8044" t="n">
        <v>0</v>
      </c>
      <c r="R8044" s="2" t="inlineStr"/>
    </row>
    <row r="8045" ht="15" customHeight="1">
      <c r="A8045" t="inlineStr">
        <is>
          <t>A 18217-2023</t>
        </is>
      </c>
      <c r="B8045" s="1" t="n">
        <v>45040</v>
      </c>
      <c r="C8045" s="1" t="n">
        <v>45363</v>
      </c>
      <c r="D8045" t="inlineStr">
        <is>
          <t>JÄMTLANDS LÄN</t>
        </is>
      </c>
      <c r="E8045" t="inlineStr">
        <is>
          <t>BERG</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18206-2023</t>
        </is>
      </c>
      <c r="B8046" s="1" t="n">
        <v>45041</v>
      </c>
      <c r="C8046" s="1" t="n">
        <v>45363</v>
      </c>
      <c r="D8046" t="inlineStr">
        <is>
          <t>JÄMTLANDS LÄN</t>
        </is>
      </c>
      <c r="E8046" t="inlineStr">
        <is>
          <t>BRÄCKE</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18334-2023</t>
        </is>
      </c>
      <c r="B8047" s="1" t="n">
        <v>45041</v>
      </c>
      <c r="C8047" s="1" t="n">
        <v>45363</v>
      </c>
      <c r="D8047" t="inlineStr">
        <is>
          <t>JÄMTLANDS LÄN</t>
        </is>
      </c>
      <c r="E8047" t="inlineStr">
        <is>
          <t>HÄRJEDALEN</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18253-2023</t>
        </is>
      </c>
      <c r="B8048" s="1" t="n">
        <v>45041</v>
      </c>
      <c r="C8048" s="1" t="n">
        <v>45363</v>
      </c>
      <c r="D8048" t="inlineStr">
        <is>
          <t>JÄMTLANDS LÄN</t>
        </is>
      </c>
      <c r="E8048" t="inlineStr">
        <is>
          <t>ÅRE</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18258-2023</t>
        </is>
      </c>
      <c r="B8049" s="1" t="n">
        <v>45041</v>
      </c>
      <c r="C8049" s="1" t="n">
        <v>45363</v>
      </c>
      <c r="D8049" t="inlineStr">
        <is>
          <t>JÄMTLANDS LÄN</t>
        </is>
      </c>
      <c r="E8049" t="inlineStr">
        <is>
          <t>HÄRJEDALEN</t>
        </is>
      </c>
      <c r="F8049" t="inlineStr">
        <is>
          <t>Bergvik skog väst AB</t>
        </is>
      </c>
      <c r="G8049" t="n">
        <v>14.7</v>
      </c>
      <c r="H8049" t="n">
        <v>0</v>
      </c>
      <c r="I8049" t="n">
        <v>0</v>
      </c>
      <c r="J8049" t="n">
        <v>0</v>
      </c>
      <c r="K8049" t="n">
        <v>0</v>
      </c>
      <c r="L8049" t="n">
        <v>0</v>
      </c>
      <c r="M8049" t="n">
        <v>0</v>
      </c>
      <c r="N8049" t="n">
        <v>0</v>
      </c>
      <c r="O8049" t="n">
        <v>0</v>
      </c>
      <c r="P8049" t="n">
        <v>0</v>
      </c>
      <c r="Q8049" t="n">
        <v>0</v>
      </c>
      <c r="R8049" s="2" t="inlineStr"/>
    </row>
    <row r="8050" ht="15" customHeight="1">
      <c r="A8050" t="inlineStr">
        <is>
          <t>A 18264-2023</t>
        </is>
      </c>
      <c r="B8050" s="1" t="n">
        <v>45041</v>
      </c>
      <c r="C8050" s="1" t="n">
        <v>45363</v>
      </c>
      <c r="D8050" t="inlineStr">
        <is>
          <t>JÄMTLANDS LÄN</t>
        </is>
      </c>
      <c r="E8050" t="inlineStr">
        <is>
          <t>ÅRE</t>
        </is>
      </c>
      <c r="G8050" t="n">
        <v>0.2</v>
      </c>
      <c r="H8050" t="n">
        <v>0</v>
      </c>
      <c r="I8050" t="n">
        <v>0</v>
      </c>
      <c r="J8050" t="n">
        <v>0</v>
      </c>
      <c r="K8050" t="n">
        <v>0</v>
      </c>
      <c r="L8050" t="n">
        <v>0</v>
      </c>
      <c r="M8050" t="n">
        <v>0</v>
      </c>
      <c r="N8050" t="n">
        <v>0</v>
      </c>
      <c r="O8050" t="n">
        <v>0</v>
      </c>
      <c r="P8050" t="n">
        <v>0</v>
      </c>
      <c r="Q8050" t="n">
        <v>0</v>
      </c>
      <c r="R8050" s="2" t="inlineStr"/>
    </row>
    <row r="8051" ht="15" customHeight="1">
      <c r="A8051" t="inlineStr">
        <is>
          <t>A 18369-2023</t>
        </is>
      </c>
      <c r="B8051" s="1" t="n">
        <v>45042</v>
      </c>
      <c r="C8051" s="1" t="n">
        <v>45363</v>
      </c>
      <c r="D8051" t="inlineStr">
        <is>
          <t>JÄMTLANDS LÄN</t>
        </is>
      </c>
      <c r="E8051" t="inlineStr">
        <is>
          <t>STRÖMSUND</t>
        </is>
      </c>
      <c r="F8051" t="inlineStr">
        <is>
          <t>SCA</t>
        </is>
      </c>
      <c r="G8051" t="n">
        <v>100.1</v>
      </c>
      <c r="H8051" t="n">
        <v>0</v>
      </c>
      <c r="I8051" t="n">
        <v>0</v>
      </c>
      <c r="J8051" t="n">
        <v>0</v>
      </c>
      <c r="K8051" t="n">
        <v>0</v>
      </c>
      <c r="L8051" t="n">
        <v>0</v>
      </c>
      <c r="M8051" t="n">
        <v>0</v>
      </c>
      <c r="N8051" t="n">
        <v>0</v>
      </c>
      <c r="O8051" t="n">
        <v>0</v>
      </c>
      <c r="P8051" t="n">
        <v>0</v>
      </c>
      <c r="Q8051" t="n">
        <v>0</v>
      </c>
      <c r="R8051" s="2" t="inlineStr"/>
    </row>
    <row r="8052" ht="15" customHeight="1">
      <c r="A8052" t="inlineStr">
        <is>
          <t>A 18374-2023</t>
        </is>
      </c>
      <c r="B8052" s="1" t="n">
        <v>45041</v>
      </c>
      <c r="C8052" s="1" t="n">
        <v>45363</v>
      </c>
      <c r="D8052" t="inlineStr">
        <is>
          <t>JÄMTLANDS LÄN</t>
        </is>
      </c>
      <c r="E8052" t="inlineStr">
        <is>
          <t>STRÖMSUND</t>
        </is>
      </c>
      <c r="F8052" t="inlineStr">
        <is>
          <t>SCA</t>
        </is>
      </c>
      <c r="G8052" t="n">
        <v>29.7</v>
      </c>
      <c r="H8052" t="n">
        <v>0</v>
      </c>
      <c r="I8052" t="n">
        <v>0</v>
      </c>
      <c r="J8052" t="n">
        <v>0</v>
      </c>
      <c r="K8052" t="n">
        <v>0</v>
      </c>
      <c r="L8052" t="n">
        <v>0</v>
      </c>
      <c r="M8052" t="n">
        <v>0</v>
      </c>
      <c r="N8052" t="n">
        <v>0</v>
      </c>
      <c r="O8052" t="n">
        <v>0</v>
      </c>
      <c r="P8052" t="n">
        <v>0</v>
      </c>
      <c r="Q8052" t="n">
        <v>0</v>
      </c>
      <c r="R8052" s="2" t="inlineStr"/>
    </row>
    <row r="8053" ht="15" customHeight="1">
      <c r="A8053" t="inlineStr">
        <is>
          <t>A 18539-2023</t>
        </is>
      </c>
      <c r="B8053" s="1" t="n">
        <v>45041</v>
      </c>
      <c r="C8053" s="1" t="n">
        <v>45363</v>
      </c>
      <c r="D8053" t="inlineStr">
        <is>
          <t>JÄMTLANDS LÄN</t>
        </is>
      </c>
      <c r="E8053" t="inlineStr">
        <is>
          <t>KROKOM</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18620-2023</t>
        </is>
      </c>
      <c r="B8054" s="1" t="n">
        <v>45041</v>
      </c>
      <c r="C8054" s="1" t="n">
        <v>45363</v>
      </c>
      <c r="D8054" t="inlineStr">
        <is>
          <t>JÄMTLANDS LÄN</t>
        </is>
      </c>
      <c r="E8054" t="inlineStr">
        <is>
          <t>HÄRJEDALEN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18646-2023</t>
        </is>
      </c>
      <c r="B8055" s="1" t="n">
        <v>45041</v>
      </c>
      <c r="C8055" s="1" t="n">
        <v>45363</v>
      </c>
      <c r="D8055" t="inlineStr">
        <is>
          <t>JÄMTLANDS LÄN</t>
        </is>
      </c>
      <c r="E8055" t="inlineStr">
        <is>
          <t>HÄRJEDALEN</t>
        </is>
      </c>
      <c r="G8055" t="n">
        <v>0.2</v>
      </c>
      <c r="H8055" t="n">
        <v>0</v>
      </c>
      <c r="I8055" t="n">
        <v>0</v>
      </c>
      <c r="J8055" t="n">
        <v>0</v>
      </c>
      <c r="K8055" t="n">
        <v>0</v>
      </c>
      <c r="L8055" t="n">
        <v>0</v>
      </c>
      <c r="M8055" t="n">
        <v>0</v>
      </c>
      <c r="N8055" t="n">
        <v>0</v>
      </c>
      <c r="O8055" t="n">
        <v>0</v>
      </c>
      <c r="P8055" t="n">
        <v>0</v>
      </c>
      <c r="Q8055" t="n">
        <v>0</v>
      </c>
      <c r="R8055" s="2" t="inlineStr"/>
    </row>
    <row r="8056" ht="15" customHeight="1">
      <c r="A8056" t="inlineStr">
        <is>
          <t>A 18659-2023</t>
        </is>
      </c>
      <c r="B8056" s="1" t="n">
        <v>45041</v>
      </c>
      <c r="C8056" s="1" t="n">
        <v>45363</v>
      </c>
      <c r="D8056" t="inlineStr">
        <is>
          <t>JÄMTLANDS LÄN</t>
        </is>
      </c>
      <c r="E8056" t="inlineStr">
        <is>
          <t>HÄRJEDALEN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18497-2023</t>
        </is>
      </c>
      <c r="B8057" s="1" t="n">
        <v>45042</v>
      </c>
      <c r="C8057" s="1" t="n">
        <v>45363</v>
      </c>
      <c r="D8057" t="inlineStr">
        <is>
          <t>JÄMTLANDS LÄN</t>
        </is>
      </c>
      <c r="E8057" t="inlineStr">
        <is>
          <t>BERG</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18559-2023</t>
        </is>
      </c>
      <c r="B8058" s="1" t="n">
        <v>45043</v>
      </c>
      <c r="C8058" s="1" t="n">
        <v>45363</v>
      </c>
      <c r="D8058" t="inlineStr">
        <is>
          <t>JÄMTLANDS LÄN</t>
        </is>
      </c>
      <c r="E8058" t="inlineStr">
        <is>
          <t>BRÄCKE</t>
        </is>
      </c>
      <c r="F8058" t="inlineStr">
        <is>
          <t>SCA</t>
        </is>
      </c>
      <c r="G8058" t="n">
        <v>10.2</v>
      </c>
      <c r="H8058" t="n">
        <v>0</v>
      </c>
      <c r="I8058" t="n">
        <v>0</v>
      </c>
      <c r="J8058" t="n">
        <v>0</v>
      </c>
      <c r="K8058" t="n">
        <v>0</v>
      </c>
      <c r="L8058" t="n">
        <v>0</v>
      </c>
      <c r="M8058" t="n">
        <v>0</v>
      </c>
      <c r="N8058" t="n">
        <v>0</v>
      </c>
      <c r="O8058" t="n">
        <v>0</v>
      </c>
      <c r="P8058" t="n">
        <v>0</v>
      </c>
      <c r="Q8058" t="n">
        <v>0</v>
      </c>
      <c r="R8058" s="2" t="inlineStr"/>
    </row>
    <row r="8059" ht="15" customHeight="1">
      <c r="A8059" t="inlineStr">
        <is>
          <t>A 18553-2023</t>
        </is>
      </c>
      <c r="B8059" s="1" t="n">
        <v>45042</v>
      </c>
      <c r="C8059" s="1" t="n">
        <v>45363</v>
      </c>
      <c r="D8059" t="inlineStr">
        <is>
          <t>JÄMTLANDS LÄN</t>
        </is>
      </c>
      <c r="E8059" t="inlineStr">
        <is>
          <t>STRÖMSUND</t>
        </is>
      </c>
      <c r="F8059" t="inlineStr">
        <is>
          <t>SCA</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18557-2023</t>
        </is>
      </c>
      <c r="B8060" s="1" t="n">
        <v>45043</v>
      </c>
      <c r="C8060" s="1" t="n">
        <v>45363</v>
      </c>
      <c r="D8060" t="inlineStr">
        <is>
          <t>JÄMTLANDS LÄN</t>
        </is>
      </c>
      <c r="E8060" t="inlineStr">
        <is>
          <t>RAGUNDA</t>
        </is>
      </c>
      <c r="F8060" t="inlineStr">
        <is>
          <t>SCA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18552-2023</t>
        </is>
      </c>
      <c r="B8061" s="1" t="n">
        <v>45043</v>
      </c>
      <c r="C8061" s="1" t="n">
        <v>45363</v>
      </c>
      <c r="D8061" t="inlineStr">
        <is>
          <t>JÄMTLANDS LÄN</t>
        </is>
      </c>
      <c r="E8061" t="inlineStr">
        <is>
          <t>BRÄCKE</t>
        </is>
      </c>
      <c r="F8061" t="inlineStr">
        <is>
          <t>SCA</t>
        </is>
      </c>
      <c r="G8061" t="n">
        <v>15.6</v>
      </c>
      <c r="H8061" t="n">
        <v>0</v>
      </c>
      <c r="I8061" t="n">
        <v>0</v>
      </c>
      <c r="J8061" t="n">
        <v>0</v>
      </c>
      <c r="K8061" t="n">
        <v>0</v>
      </c>
      <c r="L8061" t="n">
        <v>0</v>
      </c>
      <c r="M8061" t="n">
        <v>0</v>
      </c>
      <c r="N8061" t="n">
        <v>0</v>
      </c>
      <c r="O8061" t="n">
        <v>0</v>
      </c>
      <c r="P8061" t="n">
        <v>0</v>
      </c>
      <c r="Q8061" t="n">
        <v>0</v>
      </c>
      <c r="R8061" s="2" t="inlineStr"/>
    </row>
    <row r="8062" ht="15" customHeight="1">
      <c r="A8062" t="inlineStr">
        <is>
          <t>A 18556-2023</t>
        </is>
      </c>
      <c r="B8062" s="1" t="n">
        <v>45043</v>
      </c>
      <c r="C8062" s="1" t="n">
        <v>45363</v>
      </c>
      <c r="D8062" t="inlineStr">
        <is>
          <t>JÄMTLANDS LÄN</t>
        </is>
      </c>
      <c r="E8062" t="inlineStr">
        <is>
          <t>RAGUNDA</t>
        </is>
      </c>
      <c r="F8062" t="inlineStr">
        <is>
          <t>SCA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18698-2023</t>
        </is>
      </c>
      <c r="B8063" s="1" t="n">
        <v>45042</v>
      </c>
      <c r="C8063" s="1" t="n">
        <v>45363</v>
      </c>
      <c r="D8063" t="inlineStr">
        <is>
          <t>JÄMTLANDS LÄN</t>
        </is>
      </c>
      <c r="E8063" t="inlineStr">
        <is>
          <t>BRÄCKE</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18555-2023</t>
        </is>
      </c>
      <c r="B8064" s="1" t="n">
        <v>45042</v>
      </c>
      <c r="C8064" s="1" t="n">
        <v>45363</v>
      </c>
      <c r="D8064" t="inlineStr">
        <is>
          <t>JÄMTLANDS LÄN</t>
        </is>
      </c>
      <c r="E8064" t="inlineStr">
        <is>
          <t>BRÄCKE</t>
        </is>
      </c>
      <c r="F8064" t="inlineStr">
        <is>
          <t>SCA</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18564-2023</t>
        </is>
      </c>
      <c r="B8065" s="1" t="n">
        <v>45043</v>
      </c>
      <c r="C8065" s="1" t="n">
        <v>45363</v>
      </c>
      <c r="D8065" t="inlineStr">
        <is>
          <t>JÄMTLANDS LÄN</t>
        </is>
      </c>
      <c r="E8065" t="inlineStr">
        <is>
          <t>STRÖMSUND</t>
        </is>
      </c>
      <c r="F8065" t="inlineStr">
        <is>
          <t>SCA</t>
        </is>
      </c>
      <c r="G8065" t="n">
        <v>40.5</v>
      </c>
      <c r="H8065" t="n">
        <v>0</v>
      </c>
      <c r="I8065" t="n">
        <v>0</v>
      </c>
      <c r="J8065" t="n">
        <v>0</v>
      </c>
      <c r="K8065" t="n">
        <v>0</v>
      </c>
      <c r="L8065" t="n">
        <v>0</v>
      </c>
      <c r="M8065" t="n">
        <v>0</v>
      </c>
      <c r="N8065" t="n">
        <v>0</v>
      </c>
      <c r="O8065" t="n">
        <v>0</v>
      </c>
      <c r="P8065" t="n">
        <v>0</v>
      </c>
      <c r="Q8065" t="n">
        <v>0</v>
      </c>
      <c r="R8065" s="2" t="inlineStr"/>
    </row>
    <row r="8066" ht="15" customHeight="1">
      <c r="A8066" t="inlineStr">
        <is>
          <t>A 18826-2023</t>
        </is>
      </c>
      <c r="B8066" s="1" t="n">
        <v>45042</v>
      </c>
      <c r="C8066" s="1" t="n">
        <v>45363</v>
      </c>
      <c r="D8066" t="inlineStr">
        <is>
          <t>JÄMTLANDS LÄN</t>
        </is>
      </c>
      <c r="E8066" t="inlineStr">
        <is>
          <t>KROKOM</t>
        </is>
      </c>
      <c r="G8066" t="n">
        <v>17.1</v>
      </c>
      <c r="H8066" t="n">
        <v>0</v>
      </c>
      <c r="I8066" t="n">
        <v>0</v>
      </c>
      <c r="J8066" t="n">
        <v>0</v>
      </c>
      <c r="K8066" t="n">
        <v>0</v>
      </c>
      <c r="L8066" t="n">
        <v>0</v>
      </c>
      <c r="M8066" t="n">
        <v>0</v>
      </c>
      <c r="N8066" t="n">
        <v>0</v>
      </c>
      <c r="O8066" t="n">
        <v>0</v>
      </c>
      <c r="P8066" t="n">
        <v>0</v>
      </c>
      <c r="Q8066" t="n">
        <v>0</v>
      </c>
      <c r="R8066" s="2" t="inlineStr"/>
    </row>
    <row r="8067" ht="15" customHeight="1">
      <c r="A8067" t="inlineStr">
        <is>
          <t>A 18820-2023</t>
        </is>
      </c>
      <c r="B8067" s="1" t="n">
        <v>45042</v>
      </c>
      <c r="C8067" s="1" t="n">
        <v>45363</v>
      </c>
      <c r="D8067" t="inlineStr">
        <is>
          <t>JÄMTLANDS LÄN</t>
        </is>
      </c>
      <c r="E8067" t="inlineStr">
        <is>
          <t>RAGUNDA</t>
        </is>
      </c>
      <c r="G8067" t="n">
        <v>18.8</v>
      </c>
      <c r="H8067" t="n">
        <v>0</v>
      </c>
      <c r="I8067" t="n">
        <v>0</v>
      </c>
      <c r="J8067" t="n">
        <v>0</v>
      </c>
      <c r="K8067" t="n">
        <v>0</v>
      </c>
      <c r="L8067" t="n">
        <v>0</v>
      </c>
      <c r="M8067" t="n">
        <v>0</v>
      </c>
      <c r="N8067" t="n">
        <v>0</v>
      </c>
      <c r="O8067" t="n">
        <v>0</v>
      </c>
      <c r="P8067" t="n">
        <v>0</v>
      </c>
      <c r="Q8067" t="n">
        <v>0</v>
      </c>
      <c r="R8067" s="2" t="inlineStr"/>
    </row>
    <row r="8068" ht="15" customHeight="1">
      <c r="A8068" t="inlineStr">
        <is>
          <t>A 18872-2023</t>
        </is>
      </c>
      <c r="B8068" s="1" t="n">
        <v>45042</v>
      </c>
      <c r="C8068" s="1" t="n">
        <v>45363</v>
      </c>
      <c r="D8068" t="inlineStr">
        <is>
          <t>JÄMTLANDS LÄN</t>
        </is>
      </c>
      <c r="E8068" t="inlineStr">
        <is>
          <t>BERG</t>
        </is>
      </c>
      <c r="G8068" t="n">
        <v>13.2</v>
      </c>
      <c r="H8068" t="n">
        <v>0</v>
      </c>
      <c r="I8068" t="n">
        <v>0</v>
      </c>
      <c r="J8068" t="n">
        <v>0</v>
      </c>
      <c r="K8068" t="n">
        <v>0</v>
      </c>
      <c r="L8068" t="n">
        <v>0</v>
      </c>
      <c r="M8068" t="n">
        <v>0</v>
      </c>
      <c r="N8068" t="n">
        <v>0</v>
      </c>
      <c r="O8068" t="n">
        <v>0</v>
      </c>
      <c r="P8068" t="n">
        <v>0</v>
      </c>
      <c r="Q8068" t="n">
        <v>0</v>
      </c>
      <c r="R8068" s="2" t="inlineStr"/>
    </row>
    <row r="8069" ht="15" customHeight="1">
      <c r="A8069" t="inlineStr">
        <is>
          <t>A 18674-2023</t>
        </is>
      </c>
      <c r="B8069" s="1" t="n">
        <v>45043</v>
      </c>
      <c r="C8069" s="1" t="n">
        <v>45363</v>
      </c>
      <c r="D8069" t="inlineStr">
        <is>
          <t>JÄMTLANDS LÄN</t>
        </is>
      </c>
      <c r="E8069" t="inlineStr">
        <is>
          <t>BRÄCKE</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18617-2023</t>
        </is>
      </c>
      <c r="B8070" s="1" t="n">
        <v>45043</v>
      </c>
      <c r="C8070" s="1" t="n">
        <v>45363</v>
      </c>
      <c r="D8070" t="inlineStr">
        <is>
          <t>JÄMTLANDS LÄN</t>
        </is>
      </c>
      <c r="E8070" t="inlineStr">
        <is>
          <t>HÄRJEDALEN</t>
        </is>
      </c>
      <c r="G8070" t="n">
        <v>15.1</v>
      </c>
      <c r="H8070" t="n">
        <v>0</v>
      </c>
      <c r="I8070" t="n">
        <v>0</v>
      </c>
      <c r="J8070" t="n">
        <v>0</v>
      </c>
      <c r="K8070" t="n">
        <v>0</v>
      </c>
      <c r="L8070" t="n">
        <v>0</v>
      </c>
      <c r="M8070" t="n">
        <v>0</v>
      </c>
      <c r="N8070" t="n">
        <v>0</v>
      </c>
      <c r="O8070" t="n">
        <v>0</v>
      </c>
      <c r="P8070" t="n">
        <v>0</v>
      </c>
      <c r="Q8070" t="n">
        <v>0</v>
      </c>
      <c r="R8070" s="2" t="inlineStr"/>
    </row>
    <row r="8071" ht="15" customHeight="1">
      <c r="A8071" t="inlineStr">
        <is>
          <t>A 18775-2023</t>
        </is>
      </c>
      <c r="B8071" s="1" t="n">
        <v>45044</v>
      </c>
      <c r="C8071" s="1" t="n">
        <v>45363</v>
      </c>
      <c r="D8071" t="inlineStr">
        <is>
          <t>JÄMTLANDS LÄN</t>
        </is>
      </c>
      <c r="E8071" t="inlineStr">
        <is>
          <t>STRÖMSUND</t>
        </is>
      </c>
      <c r="F8071" t="inlineStr">
        <is>
          <t>SCA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18773-2023</t>
        </is>
      </c>
      <c r="B8072" s="1" t="n">
        <v>45044</v>
      </c>
      <c r="C8072" s="1" t="n">
        <v>45363</v>
      </c>
      <c r="D8072" t="inlineStr">
        <is>
          <t>JÄMTLANDS LÄN</t>
        </is>
      </c>
      <c r="E8072" t="inlineStr">
        <is>
          <t>STRÖMSUND</t>
        </is>
      </c>
      <c r="F8072" t="inlineStr">
        <is>
          <t>SCA</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18783-2023</t>
        </is>
      </c>
      <c r="B8073" s="1" t="n">
        <v>45043</v>
      </c>
      <c r="C8073" s="1" t="n">
        <v>45363</v>
      </c>
      <c r="D8073" t="inlineStr">
        <is>
          <t>JÄMTLANDS LÄN</t>
        </is>
      </c>
      <c r="E8073" t="inlineStr">
        <is>
          <t>STRÖMSUND</t>
        </is>
      </c>
      <c r="F8073" t="inlineStr">
        <is>
          <t>SCA</t>
        </is>
      </c>
      <c r="G8073" t="n">
        <v>12.9</v>
      </c>
      <c r="H8073" t="n">
        <v>0</v>
      </c>
      <c r="I8073" t="n">
        <v>0</v>
      </c>
      <c r="J8073" t="n">
        <v>0</v>
      </c>
      <c r="K8073" t="n">
        <v>0</v>
      </c>
      <c r="L8073" t="n">
        <v>0</v>
      </c>
      <c r="M8073" t="n">
        <v>0</v>
      </c>
      <c r="N8073" t="n">
        <v>0</v>
      </c>
      <c r="O8073" t="n">
        <v>0</v>
      </c>
      <c r="P8073" t="n">
        <v>0</v>
      </c>
      <c r="Q8073" t="n">
        <v>0</v>
      </c>
      <c r="R8073" s="2" t="inlineStr"/>
    </row>
    <row r="8074" ht="15" customHeight="1">
      <c r="A8074" t="inlineStr">
        <is>
          <t>A 18768-2023</t>
        </is>
      </c>
      <c r="B8074" s="1" t="n">
        <v>45043</v>
      </c>
      <c r="C8074" s="1" t="n">
        <v>45363</v>
      </c>
      <c r="D8074" t="inlineStr">
        <is>
          <t>JÄMTLANDS LÄN</t>
        </is>
      </c>
      <c r="E8074" t="inlineStr">
        <is>
          <t>STRÖMSUND</t>
        </is>
      </c>
      <c r="F8074" t="inlineStr">
        <is>
          <t>SCA</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18777-2023</t>
        </is>
      </c>
      <c r="B8075" s="1" t="n">
        <v>45044</v>
      </c>
      <c r="C8075" s="1" t="n">
        <v>45363</v>
      </c>
      <c r="D8075" t="inlineStr">
        <is>
          <t>JÄMTLANDS LÄN</t>
        </is>
      </c>
      <c r="E8075" t="inlineStr">
        <is>
          <t>STRÖMSUND</t>
        </is>
      </c>
      <c r="F8075" t="inlineStr">
        <is>
          <t>SCA</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18774-2023</t>
        </is>
      </c>
      <c r="B8076" s="1" t="n">
        <v>45044</v>
      </c>
      <c r="C8076" s="1" t="n">
        <v>45363</v>
      </c>
      <c r="D8076" t="inlineStr">
        <is>
          <t>JÄMTLANDS LÄN</t>
        </is>
      </c>
      <c r="E8076" t="inlineStr">
        <is>
          <t>STRÖMSUND</t>
        </is>
      </c>
      <c r="F8076" t="inlineStr">
        <is>
          <t>SCA</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18788-2023</t>
        </is>
      </c>
      <c r="B8077" s="1" t="n">
        <v>45044</v>
      </c>
      <c r="C8077" s="1" t="n">
        <v>45363</v>
      </c>
      <c r="D8077" t="inlineStr">
        <is>
          <t>JÄMTLANDS LÄN</t>
        </is>
      </c>
      <c r="E8077" t="inlineStr">
        <is>
          <t>STRÖMSUND</t>
        </is>
      </c>
      <c r="F8077" t="inlineStr">
        <is>
          <t>SCA</t>
        </is>
      </c>
      <c r="G8077" t="n">
        <v>69.09999999999999</v>
      </c>
      <c r="H8077" t="n">
        <v>0</v>
      </c>
      <c r="I8077" t="n">
        <v>0</v>
      </c>
      <c r="J8077" t="n">
        <v>0</v>
      </c>
      <c r="K8077" t="n">
        <v>0</v>
      </c>
      <c r="L8077" t="n">
        <v>0</v>
      </c>
      <c r="M8077" t="n">
        <v>0</v>
      </c>
      <c r="N8077" t="n">
        <v>0</v>
      </c>
      <c r="O8077" t="n">
        <v>0</v>
      </c>
      <c r="P8077" t="n">
        <v>0</v>
      </c>
      <c r="Q8077" t="n">
        <v>0</v>
      </c>
      <c r="R8077" s="2" t="inlineStr"/>
    </row>
    <row r="8078" ht="15" customHeight="1">
      <c r="A8078" t="inlineStr">
        <is>
          <t>A 18992-2023</t>
        </is>
      </c>
      <c r="B8078" s="1" t="n">
        <v>45044</v>
      </c>
      <c r="C8078" s="1" t="n">
        <v>45363</v>
      </c>
      <c r="D8078" t="inlineStr">
        <is>
          <t>JÄMTLANDS LÄN</t>
        </is>
      </c>
      <c r="E8078" t="inlineStr">
        <is>
          <t>STRÖMSUND</t>
        </is>
      </c>
      <c r="F8078" t="inlineStr">
        <is>
          <t>SCA</t>
        </is>
      </c>
      <c r="G8078" t="n">
        <v>25.7</v>
      </c>
      <c r="H8078" t="n">
        <v>0</v>
      </c>
      <c r="I8078" t="n">
        <v>0</v>
      </c>
      <c r="J8078" t="n">
        <v>0</v>
      </c>
      <c r="K8078" t="n">
        <v>0</v>
      </c>
      <c r="L8078" t="n">
        <v>0</v>
      </c>
      <c r="M8078" t="n">
        <v>0</v>
      </c>
      <c r="N8078" t="n">
        <v>0</v>
      </c>
      <c r="O8078" t="n">
        <v>0</v>
      </c>
      <c r="P8078" t="n">
        <v>0</v>
      </c>
      <c r="Q8078" t="n">
        <v>0</v>
      </c>
      <c r="R8078" s="2" t="inlineStr"/>
    </row>
    <row r="8079" ht="15" customHeight="1">
      <c r="A8079" t="inlineStr">
        <is>
          <t>A 18984-2023</t>
        </is>
      </c>
      <c r="B8079" s="1" t="n">
        <v>45044</v>
      </c>
      <c r="C8079" s="1" t="n">
        <v>45363</v>
      </c>
      <c r="D8079" t="inlineStr">
        <is>
          <t>JÄMTLANDS LÄN</t>
        </is>
      </c>
      <c r="E8079" t="inlineStr">
        <is>
          <t>RAGUNDA</t>
        </is>
      </c>
      <c r="F8079" t="inlineStr">
        <is>
          <t>SCA</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18993-2023</t>
        </is>
      </c>
      <c r="B8080" s="1" t="n">
        <v>45044</v>
      </c>
      <c r="C8080" s="1" t="n">
        <v>45363</v>
      </c>
      <c r="D8080" t="inlineStr">
        <is>
          <t>JÄMTLANDS LÄN</t>
        </is>
      </c>
      <c r="E8080" t="inlineStr">
        <is>
          <t>STRÖMSUND</t>
        </is>
      </c>
      <c r="F8080" t="inlineStr">
        <is>
          <t>SCA</t>
        </is>
      </c>
      <c r="G8080" t="n">
        <v>7.5</v>
      </c>
      <c r="H8080" t="n">
        <v>0</v>
      </c>
      <c r="I8080" t="n">
        <v>0</v>
      </c>
      <c r="J8080" t="n">
        <v>0</v>
      </c>
      <c r="K8080" t="n">
        <v>0</v>
      </c>
      <c r="L8080" t="n">
        <v>0</v>
      </c>
      <c r="M8080" t="n">
        <v>0</v>
      </c>
      <c r="N8080" t="n">
        <v>0</v>
      </c>
      <c r="O8080" t="n">
        <v>0</v>
      </c>
      <c r="P8080" t="n">
        <v>0</v>
      </c>
      <c r="Q8080" t="n">
        <v>0</v>
      </c>
      <c r="R8080" s="2" t="inlineStr"/>
    </row>
    <row r="8081" ht="15" customHeight="1">
      <c r="A8081" t="inlineStr">
        <is>
          <t>A 18990-2023</t>
        </is>
      </c>
      <c r="B8081" s="1" t="n">
        <v>45045</v>
      </c>
      <c r="C8081" s="1" t="n">
        <v>45363</v>
      </c>
      <c r="D8081" t="inlineStr">
        <is>
          <t>JÄMTLANDS LÄN</t>
        </is>
      </c>
      <c r="E8081" t="inlineStr">
        <is>
          <t>KROKOM</t>
        </is>
      </c>
      <c r="F8081" t="inlineStr">
        <is>
          <t>SCA</t>
        </is>
      </c>
      <c r="G8081" t="n">
        <v>10.9</v>
      </c>
      <c r="H8081" t="n">
        <v>0</v>
      </c>
      <c r="I8081" t="n">
        <v>0</v>
      </c>
      <c r="J8081" t="n">
        <v>0</v>
      </c>
      <c r="K8081" t="n">
        <v>0</v>
      </c>
      <c r="L8081" t="n">
        <v>0</v>
      </c>
      <c r="M8081" t="n">
        <v>0</v>
      </c>
      <c r="N8081" t="n">
        <v>0</v>
      </c>
      <c r="O8081" t="n">
        <v>0</v>
      </c>
      <c r="P8081" t="n">
        <v>0</v>
      </c>
      <c r="Q8081" t="n">
        <v>0</v>
      </c>
      <c r="R8081" s="2" t="inlineStr"/>
    </row>
    <row r="8082" ht="15" customHeight="1">
      <c r="A8082" t="inlineStr">
        <is>
          <t>A 18997-2023</t>
        </is>
      </c>
      <c r="B8082" s="1" t="n">
        <v>45044</v>
      </c>
      <c r="C8082" s="1" t="n">
        <v>45363</v>
      </c>
      <c r="D8082" t="inlineStr">
        <is>
          <t>JÄMTLANDS LÄN</t>
        </is>
      </c>
      <c r="E8082" t="inlineStr">
        <is>
          <t>STRÖMSUND</t>
        </is>
      </c>
      <c r="F8082" t="inlineStr">
        <is>
          <t>SCA</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18875-2023</t>
        </is>
      </c>
      <c r="B8083" s="1" t="n">
        <v>45044</v>
      </c>
      <c r="C8083" s="1" t="n">
        <v>45363</v>
      </c>
      <c r="D8083" t="inlineStr">
        <is>
          <t>JÄMTLANDS LÄN</t>
        </is>
      </c>
      <c r="E8083" t="inlineStr">
        <is>
          <t>HÄRJEDALEN</t>
        </is>
      </c>
      <c r="F8083" t="inlineStr">
        <is>
          <t>Kyrkan</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18994-2023</t>
        </is>
      </c>
      <c r="B8084" s="1" t="n">
        <v>45045</v>
      </c>
      <c r="C8084" s="1" t="n">
        <v>45363</v>
      </c>
      <c r="D8084" t="inlineStr">
        <is>
          <t>JÄMTLANDS LÄN</t>
        </is>
      </c>
      <c r="E8084" t="inlineStr">
        <is>
          <t>STRÖMSUND</t>
        </is>
      </c>
      <c r="F8084" t="inlineStr">
        <is>
          <t>SCA</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18995-2023</t>
        </is>
      </c>
      <c r="B8085" s="1" t="n">
        <v>45045</v>
      </c>
      <c r="C8085" s="1" t="n">
        <v>45363</v>
      </c>
      <c r="D8085" t="inlineStr">
        <is>
          <t>JÄMTLANDS LÄN</t>
        </is>
      </c>
      <c r="E8085" t="inlineStr">
        <is>
          <t>RAGUNDA</t>
        </is>
      </c>
      <c r="F8085" t="inlineStr">
        <is>
          <t>SCA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18996-2023</t>
        </is>
      </c>
      <c r="B8086" s="1" t="n">
        <v>45045</v>
      </c>
      <c r="C8086" s="1" t="n">
        <v>45363</v>
      </c>
      <c r="D8086" t="inlineStr">
        <is>
          <t>JÄMTLANDS LÄN</t>
        </is>
      </c>
      <c r="E8086" t="inlineStr">
        <is>
          <t>RAGUNDA</t>
        </is>
      </c>
      <c r="F8086" t="inlineStr">
        <is>
          <t>SCA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19029-2023</t>
        </is>
      </c>
      <c r="B8087" s="1" t="n">
        <v>45047</v>
      </c>
      <c r="C8087" s="1" t="n">
        <v>45363</v>
      </c>
      <c r="D8087" t="inlineStr">
        <is>
          <t>JÄMTLANDS LÄN</t>
        </is>
      </c>
      <c r="E8087" t="inlineStr">
        <is>
          <t>STRÖMSUND</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19027-2023</t>
        </is>
      </c>
      <c r="B8088" s="1" t="n">
        <v>45047</v>
      </c>
      <c r="C8088" s="1" t="n">
        <v>45363</v>
      </c>
      <c r="D8088" t="inlineStr">
        <is>
          <t>JÄMTLANDS LÄN</t>
        </is>
      </c>
      <c r="E8088" t="inlineStr">
        <is>
          <t>STRÖMSUND</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19026-2023</t>
        </is>
      </c>
      <c r="B8089" s="1" t="n">
        <v>45047</v>
      </c>
      <c r="C8089" s="1" t="n">
        <v>45363</v>
      </c>
      <c r="D8089" t="inlineStr">
        <is>
          <t>JÄMTLANDS LÄN</t>
        </is>
      </c>
      <c r="E8089" t="inlineStr">
        <is>
          <t>STRÖMSUND</t>
        </is>
      </c>
      <c r="G8089" t="n">
        <v>15.1</v>
      </c>
      <c r="H8089" t="n">
        <v>0</v>
      </c>
      <c r="I8089" t="n">
        <v>0</v>
      </c>
      <c r="J8089" t="n">
        <v>0</v>
      </c>
      <c r="K8089" t="n">
        <v>0</v>
      </c>
      <c r="L8089" t="n">
        <v>0</v>
      </c>
      <c r="M8089" t="n">
        <v>0</v>
      </c>
      <c r="N8089" t="n">
        <v>0</v>
      </c>
      <c r="O8089" t="n">
        <v>0</v>
      </c>
      <c r="P8089" t="n">
        <v>0</v>
      </c>
      <c r="Q8089" t="n">
        <v>0</v>
      </c>
      <c r="R8089" s="2" t="inlineStr"/>
    </row>
    <row r="8090" ht="15" customHeight="1">
      <c r="A8090" t="inlineStr">
        <is>
          <t>A 19237-2023</t>
        </is>
      </c>
      <c r="B8090" s="1" t="n">
        <v>45049</v>
      </c>
      <c r="C8090" s="1" t="n">
        <v>45363</v>
      </c>
      <c r="D8090" t="inlineStr">
        <is>
          <t>JÄMTLANDS LÄN</t>
        </is>
      </c>
      <c r="E8090" t="inlineStr">
        <is>
          <t>BRÄCKE</t>
        </is>
      </c>
      <c r="F8090" t="inlineStr">
        <is>
          <t>SCA</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19239-2023</t>
        </is>
      </c>
      <c r="B8091" s="1" t="n">
        <v>45048</v>
      </c>
      <c r="C8091" s="1" t="n">
        <v>45363</v>
      </c>
      <c r="D8091" t="inlineStr">
        <is>
          <t>JÄMTLANDS LÄN</t>
        </is>
      </c>
      <c r="E8091" t="inlineStr">
        <is>
          <t>STRÖMSUND</t>
        </is>
      </c>
      <c r="F8091" t="inlineStr">
        <is>
          <t>SCA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19261-2023</t>
        </is>
      </c>
      <c r="B8092" s="1" t="n">
        <v>45048</v>
      </c>
      <c r="C8092" s="1" t="n">
        <v>45363</v>
      </c>
      <c r="D8092" t="inlineStr">
        <is>
          <t>JÄMTLANDS LÄN</t>
        </is>
      </c>
      <c r="E8092" t="inlineStr">
        <is>
          <t>STRÖMSUND</t>
        </is>
      </c>
      <c r="G8092" t="n">
        <v>17.2</v>
      </c>
      <c r="H8092" t="n">
        <v>0</v>
      </c>
      <c r="I8092" t="n">
        <v>0</v>
      </c>
      <c r="J8092" t="n">
        <v>0</v>
      </c>
      <c r="K8092" t="n">
        <v>0</v>
      </c>
      <c r="L8092" t="n">
        <v>0</v>
      </c>
      <c r="M8092" t="n">
        <v>0</v>
      </c>
      <c r="N8092" t="n">
        <v>0</v>
      </c>
      <c r="O8092" t="n">
        <v>0</v>
      </c>
      <c r="P8092" t="n">
        <v>0</v>
      </c>
      <c r="Q8092" t="n">
        <v>0</v>
      </c>
      <c r="R8092" s="2" t="inlineStr"/>
    </row>
    <row r="8093" ht="15" customHeight="1">
      <c r="A8093" t="inlineStr">
        <is>
          <t>A 19245-2023</t>
        </is>
      </c>
      <c r="B8093" s="1" t="n">
        <v>45048</v>
      </c>
      <c r="C8093" s="1" t="n">
        <v>45363</v>
      </c>
      <c r="D8093" t="inlineStr">
        <is>
          <t>JÄMTLANDS LÄN</t>
        </is>
      </c>
      <c r="E8093" t="inlineStr">
        <is>
          <t>KROKOM</t>
        </is>
      </c>
      <c r="F8093" t="inlineStr">
        <is>
          <t>SCA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19325-2023</t>
        </is>
      </c>
      <c r="B8094" s="1" t="n">
        <v>45048</v>
      </c>
      <c r="C8094" s="1" t="n">
        <v>45363</v>
      </c>
      <c r="D8094" t="inlineStr">
        <is>
          <t>JÄMTLANDS LÄN</t>
        </is>
      </c>
      <c r="E8094" t="inlineStr">
        <is>
          <t>BERG</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19247-2023</t>
        </is>
      </c>
      <c r="B8095" s="1" t="n">
        <v>45048</v>
      </c>
      <c r="C8095" s="1" t="n">
        <v>45363</v>
      </c>
      <c r="D8095" t="inlineStr">
        <is>
          <t>JÄMTLANDS LÄN</t>
        </is>
      </c>
      <c r="E8095" t="inlineStr">
        <is>
          <t>KROKOM</t>
        </is>
      </c>
      <c r="F8095" t="inlineStr">
        <is>
          <t>SCA</t>
        </is>
      </c>
      <c r="G8095" t="n">
        <v>13.4</v>
      </c>
      <c r="H8095" t="n">
        <v>0</v>
      </c>
      <c r="I8095" t="n">
        <v>0</v>
      </c>
      <c r="J8095" t="n">
        <v>0</v>
      </c>
      <c r="K8095" t="n">
        <v>0</v>
      </c>
      <c r="L8095" t="n">
        <v>0</v>
      </c>
      <c r="M8095" t="n">
        <v>0</v>
      </c>
      <c r="N8095" t="n">
        <v>0</v>
      </c>
      <c r="O8095" t="n">
        <v>0</v>
      </c>
      <c r="P8095" t="n">
        <v>0</v>
      </c>
      <c r="Q8095" t="n">
        <v>0</v>
      </c>
      <c r="R8095" s="2" t="inlineStr"/>
    </row>
    <row r="8096" ht="15" customHeight="1">
      <c r="A8096" t="inlineStr">
        <is>
          <t>A 19242-2023</t>
        </is>
      </c>
      <c r="B8096" s="1" t="n">
        <v>45048</v>
      </c>
      <c r="C8096" s="1" t="n">
        <v>45363</v>
      </c>
      <c r="D8096" t="inlineStr">
        <is>
          <t>JÄMTLANDS LÄN</t>
        </is>
      </c>
      <c r="E8096" t="inlineStr">
        <is>
          <t>RAGUNDA</t>
        </is>
      </c>
      <c r="F8096" t="inlineStr">
        <is>
          <t>SCA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19246-2023</t>
        </is>
      </c>
      <c r="B8097" s="1" t="n">
        <v>45049</v>
      </c>
      <c r="C8097" s="1" t="n">
        <v>45363</v>
      </c>
      <c r="D8097" t="inlineStr">
        <is>
          <t>JÄMTLANDS LÄN</t>
        </is>
      </c>
      <c r="E8097" t="inlineStr">
        <is>
          <t>RAGUNDA</t>
        </is>
      </c>
      <c r="F8097" t="inlineStr">
        <is>
          <t>SCA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19353-2023</t>
        </is>
      </c>
      <c r="B8098" s="1" t="n">
        <v>45049</v>
      </c>
      <c r="C8098" s="1" t="n">
        <v>45363</v>
      </c>
      <c r="D8098" t="inlineStr">
        <is>
          <t>JÄMTLANDS LÄN</t>
        </is>
      </c>
      <c r="E8098" t="inlineStr">
        <is>
          <t>HÄRJEDALEN</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19436-2023</t>
        </is>
      </c>
      <c r="B8099" s="1" t="n">
        <v>45050</v>
      </c>
      <c r="C8099" s="1" t="n">
        <v>45363</v>
      </c>
      <c r="D8099" t="inlineStr">
        <is>
          <t>JÄMTLANDS LÄN</t>
        </is>
      </c>
      <c r="E8099" t="inlineStr">
        <is>
          <t>BRÄCKE</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19465-2023</t>
        </is>
      </c>
      <c r="B8100" s="1" t="n">
        <v>45049</v>
      </c>
      <c r="C8100" s="1" t="n">
        <v>45363</v>
      </c>
      <c r="D8100" t="inlineStr">
        <is>
          <t>JÄMTLANDS LÄN</t>
        </is>
      </c>
      <c r="E8100" t="inlineStr">
        <is>
          <t>BRÄCKE</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19486-2023</t>
        </is>
      </c>
      <c r="B8101" s="1" t="n">
        <v>45049</v>
      </c>
      <c r="C8101" s="1" t="n">
        <v>45363</v>
      </c>
      <c r="D8101" t="inlineStr">
        <is>
          <t>JÄMTLANDS LÄN</t>
        </is>
      </c>
      <c r="E8101" t="inlineStr">
        <is>
          <t>BRÄCKE</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19502-2023</t>
        </is>
      </c>
      <c r="B8102" s="1" t="n">
        <v>45049</v>
      </c>
      <c r="C8102" s="1" t="n">
        <v>45363</v>
      </c>
      <c r="D8102" t="inlineStr">
        <is>
          <t>JÄMTLANDS LÄN</t>
        </is>
      </c>
      <c r="E8102" t="inlineStr">
        <is>
          <t>KROKOM</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19337-2023</t>
        </is>
      </c>
      <c r="B8103" s="1" t="n">
        <v>45049</v>
      </c>
      <c r="C8103" s="1" t="n">
        <v>45363</v>
      </c>
      <c r="D8103" t="inlineStr">
        <is>
          <t>JÄMTLANDS LÄN</t>
        </is>
      </c>
      <c r="E8103" t="inlineStr">
        <is>
          <t>HÄRJEDALEN</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19348-2023</t>
        </is>
      </c>
      <c r="B8104" s="1" t="n">
        <v>45049</v>
      </c>
      <c r="C8104" s="1" t="n">
        <v>45363</v>
      </c>
      <c r="D8104" t="inlineStr">
        <is>
          <t>JÄMTLANDS LÄN</t>
        </is>
      </c>
      <c r="E8104" t="inlineStr">
        <is>
          <t>KROKOM</t>
        </is>
      </c>
      <c r="G8104" t="n">
        <v>11.6</v>
      </c>
      <c r="H8104" t="n">
        <v>0</v>
      </c>
      <c r="I8104" t="n">
        <v>0</v>
      </c>
      <c r="J8104" t="n">
        <v>0</v>
      </c>
      <c r="K8104" t="n">
        <v>0</v>
      </c>
      <c r="L8104" t="n">
        <v>0</v>
      </c>
      <c r="M8104" t="n">
        <v>0</v>
      </c>
      <c r="N8104" t="n">
        <v>0</v>
      </c>
      <c r="O8104" t="n">
        <v>0</v>
      </c>
      <c r="P8104" t="n">
        <v>0</v>
      </c>
      <c r="Q8104" t="n">
        <v>0</v>
      </c>
      <c r="R8104" s="2" t="inlineStr"/>
    </row>
    <row r="8105" ht="15" customHeight="1">
      <c r="A8105" t="inlineStr">
        <is>
          <t>A 19438-2023</t>
        </is>
      </c>
      <c r="B8105" s="1" t="n">
        <v>45049</v>
      </c>
      <c r="C8105" s="1" t="n">
        <v>45363</v>
      </c>
      <c r="D8105" t="inlineStr">
        <is>
          <t>JÄMTLANDS LÄN</t>
        </is>
      </c>
      <c r="E8105" t="inlineStr">
        <is>
          <t>RAGUNDA</t>
        </is>
      </c>
      <c r="F8105" t="inlineStr">
        <is>
          <t>SCA</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19485-2023</t>
        </is>
      </c>
      <c r="B8106" s="1" t="n">
        <v>45049</v>
      </c>
      <c r="C8106" s="1" t="n">
        <v>45363</v>
      </c>
      <c r="D8106" t="inlineStr">
        <is>
          <t>JÄMTLANDS LÄN</t>
        </is>
      </c>
      <c r="E8106" t="inlineStr">
        <is>
          <t>BRÄCKE</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19573-2023</t>
        </is>
      </c>
      <c r="B8107" s="1" t="n">
        <v>45049</v>
      </c>
      <c r="C8107" s="1" t="n">
        <v>45363</v>
      </c>
      <c r="D8107" t="inlineStr">
        <is>
          <t>JÄMTLANDS LÄN</t>
        </is>
      </c>
      <c r="E8107" t="inlineStr">
        <is>
          <t>ÖSTERSUND</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19496-2023</t>
        </is>
      </c>
      <c r="B8108" s="1" t="n">
        <v>45049</v>
      </c>
      <c r="C8108" s="1" t="n">
        <v>45363</v>
      </c>
      <c r="D8108" t="inlineStr">
        <is>
          <t>JÄMTLANDS LÄN</t>
        </is>
      </c>
      <c r="E8108" t="inlineStr">
        <is>
          <t>BRÄCKE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19613-2023</t>
        </is>
      </c>
      <c r="B8109" s="1" t="n">
        <v>45051</v>
      </c>
      <c r="C8109" s="1" t="n">
        <v>45363</v>
      </c>
      <c r="D8109" t="inlineStr">
        <is>
          <t>JÄMTLANDS LÄN</t>
        </is>
      </c>
      <c r="E8109" t="inlineStr">
        <is>
          <t>RAGUNDA</t>
        </is>
      </c>
      <c r="F8109" t="inlineStr">
        <is>
          <t>SCA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19621-2023</t>
        </is>
      </c>
      <c r="B8110" s="1" t="n">
        <v>45051</v>
      </c>
      <c r="C8110" s="1" t="n">
        <v>45363</v>
      </c>
      <c r="D8110" t="inlineStr">
        <is>
          <t>JÄMTLANDS LÄN</t>
        </is>
      </c>
      <c r="E8110" t="inlineStr">
        <is>
          <t>STRÖMSUND</t>
        </is>
      </c>
      <c r="F8110" t="inlineStr">
        <is>
          <t>SCA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19478-2023</t>
        </is>
      </c>
      <c r="B8111" s="1" t="n">
        <v>45050</v>
      </c>
      <c r="C8111" s="1" t="n">
        <v>45363</v>
      </c>
      <c r="D8111" t="inlineStr">
        <is>
          <t>JÄMTLANDS LÄN</t>
        </is>
      </c>
      <c r="E8111" t="inlineStr">
        <is>
          <t>KROKOM</t>
        </is>
      </c>
      <c r="F8111" t="inlineStr">
        <is>
          <t>Övriga Aktiebolag</t>
        </is>
      </c>
      <c r="G8111" t="n">
        <v>22.2</v>
      </c>
      <c r="H8111" t="n">
        <v>0</v>
      </c>
      <c r="I8111" t="n">
        <v>0</v>
      </c>
      <c r="J8111" t="n">
        <v>0</v>
      </c>
      <c r="K8111" t="n">
        <v>0</v>
      </c>
      <c r="L8111" t="n">
        <v>0</v>
      </c>
      <c r="M8111" t="n">
        <v>0</v>
      </c>
      <c r="N8111" t="n">
        <v>0</v>
      </c>
      <c r="O8111" t="n">
        <v>0</v>
      </c>
      <c r="P8111" t="n">
        <v>0</v>
      </c>
      <c r="Q8111" t="n">
        <v>0</v>
      </c>
      <c r="R8111" s="2" t="inlineStr"/>
    </row>
    <row r="8112" ht="15" customHeight="1">
      <c r="A8112" t="inlineStr">
        <is>
          <t>A 19533-2023</t>
        </is>
      </c>
      <c r="B8112" s="1" t="n">
        <v>45050</v>
      </c>
      <c r="C8112" s="1" t="n">
        <v>45363</v>
      </c>
      <c r="D8112" t="inlineStr">
        <is>
          <t>JÄMTLANDS LÄN</t>
        </is>
      </c>
      <c r="E8112" t="inlineStr">
        <is>
          <t>BRÄCKE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19538-2023</t>
        </is>
      </c>
      <c r="B8113" s="1" t="n">
        <v>45050</v>
      </c>
      <c r="C8113" s="1" t="n">
        <v>45363</v>
      </c>
      <c r="D8113" t="inlineStr">
        <is>
          <t>JÄMTLANDS LÄN</t>
        </is>
      </c>
      <c r="E8113" t="inlineStr">
        <is>
          <t>BERG</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19529-2023</t>
        </is>
      </c>
      <c r="B8114" s="1" t="n">
        <v>45050</v>
      </c>
      <c r="C8114" s="1" t="n">
        <v>45363</v>
      </c>
      <c r="D8114" t="inlineStr">
        <is>
          <t>JÄMTLANDS LÄN</t>
        </is>
      </c>
      <c r="E8114" t="inlineStr">
        <is>
          <t>BERG</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19535-2023</t>
        </is>
      </c>
      <c r="B8115" s="1" t="n">
        <v>45050</v>
      </c>
      <c r="C8115" s="1" t="n">
        <v>45363</v>
      </c>
      <c r="D8115" t="inlineStr">
        <is>
          <t>JÄMTLANDS LÄN</t>
        </is>
      </c>
      <c r="E8115" t="inlineStr">
        <is>
          <t>BERG</t>
        </is>
      </c>
      <c r="G8115" t="n">
        <v>10</v>
      </c>
      <c r="H8115" t="n">
        <v>0</v>
      </c>
      <c r="I8115" t="n">
        <v>0</v>
      </c>
      <c r="J8115" t="n">
        <v>0</v>
      </c>
      <c r="K8115" t="n">
        <v>0</v>
      </c>
      <c r="L8115" t="n">
        <v>0</v>
      </c>
      <c r="M8115" t="n">
        <v>0</v>
      </c>
      <c r="N8115" t="n">
        <v>0</v>
      </c>
      <c r="O8115" t="n">
        <v>0</v>
      </c>
      <c r="P8115" t="n">
        <v>0</v>
      </c>
      <c r="Q8115" t="n">
        <v>0</v>
      </c>
      <c r="R8115" s="2" t="inlineStr"/>
    </row>
    <row r="8116" ht="15" customHeight="1">
      <c r="A8116" t="inlineStr">
        <is>
          <t>A 19461-2023</t>
        </is>
      </c>
      <c r="B8116" s="1" t="n">
        <v>45050</v>
      </c>
      <c r="C8116" s="1" t="n">
        <v>45363</v>
      </c>
      <c r="D8116" t="inlineStr">
        <is>
          <t>JÄMTLANDS LÄN</t>
        </is>
      </c>
      <c r="E8116" t="inlineStr">
        <is>
          <t>BRÄCKE</t>
        </is>
      </c>
      <c r="G8116" t="n">
        <v>14.8</v>
      </c>
      <c r="H8116" t="n">
        <v>0</v>
      </c>
      <c r="I8116" t="n">
        <v>0</v>
      </c>
      <c r="J8116" t="n">
        <v>0</v>
      </c>
      <c r="K8116" t="n">
        <v>0</v>
      </c>
      <c r="L8116" t="n">
        <v>0</v>
      </c>
      <c r="M8116" t="n">
        <v>0</v>
      </c>
      <c r="N8116" t="n">
        <v>0</v>
      </c>
      <c r="O8116" t="n">
        <v>0</v>
      </c>
      <c r="P8116" t="n">
        <v>0</v>
      </c>
      <c r="Q8116" t="n">
        <v>0</v>
      </c>
      <c r="R8116" s="2" t="inlineStr"/>
    </row>
    <row r="8117" ht="15" customHeight="1">
      <c r="A8117" t="inlineStr">
        <is>
          <t>A 19658-2023</t>
        </is>
      </c>
      <c r="B8117" s="1" t="n">
        <v>45050</v>
      </c>
      <c r="C8117" s="1" t="n">
        <v>45363</v>
      </c>
      <c r="D8117" t="inlineStr">
        <is>
          <t>JÄMTLANDS LÄN</t>
        </is>
      </c>
      <c r="E8117" t="inlineStr">
        <is>
          <t>STRÖMSUND</t>
        </is>
      </c>
      <c r="F8117" t="inlineStr">
        <is>
          <t>Kommuner</t>
        </is>
      </c>
      <c r="G8117" t="n">
        <v>23.7</v>
      </c>
      <c r="H8117" t="n">
        <v>0</v>
      </c>
      <c r="I8117" t="n">
        <v>0</v>
      </c>
      <c r="J8117" t="n">
        <v>0</v>
      </c>
      <c r="K8117" t="n">
        <v>0</v>
      </c>
      <c r="L8117" t="n">
        <v>0</v>
      </c>
      <c r="M8117" t="n">
        <v>0</v>
      </c>
      <c r="N8117" t="n">
        <v>0</v>
      </c>
      <c r="O8117" t="n">
        <v>0</v>
      </c>
      <c r="P8117" t="n">
        <v>0</v>
      </c>
      <c r="Q8117" t="n">
        <v>0</v>
      </c>
      <c r="R8117" s="2" t="inlineStr"/>
    </row>
    <row r="8118" ht="15" customHeight="1">
      <c r="A8118" t="inlineStr">
        <is>
          <t>A 19612-2023</t>
        </is>
      </c>
      <c r="B8118" s="1" t="n">
        <v>45051</v>
      </c>
      <c r="C8118" s="1" t="n">
        <v>45363</v>
      </c>
      <c r="D8118" t="inlineStr">
        <is>
          <t>JÄMTLANDS LÄN</t>
        </is>
      </c>
      <c r="E8118" t="inlineStr">
        <is>
          <t>RAGUNDA</t>
        </is>
      </c>
      <c r="F8118" t="inlineStr">
        <is>
          <t>SCA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19620-2023</t>
        </is>
      </c>
      <c r="B8119" s="1" t="n">
        <v>45050</v>
      </c>
      <c r="C8119" s="1" t="n">
        <v>45363</v>
      </c>
      <c r="D8119" t="inlineStr">
        <is>
          <t>JÄMTLANDS LÄN</t>
        </is>
      </c>
      <c r="E8119" t="inlineStr">
        <is>
          <t>RAGUNDA</t>
        </is>
      </c>
      <c r="F8119" t="inlineStr">
        <is>
          <t>SCA</t>
        </is>
      </c>
      <c r="G8119" t="n">
        <v>6.8</v>
      </c>
      <c r="H8119" t="n">
        <v>0</v>
      </c>
      <c r="I8119" t="n">
        <v>0</v>
      </c>
      <c r="J8119" t="n">
        <v>0</v>
      </c>
      <c r="K8119" t="n">
        <v>0</v>
      </c>
      <c r="L8119" t="n">
        <v>0</v>
      </c>
      <c r="M8119" t="n">
        <v>0</v>
      </c>
      <c r="N8119" t="n">
        <v>0</v>
      </c>
      <c r="O8119" t="n">
        <v>0</v>
      </c>
      <c r="P8119" t="n">
        <v>0</v>
      </c>
      <c r="Q8119" t="n">
        <v>0</v>
      </c>
      <c r="R8119" s="2" t="inlineStr"/>
    </row>
    <row r="8120" ht="15" customHeight="1">
      <c r="A8120" t="inlineStr">
        <is>
          <t>A 19652-2023</t>
        </is>
      </c>
      <c r="B8120" s="1" t="n">
        <v>45050</v>
      </c>
      <c r="C8120" s="1" t="n">
        <v>45363</v>
      </c>
      <c r="D8120" t="inlineStr">
        <is>
          <t>JÄMTLANDS LÄN</t>
        </is>
      </c>
      <c r="E8120" t="inlineStr">
        <is>
          <t>STRÖMSUND</t>
        </is>
      </c>
      <c r="F8120" t="inlineStr">
        <is>
          <t>Kommuner</t>
        </is>
      </c>
      <c r="G8120" t="n">
        <v>14.2</v>
      </c>
      <c r="H8120" t="n">
        <v>0</v>
      </c>
      <c r="I8120" t="n">
        <v>0</v>
      </c>
      <c r="J8120" t="n">
        <v>0</v>
      </c>
      <c r="K8120" t="n">
        <v>0</v>
      </c>
      <c r="L8120" t="n">
        <v>0</v>
      </c>
      <c r="M8120" t="n">
        <v>0</v>
      </c>
      <c r="N8120" t="n">
        <v>0</v>
      </c>
      <c r="O8120" t="n">
        <v>0</v>
      </c>
      <c r="P8120" t="n">
        <v>0</v>
      </c>
      <c r="Q8120" t="n">
        <v>0</v>
      </c>
      <c r="R8120" s="2" t="inlineStr"/>
    </row>
    <row r="8121" ht="15" customHeight="1">
      <c r="A8121" t="inlineStr">
        <is>
          <t>A 19730-2023</t>
        </is>
      </c>
      <c r="B8121" s="1" t="n">
        <v>45050</v>
      </c>
      <c r="C8121" s="1" t="n">
        <v>45363</v>
      </c>
      <c r="D8121" t="inlineStr">
        <is>
          <t>JÄMTLANDS LÄN</t>
        </is>
      </c>
      <c r="E8121" t="inlineStr">
        <is>
          <t>HÄRJEDALEN</t>
        </is>
      </c>
      <c r="F8121" t="inlineStr">
        <is>
          <t>Bergvik skog väst AB</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19750-2023</t>
        </is>
      </c>
      <c r="B8122" s="1" t="n">
        <v>45050</v>
      </c>
      <c r="C8122" s="1" t="n">
        <v>45363</v>
      </c>
      <c r="D8122" t="inlineStr">
        <is>
          <t>JÄMTLANDS LÄN</t>
        </is>
      </c>
      <c r="E8122" t="inlineStr">
        <is>
          <t>ÖSTERSUND</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19656-2023</t>
        </is>
      </c>
      <c r="B8123" s="1" t="n">
        <v>45050</v>
      </c>
      <c r="C8123" s="1" t="n">
        <v>45363</v>
      </c>
      <c r="D8123" t="inlineStr">
        <is>
          <t>JÄMTLANDS LÄN</t>
        </is>
      </c>
      <c r="E8123" t="inlineStr">
        <is>
          <t>STRÖMSUND</t>
        </is>
      </c>
      <c r="F8123" t="inlineStr">
        <is>
          <t>Kommuner</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19694-2023</t>
        </is>
      </c>
      <c r="B8124" s="1" t="n">
        <v>45051</v>
      </c>
      <c r="C8124" s="1" t="n">
        <v>45363</v>
      </c>
      <c r="D8124" t="inlineStr">
        <is>
          <t>JÄMTLANDS LÄN</t>
        </is>
      </c>
      <c r="E8124" t="inlineStr">
        <is>
          <t>ÅRE</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19698-2023</t>
        </is>
      </c>
      <c r="B8125" s="1" t="n">
        <v>45051</v>
      </c>
      <c r="C8125" s="1" t="n">
        <v>45363</v>
      </c>
      <c r="D8125" t="inlineStr">
        <is>
          <t>JÄMTLANDS LÄN</t>
        </is>
      </c>
      <c r="E8125" t="inlineStr">
        <is>
          <t>ÅRE</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19819-2023</t>
        </is>
      </c>
      <c r="B8126" s="1" t="n">
        <v>45052</v>
      </c>
      <c r="C8126" s="1" t="n">
        <v>45363</v>
      </c>
      <c r="D8126" t="inlineStr">
        <is>
          <t>JÄMTLANDS LÄN</t>
        </is>
      </c>
      <c r="E8126" t="inlineStr">
        <is>
          <t>BRÄCKE</t>
        </is>
      </c>
      <c r="F8126" t="inlineStr">
        <is>
          <t>SCA</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19823-2023</t>
        </is>
      </c>
      <c r="B8127" s="1" t="n">
        <v>45052</v>
      </c>
      <c r="C8127" s="1" t="n">
        <v>45363</v>
      </c>
      <c r="D8127" t="inlineStr">
        <is>
          <t>JÄMTLANDS LÄN</t>
        </is>
      </c>
      <c r="E8127" t="inlineStr">
        <is>
          <t>BRÄCKE</t>
        </is>
      </c>
      <c r="F8127" t="inlineStr">
        <is>
          <t>SCA</t>
        </is>
      </c>
      <c r="G8127" t="n">
        <v>6.8</v>
      </c>
      <c r="H8127" t="n">
        <v>0</v>
      </c>
      <c r="I8127" t="n">
        <v>0</v>
      </c>
      <c r="J8127" t="n">
        <v>0</v>
      </c>
      <c r="K8127" t="n">
        <v>0</v>
      </c>
      <c r="L8127" t="n">
        <v>0</v>
      </c>
      <c r="M8127" t="n">
        <v>0</v>
      </c>
      <c r="N8127" t="n">
        <v>0</v>
      </c>
      <c r="O8127" t="n">
        <v>0</v>
      </c>
      <c r="P8127" t="n">
        <v>0</v>
      </c>
      <c r="Q8127" t="n">
        <v>0</v>
      </c>
      <c r="R8127" s="2" t="inlineStr"/>
    </row>
    <row r="8128" ht="15" customHeight="1">
      <c r="A8128" t="inlineStr">
        <is>
          <t>A 19820-2023</t>
        </is>
      </c>
      <c r="B8128" s="1" t="n">
        <v>45051</v>
      </c>
      <c r="C8128" s="1" t="n">
        <v>45363</v>
      </c>
      <c r="D8128" t="inlineStr">
        <is>
          <t>JÄMTLANDS LÄN</t>
        </is>
      </c>
      <c r="E8128" t="inlineStr">
        <is>
          <t>BRÄCKE</t>
        </is>
      </c>
      <c r="F8128" t="inlineStr">
        <is>
          <t>SCA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19824-2023</t>
        </is>
      </c>
      <c r="B8129" s="1" t="n">
        <v>45051</v>
      </c>
      <c r="C8129" s="1" t="n">
        <v>45363</v>
      </c>
      <c r="D8129" t="inlineStr">
        <is>
          <t>JÄMTLANDS LÄN</t>
        </is>
      </c>
      <c r="E8129" t="inlineStr">
        <is>
          <t>BRÄCKE</t>
        </is>
      </c>
      <c r="F8129" t="inlineStr">
        <is>
          <t>SCA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19822-2023</t>
        </is>
      </c>
      <c r="B8130" s="1" t="n">
        <v>45052</v>
      </c>
      <c r="C8130" s="1" t="n">
        <v>45363</v>
      </c>
      <c r="D8130" t="inlineStr">
        <is>
          <t>JÄMTLANDS LÄN</t>
        </is>
      </c>
      <c r="E8130" t="inlineStr">
        <is>
          <t>BRÄCKE</t>
        </is>
      </c>
      <c r="F8130" t="inlineStr">
        <is>
          <t>SCA</t>
        </is>
      </c>
      <c r="G8130" t="n">
        <v>9.1</v>
      </c>
      <c r="H8130" t="n">
        <v>0</v>
      </c>
      <c r="I8130" t="n">
        <v>0</v>
      </c>
      <c r="J8130" t="n">
        <v>0</v>
      </c>
      <c r="K8130" t="n">
        <v>0</v>
      </c>
      <c r="L8130" t="n">
        <v>0</v>
      </c>
      <c r="M8130" t="n">
        <v>0</v>
      </c>
      <c r="N8130" t="n">
        <v>0</v>
      </c>
      <c r="O8130" t="n">
        <v>0</v>
      </c>
      <c r="P8130" t="n">
        <v>0</v>
      </c>
      <c r="Q8130" t="n">
        <v>0</v>
      </c>
      <c r="R8130" s="2" t="inlineStr"/>
    </row>
    <row r="8131" ht="15" customHeight="1">
      <c r="A8131" t="inlineStr">
        <is>
          <t>A 19826-2023</t>
        </is>
      </c>
      <c r="B8131" s="1" t="n">
        <v>45052</v>
      </c>
      <c r="C8131" s="1" t="n">
        <v>45363</v>
      </c>
      <c r="D8131" t="inlineStr">
        <is>
          <t>JÄMTLANDS LÄN</t>
        </is>
      </c>
      <c r="E8131" t="inlineStr">
        <is>
          <t>STRÖMSUND</t>
        </is>
      </c>
      <c r="F8131" t="inlineStr">
        <is>
          <t>SCA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19831-2023</t>
        </is>
      </c>
      <c r="B8132" s="1" t="n">
        <v>45052</v>
      </c>
      <c r="C8132" s="1" t="n">
        <v>45363</v>
      </c>
      <c r="D8132" t="inlineStr">
        <is>
          <t>JÄMTLANDS LÄN</t>
        </is>
      </c>
      <c r="E8132" t="inlineStr">
        <is>
          <t>STRÖMSUND</t>
        </is>
      </c>
      <c r="F8132" t="inlineStr">
        <is>
          <t>SCA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19705-2023</t>
        </is>
      </c>
      <c r="B8133" s="1" t="n">
        <v>45051</v>
      </c>
      <c r="C8133" s="1" t="n">
        <v>45363</v>
      </c>
      <c r="D8133" t="inlineStr">
        <is>
          <t>JÄMTLANDS LÄN</t>
        </is>
      </c>
      <c r="E8133" t="inlineStr">
        <is>
          <t>ÅRE</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19821-2023</t>
        </is>
      </c>
      <c r="B8134" s="1" t="n">
        <v>45051</v>
      </c>
      <c r="C8134" s="1" t="n">
        <v>45363</v>
      </c>
      <c r="D8134" t="inlineStr">
        <is>
          <t>JÄMTLANDS LÄN</t>
        </is>
      </c>
      <c r="E8134" t="inlineStr">
        <is>
          <t>BRÄCKE</t>
        </is>
      </c>
      <c r="F8134" t="inlineStr">
        <is>
          <t>SCA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19941-2023</t>
        </is>
      </c>
      <c r="B8135" s="1" t="n">
        <v>45051</v>
      </c>
      <c r="C8135" s="1" t="n">
        <v>45363</v>
      </c>
      <c r="D8135" t="inlineStr">
        <is>
          <t>JÄMTLANDS LÄN</t>
        </is>
      </c>
      <c r="E8135" t="inlineStr">
        <is>
          <t>BRÄCKE</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19865-2023</t>
        </is>
      </c>
      <c r="B8136" s="1" t="n">
        <v>45054</v>
      </c>
      <c r="C8136" s="1" t="n">
        <v>45363</v>
      </c>
      <c r="D8136" t="inlineStr">
        <is>
          <t>JÄMTLANDS LÄN</t>
        </is>
      </c>
      <c r="E8136" t="inlineStr">
        <is>
          <t>RAGUNDA</t>
        </is>
      </c>
      <c r="F8136" t="inlineStr">
        <is>
          <t>SCA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19866-2023</t>
        </is>
      </c>
      <c r="B8137" s="1" t="n">
        <v>45054</v>
      </c>
      <c r="C8137" s="1" t="n">
        <v>45363</v>
      </c>
      <c r="D8137" t="inlineStr">
        <is>
          <t>JÄMTLANDS LÄN</t>
        </is>
      </c>
      <c r="E8137" t="inlineStr">
        <is>
          <t>RAGUNDA</t>
        </is>
      </c>
      <c r="F8137" t="inlineStr">
        <is>
          <t>SCA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19877-2023</t>
        </is>
      </c>
      <c r="B8138" s="1" t="n">
        <v>45054</v>
      </c>
      <c r="C8138" s="1" t="n">
        <v>45363</v>
      </c>
      <c r="D8138" t="inlineStr">
        <is>
          <t>JÄMTLANDS LÄN</t>
        </is>
      </c>
      <c r="E8138" t="inlineStr">
        <is>
          <t>ÅRE</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19915-2023</t>
        </is>
      </c>
      <c r="B8139" s="1" t="n">
        <v>45054</v>
      </c>
      <c r="C8139" s="1" t="n">
        <v>45363</v>
      </c>
      <c r="D8139" t="inlineStr">
        <is>
          <t>JÄMTLANDS LÄN</t>
        </is>
      </c>
      <c r="E8139" t="inlineStr">
        <is>
          <t>HÄRJEDALEN</t>
        </is>
      </c>
      <c r="F8139" t="inlineStr">
        <is>
          <t>Sveaskog</t>
        </is>
      </c>
      <c r="G8139" t="n">
        <v>0.1</v>
      </c>
      <c r="H8139" t="n">
        <v>0</v>
      </c>
      <c r="I8139" t="n">
        <v>0</v>
      </c>
      <c r="J8139" t="n">
        <v>0</v>
      </c>
      <c r="K8139" t="n">
        <v>0</v>
      </c>
      <c r="L8139" t="n">
        <v>0</v>
      </c>
      <c r="M8139" t="n">
        <v>0</v>
      </c>
      <c r="N8139" t="n">
        <v>0</v>
      </c>
      <c r="O8139" t="n">
        <v>0</v>
      </c>
      <c r="P8139" t="n">
        <v>0</v>
      </c>
      <c r="Q8139" t="n">
        <v>0</v>
      </c>
      <c r="R8139" s="2" t="inlineStr"/>
    </row>
    <row r="8140" ht="15" customHeight="1">
      <c r="A8140" t="inlineStr">
        <is>
          <t>A 20079-2023</t>
        </is>
      </c>
      <c r="B8140" s="1" t="n">
        <v>45055</v>
      </c>
      <c r="C8140" s="1" t="n">
        <v>45363</v>
      </c>
      <c r="D8140" t="inlineStr">
        <is>
          <t>JÄMTLANDS LÄN</t>
        </is>
      </c>
      <c r="E8140" t="inlineStr">
        <is>
          <t>RAGUNDA</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20095-2023</t>
        </is>
      </c>
      <c r="B8141" s="1" t="n">
        <v>45055</v>
      </c>
      <c r="C8141" s="1" t="n">
        <v>45363</v>
      </c>
      <c r="D8141" t="inlineStr">
        <is>
          <t>JÄMTLANDS LÄN</t>
        </is>
      </c>
      <c r="E8141" t="inlineStr">
        <is>
          <t>BRÄCKE</t>
        </is>
      </c>
      <c r="F8141" t="inlineStr">
        <is>
          <t>SCA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20100-2023</t>
        </is>
      </c>
      <c r="B8142" s="1" t="n">
        <v>45055</v>
      </c>
      <c r="C8142" s="1" t="n">
        <v>45363</v>
      </c>
      <c r="D8142" t="inlineStr">
        <is>
          <t>JÄMTLANDS LÄN</t>
        </is>
      </c>
      <c r="E8142" t="inlineStr">
        <is>
          <t>BRÄCKE</t>
        </is>
      </c>
      <c r="F8142" t="inlineStr">
        <is>
          <t>SCA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20101-2023</t>
        </is>
      </c>
      <c r="B8143" s="1" t="n">
        <v>45055</v>
      </c>
      <c r="C8143" s="1" t="n">
        <v>45363</v>
      </c>
      <c r="D8143" t="inlineStr">
        <is>
          <t>JÄMTLANDS LÄN</t>
        </is>
      </c>
      <c r="E8143" t="inlineStr">
        <is>
          <t>BRÄCKE</t>
        </is>
      </c>
      <c r="F8143" t="inlineStr">
        <is>
          <t>SCA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19981-2023</t>
        </is>
      </c>
      <c r="B8144" s="1" t="n">
        <v>45054</v>
      </c>
      <c r="C8144" s="1" t="n">
        <v>45363</v>
      </c>
      <c r="D8144" t="inlineStr">
        <is>
          <t>JÄMTLANDS LÄN</t>
        </is>
      </c>
      <c r="E8144" t="inlineStr">
        <is>
          <t>HÄRJEDALEN</t>
        </is>
      </c>
      <c r="G8144" t="n">
        <v>13.5</v>
      </c>
      <c r="H8144" t="n">
        <v>0</v>
      </c>
      <c r="I8144" t="n">
        <v>0</v>
      </c>
      <c r="J8144" t="n">
        <v>0</v>
      </c>
      <c r="K8144" t="n">
        <v>0</v>
      </c>
      <c r="L8144" t="n">
        <v>0</v>
      </c>
      <c r="M8144" t="n">
        <v>0</v>
      </c>
      <c r="N8144" t="n">
        <v>0</v>
      </c>
      <c r="O8144" t="n">
        <v>0</v>
      </c>
      <c r="P8144" t="n">
        <v>0</v>
      </c>
      <c r="Q8144" t="n">
        <v>0</v>
      </c>
      <c r="R8144" s="2" t="inlineStr"/>
    </row>
    <row r="8145" ht="15" customHeight="1">
      <c r="A8145" t="inlineStr">
        <is>
          <t>A 20088-2023</t>
        </is>
      </c>
      <c r="B8145" s="1" t="n">
        <v>45054</v>
      </c>
      <c r="C8145" s="1" t="n">
        <v>45363</v>
      </c>
      <c r="D8145" t="inlineStr">
        <is>
          <t>JÄMTLANDS LÄN</t>
        </is>
      </c>
      <c r="E8145" t="inlineStr">
        <is>
          <t>RAGUNDA</t>
        </is>
      </c>
      <c r="F8145" t="inlineStr">
        <is>
          <t>SCA</t>
        </is>
      </c>
      <c r="G8145" t="n">
        <v>23.4</v>
      </c>
      <c r="H8145" t="n">
        <v>0</v>
      </c>
      <c r="I8145" t="n">
        <v>0</v>
      </c>
      <c r="J8145" t="n">
        <v>0</v>
      </c>
      <c r="K8145" t="n">
        <v>0</v>
      </c>
      <c r="L8145" t="n">
        <v>0</v>
      </c>
      <c r="M8145" t="n">
        <v>0</v>
      </c>
      <c r="N8145" t="n">
        <v>0</v>
      </c>
      <c r="O8145" t="n">
        <v>0</v>
      </c>
      <c r="P8145" t="n">
        <v>0</v>
      </c>
      <c r="Q8145" t="n">
        <v>0</v>
      </c>
      <c r="R8145" s="2" t="inlineStr"/>
    </row>
    <row r="8146" ht="15" customHeight="1">
      <c r="A8146" t="inlineStr">
        <is>
          <t>A 20093-2023</t>
        </is>
      </c>
      <c r="B8146" s="1" t="n">
        <v>45055</v>
      </c>
      <c r="C8146" s="1" t="n">
        <v>45363</v>
      </c>
      <c r="D8146" t="inlineStr">
        <is>
          <t>JÄMTLANDS LÄN</t>
        </is>
      </c>
      <c r="E8146" t="inlineStr">
        <is>
          <t>BRÄCKE</t>
        </is>
      </c>
      <c r="F8146" t="inlineStr">
        <is>
          <t>SCA</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20265-2023</t>
        </is>
      </c>
      <c r="B8147" s="1" t="n">
        <v>45056</v>
      </c>
      <c r="C8147" s="1" t="n">
        <v>45363</v>
      </c>
      <c r="D8147" t="inlineStr">
        <is>
          <t>JÄMTLANDS LÄN</t>
        </is>
      </c>
      <c r="E8147" t="inlineStr">
        <is>
          <t>BRÄCKE</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20270-2023</t>
        </is>
      </c>
      <c r="B8148" s="1" t="n">
        <v>45056</v>
      </c>
      <c r="C8148" s="1" t="n">
        <v>45363</v>
      </c>
      <c r="D8148" t="inlineStr">
        <is>
          <t>JÄMTLANDS LÄN</t>
        </is>
      </c>
      <c r="E8148" t="inlineStr">
        <is>
          <t>BRÄCKE</t>
        </is>
      </c>
      <c r="F8148" t="inlineStr">
        <is>
          <t>SCA</t>
        </is>
      </c>
      <c r="G8148" t="n">
        <v>21.6</v>
      </c>
      <c r="H8148" t="n">
        <v>0</v>
      </c>
      <c r="I8148" t="n">
        <v>0</v>
      </c>
      <c r="J8148" t="n">
        <v>0</v>
      </c>
      <c r="K8148" t="n">
        <v>0</v>
      </c>
      <c r="L8148" t="n">
        <v>0</v>
      </c>
      <c r="M8148" t="n">
        <v>0</v>
      </c>
      <c r="N8148" t="n">
        <v>0</v>
      </c>
      <c r="O8148" t="n">
        <v>0</v>
      </c>
      <c r="P8148" t="n">
        <v>0</v>
      </c>
      <c r="Q8148" t="n">
        <v>0</v>
      </c>
      <c r="R8148" s="2" t="inlineStr"/>
    </row>
    <row r="8149" ht="15" customHeight="1">
      <c r="A8149" t="inlineStr">
        <is>
          <t>A 20539-2023</t>
        </is>
      </c>
      <c r="B8149" s="1" t="n">
        <v>45055</v>
      </c>
      <c r="C8149" s="1" t="n">
        <v>45363</v>
      </c>
      <c r="D8149" t="inlineStr">
        <is>
          <t>JÄMTLANDS LÄN</t>
        </is>
      </c>
      <c r="E8149" t="inlineStr">
        <is>
          <t>HÄRJEDALEN</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20735-2023</t>
        </is>
      </c>
      <c r="B8150" s="1" t="n">
        <v>45055</v>
      </c>
      <c r="C8150" s="1" t="n">
        <v>45363</v>
      </c>
      <c r="D8150" t="inlineStr">
        <is>
          <t>JÄMTLANDS LÄN</t>
        </is>
      </c>
      <c r="E8150" t="inlineStr">
        <is>
          <t>KROKOM</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20276-2023</t>
        </is>
      </c>
      <c r="B8151" s="1" t="n">
        <v>45056</v>
      </c>
      <c r="C8151" s="1" t="n">
        <v>45363</v>
      </c>
      <c r="D8151" t="inlineStr">
        <is>
          <t>JÄMTLANDS LÄN</t>
        </is>
      </c>
      <c r="E8151" t="inlineStr">
        <is>
          <t>BRÄCKE</t>
        </is>
      </c>
      <c r="F8151" t="inlineStr">
        <is>
          <t>SCA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20742-2023</t>
        </is>
      </c>
      <c r="B8152" s="1" t="n">
        <v>45055</v>
      </c>
      <c r="C8152" s="1" t="n">
        <v>45363</v>
      </c>
      <c r="D8152" t="inlineStr">
        <is>
          <t>JÄMTLANDS LÄN</t>
        </is>
      </c>
      <c r="E8152" t="inlineStr">
        <is>
          <t>KROKOM</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20278-2023</t>
        </is>
      </c>
      <c r="B8153" s="1" t="n">
        <v>45056</v>
      </c>
      <c r="C8153" s="1" t="n">
        <v>45363</v>
      </c>
      <c r="D8153" t="inlineStr">
        <is>
          <t>JÄMTLANDS LÄN</t>
        </is>
      </c>
      <c r="E8153" t="inlineStr">
        <is>
          <t>ÅRE</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20966-2023</t>
        </is>
      </c>
      <c r="B8154" s="1" t="n">
        <v>45056</v>
      </c>
      <c r="C8154" s="1" t="n">
        <v>45363</v>
      </c>
      <c r="D8154" t="inlineStr">
        <is>
          <t>JÄMTLANDS LÄN</t>
        </is>
      </c>
      <c r="E8154" t="inlineStr">
        <is>
          <t>KROKOM</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20987-2023</t>
        </is>
      </c>
      <c r="B8155" s="1" t="n">
        <v>45056</v>
      </c>
      <c r="C8155" s="1" t="n">
        <v>45363</v>
      </c>
      <c r="D8155" t="inlineStr">
        <is>
          <t>JÄMTLANDS LÄN</t>
        </is>
      </c>
      <c r="E8155" t="inlineStr">
        <is>
          <t>RAGUNDA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20851-2023</t>
        </is>
      </c>
      <c r="B8156" s="1" t="n">
        <v>45056</v>
      </c>
      <c r="C8156" s="1" t="n">
        <v>45363</v>
      </c>
      <c r="D8156" t="inlineStr">
        <is>
          <t>JÄMTLANDS LÄN</t>
        </is>
      </c>
      <c r="E8156" t="inlineStr">
        <is>
          <t>HÄRJEDALEN</t>
        </is>
      </c>
      <c r="F8156" t="inlineStr">
        <is>
          <t>Holmen skog AB</t>
        </is>
      </c>
      <c r="G8156" t="n">
        <v>41.1</v>
      </c>
      <c r="H8156" t="n">
        <v>0</v>
      </c>
      <c r="I8156" t="n">
        <v>0</v>
      </c>
      <c r="J8156" t="n">
        <v>0</v>
      </c>
      <c r="K8156" t="n">
        <v>0</v>
      </c>
      <c r="L8156" t="n">
        <v>0</v>
      </c>
      <c r="M8156" t="n">
        <v>0</v>
      </c>
      <c r="N8156" t="n">
        <v>0</v>
      </c>
      <c r="O8156" t="n">
        <v>0</v>
      </c>
      <c r="P8156" t="n">
        <v>0</v>
      </c>
      <c r="Q8156" t="n">
        <v>0</v>
      </c>
      <c r="R8156" s="2" t="inlineStr"/>
    </row>
    <row r="8157" ht="15" customHeight="1">
      <c r="A8157" t="inlineStr">
        <is>
          <t>A 20953-2023</t>
        </is>
      </c>
      <c r="B8157" s="1" t="n">
        <v>45056</v>
      </c>
      <c r="C8157" s="1" t="n">
        <v>45363</v>
      </c>
      <c r="D8157" t="inlineStr">
        <is>
          <t>JÄMTLANDS LÄN</t>
        </is>
      </c>
      <c r="E8157" t="inlineStr">
        <is>
          <t>KROKOM</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20994-2023</t>
        </is>
      </c>
      <c r="B8158" s="1" t="n">
        <v>45056</v>
      </c>
      <c r="C8158" s="1" t="n">
        <v>45363</v>
      </c>
      <c r="D8158" t="inlineStr">
        <is>
          <t>JÄMTLANDS LÄN</t>
        </is>
      </c>
      <c r="E8158" t="inlineStr">
        <is>
          <t>RAGUNDA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20976-2023</t>
        </is>
      </c>
      <c r="B8159" s="1" t="n">
        <v>45056</v>
      </c>
      <c r="C8159" s="1" t="n">
        <v>45363</v>
      </c>
      <c r="D8159" t="inlineStr">
        <is>
          <t>JÄMTLANDS LÄN</t>
        </is>
      </c>
      <c r="E8159" t="inlineStr">
        <is>
          <t>KROKOM</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20590-2023</t>
        </is>
      </c>
      <c r="B8160" s="1" t="n">
        <v>45058</v>
      </c>
      <c r="C8160" s="1" t="n">
        <v>45363</v>
      </c>
      <c r="D8160" t="inlineStr">
        <is>
          <t>JÄMTLANDS LÄN</t>
        </is>
      </c>
      <c r="E8160" t="inlineStr">
        <is>
          <t>STRÖMSUND</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20603-2023</t>
        </is>
      </c>
      <c r="B8161" s="1" t="n">
        <v>45057</v>
      </c>
      <c r="C8161" s="1" t="n">
        <v>45363</v>
      </c>
      <c r="D8161" t="inlineStr">
        <is>
          <t>JÄMTLANDS LÄN</t>
        </is>
      </c>
      <c r="E8161" t="inlineStr">
        <is>
          <t>BRÄCKE</t>
        </is>
      </c>
      <c r="F8161" t="inlineStr">
        <is>
          <t>SCA</t>
        </is>
      </c>
      <c r="G8161" t="n">
        <v>13.5</v>
      </c>
      <c r="H8161" t="n">
        <v>0</v>
      </c>
      <c r="I8161" t="n">
        <v>0</v>
      </c>
      <c r="J8161" t="n">
        <v>0</v>
      </c>
      <c r="K8161" t="n">
        <v>0</v>
      </c>
      <c r="L8161" t="n">
        <v>0</v>
      </c>
      <c r="M8161" t="n">
        <v>0</v>
      </c>
      <c r="N8161" t="n">
        <v>0</v>
      </c>
      <c r="O8161" t="n">
        <v>0</v>
      </c>
      <c r="P8161" t="n">
        <v>0</v>
      </c>
      <c r="Q8161" t="n">
        <v>0</v>
      </c>
      <c r="R8161" s="2" t="inlineStr"/>
    </row>
    <row r="8162" ht="15" customHeight="1">
      <c r="A8162" t="inlineStr">
        <is>
          <t>A 20612-2023</t>
        </is>
      </c>
      <c r="B8162" s="1" t="n">
        <v>45057</v>
      </c>
      <c r="C8162" s="1" t="n">
        <v>45363</v>
      </c>
      <c r="D8162" t="inlineStr">
        <is>
          <t>JÄMTLANDS LÄN</t>
        </is>
      </c>
      <c r="E8162" t="inlineStr">
        <is>
          <t>BRÄCKE</t>
        </is>
      </c>
      <c r="F8162" t="inlineStr">
        <is>
          <t>SCA</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20616-2023</t>
        </is>
      </c>
      <c r="B8163" s="1" t="n">
        <v>45057</v>
      </c>
      <c r="C8163" s="1" t="n">
        <v>45363</v>
      </c>
      <c r="D8163" t="inlineStr">
        <is>
          <t>JÄMTLANDS LÄN</t>
        </is>
      </c>
      <c r="E8163" t="inlineStr">
        <is>
          <t>BRÄCKE</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20622-2023</t>
        </is>
      </c>
      <c r="B8164" s="1" t="n">
        <v>45057</v>
      </c>
      <c r="C8164" s="1" t="n">
        <v>45363</v>
      </c>
      <c r="D8164" t="inlineStr">
        <is>
          <t>JÄMTLANDS LÄN</t>
        </is>
      </c>
      <c r="E8164" t="inlineStr">
        <is>
          <t>KROKOM</t>
        </is>
      </c>
      <c r="F8164" t="inlineStr">
        <is>
          <t>SCA</t>
        </is>
      </c>
      <c r="G8164" t="n">
        <v>15.5</v>
      </c>
      <c r="H8164" t="n">
        <v>0</v>
      </c>
      <c r="I8164" t="n">
        <v>0</v>
      </c>
      <c r="J8164" t="n">
        <v>0</v>
      </c>
      <c r="K8164" t="n">
        <v>0</v>
      </c>
      <c r="L8164" t="n">
        <v>0</v>
      </c>
      <c r="M8164" t="n">
        <v>0</v>
      </c>
      <c r="N8164" t="n">
        <v>0</v>
      </c>
      <c r="O8164" t="n">
        <v>0</v>
      </c>
      <c r="P8164" t="n">
        <v>0</v>
      </c>
      <c r="Q8164" t="n">
        <v>0</v>
      </c>
      <c r="R8164" s="2" t="inlineStr"/>
    </row>
    <row r="8165" ht="15" customHeight="1">
      <c r="A8165" t="inlineStr">
        <is>
          <t>A 20631-2023</t>
        </is>
      </c>
      <c r="B8165" s="1" t="n">
        <v>45057</v>
      </c>
      <c r="C8165" s="1" t="n">
        <v>45363</v>
      </c>
      <c r="D8165" t="inlineStr">
        <is>
          <t>JÄMTLANDS LÄN</t>
        </is>
      </c>
      <c r="E8165" t="inlineStr">
        <is>
          <t>STRÖMSUND</t>
        </is>
      </c>
      <c r="F8165" t="inlineStr">
        <is>
          <t>SCA</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20602-2023</t>
        </is>
      </c>
      <c r="B8166" s="1" t="n">
        <v>45058</v>
      </c>
      <c r="C8166" s="1" t="n">
        <v>45363</v>
      </c>
      <c r="D8166" t="inlineStr">
        <is>
          <t>JÄMTLANDS LÄN</t>
        </is>
      </c>
      <c r="E8166" t="inlineStr">
        <is>
          <t>BRÄCKE</t>
        </is>
      </c>
      <c r="F8166" t="inlineStr">
        <is>
          <t>SCA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20606-2023</t>
        </is>
      </c>
      <c r="B8167" s="1" t="n">
        <v>45057</v>
      </c>
      <c r="C8167" s="1" t="n">
        <v>45363</v>
      </c>
      <c r="D8167" t="inlineStr">
        <is>
          <t>JÄMTLANDS LÄN</t>
        </is>
      </c>
      <c r="E8167" t="inlineStr">
        <is>
          <t>ÖSTERSUND</t>
        </is>
      </c>
      <c r="F8167" t="inlineStr">
        <is>
          <t>SCA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20615-2023</t>
        </is>
      </c>
      <c r="B8168" s="1" t="n">
        <v>45058</v>
      </c>
      <c r="C8168" s="1" t="n">
        <v>45363</v>
      </c>
      <c r="D8168" t="inlineStr">
        <is>
          <t>JÄMTLANDS LÄN</t>
        </is>
      </c>
      <c r="E8168" t="inlineStr">
        <is>
          <t>BRÄCKE</t>
        </is>
      </c>
      <c r="F8168" t="inlineStr">
        <is>
          <t>SCA</t>
        </is>
      </c>
      <c r="G8168" t="n">
        <v>8.4</v>
      </c>
      <c r="H8168" t="n">
        <v>0</v>
      </c>
      <c r="I8168" t="n">
        <v>0</v>
      </c>
      <c r="J8168" t="n">
        <v>0</v>
      </c>
      <c r="K8168" t="n">
        <v>0</v>
      </c>
      <c r="L8168" t="n">
        <v>0</v>
      </c>
      <c r="M8168" t="n">
        <v>0</v>
      </c>
      <c r="N8168" t="n">
        <v>0</v>
      </c>
      <c r="O8168" t="n">
        <v>0</v>
      </c>
      <c r="P8168" t="n">
        <v>0</v>
      </c>
      <c r="Q8168" t="n">
        <v>0</v>
      </c>
      <c r="R8168" s="2" t="inlineStr"/>
    </row>
    <row r="8169" ht="15" customHeight="1">
      <c r="A8169" t="inlineStr">
        <is>
          <t>A 20625-2023</t>
        </is>
      </c>
      <c r="B8169" s="1" t="n">
        <v>45058</v>
      </c>
      <c r="C8169" s="1" t="n">
        <v>45363</v>
      </c>
      <c r="D8169" t="inlineStr">
        <is>
          <t>JÄMTLANDS LÄN</t>
        </is>
      </c>
      <c r="E8169" t="inlineStr">
        <is>
          <t>BRÄCKE</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20630-2023</t>
        </is>
      </c>
      <c r="B8170" s="1" t="n">
        <v>45057</v>
      </c>
      <c r="C8170" s="1" t="n">
        <v>45363</v>
      </c>
      <c r="D8170" t="inlineStr">
        <is>
          <t>JÄMTLANDS LÄN</t>
        </is>
      </c>
      <c r="E8170" t="inlineStr">
        <is>
          <t>BRÄCKE</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20634-2023</t>
        </is>
      </c>
      <c r="B8171" s="1" t="n">
        <v>45058</v>
      </c>
      <c r="C8171" s="1" t="n">
        <v>45363</v>
      </c>
      <c r="D8171" t="inlineStr">
        <is>
          <t>JÄMTLANDS LÄN</t>
        </is>
      </c>
      <c r="E8171" t="inlineStr">
        <is>
          <t>ÖSTERSUND</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21146-2023</t>
        </is>
      </c>
      <c r="B8172" s="1" t="n">
        <v>45057</v>
      </c>
      <c r="C8172" s="1" t="n">
        <v>45363</v>
      </c>
      <c r="D8172" t="inlineStr">
        <is>
          <t>JÄMTLANDS LÄN</t>
        </is>
      </c>
      <c r="E8172" t="inlineStr">
        <is>
          <t>STRÖMSUND</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20588-2023</t>
        </is>
      </c>
      <c r="B8173" s="1" t="n">
        <v>45057</v>
      </c>
      <c r="C8173" s="1" t="n">
        <v>45363</v>
      </c>
      <c r="D8173" t="inlineStr">
        <is>
          <t>JÄMTLANDS LÄN</t>
        </is>
      </c>
      <c r="E8173" t="inlineStr">
        <is>
          <t>ÖSTERSUND</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20597-2023</t>
        </is>
      </c>
      <c r="B8174" s="1" t="n">
        <v>45058</v>
      </c>
      <c r="C8174" s="1" t="n">
        <v>45363</v>
      </c>
      <c r="D8174" t="inlineStr">
        <is>
          <t>JÄMTLANDS LÄN</t>
        </is>
      </c>
      <c r="E8174" t="inlineStr">
        <is>
          <t>STRÖMSUND</t>
        </is>
      </c>
      <c r="F8174" t="inlineStr">
        <is>
          <t>SCA</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20605-2023</t>
        </is>
      </c>
      <c r="B8175" s="1" t="n">
        <v>45057</v>
      </c>
      <c r="C8175" s="1" t="n">
        <v>45363</v>
      </c>
      <c r="D8175" t="inlineStr">
        <is>
          <t>JÄMTLANDS LÄN</t>
        </is>
      </c>
      <c r="E8175" t="inlineStr">
        <is>
          <t>BRÄCKE</t>
        </is>
      </c>
      <c r="F8175" t="inlineStr">
        <is>
          <t>SCA</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20614-2023</t>
        </is>
      </c>
      <c r="B8176" s="1" t="n">
        <v>45057</v>
      </c>
      <c r="C8176" s="1" t="n">
        <v>45363</v>
      </c>
      <c r="D8176" t="inlineStr">
        <is>
          <t>JÄMTLANDS LÄN</t>
        </is>
      </c>
      <c r="E8176" t="inlineStr">
        <is>
          <t>BRÄCKE</t>
        </is>
      </c>
      <c r="F8176" t="inlineStr">
        <is>
          <t>SCA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20635-2023</t>
        </is>
      </c>
      <c r="B8177" s="1" t="n">
        <v>45058</v>
      </c>
      <c r="C8177" s="1" t="n">
        <v>45363</v>
      </c>
      <c r="D8177" t="inlineStr">
        <is>
          <t>JÄMTLANDS LÄN</t>
        </is>
      </c>
      <c r="E8177" t="inlineStr">
        <is>
          <t>ÖSTERSUND</t>
        </is>
      </c>
      <c r="F8177" t="inlineStr">
        <is>
          <t>SCA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20624-2023</t>
        </is>
      </c>
      <c r="B8178" s="1" t="n">
        <v>45058</v>
      </c>
      <c r="C8178" s="1" t="n">
        <v>45363</v>
      </c>
      <c r="D8178" t="inlineStr">
        <is>
          <t>JÄMTLANDS LÄN</t>
        </is>
      </c>
      <c r="E8178" t="inlineStr">
        <is>
          <t>BRÄCKE</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20633-2023</t>
        </is>
      </c>
      <c r="B8179" s="1" t="n">
        <v>45058</v>
      </c>
      <c r="C8179" s="1" t="n">
        <v>45363</v>
      </c>
      <c r="D8179" t="inlineStr">
        <is>
          <t>JÄMTLANDS LÄN</t>
        </is>
      </c>
      <c r="E8179" t="inlineStr">
        <is>
          <t>ÖSTERSUND</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20592-2023</t>
        </is>
      </c>
      <c r="B8180" s="1" t="n">
        <v>45057</v>
      </c>
      <c r="C8180" s="1" t="n">
        <v>45363</v>
      </c>
      <c r="D8180" t="inlineStr">
        <is>
          <t>JÄMTLANDS LÄN</t>
        </is>
      </c>
      <c r="E8180" t="inlineStr">
        <is>
          <t>STRÖMSUND</t>
        </is>
      </c>
      <c r="F8180" t="inlineStr">
        <is>
          <t>SCA</t>
        </is>
      </c>
      <c r="G8180" t="n">
        <v>8.800000000000001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20609-2023</t>
        </is>
      </c>
      <c r="B8181" s="1" t="n">
        <v>45057</v>
      </c>
      <c r="C8181" s="1" t="n">
        <v>45363</v>
      </c>
      <c r="D8181" t="inlineStr">
        <is>
          <t>JÄMTLANDS LÄN</t>
        </is>
      </c>
      <c r="E8181" t="inlineStr">
        <is>
          <t>HÄRJEDALEN</t>
        </is>
      </c>
      <c r="F8181" t="inlineStr">
        <is>
          <t>SCA</t>
        </is>
      </c>
      <c r="G8181" t="n">
        <v>15.6</v>
      </c>
      <c r="H8181" t="n">
        <v>0</v>
      </c>
      <c r="I8181" t="n">
        <v>0</v>
      </c>
      <c r="J8181" t="n">
        <v>0</v>
      </c>
      <c r="K8181" t="n">
        <v>0</v>
      </c>
      <c r="L8181" t="n">
        <v>0</v>
      </c>
      <c r="M8181" t="n">
        <v>0</v>
      </c>
      <c r="N8181" t="n">
        <v>0</v>
      </c>
      <c r="O8181" t="n">
        <v>0</v>
      </c>
      <c r="P8181" t="n">
        <v>0</v>
      </c>
      <c r="Q8181" t="n">
        <v>0</v>
      </c>
      <c r="R8181" s="2" t="inlineStr"/>
      <c r="U8181">
        <f>HYPERLINK("https://klasma.github.io/Logging_2361/knärot/A 20609-2023 karta knärot.png", "A 20609-2023")</f>
        <v/>
      </c>
      <c r="V8181">
        <f>HYPERLINK("https://klasma.github.io/Logging_2361/klagomål/A 20609-2023 FSC-klagomål.docx", "A 20609-2023")</f>
        <v/>
      </c>
      <c r="W8181">
        <f>HYPERLINK("https://klasma.github.io/Logging_2361/klagomålsmail/A 20609-2023 FSC-klagomål mail.docx", "A 20609-2023")</f>
        <v/>
      </c>
      <c r="X8181">
        <f>HYPERLINK("https://klasma.github.io/Logging_2361/tillsyn/A 20609-2023 tillsynsbegäran.docx", "A 20609-2023")</f>
        <v/>
      </c>
      <c r="Y8181">
        <f>HYPERLINK("https://klasma.github.io/Logging_2361/tillsynsmail/A 20609-2023 tillsynsbegäran mail.docx", "A 20609-2023")</f>
        <v/>
      </c>
    </row>
    <row r="8182" ht="15" customHeight="1">
      <c r="A8182" t="inlineStr">
        <is>
          <t>A 20613-2023</t>
        </is>
      </c>
      <c r="B8182" s="1" t="n">
        <v>45057</v>
      </c>
      <c r="C8182" s="1" t="n">
        <v>45363</v>
      </c>
      <c r="D8182" t="inlineStr">
        <is>
          <t>JÄMTLANDS LÄN</t>
        </is>
      </c>
      <c r="E8182" t="inlineStr">
        <is>
          <t>BRÄCKE</t>
        </is>
      </c>
      <c r="F8182" t="inlineStr">
        <is>
          <t>SCA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20617-2023</t>
        </is>
      </c>
      <c r="B8183" s="1" t="n">
        <v>45057</v>
      </c>
      <c r="C8183" s="1" t="n">
        <v>45363</v>
      </c>
      <c r="D8183" t="inlineStr">
        <is>
          <t>JÄMTLANDS LÄN</t>
        </is>
      </c>
      <c r="E8183" t="inlineStr">
        <is>
          <t>BRÄCKE</t>
        </is>
      </c>
      <c r="F8183" t="inlineStr">
        <is>
          <t>SCA</t>
        </is>
      </c>
      <c r="G8183" t="n">
        <v>10.5</v>
      </c>
      <c r="H8183" t="n">
        <v>0</v>
      </c>
      <c r="I8183" t="n">
        <v>0</v>
      </c>
      <c r="J8183" t="n">
        <v>0</v>
      </c>
      <c r="K8183" t="n">
        <v>0</v>
      </c>
      <c r="L8183" t="n">
        <v>0</v>
      </c>
      <c r="M8183" t="n">
        <v>0</v>
      </c>
      <c r="N8183" t="n">
        <v>0</v>
      </c>
      <c r="O8183" t="n">
        <v>0</v>
      </c>
      <c r="P8183" t="n">
        <v>0</v>
      </c>
      <c r="Q8183" t="n">
        <v>0</v>
      </c>
      <c r="R8183" s="2" t="inlineStr"/>
    </row>
    <row r="8184" ht="15" customHeight="1">
      <c r="A8184" t="inlineStr">
        <is>
          <t>A 20623-2023</t>
        </is>
      </c>
      <c r="B8184" s="1" t="n">
        <v>45058</v>
      </c>
      <c r="C8184" s="1" t="n">
        <v>45363</v>
      </c>
      <c r="D8184" t="inlineStr">
        <is>
          <t>JÄMTLANDS LÄN</t>
        </is>
      </c>
      <c r="E8184" t="inlineStr">
        <is>
          <t>KROKOM</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20636-2023</t>
        </is>
      </c>
      <c r="B8185" s="1" t="n">
        <v>45058</v>
      </c>
      <c r="C8185" s="1" t="n">
        <v>45363</v>
      </c>
      <c r="D8185" t="inlineStr">
        <is>
          <t>JÄMTLANDS LÄN</t>
        </is>
      </c>
      <c r="E8185" t="inlineStr">
        <is>
          <t>ÖSTERSUND</t>
        </is>
      </c>
      <c r="F8185" t="inlineStr">
        <is>
          <t>SCA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20768-2023</t>
        </is>
      </c>
      <c r="B8186" s="1" t="n">
        <v>45058</v>
      </c>
      <c r="C8186" s="1" t="n">
        <v>45363</v>
      </c>
      <c r="D8186" t="inlineStr">
        <is>
          <t>JÄMTLANDS LÄN</t>
        </is>
      </c>
      <c r="E8186" t="inlineStr">
        <is>
          <t>HÄRJEDALEN</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20718-2023</t>
        </is>
      </c>
      <c r="B8187" s="1" t="n">
        <v>45058</v>
      </c>
      <c r="C8187" s="1" t="n">
        <v>45363</v>
      </c>
      <c r="D8187" t="inlineStr">
        <is>
          <t>JÄMTLANDS LÄN</t>
        </is>
      </c>
      <c r="E8187" t="inlineStr">
        <is>
          <t>HÄRJEDALEN</t>
        </is>
      </c>
      <c r="F8187" t="inlineStr">
        <is>
          <t>Kyrkan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20864-2023</t>
        </is>
      </c>
      <c r="B8188" s="1" t="n">
        <v>45058</v>
      </c>
      <c r="C8188" s="1" t="n">
        <v>45363</v>
      </c>
      <c r="D8188" t="inlineStr">
        <is>
          <t>JÄMTLANDS LÄN</t>
        </is>
      </c>
      <c r="E8188" t="inlineStr">
        <is>
          <t>BRÄCKE</t>
        </is>
      </c>
      <c r="F8188" t="inlineStr">
        <is>
          <t>SCA</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20860-2023</t>
        </is>
      </c>
      <c r="B8189" s="1" t="n">
        <v>45059</v>
      </c>
      <c r="C8189" s="1" t="n">
        <v>45363</v>
      </c>
      <c r="D8189" t="inlineStr">
        <is>
          <t>JÄMTLANDS LÄN</t>
        </is>
      </c>
      <c r="E8189" t="inlineStr">
        <is>
          <t>KROKOM</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20866-2023</t>
        </is>
      </c>
      <c r="B8190" s="1" t="n">
        <v>45058</v>
      </c>
      <c r="C8190" s="1" t="n">
        <v>45363</v>
      </c>
      <c r="D8190" t="inlineStr">
        <is>
          <t>JÄMTLANDS LÄN</t>
        </is>
      </c>
      <c r="E8190" t="inlineStr">
        <is>
          <t>BRÄCKE</t>
        </is>
      </c>
      <c r="F8190" t="inlineStr">
        <is>
          <t>SCA</t>
        </is>
      </c>
      <c r="G8190" t="n">
        <v>8.5</v>
      </c>
      <c r="H8190" t="n">
        <v>0</v>
      </c>
      <c r="I8190" t="n">
        <v>0</v>
      </c>
      <c r="J8190" t="n">
        <v>0</v>
      </c>
      <c r="K8190" t="n">
        <v>0</v>
      </c>
      <c r="L8190" t="n">
        <v>0</v>
      </c>
      <c r="M8190" t="n">
        <v>0</v>
      </c>
      <c r="N8190" t="n">
        <v>0</v>
      </c>
      <c r="O8190" t="n">
        <v>0</v>
      </c>
      <c r="P8190" t="n">
        <v>0</v>
      </c>
      <c r="Q8190" t="n">
        <v>0</v>
      </c>
      <c r="R8190" s="2" t="inlineStr"/>
    </row>
    <row r="8191" ht="15" customHeight="1">
      <c r="A8191" t="inlineStr">
        <is>
          <t>A 20863-2023</t>
        </is>
      </c>
      <c r="B8191" s="1" t="n">
        <v>45058</v>
      </c>
      <c r="C8191" s="1" t="n">
        <v>45363</v>
      </c>
      <c r="D8191" t="inlineStr">
        <is>
          <t>JÄMTLANDS LÄN</t>
        </is>
      </c>
      <c r="E8191" t="inlineStr">
        <is>
          <t>BRÄCKE</t>
        </is>
      </c>
      <c r="F8191" t="inlineStr">
        <is>
          <t>SCA</t>
        </is>
      </c>
      <c r="G8191" t="n">
        <v>8.699999999999999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20867-2023</t>
        </is>
      </c>
      <c r="B8192" s="1" t="n">
        <v>45058</v>
      </c>
      <c r="C8192" s="1" t="n">
        <v>45363</v>
      </c>
      <c r="D8192" t="inlineStr">
        <is>
          <t>JÄMTLANDS LÄN</t>
        </is>
      </c>
      <c r="E8192" t="inlineStr">
        <is>
          <t>BRÄCKE</t>
        </is>
      </c>
      <c r="F8192" t="inlineStr">
        <is>
          <t>SCA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20865-2023</t>
        </is>
      </c>
      <c r="B8193" s="1" t="n">
        <v>45059</v>
      </c>
      <c r="C8193" s="1" t="n">
        <v>45363</v>
      </c>
      <c r="D8193" t="inlineStr">
        <is>
          <t>JÄMTLANDS LÄN</t>
        </is>
      </c>
      <c r="E8193" t="inlineStr">
        <is>
          <t>BRÄCKE</t>
        </is>
      </c>
      <c r="F8193" t="inlineStr">
        <is>
          <t>SCA</t>
        </is>
      </c>
      <c r="G8193" t="n">
        <v>13.5</v>
      </c>
      <c r="H8193" t="n">
        <v>0</v>
      </c>
      <c r="I8193" t="n">
        <v>0</v>
      </c>
      <c r="J8193" t="n">
        <v>0</v>
      </c>
      <c r="K8193" t="n">
        <v>0</v>
      </c>
      <c r="L8193" t="n">
        <v>0</v>
      </c>
      <c r="M8193" t="n">
        <v>0</v>
      </c>
      <c r="N8193" t="n">
        <v>0</v>
      </c>
      <c r="O8193" t="n">
        <v>0</v>
      </c>
      <c r="P8193" t="n">
        <v>0</v>
      </c>
      <c r="Q8193" t="n">
        <v>0</v>
      </c>
      <c r="R8193" s="2" t="inlineStr"/>
    </row>
    <row r="8194" ht="15" customHeight="1">
      <c r="A8194" t="inlineStr">
        <is>
          <t>A 20869-2023</t>
        </is>
      </c>
      <c r="B8194" s="1" t="n">
        <v>45058</v>
      </c>
      <c r="C8194" s="1" t="n">
        <v>45363</v>
      </c>
      <c r="D8194" t="inlineStr">
        <is>
          <t>JÄMTLANDS LÄN</t>
        </is>
      </c>
      <c r="E8194" t="inlineStr">
        <is>
          <t>BRÄCKE</t>
        </is>
      </c>
      <c r="F8194" t="inlineStr">
        <is>
          <t>SCA</t>
        </is>
      </c>
      <c r="G8194" t="n">
        <v>11.8</v>
      </c>
      <c r="H8194" t="n">
        <v>0</v>
      </c>
      <c r="I8194" t="n">
        <v>0</v>
      </c>
      <c r="J8194" t="n">
        <v>0</v>
      </c>
      <c r="K8194" t="n">
        <v>0</v>
      </c>
      <c r="L8194" t="n">
        <v>0</v>
      </c>
      <c r="M8194" t="n">
        <v>0</v>
      </c>
      <c r="N8194" t="n">
        <v>0</v>
      </c>
      <c r="O8194" t="n">
        <v>0</v>
      </c>
      <c r="P8194" t="n">
        <v>0</v>
      </c>
      <c r="Q8194" t="n">
        <v>0</v>
      </c>
      <c r="R8194" s="2" t="inlineStr"/>
    </row>
    <row r="8195" ht="15" customHeight="1">
      <c r="A8195" t="inlineStr">
        <is>
          <t>A 20870-2023</t>
        </is>
      </c>
      <c r="B8195" s="1" t="n">
        <v>45059</v>
      </c>
      <c r="C8195" s="1" t="n">
        <v>45363</v>
      </c>
      <c r="D8195" t="inlineStr">
        <is>
          <t>JÄMTLANDS LÄN</t>
        </is>
      </c>
      <c r="E8195" t="inlineStr">
        <is>
          <t>BRÄCKE</t>
        </is>
      </c>
      <c r="F8195" t="inlineStr">
        <is>
          <t>SCA</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20882-2023</t>
        </is>
      </c>
      <c r="B8196" s="1" t="n">
        <v>45058</v>
      </c>
      <c r="C8196" s="1" t="n">
        <v>45363</v>
      </c>
      <c r="D8196" t="inlineStr">
        <is>
          <t>JÄMTLANDS LÄN</t>
        </is>
      </c>
      <c r="E8196" t="inlineStr">
        <is>
          <t>BERG</t>
        </is>
      </c>
      <c r="F8196" t="inlineStr">
        <is>
          <t>SCA</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20868-2023</t>
        </is>
      </c>
      <c r="B8197" s="1" t="n">
        <v>45059</v>
      </c>
      <c r="C8197" s="1" t="n">
        <v>45363</v>
      </c>
      <c r="D8197" t="inlineStr">
        <is>
          <t>JÄMTLANDS LÄN</t>
        </is>
      </c>
      <c r="E8197" t="inlineStr">
        <is>
          <t>BRÄCKE</t>
        </is>
      </c>
      <c r="F8197" t="inlineStr">
        <is>
          <t>SCA</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20879-2023</t>
        </is>
      </c>
      <c r="B8198" s="1" t="n">
        <v>45059</v>
      </c>
      <c r="C8198" s="1" t="n">
        <v>45363</v>
      </c>
      <c r="D8198" t="inlineStr">
        <is>
          <t>JÄMTLANDS LÄN</t>
        </is>
      </c>
      <c r="E8198" t="inlineStr">
        <is>
          <t>BRÄCKE</t>
        </is>
      </c>
      <c r="F8198" t="inlineStr">
        <is>
          <t>Naturvårdsverket</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20887-2023</t>
        </is>
      </c>
      <c r="B8199" s="1" t="n">
        <v>45058</v>
      </c>
      <c r="C8199" s="1" t="n">
        <v>45363</v>
      </c>
      <c r="D8199" t="inlineStr">
        <is>
          <t>JÄMTLANDS LÄN</t>
        </is>
      </c>
      <c r="E8199" t="inlineStr">
        <is>
          <t>STRÖMSUND</t>
        </is>
      </c>
      <c r="F8199" t="inlineStr">
        <is>
          <t>SCA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21183-2023</t>
        </is>
      </c>
      <c r="B8200" s="1" t="n">
        <v>45058</v>
      </c>
      <c r="C8200" s="1" t="n">
        <v>45363</v>
      </c>
      <c r="D8200" t="inlineStr">
        <is>
          <t>JÄMTLANDS LÄN</t>
        </is>
      </c>
      <c r="E8200" t="inlineStr">
        <is>
          <t>BRÄCKE</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21243-2023</t>
        </is>
      </c>
      <c r="B8201" s="1" t="n">
        <v>45058</v>
      </c>
      <c r="C8201" s="1" t="n">
        <v>45363</v>
      </c>
      <c r="D8201" t="inlineStr">
        <is>
          <t>JÄMTLANDS LÄN</t>
        </is>
      </c>
      <c r="E8201" t="inlineStr">
        <is>
          <t>BRÄCKE</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20899-2023</t>
        </is>
      </c>
      <c r="B8202" s="1" t="n">
        <v>45060</v>
      </c>
      <c r="C8202" s="1" t="n">
        <v>45363</v>
      </c>
      <c r="D8202" t="inlineStr">
        <is>
          <t>JÄMTLANDS LÄN</t>
        </is>
      </c>
      <c r="E8202" t="inlineStr">
        <is>
          <t>BERG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20901-2023</t>
        </is>
      </c>
      <c r="B8203" s="1" t="n">
        <v>45060</v>
      </c>
      <c r="C8203" s="1" t="n">
        <v>45363</v>
      </c>
      <c r="D8203" t="inlineStr">
        <is>
          <t>JÄMTLANDS LÄN</t>
        </is>
      </c>
      <c r="E8203" t="inlineStr">
        <is>
          <t>RAGUNDA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20935-2023</t>
        </is>
      </c>
      <c r="B8204" s="1" t="n">
        <v>45061</v>
      </c>
      <c r="C8204" s="1" t="n">
        <v>45363</v>
      </c>
      <c r="D8204" t="inlineStr">
        <is>
          <t>JÄMTLANDS LÄN</t>
        </is>
      </c>
      <c r="E8204" t="inlineStr">
        <is>
          <t>HÄRJEDALEN</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21115-2023</t>
        </is>
      </c>
      <c r="B8205" s="1" t="n">
        <v>45061</v>
      </c>
      <c r="C8205" s="1" t="n">
        <v>45363</v>
      </c>
      <c r="D8205" t="inlineStr">
        <is>
          <t>JÄMTLANDS LÄN</t>
        </is>
      </c>
      <c r="E8205" t="inlineStr">
        <is>
          <t>STRÖMSUND</t>
        </is>
      </c>
      <c r="F8205" t="inlineStr">
        <is>
          <t>SCA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21102-2023</t>
        </is>
      </c>
      <c r="B8206" s="1" t="n">
        <v>45062</v>
      </c>
      <c r="C8206" s="1" t="n">
        <v>45363</v>
      </c>
      <c r="D8206" t="inlineStr">
        <is>
          <t>JÄMTLANDS LÄN</t>
        </is>
      </c>
      <c r="E8206" t="inlineStr">
        <is>
          <t>RAGUNDA</t>
        </is>
      </c>
      <c r="F8206" t="inlineStr">
        <is>
          <t>SCA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21110-2023</t>
        </is>
      </c>
      <c r="B8207" s="1" t="n">
        <v>45061</v>
      </c>
      <c r="C8207" s="1" t="n">
        <v>45363</v>
      </c>
      <c r="D8207" t="inlineStr">
        <is>
          <t>JÄMTLANDS LÄN</t>
        </is>
      </c>
      <c r="E8207" t="inlineStr">
        <is>
          <t>STRÖMSUND</t>
        </is>
      </c>
      <c r="F8207" t="inlineStr">
        <is>
          <t>SCA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21114-2023</t>
        </is>
      </c>
      <c r="B8208" s="1" t="n">
        <v>45062</v>
      </c>
      <c r="C8208" s="1" t="n">
        <v>45363</v>
      </c>
      <c r="D8208" t="inlineStr">
        <is>
          <t>JÄMTLANDS LÄN</t>
        </is>
      </c>
      <c r="E8208" t="inlineStr">
        <is>
          <t>BRÄCKE</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21118-2023</t>
        </is>
      </c>
      <c r="B8209" s="1" t="n">
        <v>45062</v>
      </c>
      <c r="C8209" s="1" t="n">
        <v>45363</v>
      </c>
      <c r="D8209" t="inlineStr">
        <is>
          <t>JÄMTLANDS LÄN</t>
        </is>
      </c>
      <c r="E8209" t="inlineStr">
        <is>
          <t>BRÄCKE</t>
        </is>
      </c>
      <c r="F8209" t="inlineStr">
        <is>
          <t>SCA</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21050-2023</t>
        </is>
      </c>
      <c r="B8210" s="1" t="n">
        <v>45061</v>
      </c>
      <c r="C8210" s="1" t="n">
        <v>45363</v>
      </c>
      <c r="D8210" t="inlineStr">
        <is>
          <t>JÄMTLANDS LÄN</t>
        </is>
      </c>
      <c r="E8210" t="inlineStr">
        <is>
          <t>HÄRJEDALEN</t>
        </is>
      </c>
      <c r="F8210" t="inlineStr">
        <is>
          <t>Sveaskog</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21054-2023</t>
        </is>
      </c>
      <c r="B8211" s="1" t="n">
        <v>45061</v>
      </c>
      <c r="C8211" s="1" t="n">
        <v>45363</v>
      </c>
      <c r="D8211" t="inlineStr">
        <is>
          <t>JÄMTLANDS LÄN</t>
        </is>
      </c>
      <c r="E8211" t="inlineStr">
        <is>
          <t>HÄRJEDALEN</t>
        </is>
      </c>
      <c r="F8211" t="inlineStr">
        <is>
          <t>Sveaskog</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21116-2023</t>
        </is>
      </c>
      <c r="B8212" s="1" t="n">
        <v>45062</v>
      </c>
      <c r="C8212" s="1" t="n">
        <v>45363</v>
      </c>
      <c r="D8212" t="inlineStr">
        <is>
          <t>JÄMTLANDS LÄN</t>
        </is>
      </c>
      <c r="E8212" t="inlineStr">
        <is>
          <t>BRÄCKE</t>
        </is>
      </c>
      <c r="F8212" t="inlineStr">
        <is>
          <t>SCA</t>
        </is>
      </c>
      <c r="G8212" t="n">
        <v>8.4</v>
      </c>
      <c r="H8212" t="n">
        <v>0</v>
      </c>
      <c r="I8212" t="n">
        <v>0</v>
      </c>
      <c r="J8212" t="n">
        <v>0</v>
      </c>
      <c r="K8212" t="n">
        <v>0</v>
      </c>
      <c r="L8212" t="n">
        <v>0</v>
      </c>
      <c r="M8212" t="n">
        <v>0</v>
      </c>
      <c r="N8212" t="n">
        <v>0</v>
      </c>
      <c r="O8212" t="n">
        <v>0</v>
      </c>
      <c r="P8212" t="n">
        <v>0</v>
      </c>
      <c r="Q8212" t="n">
        <v>0</v>
      </c>
      <c r="R8212" s="2" t="inlineStr"/>
    </row>
    <row r="8213" ht="15" customHeight="1">
      <c r="A8213" t="inlineStr">
        <is>
          <t>A 21113-2023</t>
        </is>
      </c>
      <c r="B8213" s="1" t="n">
        <v>45062</v>
      </c>
      <c r="C8213" s="1" t="n">
        <v>45363</v>
      </c>
      <c r="D8213" t="inlineStr">
        <is>
          <t>JÄMTLANDS LÄN</t>
        </is>
      </c>
      <c r="E8213" t="inlineStr">
        <is>
          <t>BRÄCKE</t>
        </is>
      </c>
      <c r="F8213" t="inlineStr">
        <is>
          <t>SCA</t>
        </is>
      </c>
      <c r="G8213" t="n">
        <v>9</v>
      </c>
      <c r="H8213" t="n">
        <v>0</v>
      </c>
      <c r="I8213" t="n">
        <v>0</v>
      </c>
      <c r="J8213" t="n">
        <v>0</v>
      </c>
      <c r="K8213" t="n">
        <v>0</v>
      </c>
      <c r="L8213" t="n">
        <v>0</v>
      </c>
      <c r="M8213" t="n">
        <v>0</v>
      </c>
      <c r="N8213" t="n">
        <v>0</v>
      </c>
      <c r="O8213" t="n">
        <v>0</v>
      </c>
      <c r="P8213" t="n">
        <v>0</v>
      </c>
      <c r="Q8213" t="n">
        <v>0</v>
      </c>
      <c r="R8213" s="2" t="inlineStr"/>
    </row>
    <row r="8214" ht="15" customHeight="1">
      <c r="A8214" t="inlineStr">
        <is>
          <t>A 21117-2023</t>
        </is>
      </c>
      <c r="B8214" s="1" t="n">
        <v>45061</v>
      </c>
      <c r="C8214" s="1" t="n">
        <v>45363</v>
      </c>
      <c r="D8214" t="inlineStr">
        <is>
          <t>JÄMTLANDS LÄN</t>
        </is>
      </c>
      <c r="E8214" t="inlineStr">
        <is>
          <t>BRÄCKE</t>
        </is>
      </c>
      <c r="F8214" t="inlineStr">
        <is>
          <t>SCA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21308-2023</t>
        </is>
      </c>
      <c r="B8215" s="1" t="n">
        <v>45062</v>
      </c>
      <c r="C8215" s="1" t="n">
        <v>45363</v>
      </c>
      <c r="D8215" t="inlineStr">
        <is>
          <t>JÄMTLANDS LÄN</t>
        </is>
      </c>
      <c r="E8215" t="inlineStr">
        <is>
          <t>BRÄCKE</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21358-2023</t>
        </is>
      </c>
      <c r="B8216" s="1" t="n">
        <v>45063</v>
      </c>
      <c r="C8216" s="1" t="n">
        <v>45363</v>
      </c>
      <c r="D8216" t="inlineStr">
        <is>
          <t>JÄMTLANDS LÄN</t>
        </is>
      </c>
      <c r="E8216" t="inlineStr">
        <is>
          <t>STRÖMSUND</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21338-2023</t>
        </is>
      </c>
      <c r="B8217" s="1" t="n">
        <v>45062</v>
      </c>
      <c r="C8217" s="1" t="n">
        <v>45363</v>
      </c>
      <c r="D8217" t="inlineStr">
        <is>
          <t>JÄMTLANDS LÄN</t>
        </is>
      </c>
      <c r="E8217" t="inlineStr">
        <is>
          <t>STRÖMSUND</t>
        </is>
      </c>
      <c r="F8217" t="inlineStr">
        <is>
          <t>SCA</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21350-2023</t>
        </is>
      </c>
      <c r="B8218" s="1" t="n">
        <v>45063</v>
      </c>
      <c r="C8218" s="1" t="n">
        <v>45363</v>
      </c>
      <c r="D8218" t="inlineStr">
        <is>
          <t>JÄMTLANDS LÄN</t>
        </is>
      </c>
      <c r="E8218" t="inlineStr">
        <is>
          <t>BRÄCKE</t>
        </is>
      </c>
      <c r="F8218" t="inlineStr">
        <is>
          <t>Naturvårdsverket</t>
        </is>
      </c>
      <c r="G8218" t="n">
        <v>14.3</v>
      </c>
      <c r="H8218" t="n">
        <v>0</v>
      </c>
      <c r="I8218" t="n">
        <v>0</v>
      </c>
      <c r="J8218" t="n">
        <v>0</v>
      </c>
      <c r="K8218" t="n">
        <v>0</v>
      </c>
      <c r="L8218" t="n">
        <v>0</v>
      </c>
      <c r="M8218" t="n">
        <v>0</v>
      </c>
      <c r="N8218" t="n">
        <v>0</v>
      </c>
      <c r="O8218" t="n">
        <v>0</v>
      </c>
      <c r="P8218" t="n">
        <v>0</v>
      </c>
      <c r="Q8218" t="n">
        <v>0</v>
      </c>
      <c r="R8218" s="2" t="inlineStr"/>
    </row>
    <row r="8219" ht="15" customHeight="1">
      <c r="A8219" t="inlineStr">
        <is>
          <t>A 21348-2023</t>
        </is>
      </c>
      <c r="B8219" s="1" t="n">
        <v>45062</v>
      </c>
      <c r="C8219" s="1" t="n">
        <v>45363</v>
      </c>
      <c r="D8219" t="inlineStr">
        <is>
          <t>JÄMTLANDS LÄN</t>
        </is>
      </c>
      <c r="E8219" t="inlineStr">
        <is>
          <t>KROKOM</t>
        </is>
      </c>
      <c r="F8219" t="inlineStr">
        <is>
          <t>SCA</t>
        </is>
      </c>
      <c r="G8219" t="n">
        <v>48.1</v>
      </c>
      <c r="H8219" t="n">
        <v>0</v>
      </c>
      <c r="I8219" t="n">
        <v>0</v>
      </c>
      <c r="J8219" t="n">
        <v>0</v>
      </c>
      <c r="K8219" t="n">
        <v>0</v>
      </c>
      <c r="L8219" t="n">
        <v>0</v>
      </c>
      <c r="M8219" t="n">
        <v>0</v>
      </c>
      <c r="N8219" t="n">
        <v>0</v>
      </c>
      <c r="O8219" t="n">
        <v>0</v>
      </c>
      <c r="P8219" t="n">
        <v>0</v>
      </c>
      <c r="Q8219" t="n">
        <v>0</v>
      </c>
      <c r="R8219" s="2" t="inlineStr"/>
    </row>
    <row r="8220" ht="15" customHeight="1">
      <c r="A8220" t="inlineStr">
        <is>
          <t>A 21359-2023</t>
        </is>
      </c>
      <c r="B8220" s="1" t="n">
        <v>45062</v>
      </c>
      <c r="C8220" s="1" t="n">
        <v>45363</v>
      </c>
      <c r="D8220" t="inlineStr">
        <is>
          <t>JÄMTLANDS LÄN</t>
        </is>
      </c>
      <c r="E8220" t="inlineStr">
        <is>
          <t>BRÄCKE</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21339-2023</t>
        </is>
      </c>
      <c r="B8221" s="1" t="n">
        <v>45063</v>
      </c>
      <c r="C8221" s="1" t="n">
        <v>45363</v>
      </c>
      <c r="D8221" t="inlineStr">
        <is>
          <t>JÄMTLANDS LÄN</t>
        </is>
      </c>
      <c r="E8221" t="inlineStr">
        <is>
          <t>STRÖMSUND</t>
        </is>
      </c>
      <c r="F8221" t="inlineStr">
        <is>
          <t>SCA</t>
        </is>
      </c>
      <c r="G8221" t="n">
        <v>22.5</v>
      </c>
      <c r="H8221" t="n">
        <v>0</v>
      </c>
      <c r="I8221" t="n">
        <v>0</v>
      </c>
      <c r="J8221" t="n">
        <v>0</v>
      </c>
      <c r="K8221" t="n">
        <v>0</v>
      </c>
      <c r="L8221" t="n">
        <v>0</v>
      </c>
      <c r="M8221" t="n">
        <v>0</v>
      </c>
      <c r="N8221" t="n">
        <v>0</v>
      </c>
      <c r="O8221" t="n">
        <v>0</v>
      </c>
      <c r="P8221" t="n">
        <v>0</v>
      </c>
      <c r="Q8221" t="n">
        <v>0</v>
      </c>
      <c r="R8221" s="2" t="inlineStr"/>
    </row>
    <row r="8222" ht="15" customHeight="1">
      <c r="A8222" t="inlineStr">
        <is>
          <t>A 21347-2023</t>
        </is>
      </c>
      <c r="B8222" s="1" t="n">
        <v>45062</v>
      </c>
      <c r="C8222" s="1" t="n">
        <v>45363</v>
      </c>
      <c r="D8222" t="inlineStr">
        <is>
          <t>JÄMTLANDS LÄN</t>
        </is>
      </c>
      <c r="E8222" t="inlineStr">
        <is>
          <t>KROKOM</t>
        </is>
      </c>
      <c r="F8222" t="inlineStr">
        <is>
          <t>SCA</t>
        </is>
      </c>
      <c r="G8222" t="n">
        <v>13.6</v>
      </c>
      <c r="H8222" t="n">
        <v>0</v>
      </c>
      <c r="I8222" t="n">
        <v>0</v>
      </c>
      <c r="J8222" t="n">
        <v>0</v>
      </c>
      <c r="K8222" t="n">
        <v>0</v>
      </c>
      <c r="L8222" t="n">
        <v>0</v>
      </c>
      <c r="M8222" t="n">
        <v>0</v>
      </c>
      <c r="N8222" t="n">
        <v>0</v>
      </c>
      <c r="O8222" t="n">
        <v>0</v>
      </c>
      <c r="P8222" t="n">
        <v>0</v>
      </c>
      <c r="Q8222" t="n">
        <v>0</v>
      </c>
      <c r="R8222" s="2" t="inlineStr"/>
    </row>
    <row r="8223" ht="15" customHeight="1">
      <c r="A8223" t="inlineStr">
        <is>
          <t>A 21360-2023</t>
        </is>
      </c>
      <c r="B8223" s="1" t="n">
        <v>45062</v>
      </c>
      <c r="C8223" s="1" t="n">
        <v>45363</v>
      </c>
      <c r="D8223" t="inlineStr">
        <is>
          <t>JÄMTLANDS LÄN</t>
        </is>
      </c>
      <c r="E8223" t="inlineStr">
        <is>
          <t>BRÄCKE</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21517-2023</t>
        </is>
      </c>
      <c r="B8224" s="1" t="n">
        <v>45063</v>
      </c>
      <c r="C8224" s="1" t="n">
        <v>45363</v>
      </c>
      <c r="D8224" t="inlineStr">
        <is>
          <t>JÄMTLANDS LÄN</t>
        </is>
      </c>
      <c r="E8224" t="inlineStr">
        <is>
          <t>HÄRJEDALEN</t>
        </is>
      </c>
      <c r="G8224" t="n">
        <v>9</v>
      </c>
      <c r="H8224" t="n">
        <v>0</v>
      </c>
      <c r="I8224" t="n">
        <v>0</v>
      </c>
      <c r="J8224" t="n">
        <v>0</v>
      </c>
      <c r="K8224" t="n">
        <v>0</v>
      </c>
      <c r="L8224" t="n">
        <v>0</v>
      </c>
      <c r="M8224" t="n">
        <v>0</v>
      </c>
      <c r="N8224" t="n">
        <v>0</v>
      </c>
      <c r="O8224" t="n">
        <v>0</v>
      </c>
      <c r="P8224" t="n">
        <v>0</v>
      </c>
      <c r="Q8224" t="n">
        <v>0</v>
      </c>
      <c r="R8224" s="2" t="inlineStr"/>
    </row>
    <row r="8225" ht="15" customHeight="1">
      <c r="A8225" t="inlineStr">
        <is>
          <t>A 21531-2023</t>
        </is>
      </c>
      <c r="B8225" s="1" t="n">
        <v>45063</v>
      </c>
      <c r="C8225" s="1" t="n">
        <v>45363</v>
      </c>
      <c r="D8225" t="inlineStr">
        <is>
          <t>JÄMTLANDS LÄN</t>
        </is>
      </c>
      <c r="E8225" t="inlineStr">
        <is>
          <t>HÄRJEDALEN</t>
        </is>
      </c>
      <c r="G8225" t="n">
        <v>14.6</v>
      </c>
      <c r="H8225" t="n">
        <v>0</v>
      </c>
      <c r="I8225" t="n">
        <v>0</v>
      </c>
      <c r="J8225" t="n">
        <v>0</v>
      </c>
      <c r="K8225" t="n">
        <v>0</v>
      </c>
      <c r="L8225" t="n">
        <v>0</v>
      </c>
      <c r="M8225" t="n">
        <v>0</v>
      </c>
      <c r="N8225" t="n">
        <v>0</v>
      </c>
      <c r="O8225" t="n">
        <v>0</v>
      </c>
      <c r="P8225" t="n">
        <v>0</v>
      </c>
      <c r="Q8225" t="n">
        <v>0</v>
      </c>
      <c r="R8225" s="2" t="inlineStr"/>
    </row>
    <row r="8226" ht="15" customHeight="1">
      <c r="A8226" t="inlineStr">
        <is>
          <t>A 21439-2023</t>
        </is>
      </c>
      <c r="B8226" s="1" t="n">
        <v>45063</v>
      </c>
      <c r="C8226" s="1" t="n">
        <v>45363</v>
      </c>
      <c r="D8226" t="inlineStr">
        <is>
          <t>JÄMTLANDS LÄN</t>
        </is>
      </c>
      <c r="E8226" t="inlineStr">
        <is>
          <t>HÄRJEDALEN</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21521-2023</t>
        </is>
      </c>
      <c r="B8227" s="1" t="n">
        <v>45063</v>
      </c>
      <c r="C8227" s="1" t="n">
        <v>45363</v>
      </c>
      <c r="D8227" t="inlineStr">
        <is>
          <t>JÄMTLANDS LÄN</t>
        </is>
      </c>
      <c r="E8227" t="inlineStr">
        <is>
          <t>HÄRJEDALEN</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21525-2023</t>
        </is>
      </c>
      <c r="B8228" s="1" t="n">
        <v>45063</v>
      </c>
      <c r="C8228" s="1" t="n">
        <v>45363</v>
      </c>
      <c r="D8228" t="inlineStr">
        <is>
          <t>JÄMTLANDS LÄN</t>
        </is>
      </c>
      <c r="E8228" t="inlineStr">
        <is>
          <t>HÄRJEDALEN</t>
        </is>
      </c>
      <c r="G8228" t="n">
        <v>20</v>
      </c>
      <c r="H8228" t="n">
        <v>0</v>
      </c>
      <c r="I8228" t="n">
        <v>0</v>
      </c>
      <c r="J8228" t="n">
        <v>0</v>
      </c>
      <c r="K8228" t="n">
        <v>0</v>
      </c>
      <c r="L8228" t="n">
        <v>0</v>
      </c>
      <c r="M8228" t="n">
        <v>0</v>
      </c>
      <c r="N8228" t="n">
        <v>0</v>
      </c>
      <c r="O8228" t="n">
        <v>0</v>
      </c>
      <c r="P8228" t="n">
        <v>0</v>
      </c>
      <c r="Q8228" t="n">
        <v>0</v>
      </c>
      <c r="R8228" s="2" t="inlineStr"/>
    </row>
    <row r="8229" ht="15" customHeight="1">
      <c r="A8229" t="inlineStr">
        <is>
          <t>A 21530-2023</t>
        </is>
      </c>
      <c r="B8229" s="1" t="n">
        <v>45063</v>
      </c>
      <c r="C8229" s="1" t="n">
        <v>45363</v>
      </c>
      <c r="D8229" t="inlineStr">
        <is>
          <t>JÄMTLANDS LÄN</t>
        </is>
      </c>
      <c r="E8229" t="inlineStr">
        <is>
          <t>HÄRJEDALEN</t>
        </is>
      </c>
      <c r="G8229" t="n">
        <v>15.3</v>
      </c>
      <c r="H8229" t="n">
        <v>0</v>
      </c>
      <c r="I8229" t="n">
        <v>0</v>
      </c>
      <c r="J8229" t="n">
        <v>0</v>
      </c>
      <c r="K8229" t="n">
        <v>0</v>
      </c>
      <c r="L8229" t="n">
        <v>0</v>
      </c>
      <c r="M8229" t="n">
        <v>0</v>
      </c>
      <c r="N8229" t="n">
        <v>0</v>
      </c>
      <c r="O8229" t="n">
        <v>0</v>
      </c>
      <c r="P8229" t="n">
        <v>0</v>
      </c>
      <c r="Q8229" t="n">
        <v>0</v>
      </c>
      <c r="R8229" s="2" t="inlineStr"/>
    </row>
    <row r="8230" ht="15" customHeight="1">
      <c r="A8230" t="inlineStr">
        <is>
          <t>A 21645-2023</t>
        </is>
      </c>
      <c r="B8230" s="1" t="n">
        <v>45063</v>
      </c>
      <c r="C8230" s="1" t="n">
        <v>45363</v>
      </c>
      <c r="D8230" t="inlineStr">
        <is>
          <t>JÄMTLANDS LÄN</t>
        </is>
      </c>
      <c r="E8230" t="inlineStr">
        <is>
          <t>HÄRJEDALEN</t>
        </is>
      </c>
      <c r="F8230" t="inlineStr">
        <is>
          <t>Sveaskog</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21673-2023</t>
        </is>
      </c>
      <c r="B8231" s="1" t="n">
        <v>45064</v>
      </c>
      <c r="C8231" s="1" t="n">
        <v>45363</v>
      </c>
      <c r="D8231" t="inlineStr">
        <is>
          <t>JÄMTLANDS LÄN</t>
        </is>
      </c>
      <c r="E8231" t="inlineStr">
        <is>
          <t>BRÄCKE</t>
        </is>
      </c>
      <c r="F8231" t="inlineStr">
        <is>
          <t>SCA</t>
        </is>
      </c>
      <c r="G8231" t="n">
        <v>7</v>
      </c>
      <c r="H8231" t="n">
        <v>0</v>
      </c>
      <c r="I8231" t="n">
        <v>0</v>
      </c>
      <c r="J8231" t="n">
        <v>0</v>
      </c>
      <c r="K8231" t="n">
        <v>0</v>
      </c>
      <c r="L8231" t="n">
        <v>0</v>
      </c>
      <c r="M8231" t="n">
        <v>0</v>
      </c>
      <c r="N8231" t="n">
        <v>0</v>
      </c>
      <c r="O8231" t="n">
        <v>0</v>
      </c>
      <c r="P8231" t="n">
        <v>0</v>
      </c>
      <c r="Q8231" t="n">
        <v>0</v>
      </c>
      <c r="R8231" s="2" t="inlineStr"/>
    </row>
    <row r="8232" ht="15" customHeight="1">
      <c r="A8232" t="inlineStr">
        <is>
          <t>A 21687-2023</t>
        </is>
      </c>
      <c r="B8232" s="1" t="n">
        <v>45063</v>
      </c>
      <c r="C8232" s="1" t="n">
        <v>45363</v>
      </c>
      <c r="D8232" t="inlineStr">
        <is>
          <t>JÄMTLANDS LÄN</t>
        </is>
      </c>
      <c r="E8232" t="inlineStr">
        <is>
          <t>STRÖMSUND</t>
        </is>
      </c>
      <c r="F8232" t="inlineStr">
        <is>
          <t>SCA</t>
        </is>
      </c>
      <c r="G8232" t="n">
        <v>38.4</v>
      </c>
      <c r="H8232" t="n">
        <v>0</v>
      </c>
      <c r="I8232" t="n">
        <v>0</v>
      </c>
      <c r="J8232" t="n">
        <v>0</v>
      </c>
      <c r="K8232" t="n">
        <v>0</v>
      </c>
      <c r="L8232" t="n">
        <v>0</v>
      </c>
      <c r="M8232" t="n">
        <v>0</v>
      </c>
      <c r="N8232" t="n">
        <v>0</v>
      </c>
      <c r="O8232" t="n">
        <v>0</v>
      </c>
      <c r="P8232" t="n">
        <v>0</v>
      </c>
      <c r="Q8232" t="n">
        <v>0</v>
      </c>
      <c r="R8232" s="2" t="inlineStr"/>
    </row>
    <row r="8233" ht="15" customHeight="1">
      <c r="A8233" t="inlineStr">
        <is>
          <t>A 21646-2023</t>
        </is>
      </c>
      <c r="B8233" s="1" t="n">
        <v>45063</v>
      </c>
      <c r="C8233" s="1" t="n">
        <v>45363</v>
      </c>
      <c r="D8233" t="inlineStr">
        <is>
          <t>JÄMTLANDS LÄN</t>
        </is>
      </c>
      <c r="E8233" t="inlineStr">
        <is>
          <t>HÄRJEDALEN</t>
        </is>
      </c>
      <c r="F8233" t="inlineStr">
        <is>
          <t>Sveaskog</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21665-2023</t>
        </is>
      </c>
      <c r="B8234" s="1" t="n">
        <v>45063</v>
      </c>
      <c r="C8234" s="1" t="n">
        <v>45363</v>
      </c>
      <c r="D8234" t="inlineStr">
        <is>
          <t>JÄMTLANDS LÄN</t>
        </is>
      </c>
      <c r="E8234" t="inlineStr">
        <is>
          <t>HÄRJEDALEN</t>
        </is>
      </c>
      <c r="G8234" t="n">
        <v>19.3</v>
      </c>
      <c r="H8234" t="n">
        <v>0</v>
      </c>
      <c r="I8234" t="n">
        <v>0</v>
      </c>
      <c r="J8234" t="n">
        <v>0</v>
      </c>
      <c r="K8234" t="n">
        <v>0</v>
      </c>
      <c r="L8234" t="n">
        <v>0</v>
      </c>
      <c r="M8234" t="n">
        <v>0</v>
      </c>
      <c r="N8234" t="n">
        <v>0</v>
      </c>
      <c r="O8234" t="n">
        <v>0</v>
      </c>
      <c r="P8234" t="n">
        <v>0</v>
      </c>
      <c r="Q8234" t="n">
        <v>0</v>
      </c>
      <c r="R8234" s="2" t="inlineStr"/>
    </row>
    <row r="8235" ht="15" customHeight="1">
      <c r="A8235" t="inlineStr">
        <is>
          <t>A 21661-2023</t>
        </is>
      </c>
      <c r="B8235" s="1" t="n">
        <v>45063</v>
      </c>
      <c r="C8235" s="1" t="n">
        <v>45363</v>
      </c>
      <c r="D8235" t="inlineStr">
        <is>
          <t>JÄMTLANDS LÄN</t>
        </is>
      </c>
      <c r="E8235" t="inlineStr">
        <is>
          <t>RAGUNDA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21679-2023</t>
        </is>
      </c>
      <c r="B8236" s="1" t="n">
        <v>45064</v>
      </c>
      <c r="C8236" s="1" t="n">
        <v>45363</v>
      </c>
      <c r="D8236" t="inlineStr">
        <is>
          <t>JÄMTLANDS LÄN</t>
        </is>
      </c>
      <c r="E8236" t="inlineStr">
        <is>
          <t>BERG</t>
        </is>
      </c>
      <c r="F8236" t="inlineStr">
        <is>
          <t>SCA</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21717-2023</t>
        </is>
      </c>
      <c r="B8237" s="1" t="n">
        <v>45063</v>
      </c>
      <c r="C8237" s="1" t="n">
        <v>45363</v>
      </c>
      <c r="D8237" t="inlineStr">
        <is>
          <t>JÄMTLANDS LÄN</t>
        </is>
      </c>
      <c r="E8237" t="inlineStr">
        <is>
          <t>BERG</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21685-2023</t>
        </is>
      </c>
      <c r="B8238" s="1" t="n">
        <v>45064</v>
      </c>
      <c r="C8238" s="1" t="n">
        <v>45363</v>
      </c>
      <c r="D8238" t="inlineStr">
        <is>
          <t>JÄMTLANDS LÄN</t>
        </is>
      </c>
      <c r="E8238" t="inlineStr">
        <is>
          <t>STRÖMSUND</t>
        </is>
      </c>
      <c r="F8238" t="inlineStr">
        <is>
          <t>SCA</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21666-2023</t>
        </is>
      </c>
      <c r="B8239" s="1" t="n">
        <v>45064</v>
      </c>
      <c r="C8239" s="1" t="n">
        <v>45363</v>
      </c>
      <c r="D8239" t="inlineStr">
        <is>
          <t>JÄMTLANDS LÄN</t>
        </is>
      </c>
      <c r="E8239" t="inlineStr">
        <is>
          <t>HÄRJEDALEN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21662-2023</t>
        </is>
      </c>
      <c r="B8240" s="1" t="n">
        <v>45063</v>
      </c>
      <c r="C8240" s="1" t="n">
        <v>45363</v>
      </c>
      <c r="D8240" t="inlineStr">
        <is>
          <t>JÄMTLANDS LÄN</t>
        </is>
      </c>
      <c r="E8240" t="inlineStr">
        <is>
          <t>RAGUNDA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21711-2023</t>
        </is>
      </c>
      <c r="B8241" s="1" t="n">
        <v>45065</v>
      </c>
      <c r="C8241" s="1" t="n">
        <v>45363</v>
      </c>
      <c r="D8241" t="inlineStr">
        <is>
          <t>JÄMTLANDS LÄN</t>
        </is>
      </c>
      <c r="E8241" t="inlineStr">
        <is>
          <t>STRÖMSUND</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21726-2023</t>
        </is>
      </c>
      <c r="B8242" s="1" t="n">
        <v>45065</v>
      </c>
      <c r="C8242" s="1" t="n">
        <v>45363</v>
      </c>
      <c r="D8242" t="inlineStr">
        <is>
          <t>JÄMTLANDS LÄN</t>
        </is>
      </c>
      <c r="E8242" t="inlineStr">
        <is>
          <t>RAGUNDA</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21780-2023</t>
        </is>
      </c>
      <c r="B8243" s="1" t="n">
        <v>45066</v>
      </c>
      <c r="C8243" s="1" t="n">
        <v>45363</v>
      </c>
      <c r="D8243" t="inlineStr">
        <is>
          <t>JÄMTLANDS LÄN</t>
        </is>
      </c>
      <c r="E8243" t="inlineStr">
        <is>
          <t>BRÄCKE</t>
        </is>
      </c>
      <c r="F8243" t="inlineStr">
        <is>
          <t>SCA</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21784-2023</t>
        </is>
      </c>
      <c r="B8244" s="1" t="n">
        <v>45065</v>
      </c>
      <c r="C8244" s="1" t="n">
        <v>45363</v>
      </c>
      <c r="D8244" t="inlineStr">
        <is>
          <t>JÄMTLANDS LÄN</t>
        </is>
      </c>
      <c r="E8244" t="inlineStr">
        <is>
          <t>KROKOM</t>
        </is>
      </c>
      <c r="F8244" t="inlineStr">
        <is>
          <t>SCA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21781-2023</t>
        </is>
      </c>
      <c r="B8245" s="1" t="n">
        <v>45065</v>
      </c>
      <c r="C8245" s="1" t="n">
        <v>45363</v>
      </c>
      <c r="D8245" t="inlineStr">
        <is>
          <t>JÄMTLANDS LÄN</t>
        </is>
      </c>
      <c r="E8245" t="inlineStr">
        <is>
          <t>BRÄCKE</t>
        </is>
      </c>
      <c r="F8245" t="inlineStr">
        <is>
          <t>SCA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21779-2023</t>
        </is>
      </c>
      <c r="B8246" s="1" t="n">
        <v>45065</v>
      </c>
      <c r="C8246" s="1" t="n">
        <v>45363</v>
      </c>
      <c r="D8246" t="inlineStr">
        <is>
          <t>JÄMTLANDS LÄN</t>
        </is>
      </c>
      <c r="E8246" t="inlineStr">
        <is>
          <t>BRÄCKE</t>
        </is>
      </c>
      <c r="F8246" t="inlineStr">
        <is>
          <t>SCA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21782-2023</t>
        </is>
      </c>
      <c r="B8247" s="1" t="n">
        <v>45066</v>
      </c>
      <c r="C8247" s="1" t="n">
        <v>45363</v>
      </c>
      <c r="D8247" t="inlineStr">
        <is>
          <t>JÄMTLANDS LÄN</t>
        </is>
      </c>
      <c r="E8247" t="inlineStr">
        <is>
          <t>BRÄCKE</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22012-2023</t>
        </is>
      </c>
      <c r="B8248" s="1" t="n">
        <v>45069</v>
      </c>
      <c r="C8248" s="1" t="n">
        <v>45363</v>
      </c>
      <c r="D8248" t="inlineStr">
        <is>
          <t>JÄMTLANDS LÄN</t>
        </is>
      </c>
      <c r="E8248" t="inlineStr">
        <is>
          <t>BRÄCKE</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22010-2023</t>
        </is>
      </c>
      <c r="B8249" s="1" t="n">
        <v>45068</v>
      </c>
      <c r="C8249" s="1" t="n">
        <v>45363</v>
      </c>
      <c r="D8249" t="inlineStr">
        <is>
          <t>JÄMTLANDS LÄN</t>
        </is>
      </c>
      <c r="E8249" t="inlineStr">
        <is>
          <t>BRÄCKE</t>
        </is>
      </c>
      <c r="F8249" t="inlineStr">
        <is>
          <t>SCA</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22011-2023</t>
        </is>
      </c>
      <c r="B8250" s="1" t="n">
        <v>45068</v>
      </c>
      <c r="C8250" s="1" t="n">
        <v>45363</v>
      </c>
      <c r="D8250" t="inlineStr">
        <is>
          <t>JÄMTLANDS LÄN</t>
        </is>
      </c>
      <c r="E8250" t="inlineStr">
        <is>
          <t>RAGUNDA</t>
        </is>
      </c>
      <c r="F8250" t="inlineStr">
        <is>
          <t>SCA</t>
        </is>
      </c>
      <c r="G8250" t="n">
        <v>12.2</v>
      </c>
      <c r="H8250" t="n">
        <v>0</v>
      </c>
      <c r="I8250" t="n">
        <v>0</v>
      </c>
      <c r="J8250" t="n">
        <v>0</v>
      </c>
      <c r="K8250" t="n">
        <v>0</v>
      </c>
      <c r="L8250" t="n">
        <v>0</v>
      </c>
      <c r="M8250" t="n">
        <v>0</v>
      </c>
      <c r="N8250" t="n">
        <v>0</v>
      </c>
      <c r="O8250" t="n">
        <v>0</v>
      </c>
      <c r="P8250" t="n">
        <v>0</v>
      </c>
      <c r="Q8250" t="n">
        <v>0</v>
      </c>
      <c r="R8250" s="2" t="inlineStr"/>
    </row>
    <row r="8251" ht="15" customHeight="1">
      <c r="A8251" t="inlineStr">
        <is>
          <t>A 22231-2023</t>
        </is>
      </c>
      <c r="B8251" s="1" t="n">
        <v>45069</v>
      </c>
      <c r="C8251" s="1" t="n">
        <v>45363</v>
      </c>
      <c r="D8251" t="inlineStr">
        <is>
          <t>JÄMTLANDS LÄN</t>
        </is>
      </c>
      <c r="E8251" t="inlineStr">
        <is>
          <t>BRÄCKE</t>
        </is>
      </c>
      <c r="F8251" t="inlineStr">
        <is>
          <t>SCA</t>
        </is>
      </c>
      <c r="G8251" t="n">
        <v>30.6</v>
      </c>
      <c r="H8251" t="n">
        <v>0</v>
      </c>
      <c r="I8251" t="n">
        <v>0</v>
      </c>
      <c r="J8251" t="n">
        <v>0</v>
      </c>
      <c r="K8251" t="n">
        <v>0</v>
      </c>
      <c r="L8251" t="n">
        <v>0</v>
      </c>
      <c r="M8251" t="n">
        <v>0</v>
      </c>
      <c r="N8251" t="n">
        <v>0</v>
      </c>
      <c r="O8251" t="n">
        <v>0</v>
      </c>
      <c r="P8251" t="n">
        <v>0</v>
      </c>
      <c r="Q8251" t="n">
        <v>0</v>
      </c>
      <c r="R8251" s="2" t="inlineStr"/>
    </row>
    <row r="8252" ht="15" customHeight="1">
      <c r="A8252" t="inlineStr">
        <is>
          <t>A 22232-2023</t>
        </is>
      </c>
      <c r="B8252" s="1" t="n">
        <v>45069</v>
      </c>
      <c r="C8252" s="1" t="n">
        <v>45363</v>
      </c>
      <c r="D8252" t="inlineStr">
        <is>
          <t>JÄMTLANDS LÄN</t>
        </is>
      </c>
      <c r="E8252" t="inlineStr">
        <is>
          <t>BRÄCKE</t>
        </is>
      </c>
      <c r="F8252" t="inlineStr">
        <is>
          <t>SCA</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22223-2023</t>
        </is>
      </c>
      <c r="B8253" s="1" t="n">
        <v>45069</v>
      </c>
      <c r="C8253" s="1" t="n">
        <v>45363</v>
      </c>
      <c r="D8253" t="inlineStr">
        <is>
          <t>JÄMTLANDS LÄN</t>
        </is>
      </c>
      <c r="E8253" t="inlineStr">
        <is>
          <t>STRÖMSUND</t>
        </is>
      </c>
      <c r="F8253" t="inlineStr">
        <is>
          <t>SCA</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22569-2023</t>
        </is>
      </c>
      <c r="B8254" s="1" t="n">
        <v>45069</v>
      </c>
      <c r="C8254" s="1" t="n">
        <v>45363</v>
      </c>
      <c r="D8254" t="inlineStr">
        <is>
          <t>JÄMTLANDS LÄN</t>
        </is>
      </c>
      <c r="E8254" t="inlineStr">
        <is>
          <t>RAGUNDA</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22471-2023</t>
        </is>
      </c>
      <c r="B8255" s="1" t="n">
        <v>45070</v>
      </c>
      <c r="C8255" s="1" t="n">
        <v>45363</v>
      </c>
      <c r="D8255" t="inlineStr">
        <is>
          <t>JÄMTLANDS LÄN</t>
        </is>
      </c>
      <c r="E8255" t="inlineStr">
        <is>
          <t>BRÄCKE</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22475-2023</t>
        </is>
      </c>
      <c r="B8256" s="1" t="n">
        <v>45071</v>
      </c>
      <c r="C8256" s="1" t="n">
        <v>45363</v>
      </c>
      <c r="D8256" t="inlineStr">
        <is>
          <t>JÄMTLANDS LÄN</t>
        </is>
      </c>
      <c r="E8256" t="inlineStr">
        <is>
          <t>STRÖMSUND</t>
        </is>
      </c>
      <c r="F8256" t="inlineStr">
        <is>
          <t>SCA</t>
        </is>
      </c>
      <c r="G8256" t="n">
        <v>35.1</v>
      </c>
      <c r="H8256" t="n">
        <v>0</v>
      </c>
      <c r="I8256" t="n">
        <v>0</v>
      </c>
      <c r="J8256" t="n">
        <v>0</v>
      </c>
      <c r="K8256" t="n">
        <v>0</v>
      </c>
      <c r="L8256" t="n">
        <v>0</v>
      </c>
      <c r="M8256" t="n">
        <v>0</v>
      </c>
      <c r="N8256" t="n">
        <v>0</v>
      </c>
      <c r="O8256" t="n">
        <v>0</v>
      </c>
      <c r="P8256" t="n">
        <v>0</v>
      </c>
      <c r="Q8256" t="n">
        <v>0</v>
      </c>
      <c r="R8256" s="2" t="inlineStr"/>
    </row>
    <row r="8257" ht="15" customHeight="1">
      <c r="A8257" t="inlineStr">
        <is>
          <t>A 22479-2023</t>
        </is>
      </c>
      <c r="B8257" s="1" t="n">
        <v>45070</v>
      </c>
      <c r="C8257" s="1" t="n">
        <v>45363</v>
      </c>
      <c r="D8257" t="inlineStr">
        <is>
          <t>JÄMTLANDS LÄN</t>
        </is>
      </c>
      <c r="E8257" t="inlineStr">
        <is>
          <t>RAGUNDA</t>
        </is>
      </c>
      <c r="F8257" t="inlineStr">
        <is>
          <t>SCA</t>
        </is>
      </c>
      <c r="G8257" t="n">
        <v>31.8</v>
      </c>
      <c r="H8257" t="n">
        <v>0</v>
      </c>
      <c r="I8257" t="n">
        <v>0</v>
      </c>
      <c r="J8257" t="n">
        <v>0</v>
      </c>
      <c r="K8257" t="n">
        <v>0</v>
      </c>
      <c r="L8257" t="n">
        <v>0</v>
      </c>
      <c r="M8257" t="n">
        <v>0</v>
      </c>
      <c r="N8257" t="n">
        <v>0</v>
      </c>
      <c r="O8257" t="n">
        <v>0</v>
      </c>
      <c r="P8257" t="n">
        <v>0</v>
      </c>
      <c r="Q8257" t="n">
        <v>0</v>
      </c>
      <c r="R8257" s="2" t="inlineStr"/>
    </row>
    <row r="8258" ht="15" customHeight="1">
      <c r="A8258" t="inlineStr">
        <is>
          <t>A 22346-2023</t>
        </is>
      </c>
      <c r="B8258" s="1" t="n">
        <v>45070</v>
      </c>
      <c r="C8258" s="1" t="n">
        <v>45363</v>
      </c>
      <c r="D8258" t="inlineStr">
        <is>
          <t>JÄMTLANDS LÄN</t>
        </is>
      </c>
      <c r="E8258" t="inlineStr">
        <is>
          <t>STRÖMSUND</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22468-2023</t>
        </is>
      </c>
      <c r="B8259" s="1" t="n">
        <v>45070</v>
      </c>
      <c r="C8259" s="1" t="n">
        <v>45363</v>
      </c>
      <c r="D8259" t="inlineStr">
        <is>
          <t>JÄMTLANDS LÄN</t>
        </is>
      </c>
      <c r="E8259" t="inlineStr">
        <is>
          <t>STRÖMSUND</t>
        </is>
      </c>
      <c r="F8259" t="inlineStr">
        <is>
          <t>SCA</t>
        </is>
      </c>
      <c r="G8259" t="n">
        <v>6.7</v>
      </c>
      <c r="H8259" t="n">
        <v>0</v>
      </c>
      <c r="I8259" t="n">
        <v>0</v>
      </c>
      <c r="J8259" t="n">
        <v>0</v>
      </c>
      <c r="K8259" t="n">
        <v>0</v>
      </c>
      <c r="L8259" t="n">
        <v>0</v>
      </c>
      <c r="M8259" t="n">
        <v>0</v>
      </c>
      <c r="N8259" t="n">
        <v>0</v>
      </c>
      <c r="O8259" t="n">
        <v>0</v>
      </c>
      <c r="P8259" t="n">
        <v>0</v>
      </c>
      <c r="Q8259" t="n">
        <v>0</v>
      </c>
      <c r="R8259" s="2" t="inlineStr"/>
    </row>
    <row r="8260" ht="15" customHeight="1">
      <c r="A8260" t="inlineStr">
        <is>
          <t>A 22478-2023</t>
        </is>
      </c>
      <c r="B8260" s="1" t="n">
        <v>45071</v>
      </c>
      <c r="C8260" s="1" t="n">
        <v>45363</v>
      </c>
      <c r="D8260" t="inlineStr">
        <is>
          <t>JÄMTLANDS LÄN</t>
        </is>
      </c>
      <c r="E8260" t="inlineStr">
        <is>
          <t>STRÖMSUND</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22476-2023</t>
        </is>
      </c>
      <c r="B8261" s="1" t="n">
        <v>45070</v>
      </c>
      <c r="C8261" s="1" t="n">
        <v>45363</v>
      </c>
      <c r="D8261" t="inlineStr">
        <is>
          <t>JÄMTLANDS LÄN</t>
        </is>
      </c>
      <c r="E8261" t="inlineStr">
        <is>
          <t>STRÖMSUND</t>
        </is>
      </c>
      <c r="F8261" t="inlineStr">
        <is>
          <t>SCA</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22477-2023</t>
        </is>
      </c>
      <c r="B8262" s="1" t="n">
        <v>45070</v>
      </c>
      <c r="C8262" s="1" t="n">
        <v>45363</v>
      </c>
      <c r="D8262" t="inlineStr">
        <is>
          <t>JÄMTLANDS LÄN</t>
        </is>
      </c>
      <c r="E8262" t="inlineStr">
        <is>
          <t>STRÖMSUND</t>
        </is>
      </c>
      <c r="F8262" t="inlineStr">
        <is>
          <t>SCA</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23074-2023</t>
        </is>
      </c>
      <c r="B8263" s="1" t="n">
        <v>45070</v>
      </c>
      <c r="C8263" s="1" t="n">
        <v>45363</v>
      </c>
      <c r="D8263" t="inlineStr">
        <is>
          <t>JÄMTLANDS LÄN</t>
        </is>
      </c>
      <c r="E8263" t="inlineStr">
        <is>
          <t>RAGUNDA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23140-2023</t>
        </is>
      </c>
      <c r="B8264" s="1" t="n">
        <v>45070</v>
      </c>
      <c r="C8264" s="1" t="n">
        <v>45363</v>
      </c>
      <c r="D8264" t="inlineStr">
        <is>
          <t>JÄMTLANDS LÄN</t>
        </is>
      </c>
      <c r="E8264" t="inlineStr">
        <is>
          <t>RAGUNDA</t>
        </is>
      </c>
      <c r="G8264" t="n">
        <v>7</v>
      </c>
      <c r="H8264" t="n">
        <v>0</v>
      </c>
      <c r="I8264" t="n">
        <v>0</v>
      </c>
      <c r="J8264" t="n">
        <v>0</v>
      </c>
      <c r="K8264" t="n">
        <v>0</v>
      </c>
      <c r="L8264" t="n">
        <v>0</v>
      </c>
      <c r="M8264" t="n">
        <v>0</v>
      </c>
      <c r="N8264" t="n">
        <v>0</v>
      </c>
      <c r="O8264" t="n">
        <v>0</v>
      </c>
      <c r="P8264" t="n">
        <v>0</v>
      </c>
      <c r="Q8264" t="n">
        <v>0</v>
      </c>
      <c r="R8264" s="2" t="inlineStr"/>
    </row>
    <row r="8265" ht="15" customHeight="1">
      <c r="A8265" t="inlineStr">
        <is>
          <t>A 22674-2023</t>
        </is>
      </c>
      <c r="B8265" s="1" t="n">
        <v>45071</v>
      </c>
      <c r="C8265" s="1" t="n">
        <v>45363</v>
      </c>
      <c r="D8265" t="inlineStr">
        <is>
          <t>JÄMTLANDS LÄN</t>
        </is>
      </c>
      <c r="E8265" t="inlineStr">
        <is>
          <t>HÄRJEDALEN</t>
        </is>
      </c>
      <c r="F8265" t="inlineStr">
        <is>
          <t>Bergvik skog väst AB</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22728-2023</t>
        </is>
      </c>
      <c r="B8266" s="1" t="n">
        <v>45072</v>
      </c>
      <c r="C8266" s="1" t="n">
        <v>45363</v>
      </c>
      <c r="D8266" t="inlineStr">
        <is>
          <t>JÄMTLANDS LÄN</t>
        </is>
      </c>
      <c r="E8266" t="inlineStr">
        <is>
          <t>HÄRJEDALEN</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22745-2023</t>
        </is>
      </c>
      <c r="B8267" s="1" t="n">
        <v>45072</v>
      </c>
      <c r="C8267" s="1" t="n">
        <v>45363</v>
      </c>
      <c r="D8267" t="inlineStr">
        <is>
          <t>JÄMTLANDS LÄN</t>
        </is>
      </c>
      <c r="E8267" t="inlineStr">
        <is>
          <t>STRÖMSUND</t>
        </is>
      </c>
      <c r="F8267" t="inlineStr">
        <is>
          <t>SCA</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22731-2023</t>
        </is>
      </c>
      <c r="B8268" s="1" t="n">
        <v>45071</v>
      </c>
      <c r="C8268" s="1" t="n">
        <v>45363</v>
      </c>
      <c r="D8268" t="inlineStr">
        <is>
          <t>JÄMTLANDS LÄN</t>
        </is>
      </c>
      <c r="E8268" t="inlineStr">
        <is>
          <t>RAGUNDA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22747-2023</t>
        </is>
      </c>
      <c r="B8269" s="1" t="n">
        <v>45071</v>
      </c>
      <c r="C8269" s="1" t="n">
        <v>45363</v>
      </c>
      <c r="D8269" t="inlineStr">
        <is>
          <t>JÄMTLANDS LÄN</t>
        </is>
      </c>
      <c r="E8269" t="inlineStr">
        <is>
          <t>HÄRJEDALEN</t>
        </is>
      </c>
      <c r="F8269" t="inlineStr">
        <is>
          <t>SCA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22746-2023</t>
        </is>
      </c>
      <c r="B8270" s="1" t="n">
        <v>45071</v>
      </c>
      <c r="C8270" s="1" t="n">
        <v>45363</v>
      </c>
      <c r="D8270" t="inlineStr">
        <is>
          <t>JÄMTLANDS LÄN</t>
        </is>
      </c>
      <c r="E8270" t="inlineStr">
        <is>
          <t>HÄRJEDALEN</t>
        </is>
      </c>
      <c r="F8270" t="inlineStr">
        <is>
          <t>SCA</t>
        </is>
      </c>
      <c r="G8270" t="n">
        <v>10.7</v>
      </c>
      <c r="H8270" t="n">
        <v>0</v>
      </c>
      <c r="I8270" t="n">
        <v>0</v>
      </c>
      <c r="J8270" t="n">
        <v>0</v>
      </c>
      <c r="K8270" t="n">
        <v>0</v>
      </c>
      <c r="L8270" t="n">
        <v>0</v>
      </c>
      <c r="M8270" t="n">
        <v>0</v>
      </c>
      <c r="N8270" t="n">
        <v>0</v>
      </c>
      <c r="O8270" t="n">
        <v>0</v>
      </c>
      <c r="P8270" t="n">
        <v>0</v>
      </c>
      <c r="Q8270" t="n">
        <v>0</v>
      </c>
      <c r="R8270" s="2" t="inlineStr"/>
    </row>
    <row r="8271" ht="15" customHeight="1">
      <c r="A8271" t="inlineStr">
        <is>
          <t>A 22729-2023</t>
        </is>
      </c>
      <c r="B8271" s="1" t="n">
        <v>45072</v>
      </c>
      <c r="C8271" s="1" t="n">
        <v>45363</v>
      </c>
      <c r="D8271" t="inlineStr">
        <is>
          <t>JÄMTLANDS LÄN</t>
        </is>
      </c>
      <c r="E8271" t="inlineStr">
        <is>
          <t>HÄRJEDALEN</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22748-2023</t>
        </is>
      </c>
      <c r="B8272" s="1" t="n">
        <v>45071</v>
      </c>
      <c r="C8272" s="1" t="n">
        <v>45363</v>
      </c>
      <c r="D8272" t="inlineStr">
        <is>
          <t>JÄMTLANDS LÄN</t>
        </is>
      </c>
      <c r="E8272" t="inlineStr">
        <is>
          <t>BRÄCKE</t>
        </is>
      </c>
      <c r="F8272" t="inlineStr">
        <is>
          <t>SCA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23326-2023</t>
        </is>
      </c>
      <c r="B8273" s="1" t="n">
        <v>45071</v>
      </c>
      <c r="C8273" s="1" t="n">
        <v>45363</v>
      </c>
      <c r="D8273" t="inlineStr">
        <is>
          <t>JÄMTLANDS LÄN</t>
        </is>
      </c>
      <c r="E8273" t="inlineStr">
        <is>
          <t>KROKOM</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22950-2023</t>
        </is>
      </c>
      <c r="B8274" s="1" t="n">
        <v>45072</v>
      </c>
      <c r="C8274" s="1" t="n">
        <v>45363</v>
      </c>
      <c r="D8274" t="inlineStr">
        <is>
          <t>JÄMTLANDS LÄN</t>
        </is>
      </c>
      <c r="E8274" t="inlineStr">
        <is>
          <t>BERG</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22986-2023</t>
        </is>
      </c>
      <c r="B8275" s="1" t="n">
        <v>45073</v>
      </c>
      <c r="C8275" s="1" t="n">
        <v>45363</v>
      </c>
      <c r="D8275" t="inlineStr">
        <is>
          <t>JÄMTLANDS LÄN</t>
        </is>
      </c>
      <c r="E8275" t="inlineStr">
        <is>
          <t>BRÄCKE</t>
        </is>
      </c>
      <c r="F8275" t="inlineStr">
        <is>
          <t>SCA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22983-2023</t>
        </is>
      </c>
      <c r="B8276" s="1" t="n">
        <v>45073</v>
      </c>
      <c r="C8276" s="1" t="n">
        <v>45363</v>
      </c>
      <c r="D8276" t="inlineStr">
        <is>
          <t>JÄMTLANDS LÄN</t>
        </is>
      </c>
      <c r="E8276" t="inlineStr">
        <is>
          <t>BRÄCKE</t>
        </is>
      </c>
      <c r="F8276" t="inlineStr">
        <is>
          <t>SCA</t>
        </is>
      </c>
      <c r="G8276" t="n">
        <v>9.9</v>
      </c>
      <c r="H8276" t="n">
        <v>0</v>
      </c>
      <c r="I8276" t="n">
        <v>0</v>
      </c>
      <c r="J8276" t="n">
        <v>0</v>
      </c>
      <c r="K8276" t="n">
        <v>0</v>
      </c>
      <c r="L8276" t="n">
        <v>0</v>
      </c>
      <c r="M8276" t="n">
        <v>0</v>
      </c>
      <c r="N8276" t="n">
        <v>0</v>
      </c>
      <c r="O8276" t="n">
        <v>0</v>
      </c>
      <c r="P8276" t="n">
        <v>0</v>
      </c>
      <c r="Q8276" t="n">
        <v>0</v>
      </c>
      <c r="R8276" s="2" t="inlineStr"/>
    </row>
    <row r="8277" ht="15" customHeight="1">
      <c r="A8277" t="inlineStr">
        <is>
          <t>A 22988-2023</t>
        </is>
      </c>
      <c r="B8277" s="1" t="n">
        <v>45072</v>
      </c>
      <c r="C8277" s="1" t="n">
        <v>45363</v>
      </c>
      <c r="D8277" t="inlineStr">
        <is>
          <t>JÄMTLANDS LÄN</t>
        </is>
      </c>
      <c r="E8277" t="inlineStr">
        <is>
          <t>BRÄCKE</t>
        </is>
      </c>
      <c r="F8277" t="inlineStr">
        <is>
          <t>SCA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23000-2023</t>
        </is>
      </c>
      <c r="B8278" s="1" t="n">
        <v>45073</v>
      </c>
      <c r="C8278" s="1" t="n">
        <v>45363</v>
      </c>
      <c r="D8278" t="inlineStr">
        <is>
          <t>JÄMTLANDS LÄN</t>
        </is>
      </c>
      <c r="E8278" t="inlineStr">
        <is>
          <t>BRÄCKE</t>
        </is>
      </c>
      <c r="F8278" t="inlineStr">
        <is>
          <t>SCA</t>
        </is>
      </c>
      <c r="G8278" t="n">
        <v>6.8</v>
      </c>
      <c r="H8278" t="n">
        <v>0</v>
      </c>
      <c r="I8278" t="n">
        <v>0</v>
      </c>
      <c r="J8278" t="n">
        <v>0</v>
      </c>
      <c r="K8278" t="n">
        <v>0</v>
      </c>
      <c r="L8278" t="n">
        <v>0</v>
      </c>
      <c r="M8278" t="n">
        <v>0</v>
      </c>
      <c r="N8278" t="n">
        <v>0</v>
      </c>
      <c r="O8278" t="n">
        <v>0</v>
      </c>
      <c r="P8278" t="n">
        <v>0</v>
      </c>
      <c r="Q8278" t="n">
        <v>0</v>
      </c>
      <c r="R8278" s="2" t="inlineStr"/>
    </row>
    <row r="8279" ht="15" customHeight="1">
      <c r="A8279" t="inlineStr">
        <is>
          <t>A 22991-2023</t>
        </is>
      </c>
      <c r="B8279" s="1" t="n">
        <v>45073</v>
      </c>
      <c r="C8279" s="1" t="n">
        <v>45363</v>
      </c>
      <c r="D8279" t="inlineStr">
        <is>
          <t>JÄMTLANDS LÄN</t>
        </is>
      </c>
      <c r="E8279" t="inlineStr">
        <is>
          <t>BERG</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22999-2023</t>
        </is>
      </c>
      <c r="B8280" s="1" t="n">
        <v>45073</v>
      </c>
      <c r="C8280" s="1" t="n">
        <v>45363</v>
      </c>
      <c r="D8280" t="inlineStr">
        <is>
          <t>JÄMTLANDS LÄN</t>
        </is>
      </c>
      <c r="E8280" t="inlineStr">
        <is>
          <t>KROKOM</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22985-2023</t>
        </is>
      </c>
      <c r="B8281" s="1" t="n">
        <v>45072</v>
      </c>
      <c r="C8281" s="1" t="n">
        <v>45363</v>
      </c>
      <c r="D8281" t="inlineStr">
        <is>
          <t>JÄMTLANDS LÄN</t>
        </is>
      </c>
      <c r="E8281" t="inlineStr">
        <is>
          <t>BRÄCKE</t>
        </is>
      </c>
      <c r="F8281" t="inlineStr">
        <is>
          <t>SCA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22981-2023</t>
        </is>
      </c>
      <c r="B8282" s="1" t="n">
        <v>45073</v>
      </c>
      <c r="C8282" s="1" t="n">
        <v>45363</v>
      </c>
      <c r="D8282" t="inlineStr">
        <is>
          <t>JÄMTLANDS LÄN</t>
        </is>
      </c>
      <c r="E8282" t="inlineStr">
        <is>
          <t>RAGUNDA</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23139-2023</t>
        </is>
      </c>
      <c r="B8283" s="1" t="n">
        <v>45075</v>
      </c>
      <c r="C8283" s="1" t="n">
        <v>45363</v>
      </c>
      <c r="D8283" t="inlineStr">
        <is>
          <t>JÄMTLANDS LÄN</t>
        </is>
      </c>
      <c r="E8283" t="inlineStr">
        <is>
          <t>KROKOM</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23186-2023</t>
        </is>
      </c>
      <c r="B8284" s="1" t="n">
        <v>45075</v>
      </c>
      <c r="C8284" s="1" t="n">
        <v>45363</v>
      </c>
      <c r="D8284" t="inlineStr">
        <is>
          <t>JÄMTLANDS LÄN</t>
        </is>
      </c>
      <c r="E8284" t="inlineStr">
        <is>
          <t>HÄRJEDALEN</t>
        </is>
      </c>
      <c r="F8284" t="inlineStr">
        <is>
          <t>Bergvik skog väst AB</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23185-2023</t>
        </is>
      </c>
      <c r="B8285" s="1" t="n">
        <v>45075</v>
      </c>
      <c r="C8285" s="1" t="n">
        <v>45363</v>
      </c>
      <c r="D8285" t="inlineStr">
        <is>
          <t>JÄMTLANDS LÄN</t>
        </is>
      </c>
      <c r="E8285" t="inlineStr">
        <is>
          <t>HÄRJEDALEN</t>
        </is>
      </c>
      <c r="F8285" t="inlineStr">
        <is>
          <t>Bergvik skog väst AB</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23299-2023</t>
        </is>
      </c>
      <c r="B8286" s="1" t="n">
        <v>45076</v>
      </c>
      <c r="C8286" s="1" t="n">
        <v>45363</v>
      </c>
      <c r="D8286" t="inlineStr">
        <is>
          <t>JÄMTLANDS LÄN</t>
        </is>
      </c>
      <c r="E8286" t="inlineStr">
        <is>
          <t>RAGUNDA</t>
        </is>
      </c>
      <c r="F8286" t="inlineStr">
        <is>
          <t>SCA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23303-2023</t>
        </is>
      </c>
      <c r="B8287" s="1" t="n">
        <v>45076</v>
      </c>
      <c r="C8287" s="1" t="n">
        <v>45363</v>
      </c>
      <c r="D8287" t="inlineStr">
        <is>
          <t>JÄMTLANDS LÄN</t>
        </is>
      </c>
      <c r="E8287" t="inlineStr">
        <is>
          <t>STRÖMSUND</t>
        </is>
      </c>
      <c r="F8287" t="inlineStr">
        <is>
          <t>SCA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23304-2023</t>
        </is>
      </c>
      <c r="B8288" s="1" t="n">
        <v>45076</v>
      </c>
      <c r="C8288" s="1" t="n">
        <v>45363</v>
      </c>
      <c r="D8288" t="inlineStr">
        <is>
          <t>JÄMTLANDS LÄN</t>
        </is>
      </c>
      <c r="E8288" t="inlineStr">
        <is>
          <t>RAGUNDA</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23312-2023</t>
        </is>
      </c>
      <c r="B8289" s="1" t="n">
        <v>45076</v>
      </c>
      <c r="C8289" s="1" t="n">
        <v>45363</v>
      </c>
      <c r="D8289" t="inlineStr">
        <is>
          <t>JÄMTLANDS LÄN</t>
        </is>
      </c>
      <c r="E8289" t="inlineStr">
        <is>
          <t>BRÄCKE</t>
        </is>
      </c>
      <c r="F8289" t="inlineStr">
        <is>
          <t>SCA</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23301-2023</t>
        </is>
      </c>
      <c r="B8290" s="1" t="n">
        <v>45075</v>
      </c>
      <c r="C8290" s="1" t="n">
        <v>45363</v>
      </c>
      <c r="D8290" t="inlineStr">
        <is>
          <t>JÄMTLANDS LÄN</t>
        </is>
      </c>
      <c r="E8290" t="inlineStr">
        <is>
          <t>BRÄCKE</t>
        </is>
      </c>
      <c r="F8290" t="inlineStr">
        <is>
          <t>SCA</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23305-2023</t>
        </is>
      </c>
      <c r="B8291" s="1" t="n">
        <v>45076</v>
      </c>
      <c r="C8291" s="1" t="n">
        <v>45363</v>
      </c>
      <c r="D8291" t="inlineStr">
        <is>
          <t>JÄMTLANDS LÄN</t>
        </is>
      </c>
      <c r="E8291" t="inlineStr">
        <is>
          <t>RAGUNDA</t>
        </is>
      </c>
      <c r="F8291" t="inlineStr">
        <is>
          <t>SCA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23313-2023</t>
        </is>
      </c>
      <c r="B8292" s="1" t="n">
        <v>45076</v>
      </c>
      <c r="C8292" s="1" t="n">
        <v>45363</v>
      </c>
      <c r="D8292" t="inlineStr">
        <is>
          <t>JÄMTLANDS LÄN</t>
        </is>
      </c>
      <c r="E8292" t="inlineStr">
        <is>
          <t>BRÄCKE</t>
        </is>
      </c>
      <c r="F8292" t="inlineStr">
        <is>
          <t>SCA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23298-2023</t>
        </is>
      </c>
      <c r="B8293" s="1" t="n">
        <v>45076</v>
      </c>
      <c r="C8293" s="1" t="n">
        <v>45363</v>
      </c>
      <c r="D8293" t="inlineStr">
        <is>
          <t>JÄMTLANDS LÄN</t>
        </is>
      </c>
      <c r="E8293" t="inlineStr">
        <is>
          <t>RAGUNDA</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23310-2023</t>
        </is>
      </c>
      <c r="B8294" s="1" t="n">
        <v>45075</v>
      </c>
      <c r="C8294" s="1" t="n">
        <v>45363</v>
      </c>
      <c r="D8294" t="inlineStr">
        <is>
          <t>JÄMTLANDS LÄN</t>
        </is>
      </c>
      <c r="E8294" t="inlineStr">
        <is>
          <t>STRÖMSUND</t>
        </is>
      </c>
      <c r="F8294" t="inlineStr">
        <is>
          <t>SCA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23306-2023</t>
        </is>
      </c>
      <c r="B8295" s="1" t="n">
        <v>45075</v>
      </c>
      <c r="C8295" s="1" t="n">
        <v>45363</v>
      </c>
      <c r="D8295" t="inlineStr">
        <is>
          <t>JÄMTLANDS LÄN</t>
        </is>
      </c>
      <c r="E8295" t="inlineStr">
        <is>
          <t>BRÄCKE</t>
        </is>
      </c>
      <c r="F8295" t="inlineStr">
        <is>
          <t>SCA</t>
        </is>
      </c>
      <c r="G8295" t="n">
        <v>13.9</v>
      </c>
      <c r="H8295" t="n">
        <v>0</v>
      </c>
      <c r="I8295" t="n">
        <v>0</v>
      </c>
      <c r="J8295" t="n">
        <v>0</v>
      </c>
      <c r="K8295" t="n">
        <v>0</v>
      </c>
      <c r="L8295" t="n">
        <v>0</v>
      </c>
      <c r="M8295" t="n">
        <v>0</v>
      </c>
      <c r="N8295" t="n">
        <v>0</v>
      </c>
      <c r="O8295" t="n">
        <v>0</v>
      </c>
      <c r="P8295" t="n">
        <v>0</v>
      </c>
      <c r="Q8295" t="n">
        <v>0</v>
      </c>
      <c r="R8295" s="2" t="inlineStr"/>
    </row>
    <row r="8296" ht="15" customHeight="1">
      <c r="A8296" t="inlineStr">
        <is>
          <t>A 23309-2023</t>
        </is>
      </c>
      <c r="B8296" s="1" t="n">
        <v>45075</v>
      </c>
      <c r="C8296" s="1" t="n">
        <v>45363</v>
      </c>
      <c r="D8296" t="inlineStr">
        <is>
          <t>JÄMTLANDS LÄN</t>
        </is>
      </c>
      <c r="E8296" t="inlineStr">
        <is>
          <t>STRÖMSUND</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23805-2023</t>
        </is>
      </c>
      <c r="B8297" s="1" t="n">
        <v>45075</v>
      </c>
      <c r="C8297" s="1" t="n">
        <v>45363</v>
      </c>
      <c r="D8297" t="inlineStr">
        <is>
          <t>JÄMTLANDS LÄN</t>
        </is>
      </c>
      <c r="E8297" t="inlineStr">
        <is>
          <t>ÅRE</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23311-2023</t>
        </is>
      </c>
      <c r="B8298" s="1" t="n">
        <v>45075</v>
      </c>
      <c r="C8298" s="1" t="n">
        <v>45363</v>
      </c>
      <c r="D8298" t="inlineStr">
        <is>
          <t>JÄMTLANDS LÄN</t>
        </is>
      </c>
      <c r="E8298" t="inlineStr">
        <is>
          <t>STRÖMSUND</t>
        </is>
      </c>
      <c r="F8298" t="inlineStr">
        <is>
          <t>SCA</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23906-2023</t>
        </is>
      </c>
      <c r="B8299" s="1" t="n">
        <v>45075</v>
      </c>
      <c r="C8299" s="1" t="n">
        <v>45363</v>
      </c>
      <c r="D8299" t="inlineStr">
        <is>
          <t>JÄMTLANDS LÄN</t>
        </is>
      </c>
      <c r="E8299" t="inlineStr">
        <is>
          <t>STRÖMSUND</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23839-2023</t>
        </is>
      </c>
      <c r="B8300" s="1" t="n">
        <v>45075</v>
      </c>
      <c r="C8300" s="1" t="n">
        <v>45363</v>
      </c>
      <c r="D8300" t="inlineStr">
        <is>
          <t>JÄMTLANDS LÄN</t>
        </is>
      </c>
      <c r="E8300" t="inlineStr">
        <is>
          <t>STRÖMSUND</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23356-2023</t>
        </is>
      </c>
      <c r="B8301" s="1" t="n">
        <v>45076</v>
      </c>
      <c r="C8301" s="1" t="n">
        <v>45363</v>
      </c>
      <c r="D8301" t="inlineStr">
        <is>
          <t>JÄMTLANDS LÄN</t>
        </is>
      </c>
      <c r="E8301" t="inlineStr">
        <is>
          <t>HÄRJEDALEN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23446-2023</t>
        </is>
      </c>
      <c r="B8302" s="1" t="n">
        <v>45076</v>
      </c>
      <c r="C8302" s="1" t="n">
        <v>45363</v>
      </c>
      <c r="D8302" t="inlineStr">
        <is>
          <t>JÄMTLANDS LÄN</t>
        </is>
      </c>
      <c r="E8302" t="inlineStr">
        <is>
          <t>STRÖMSUND</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23465-2023</t>
        </is>
      </c>
      <c r="B8303" s="1" t="n">
        <v>45076</v>
      </c>
      <c r="C8303" s="1" t="n">
        <v>45363</v>
      </c>
      <c r="D8303" t="inlineStr">
        <is>
          <t>JÄMTLANDS LÄN</t>
        </is>
      </c>
      <c r="E8303" t="inlineStr">
        <is>
          <t>HÄRJEDALEN</t>
        </is>
      </c>
      <c r="G8303" t="n">
        <v>14.1</v>
      </c>
      <c r="H8303" t="n">
        <v>0</v>
      </c>
      <c r="I8303" t="n">
        <v>0</v>
      </c>
      <c r="J8303" t="n">
        <v>0</v>
      </c>
      <c r="K8303" t="n">
        <v>0</v>
      </c>
      <c r="L8303" t="n">
        <v>0</v>
      </c>
      <c r="M8303" t="n">
        <v>0</v>
      </c>
      <c r="N8303" t="n">
        <v>0</v>
      </c>
      <c r="O8303" t="n">
        <v>0</v>
      </c>
      <c r="P8303" t="n">
        <v>0</v>
      </c>
      <c r="Q8303" t="n">
        <v>0</v>
      </c>
      <c r="R8303" s="2" t="inlineStr"/>
    </row>
    <row r="8304" ht="15" customHeight="1">
      <c r="A8304" t="inlineStr">
        <is>
          <t>A 23406-2023</t>
        </is>
      </c>
      <c r="B8304" s="1" t="n">
        <v>45076</v>
      </c>
      <c r="C8304" s="1" t="n">
        <v>45363</v>
      </c>
      <c r="D8304" t="inlineStr">
        <is>
          <t>JÄMTLANDS LÄN</t>
        </is>
      </c>
      <c r="E8304" t="inlineStr">
        <is>
          <t>STRÖMSUND</t>
        </is>
      </c>
      <c r="G8304" t="n">
        <v>11.7</v>
      </c>
      <c r="H8304" t="n">
        <v>0</v>
      </c>
      <c r="I8304" t="n">
        <v>0</v>
      </c>
      <c r="J8304" t="n">
        <v>0</v>
      </c>
      <c r="K8304" t="n">
        <v>0</v>
      </c>
      <c r="L8304" t="n">
        <v>0</v>
      </c>
      <c r="M8304" t="n">
        <v>0</v>
      </c>
      <c r="N8304" t="n">
        <v>0</v>
      </c>
      <c r="O8304" t="n">
        <v>0</v>
      </c>
      <c r="P8304" t="n">
        <v>0</v>
      </c>
      <c r="Q8304" t="n">
        <v>0</v>
      </c>
      <c r="R8304" s="2" t="inlineStr"/>
    </row>
    <row r="8305" ht="15" customHeight="1">
      <c r="A8305" t="inlineStr">
        <is>
          <t>A 23517-2023</t>
        </is>
      </c>
      <c r="B8305" s="1" t="n">
        <v>45077</v>
      </c>
      <c r="C8305" s="1" t="n">
        <v>45363</v>
      </c>
      <c r="D8305" t="inlineStr">
        <is>
          <t>JÄMTLANDS LÄN</t>
        </is>
      </c>
      <c r="E8305" t="inlineStr">
        <is>
          <t>BRÄCKE</t>
        </is>
      </c>
      <c r="F8305" t="inlineStr">
        <is>
          <t>SCA</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23526-2023</t>
        </is>
      </c>
      <c r="B8306" s="1" t="n">
        <v>45077</v>
      </c>
      <c r="C8306" s="1" t="n">
        <v>45363</v>
      </c>
      <c r="D8306" t="inlineStr">
        <is>
          <t>JÄMTLANDS LÄN</t>
        </is>
      </c>
      <c r="E8306" t="inlineStr">
        <is>
          <t>BRÄCKE</t>
        </is>
      </c>
      <c r="F8306" t="inlineStr">
        <is>
          <t>SCA</t>
        </is>
      </c>
      <c r="G8306" t="n">
        <v>8.199999999999999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23528-2023</t>
        </is>
      </c>
      <c r="B8307" s="1" t="n">
        <v>45076</v>
      </c>
      <c r="C8307" s="1" t="n">
        <v>45363</v>
      </c>
      <c r="D8307" t="inlineStr">
        <is>
          <t>JÄMTLANDS LÄN</t>
        </is>
      </c>
      <c r="E8307" t="inlineStr">
        <is>
          <t>STRÖMSUND</t>
        </is>
      </c>
      <c r="F8307" t="inlineStr">
        <is>
          <t>SCA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23518-2023</t>
        </is>
      </c>
      <c r="B8308" s="1" t="n">
        <v>45077</v>
      </c>
      <c r="C8308" s="1" t="n">
        <v>45363</v>
      </c>
      <c r="D8308" t="inlineStr">
        <is>
          <t>JÄMTLANDS LÄN</t>
        </is>
      </c>
      <c r="E8308" t="inlineStr">
        <is>
          <t>STRÖMSUND</t>
        </is>
      </c>
      <c r="F8308" t="inlineStr">
        <is>
          <t>SCA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23525-2023</t>
        </is>
      </c>
      <c r="B8309" s="1" t="n">
        <v>45076</v>
      </c>
      <c r="C8309" s="1" t="n">
        <v>45363</v>
      </c>
      <c r="D8309" t="inlineStr">
        <is>
          <t>JÄMTLANDS LÄN</t>
        </is>
      </c>
      <c r="E8309" t="inlineStr">
        <is>
          <t>STRÖMSUND</t>
        </is>
      </c>
      <c r="F8309" t="inlineStr">
        <is>
          <t>SCA</t>
        </is>
      </c>
      <c r="G8309" t="n">
        <v>11.8</v>
      </c>
      <c r="H8309" t="n">
        <v>0</v>
      </c>
      <c r="I8309" t="n">
        <v>0</v>
      </c>
      <c r="J8309" t="n">
        <v>0</v>
      </c>
      <c r="K8309" t="n">
        <v>0</v>
      </c>
      <c r="L8309" t="n">
        <v>0</v>
      </c>
      <c r="M8309" t="n">
        <v>0</v>
      </c>
      <c r="N8309" t="n">
        <v>0</v>
      </c>
      <c r="O8309" t="n">
        <v>0</v>
      </c>
      <c r="P8309" t="n">
        <v>0</v>
      </c>
      <c r="Q8309" t="n">
        <v>0</v>
      </c>
      <c r="R8309" s="2" t="inlineStr"/>
    </row>
    <row r="8310" ht="15" customHeight="1">
      <c r="A8310" t="inlineStr">
        <is>
          <t>A 23748-2023</t>
        </is>
      </c>
      <c r="B8310" s="1" t="n">
        <v>45077</v>
      </c>
      <c r="C8310" s="1" t="n">
        <v>45363</v>
      </c>
      <c r="D8310" t="inlineStr">
        <is>
          <t>JÄMTLANDS LÄN</t>
        </is>
      </c>
      <c r="E8310" t="inlineStr">
        <is>
          <t>STRÖMSUND</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23752-2023</t>
        </is>
      </c>
      <c r="B8311" s="1" t="n">
        <v>45078</v>
      </c>
      <c r="C8311" s="1" t="n">
        <v>45363</v>
      </c>
      <c r="D8311" t="inlineStr">
        <is>
          <t>JÄMTLANDS LÄN</t>
        </is>
      </c>
      <c r="E8311" t="inlineStr">
        <is>
          <t>BRÄCKE</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23756-2023</t>
        </is>
      </c>
      <c r="B8312" s="1" t="n">
        <v>45078</v>
      </c>
      <c r="C8312" s="1" t="n">
        <v>45363</v>
      </c>
      <c r="D8312" t="inlineStr">
        <is>
          <t>JÄMTLANDS LÄN</t>
        </is>
      </c>
      <c r="E8312" t="inlineStr">
        <is>
          <t>BRÄCKE</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23764-2023</t>
        </is>
      </c>
      <c r="B8313" s="1" t="n">
        <v>45078</v>
      </c>
      <c r="C8313" s="1" t="n">
        <v>45363</v>
      </c>
      <c r="D8313" t="inlineStr">
        <is>
          <t>JÄMTLANDS LÄN</t>
        </is>
      </c>
      <c r="E8313" t="inlineStr">
        <is>
          <t>BRÄCKE</t>
        </is>
      </c>
      <c r="F8313" t="inlineStr">
        <is>
          <t>SCA</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23773-2023</t>
        </is>
      </c>
      <c r="B8314" s="1" t="n">
        <v>45078</v>
      </c>
      <c r="C8314" s="1" t="n">
        <v>45363</v>
      </c>
      <c r="D8314" t="inlineStr">
        <is>
          <t>JÄMTLANDS LÄN</t>
        </is>
      </c>
      <c r="E8314" t="inlineStr">
        <is>
          <t>BRÄCKE</t>
        </is>
      </c>
      <c r="F8314" t="inlineStr">
        <is>
          <t>SCA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23777-2023</t>
        </is>
      </c>
      <c r="B8315" s="1" t="n">
        <v>45078</v>
      </c>
      <c r="C8315" s="1" t="n">
        <v>45363</v>
      </c>
      <c r="D8315" t="inlineStr">
        <is>
          <t>JÄMTLANDS LÄN</t>
        </is>
      </c>
      <c r="E8315" t="inlineStr">
        <is>
          <t>STRÖMSUND</t>
        </is>
      </c>
      <c r="F8315" t="inlineStr">
        <is>
          <t>SCA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24515-2023</t>
        </is>
      </c>
      <c r="B8316" s="1" t="n">
        <v>45077</v>
      </c>
      <c r="C8316" s="1" t="n">
        <v>45363</v>
      </c>
      <c r="D8316" t="inlineStr">
        <is>
          <t>JÄMTLANDS LÄN</t>
        </is>
      </c>
      <c r="E8316" t="inlineStr">
        <is>
          <t>ÖSTERSUND</t>
        </is>
      </c>
      <c r="G8316" t="n">
        <v>27.8</v>
      </c>
      <c r="H8316" t="n">
        <v>0</v>
      </c>
      <c r="I8316" t="n">
        <v>0</v>
      </c>
      <c r="J8316" t="n">
        <v>0</v>
      </c>
      <c r="K8316" t="n">
        <v>0</v>
      </c>
      <c r="L8316" t="n">
        <v>0</v>
      </c>
      <c r="M8316" t="n">
        <v>0</v>
      </c>
      <c r="N8316" t="n">
        <v>0</v>
      </c>
      <c r="O8316" t="n">
        <v>0</v>
      </c>
      <c r="P8316" t="n">
        <v>0</v>
      </c>
      <c r="Q8316" t="n">
        <v>0</v>
      </c>
      <c r="R8316" s="2" t="inlineStr"/>
    </row>
    <row r="8317" ht="15" customHeight="1">
      <c r="A8317" t="inlineStr">
        <is>
          <t>A 23766-2023</t>
        </is>
      </c>
      <c r="B8317" s="1" t="n">
        <v>45078</v>
      </c>
      <c r="C8317" s="1" t="n">
        <v>45363</v>
      </c>
      <c r="D8317" t="inlineStr">
        <is>
          <t>JÄMTLANDS LÄN</t>
        </is>
      </c>
      <c r="E8317" t="inlineStr">
        <is>
          <t>BRÄCKE</t>
        </is>
      </c>
      <c r="F8317" t="inlineStr">
        <is>
          <t>SCA</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23770-2023</t>
        </is>
      </c>
      <c r="B8318" s="1" t="n">
        <v>45078</v>
      </c>
      <c r="C8318" s="1" t="n">
        <v>45363</v>
      </c>
      <c r="D8318" t="inlineStr">
        <is>
          <t>JÄMTLANDS LÄN</t>
        </is>
      </c>
      <c r="E8318" t="inlineStr">
        <is>
          <t>STRÖMSUND</t>
        </is>
      </c>
      <c r="F8318" t="inlineStr">
        <is>
          <t>SCA</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23778-2023</t>
        </is>
      </c>
      <c r="B8319" s="1" t="n">
        <v>45077</v>
      </c>
      <c r="C8319" s="1" t="n">
        <v>45363</v>
      </c>
      <c r="D8319" t="inlineStr">
        <is>
          <t>JÄMTLANDS LÄN</t>
        </is>
      </c>
      <c r="E8319" t="inlineStr">
        <is>
          <t>BRÄCKE</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23754-2023</t>
        </is>
      </c>
      <c r="B8320" s="1" t="n">
        <v>45078</v>
      </c>
      <c r="C8320" s="1" t="n">
        <v>45363</v>
      </c>
      <c r="D8320" t="inlineStr">
        <is>
          <t>JÄMTLANDS LÄN</t>
        </is>
      </c>
      <c r="E8320" t="inlineStr">
        <is>
          <t>BRÄCKE</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23767-2023</t>
        </is>
      </c>
      <c r="B8321" s="1" t="n">
        <v>45077</v>
      </c>
      <c r="C8321" s="1" t="n">
        <v>45363</v>
      </c>
      <c r="D8321" t="inlineStr">
        <is>
          <t>JÄMTLANDS LÄN</t>
        </is>
      </c>
      <c r="E8321" t="inlineStr">
        <is>
          <t>BRÄCKE</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23771-2023</t>
        </is>
      </c>
      <c r="B8322" s="1" t="n">
        <v>45077</v>
      </c>
      <c r="C8322" s="1" t="n">
        <v>45363</v>
      </c>
      <c r="D8322" t="inlineStr">
        <is>
          <t>JÄMTLANDS LÄN</t>
        </is>
      </c>
      <c r="E8322" t="inlineStr">
        <is>
          <t>BRÄCKE</t>
        </is>
      </c>
      <c r="F8322" t="inlineStr">
        <is>
          <t>SCA</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23755-2023</t>
        </is>
      </c>
      <c r="B8323" s="1" t="n">
        <v>45078</v>
      </c>
      <c r="C8323" s="1" t="n">
        <v>45363</v>
      </c>
      <c r="D8323" t="inlineStr">
        <is>
          <t>JÄMTLANDS LÄN</t>
        </is>
      </c>
      <c r="E8323" t="inlineStr">
        <is>
          <t>BRÄCKE</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23763-2023</t>
        </is>
      </c>
      <c r="B8324" s="1" t="n">
        <v>45078</v>
      </c>
      <c r="C8324" s="1" t="n">
        <v>45363</v>
      </c>
      <c r="D8324" t="inlineStr">
        <is>
          <t>JÄMTLANDS LÄN</t>
        </is>
      </c>
      <c r="E8324" t="inlineStr">
        <is>
          <t>BRÄCKE</t>
        </is>
      </c>
      <c r="F8324" t="inlineStr">
        <is>
          <t>SCA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23772-2023</t>
        </is>
      </c>
      <c r="B8325" s="1" t="n">
        <v>45077</v>
      </c>
      <c r="C8325" s="1" t="n">
        <v>45363</v>
      </c>
      <c r="D8325" t="inlineStr">
        <is>
          <t>JÄMTLANDS LÄN</t>
        </is>
      </c>
      <c r="E8325" t="inlineStr">
        <is>
          <t>BRÄCKE</t>
        </is>
      </c>
      <c r="F8325" t="inlineStr">
        <is>
          <t>SCA</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23780-2023</t>
        </is>
      </c>
      <c r="B8326" s="1" t="n">
        <v>45078</v>
      </c>
      <c r="C8326" s="1" t="n">
        <v>45363</v>
      </c>
      <c r="D8326" t="inlineStr">
        <is>
          <t>JÄMTLANDS LÄN</t>
        </is>
      </c>
      <c r="E8326" t="inlineStr">
        <is>
          <t>STRÖMSUND</t>
        </is>
      </c>
      <c r="F8326" t="inlineStr">
        <is>
          <t>SCA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23779-2023</t>
        </is>
      </c>
      <c r="B8327" s="1" t="n">
        <v>45078</v>
      </c>
      <c r="C8327" s="1" t="n">
        <v>45363</v>
      </c>
      <c r="D8327" t="inlineStr">
        <is>
          <t>JÄMTLANDS LÄN</t>
        </is>
      </c>
      <c r="E8327" t="inlineStr">
        <is>
          <t>STRÖMSUND</t>
        </is>
      </c>
      <c r="F8327" t="inlineStr">
        <is>
          <t>SCA</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23783-2023</t>
        </is>
      </c>
      <c r="B8328" s="1" t="n">
        <v>45078</v>
      </c>
      <c r="C8328" s="1" t="n">
        <v>45363</v>
      </c>
      <c r="D8328" t="inlineStr">
        <is>
          <t>JÄMTLANDS LÄN</t>
        </is>
      </c>
      <c r="E8328" t="inlineStr">
        <is>
          <t>STRÖMSUND</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23895-2023</t>
        </is>
      </c>
      <c r="B8329" s="1" t="n">
        <v>45078</v>
      </c>
      <c r="C8329" s="1" t="n">
        <v>45363</v>
      </c>
      <c r="D8329" t="inlineStr">
        <is>
          <t>JÄMTLANDS LÄN</t>
        </is>
      </c>
      <c r="E8329" t="inlineStr">
        <is>
          <t>HÄRJEDALEN</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24043-2023</t>
        </is>
      </c>
      <c r="B8330" s="1" t="n">
        <v>45078</v>
      </c>
      <c r="C8330" s="1" t="n">
        <v>45363</v>
      </c>
      <c r="D8330" t="inlineStr">
        <is>
          <t>JÄMTLANDS LÄN</t>
        </is>
      </c>
      <c r="E8330" t="inlineStr">
        <is>
          <t>BRÄCKE</t>
        </is>
      </c>
      <c r="F8330" t="inlineStr">
        <is>
          <t>SCA</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23908-2023</t>
        </is>
      </c>
      <c r="B8331" s="1" t="n">
        <v>45078</v>
      </c>
      <c r="C8331" s="1" t="n">
        <v>45363</v>
      </c>
      <c r="D8331" t="inlineStr">
        <is>
          <t>JÄMTLANDS LÄN</t>
        </is>
      </c>
      <c r="E8331" t="inlineStr">
        <is>
          <t>HÄRJEDALEN</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24011-2023</t>
        </is>
      </c>
      <c r="B8332" s="1" t="n">
        <v>45078</v>
      </c>
      <c r="C8332" s="1" t="n">
        <v>45363</v>
      </c>
      <c r="D8332" t="inlineStr">
        <is>
          <t>JÄMTLANDS LÄN</t>
        </is>
      </c>
      <c r="E8332" t="inlineStr">
        <is>
          <t>BERG</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24045-2023</t>
        </is>
      </c>
      <c r="B8333" s="1" t="n">
        <v>45078</v>
      </c>
      <c r="C8333" s="1" t="n">
        <v>45363</v>
      </c>
      <c r="D8333" t="inlineStr">
        <is>
          <t>JÄMTLANDS LÄN</t>
        </is>
      </c>
      <c r="E8333" t="inlineStr">
        <is>
          <t>BRÄCKE</t>
        </is>
      </c>
      <c r="F8333" t="inlineStr">
        <is>
          <t>SCA</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24049-2023</t>
        </is>
      </c>
      <c r="B8334" s="1" t="n">
        <v>45079</v>
      </c>
      <c r="C8334" s="1" t="n">
        <v>45363</v>
      </c>
      <c r="D8334" t="inlineStr">
        <is>
          <t>JÄMTLANDS LÄN</t>
        </is>
      </c>
      <c r="E8334" t="inlineStr">
        <is>
          <t>BRÄCKE</t>
        </is>
      </c>
      <c r="G8334" t="n">
        <v>15.2</v>
      </c>
      <c r="H8334" t="n">
        <v>0</v>
      </c>
      <c r="I8334" t="n">
        <v>0</v>
      </c>
      <c r="J8334" t="n">
        <v>0</v>
      </c>
      <c r="K8334" t="n">
        <v>0</v>
      </c>
      <c r="L8334" t="n">
        <v>0</v>
      </c>
      <c r="M8334" t="n">
        <v>0</v>
      </c>
      <c r="N8334" t="n">
        <v>0</v>
      </c>
      <c r="O8334" t="n">
        <v>0</v>
      </c>
      <c r="P8334" t="n">
        <v>0</v>
      </c>
      <c r="Q8334" t="n">
        <v>0</v>
      </c>
      <c r="R8334" s="2" t="inlineStr"/>
    </row>
    <row r="8335" ht="15" customHeight="1">
      <c r="A8335" t="inlineStr">
        <is>
          <t>A 24046-2023</t>
        </is>
      </c>
      <c r="B8335" s="1" t="n">
        <v>45078</v>
      </c>
      <c r="C8335" s="1" t="n">
        <v>45363</v>
      </c>
      <c r="D8335" t="inlineStr">
        <is>
          <t>JÄMTLANDS LÄN</t>
        </is>
      </c>
      <c r="E8335" t="inlineStr">
        <is>
          <t>BRÄCKE</t>
        </is>
      </c>
      <c r="F8335" t="inlineStr">
        <is>
          <t>SCA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24048-2023</t>
        </is>
      </c>
      <c r="B8336" s="1" t="n">
        <v>45079</v>
      </c>
      <c r="C8336" s="1" t="n">
        <v>45363</v>
      </c>
      <c r="D8336" t="inlineStr">
        <is>
          <t>JÄMTLANDS LÄN</t>
        </is>
      </c>
      <c r="E8336" t="inlineStr">
        <is>
          <t>BRÄCKE</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24047-2023</t>
        </is>
      </c>
      <c r="B8337" s="1" t="n">
        <v>45079</v>
      </c>
      <c r="C8337" s="1" t="n">
        <v>45363</v>
      </c>
      <c r="D8337" t="inlineStr">
        <is>
          <t>JÄMTLANDS LÄN</t>
        </is>
      </c>
      <c r="E8337" t="inlineStr">
        <is>
          <t>BRÄCKE</t>
        </is>
      </c>
      <c r="G8337" t="n">
        <v>21.6</v>
      </c>
      <c r="H8337" t="n">
        <v>0</v>
      </c>
      <c r="I8337" t="n">
        <v>0</v>
      </c>
      <c r="J8337" t="n">
        <v>0</v>
      </c>
      <c r="K8337" t="n">
        <v>0</v>
      </c>
      <c r="L8337" t="n">
        <v>0</v>
      </c>
      <c r="M8337" t="n">
        <v>0</v>
      </c>
      <c r="N8337" t="n">
        <v>0</v>
      </c>
      <c r="O8337" t="n">
        <v>0</v>
      </c>
      <c r="P8337" t="n">
        <v>0</v>
      </c>
      <c r="Q8337" t="n">
        <v>0</v>
      </c>
      <c r="R8337" s="2" t="inlineStr"/>
    </row>
    <row r="8338" ht="15" customHeight="1">
      <c r="A8338" t="inlineStr">
        <is>
          <t>A 24073-2023</t>
        </is>
      </c>
      <c r="B8338" s="1" t="n">
        <v>45079</v>
      </c>
      <c r="C8338" s="1" t="n">
        <v>45363</v>
      </c>
      <c r="D8338" t="inlineStr">
        <is>
          <t>JÄMTLANDS LÄN</t>
        </is>
      </c>
      <c r="E8338" t="inlineStr">
        <is>
          <t>STRÖMSUND</t>
        </is>
      </c>
      <c r="F8338" t="inlineStr">
        <is>
          <t>SCA</t>
        </is>
      </c>
      <c r="G8338" t="n">
        <v>9.9</v>
      </c>
      <c r="H8338" t="n">
        <v>0</v>
      </c>
      <c r="I8338" t="n">
        <v>0</v>
      </c>
      <c r="J8338" t="n">
        <v>0</v>
      </c>
      <c r="K8338" t="n">
        <v>0</v>
      </c>
      <c r="L8338" t="n">
        <v>0</v>
      </c>
      <c r="M8338" t="n">
        <v>0</v>
      </c>
      <c r="N8338" t="n">
        <v>0</v>
      </c>
      <c r="O8338" t="n">
        <v>0</v>
      </c>
      <c r="P8338" t="n">
        <v>0</v>
      </c>
      <c r="Q8338" t="n">
        <v>0</v>
      </c>
      <c r="R8338" s="2" t="inlineStr"/>
    </row>
    <row r="8339" ht="15" customHeight="1">
      <c r="A8339" t="inlineStr">
        <is>
          <t>A 24071-2023</t>
        </is>
      </c>
      <c r="B8339" s="1" t="n">
        <v>45079</v>
      </c>
      <c r="C8339" s="1" t="n">
        <v>45363</v>
      </c>
      <c r="D8339" t="inlineStr">
        <is>
          <t>JÄMTLANDS LÄN</t>
        </is>
      </c>
      <c r="E8339" t="inlineStr">
        <is>
          <t>STRÖMSUND</t>
        </is>
      </c>
      <c r="F8339" t="inlineStr">
        <is>
          <t>SCA</t>
        </is>
      </c>
      <c r="G8339" t="n">
        <v>6.3</v>
      </c>
      <c r="H8339" t="n">
        <v>0</v>
      </c>
      <c r="I8339" t="n">
        <v>0</v>
      </c>
      <c r="J8339" t="n">
        <v>0</v>
      </c>
      <c r="K8339" t="n">
        <v>0</v>
      </c>
      <c r="L8339" t="n">
        <v>0</v>
      </c>
      <c r="M8339" t="n">
        <v>0</v>
      </c>
      <c r="N8339" t="n">
        <v>0</v>
      </c>
      <c r="O8339" t="n">
        <v>0</v>
      </c>
      <c r="P8339" t="n">
        <v>0</v>
      </c>
      <c r="Q8339" t="n">
        <v>0</v>
      </c>
      <c r="R8339" s="2" t="inlineStr"/>
    </row>
    <row r="8340" ht="15" customHeight="1">
      <c r="A8340" t="inlineStr">
        <is>
          <t>A 24069-2023</t>
        </is>
      </c>
      <c r="B8340" s="1" t="n">
        <v>45079</v>
      </c>
      <c r="C8340" s="1" t="n">
        <v>45363</v>
      </c>
      <c r="D8340" t="inlineStr">
        <is>
          <t>JÄMTLANDS LÄN</t>
        </is>
      </c>
      <c r="E8340" t="inlineStr">
        <is>
          <t>KROKOM</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24070-2023</t>
        </is>
      </c>
      <c r="B8341" s="1" t="n">
        <v>45078</v>
      </c>
      <c r="C8341" s="1" t="n">
        <v>45363</v>
      </c>
      <c r="D8341" t="inlineStr">
        <is>
          <t>JÄMTLANDS LÄN</t>
        </is>
      </c>
      <c r="E8341" t="inlineStr">
        <is>
          <t>STRÖMSUND</t>
        </is>
      </c>
      <c r="F8341" t="inlineStr">
        <is>
          <t>SCA</t>
        </is>
      </c>
      <c r="G8341" t="n">
        <v>25.2</v>
      </c>
      <c r="H8341" t="n">
        <v>0</v>
      </c>
      <c r="I8341" t="n">
        <v>0</v>
      </c>
      <c r="J8341" t="n">
        <v>0</v>
      </c>
      <c r="K8341" t="n">
        <v>0</v>
      </c>
      <c r="L8341" t="n">
        <v>0</v>
      </c>
      <c r="M8341" t="n">
        <v>0</v>
      </c>
      <c r="N8341" t="n">
        <v>0</v>
      </c>
      <c r="O8341" t="n">
        <v>0</v>
      </c>
      <c r="P8341" t="n">
        <v>0</v>
      </c>
      <c r="Q8341" t="n">
        <v>0</v>
      </c>
      <c r="R8341" s="2" t="inlineStr"/>
    </row>
    <row r="8342" ht="15" customHeight="1">
      <c r="A8342" t="inlineStr">
        <is>
          <t>A 24861-2023</t>
        </is>
      </c>
      <c r="B8342" s="1" t="n">
        <v>45078</v>
      </c>
      <c r="C8342" s="1" t="n">
        <v>45363</v>
      </c>
      <c r="D8342" t="inlineStr">
        <is>
          <t>JÄMTLANDS LÄN</t>
        </is>
      </c>
      <c r="E8342" t="inlineStr">
        <is>
          <t>RAGUNDA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25086-2023</t>
        </is>
      </c>
      <c r="B8343" s="1" t="n">
        <v>45078</v>
      </c>
      <c r="C8343" s="1" t="n">
        <v>45363</v>
      </c>
      <c r="D8343" t="inlineStr">
        <is>
          <t>JÄMTLANDS LÄN</t>
        </is>
      </c>
      <c r="E8343" t="inlineStr">
        <is>
          <t>RAGUNDA</t>
        </is>
      </c>
      <c r="G8343" t="n">
        <v>16.7</v>
      </c>
      <c r="H8343" t="n">
        <v>0</v>
      </c>
      <c r="I8343" t="n">
        <v>0</v>
      </c>
      <c r="J8343" t="n">
        <v>0</v>
      </c>
      <c r="K8343" t="n">
        <v>0</v>
      </c>
      <c r="L8343" t="n">
        <v>0</v>
      </c>
      <c r="M8343" t="n">
        <v>0</v>
      </c>
      <c r="N8343" t="n">
        <v>0</v>
      </c>
      <c r="O8343" t="n">
        <v>0</v>
      </c>
      <c r="P8343" t="n">
        <v>0</v>
      </c>
      <c r="Q8343" t="n">
        <v>0</v>
      </c>
      <c r="R8343" s="2" t="inlineStr"/>
    </row>
    <row r="8344" ht="15" customHeight="1">
      <c r="A8344" t="inlineStr">
        <is>
          <t>A 25416-2023</t>
        </is>
      </c>
      <c r="B8344" s="1" t="n">
        <v>45078</v>
      </c>
      <c r="C8344" s="1" t="n">
        <v>45363</v>
      </c>
      <c r="D8344" t="inlineStr">
        <is>
          <t>JÄMTLANDS LÄN</t>
        </is>
      </c>
      <c r="E8344" t="inlineStr">
        <is>
          <t>RAGUNDA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24195-2023</t>
        </is>
      </c>
      <c r="B8345" s="1" t="n">
        <v>45079</v>
      </c>
      <c r="C8345" s="1" t="n">
        <v>45363</v>
      </c>
      <c r="D8345" t="inlineStr">
        <is>
          <t>JÄMTLANDS LÄN</t>
        </is>
      </c>
      <c r="E8345" t="inlineStr">
        <is>
          <t>BRÄCKE</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24240-2023</t>
        </is>
      </c>
      <c r="B8346" s="1" t="n">
        <v>45079</v>
      </c>
      <c r="C8346" s="1" t="n">
        <v>45363</v>
      </c>
      <c r="D8346" t="inlineStr">
        <is>
          <t>JÄMTLANDS LÄN</t>
        </is>
      </c>
      <c r="E8346" t="inlineStr">
        <is>
          <t>HÄRJEDALEN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24214-2023</t>
        </is>
      </c>
      <c r="B8347" s="1" t="n">
        <v>45079</v>
      </c>
      <c r="C8347" s="1" t="n">
        <v>45363</v>
      </c>
      <c r="D8347" t="inlineStr">
        <is>
          <t>JÄMTLANDS LÄN</t>
        </is>
      </c>
      <c r="E8347" t="inlineStr">
        <is>
          <t>BRÄCKE</t>
        </is>
      </c>
      <c r="G8347" t="n">
        <v>5.6</v>
      </c>
      <c r="H8347" t="n">
        <v>0</v>
      </c>
      <c r="I8347" t="n">
        <v>0</v>
      </c>
      <c r="J8347" t="n">
        <v>0</v>
      </c>
      <c r="K8347" t="n">
        <v>0</v>
      </c>
      <c r="L8347" t="n">
        <v>0</v>
      </c>
      <c r="M8347" t="n">
        <v>0</v>
      </c>
      <c r="N8347" t="n">
        <v>0</v>
      </c>
      <c r="O8347" t="n">
        <v>0</v>
      </c>
      <c r="P8347" t="n">
        <v>0</v>
      </c>
      <c r="Q8347" t="n">
        <v>0</v>
      </c>
      <c r="R8347" s="2" t="inlineStr"/>
    </row>
    <row r="8348" ht="15" customHeight="1">
      <c r="A8348" t="inlineStr">
        <is>
          <t>A 24238-2023</t>
        </is>
      </c>
      <c r="B8348" s="1" t="n">
        <v>45079</v>
      </c>
      <c r="C8348" s="1" t="n">
        <v>45363</v>
      </c>
      <c r="D8348" t="inlineStr">
        <is>
          <t>JÄMTLANDS LÄN</t>
        </is>
      </c>
      <c r="E8348" t="inlineStr">
        <is>
          <t>HÄRJEDALEN</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24255-2023</t>
        </is>
      </c>
      <c r="B8349" s="1" t="n">
        <v>45079</v>
      </c>
      <c r="C8349" s="1" t="n">
        <v>45363</v>
      </c>
      <c r="D8349" t="inlineStr">
        <is>
          <t>JÄMTLANDS LÄN</t>
        </is>
      </c>
      <c r="E8349" t="inlineStr">
        <is>
          <t>HÄRJEDALEN</t>
        </is>
      </c>
      <c r="G8349" t="n">
        <v>16.1</v>
      </c>
      <c r="H8349" t="n">
        <v>0</v>
      </c>
      <c r="I8349" t="n">
        <v>0</v>
      </c>
      <c r="J8349" t="n">
        <v>0</v>
      </c>
      <c r="K8349" t="n">
        <v>0</v>
      </c>
      <c r="L8349" t="n">
        <v>0</v>
      </c>
      <c r="M8349" t="n">
        <v>0</v>
      </c>
      <c r="N8349" t="n">
        <v>0</v>
      </c>
      <c r="O8349" t="n">
        <v>0</v>
      </c>
      <c r="P8349" t="n">
        <v>0</v>
      </c>
      <c r="Q8349" t="n">
        <v>0</v>
      </c>
      <c r="R8349" s="2" t="inlineStr"/>
    </row>
    <row r="8350" ht="15" customHeight="1">
      <c r="A8350" t="inlineStr">
        <is>
          <t>A 24310-2023</t>
        </is>
      </c>
      <c r="B8350" s="1" t="n">
        <v>45079</v>
      </c>
      <c r="C8350" s="1" t="n">
        <v>45363</v>
      </c>
      <c r="D8350" t="inlineStr">
        <is>
          <t>JÄMTLANDS LÄN</t>
        </is>
      </c>
      <c r="E8350" t="inlineStr">
        <is>
          <t>BERG</t>
        </is>
      </c>
      <c r="F8350" t="inlineStr">
        <is>
          <t>SCA</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24315-2023</t>
        </is>
      </c>
      <c r="B8351" s="1" t="n">
        <v>45079</v>
      </c>
      <c r="C8351" s="1" t="n">
        <v>45363</v>
      </c>
      <c r="D8351" t="inlineStr">
        <is>
          <t>JÄMTLANDS LÄN</t>
        </is>
      </c>
      <c r="E8351" t="inlineStr">
        <is>
          <t>STRÖMSUND</t>
        </is>
      </c>
      <c r="F8351" t="inlineStr">
        <is>
          <t>SCA</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24206-2023</t>
        </is>
      </c>
      <c r="B8352" s="1" t="n">
        <v>45079</v>
      </c>
      <c r="C8352" s="1" t="n">
        <v>45363</v>
      </c>
      <c r="D8352" t="inlineStr">
        <is>
          <t>JÄMTLANDS LÄN</t>
        </is>
      </c>
      <c r="E8352" t="inlineStr">
        <is>
          <t>BRÄCKE</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24220-2023</t>
        </is>
      </c>
      <c r="B8353" s="1" t="n">
        <v>45079</v>
      </c>
      <c r="C8353" s="1" t="n">
        <v>45363</v>
      </c>
      <c r="D8353" t="inlineStr">
        <is>
          <t>JÄMTLANDS LÄN</t>
        </is>
      </c>
      <c r="E8353" t="inlineStr">
        <is>
          <t>HÄRJEDALEN</t>
        </is>
      </c>
      <c r="F8353" t="inlineStr">
        <is>
          <t>Bergvik skog väst AB</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24303-2023</t>
        </is>
      </c>
      <c r="B8354" s="1" t="n">
        <v>45079</v>
      </c>
      <c r="C8354" s="1" t="n">
        <v>45363</v>
      </c>
      <c r="D8354" t="inlineStr">
        <is>
          <t>JÄMTLANDS LÄN</t>
        </is>
      </c>
      <c r="E8354" t="inlineStr">
        <is>
          <t>STRÖMSUND</t>
        </is>
      </c>
      <c r="F8354" t="inlineStr">
        <is>
          <t>SCA</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24307-2023</t>
        </is>
      </c>
      <c r="B8355" s="1" t="n">
        <v>45080</v>
      </c>
      <c r="C8355" s="1" t="n">
        <v>45363</v>
      </c>
      <c r="D8355" t="inlineStr">
        <is>
          <t>JÄMTLANDS LÄN</t>
        </is>
      </c>
      <c r="E8355" t="inlineStr">
        <is>
          <t>BERG</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24182-2023</t>
        </is>
      </c>
      <c r="B8356" s="1" t="n">
        <v>45079</v>
      </c>
      <c r="C8356" s="1" t="n">
        <v>45363</v>
      </c>
      <c r="D8356" t="inlineStr">
        <is>
          <t>JÄMTLANDS LÄN</t>
        </is>
      </c>
      <c r="E8356" t="inlineStr">
        <is>
          <t>BRÄCKE</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24301-2023</t>
        </is>
      </c>
      <c r="B8357" s="1" t="n">
        <v>45080</v>
      </c>
      <c r="C8357" s="1" t="n">
        <v>45363</v>
      </c>
      <c r="D8357" t="inlineStr">
        <is>
          <t>JÄMTLANDS LÄN</t>
        </is>
      </c>
      <c r="E8357" t="inlineStr">
        <is>
          <t>STRÖMSUND</t>
        </is>
      </c>
      <c r="F8357" t="inlineStr">
        <is>
          <t>SCA</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24300-2023</t>
        </is>
      </c>
      <c r="B8358" s="1" t="n">
        <v>45079</v>
      </c>
      <c r="C8358" s="1" t="n">
        <v>45363</v>
      </c>
      <c r="D8358" t="inlineStr">
        <is>
          <t>JÄMTLANDS LÄN</t>
        </is>
      </c>
      <c r="E8358" t="inlineStr">
        <is>
          <t>RAGUNDA</t>
        </is>
      </c>
      <c r="F8358" t="inlineStr">
        <is>
          <t>SCA</t>
        </is>
      </c>
      <c r="G8358" t="n">
        <v>13.3</v>
      </c>
      <c r="H8358" t="n">
        <v>0</v>
      </c>
      <c r="I8358" t="n">
        <v>0</v>
      </c>
      <c r="J8358" t="n">
        <v>0</v>
      </c>
      <c r="K8358" t="n">
        <v>0</v>
      </c>
      <c r="L8358" t="n">
        <v>0</v>
      </c>
      <c r="M8358" t="n">
        <v>0</v>
      </c>
      <c r="N8358" t="n">
        <v>0</v>
      </c>
      <c r="O8358" t="n">
        <v>0</v>
      </c>
      <c r="P8358" t="n">
        <v>0</v>
      </c>
      <c r="Q8358" t="n">
        <v>0</v>
      </c>
      <c r="R8358" s="2" t="inlineStr"/>
    </row>
    <row r="8359" ht="15" customHeight="1">
      <c r="A8359" t="inlineStr">
        <is>
          <t>A 24308-2023</t>
        </is>
      </c>
      <c r="B8359" s="1" t="n">
        <v>45080</v>
      </c>
      <c r="C8359" s="1" t="n">
        <v>45363</v>
      </c>
      <c r="D8359" t="inlineStr">
        <is>
          <t>JÄMTLANDS LÄN</t>
        </is>
      </c>
      <c r="E8359" t="inlineStr">
        <is>
          <t>STRÖMSUND</t>
        </is>
      </c>
      <c r="F8359" t="inlineStr">
        <is>
          <t>SCA</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24313-2023</t>
        </is>
      </c>
      <c r="B8360" s="1" t="n">
        <v>45080</v>
      </c>
      <c r="C8360" s="1" t="n">
        <v>45363</v>
      </c>
      <c r="D8360" t="inlineStr">
        <is>
          <t>JÄMTLANDS LÄN</t>
        </is>
      </c>
      <c r="E8360" t="inlineStr">
        <is>
          <t>STRÖMSUND</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24317-2023</t>
        </is>
      </c>
      <c r="B8361" s="1" t="n">
        <v>45080</v>
      </c>
      <c r="C8361" s="1" t="n">
        <v>45363</v>
      </c>
      <c r="D8361" t="inlineStr">
        <is>
          <t>JÄMTLANDS LÄN</t>
        </is>
      </c>
      <c r="E8361" t="inlineStr">
        <is>
          <t>STRÖMSUND</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24312-2023</t>
        </is>
      </c>
      <c r="B8362" s="1" t="n">
        <v>45080</v>
      </c>
      <c r="C8362" s="1" t="n">
        <v>45363</v>
      </c>
      <c r="D8362" t="inlineStr">
        <is>
          <t>JÄMTLANDS LÄN</t>
        </is>
      </c>
      <c r="E8362" t="inlineStr">
        <is>
          <t>STRÖMSUND</t>
        </is>
      </c>
      <c r="F8362" t="inlineStr">
        <is>
          <t>SCA</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24316-2023</t>
        </is>
      </c>
      <c r="B8363" s="1" t="n">
        <v>45079</v>
      </c>
      <c r="C8363" s="1" t="n">
        <v>45363</v>
      </c>
      <c r="D8363" t="inlineStr">
        <is>
          <t>JÄMTLANDS LÄN</t>
        </is>
      </c>
      <c r="E8363" t="inlineStr">
        <is>
          <t>STRÖMSUND</t>
        </is>
      </c>
      <c r="F8363" t="inlineStr">
        <is>
          <t>SCA</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24387-2023</t>
        </is>
      </c>
      <c r="B8364" s="1" t="n">
        <v>45082</v>
      </c>
      <c r="C8364" s="1" t="n">
        <v>45363</v>
      </c>
      <c r="D8364" t="inlineStr">
        <is>
          <t>JÄMTLANDS LÄN</t>
        </is>
      </c>
      <c r="E8364" t="inlineStr">
        <is>
          <t>KROKOM</t>
        </is>
      </c>
      <c r="F8364" t="inlineStr">
        <is>
          <t>Kyrkan</t>
        </is>
      </c>
      <c r="G8364" t="n">
        <v>21.2</v>
      </c>
      <c r="H8364" t="n">
        <v>0</v>
      </c>
      <c r="I8364" t="n">
        <v>0</v>
      </c>
      <c r="J8364" t="n">
        <v>0</v>
      </c>
      <c r="K8364" t="n">
        <v>0</v>
      </c>
      <c r="L8364" t="n">
        <v>0</v>
      </c>
      <c r="M8364" t="n">
        <v>0</v>
      </c>
      <c r="N8364" t="n">
        <v>0</v>
      </c>
      <c r="O8364" t="n">
        <v>0</v>
      </c>
      <c r="P8364" t="n">
        <v>0</v>
      </c>
      <c r="Q8364" t="n">
        <v>0</v>
      </c>
      <c r="R8364" s="2" t="inlineStr"/>
    </row>
    <row r="8365" ht="15" customHeight="1">
      <c r="A8365" t="inlineStr">
        <is>
          <t>A 24397-2023</t>
        </is>
      </c>
      <c r="B8365" s="1" t="n">
        <v>45082</v>
      </c>
      <c r="C8365" s="1" t="n">
        <v>45363</v>
      </c>
      <c r="D8365" t="inlineStr">
        <is>
          <t>JÄMTLANDS LÄN</t>
        </is>
      </c>
      <c r="E8365" t="inlineStr">
        <is>
          <t>STRÖMSUND</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24396-2023</t>
        </is>
      </c>
      <c r="B8366" s="1" t="n">
        <v>45082</v>
      </c>
      <c r="C8366" s="1" t="n">
        <v>45363</v>
      </c>
      <c r="D8366" t="inlineStr">
        <is>
          <t>JÄMTLANDS LÄN</t>
        </is>
      </c>
      <c r="E8366" t="inlineStr">
        <is>
          <t>ÖSTERSUND</t>
        </is>
      </c>
      <c r="F8366" t="inlineStr">
        <is>
          <t>Kyrkan</t>
        </is>
      </c>
      <c r="G8366" t="n">
        <v>9.300000000000001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25507-2023</t>
        </is>
      </c>
      <c r="B8367" s="1" t="n">
        <v>45082</v>
      </c>
      <c r="C8367" s="1" t="n">
        <v>45363</v>
      </c>
      <c r="D8367" t="inlineStr">
        <is>
          <t>JÄMTLANDS LÄN</t>
        </is>
      </c>
      <c r="E8367" t="inlineStr">
        <is>
          <t>BERG</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24542-2023</t>
        </is>
      </c>
      <c r="B8368" s="1" t="n">
        <v>45082</v>
      </c>
      <c r="C8368" s="1" t="n">
        <v>45363</v>
      </c>
      <c r="D8368" t="inlineStr">
        <is>
          <t>JÄMTLANDS LÄN</t>
        </is>
      </c>
      <c r="E8368" t="inlineStr">
        <is>
          <t>BERG</t>
        </is>
      </c>
      <c r="F8368" t="inlineStr">
        <is>
          <t>SCA</t>
        </is>
      </c>
      <c r="G8368" t="n">
        <v>12.1</v>
      </c>
      <c r="H8368" t="n">
        <v>0</v>
      </c>
      <c r="I8368" t="n">
        <v>0</v>
      </c>
      <c r="J8368" t="n">
        <v>0</v>
      </c>
      <c r="K8368" t="n">
        <v>0</v>
      </c>
      <c r="L8368" t="n">
        <v>0</v>
      </c>
      <c r="M8368" t="n">
        <v>0</v>
      </c>
      <c r="N8368" t="n">
        <v>0</v>
      </c>
      <c r="O8368" t="n">
        <v>0</v>
      </c>
      <c r="P8368" t="n">
        <v>0</v>
      </c>
      <c r="Q8368" t="n">
        <v>0</v>
      </c>
      <c r="R8368" s="2" t="inlineStr"/>
    </row>
    <row r="8369" ht="15" customHeight="1">
      <c r="A8369" t="inlineStr">
        <is>
          <t>A 24550-2023</t>
        </is>
      </c>
      <c r="B8369" s="1" t="n">
        <v>45082</v>
      </c>
      <c r="C8369" s="1" t="n">
        <v>45363</v>
      </c>
      <c r="D8369" t="inlineStr">
        <is>
          <t>JÄMTLANDS LÄN</t>
        </is>
      </c>
      <c r="E8369" t="inlineStr">
        <is>
          <t>BRÄCKE</t>
        </is>
      </c>
      <c r="F8369" t="inlineStr">
        <is>
          <t>SCA</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25536-2023</t>
        </is>
      </c>
      <c r="B8370" s="1" t="n">
        <v>45082</v>
      </c>
      <c r="C8370" s="1" t="n">
        <v>45363</v>
      </c>
      <c r="D8370" t="inlineStr">
        <is>
          <t>JÄMTLANDS LÄN</t>
        </is>
      </c>
      <c r="E8370" t="inlineStr">
        <is>
          <t>HÄRJEDALEN</t>
        </is>
      </c>
      <c r="F8370" t="inlineStr">
        <is>
          <t>Bergvik skog väst AB</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25526-2023</t>
        </is>
      </c>
      <c r="B8371" s="1" t="n">
        <v>45082</v>
      </c>
      <c r="C8371" s="1" t="n">
        <v>45363</v>
      </c>
      <c r="D8371" t="inlineStr">
        <is>
          <t>JÄMTLANDS LÄN</t>
        </is>
      </c>
      <c r="E8371" t="inlineStr">
        <is>
          <t>HÄRJEDALEN</t>
        </is>
      </c>
      <c r="F8371" t="inlineStr">
        <is>
          <t>Bergvik skog väst AB</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25582-2023</t>
        </is>
      </c>
      <c r="B8372" s="1" t="n">
        <v>45082</v>
      </c>
      <c r="C8372" s="1" t="n">
        <v>45363</v>
      </c>
      <c r="D8372" t="inlineStr">
        <is>
          <t>JÄMTLANDS LÄN</t>
        </is>
      </c>
      <c r="E8372" t="inlineStr">
        <is>
          <t>HÄRJEDALEN</t>
        </is>
      </c>
      <c r="F8372" t="inlineStr">
        <is>
          <t>Bergvik skog väst AB</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25565-2023</t>
        </is>
      </c>
      <c r="B8373" s="1" t="n">
        <v>45082</v>
      </c>
      <c r="C8373" s="1" t="n">
        <v>45363</v>
      </c>
      <c r="D8373" t="inlineStr">
        <is>
          <t>JÄMTLANDS LÄN</t>
        </is>
      </c>
      <c r="E8373" t="inlineStr">
        <is>
          <t>BERG</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24599-2023</t>
        </is>
      </c>
      <c r="B8374" s="1" t="n">
        <v>45084</v>
      </c>
      <c r="C8374" s="1" t="n">
        <v>45363</v>
      </c>
      <c r="D8374" t="inlineStr">
        <is>
          <t>JÄMTLANDS LÄN</t>
        </is>
      </c>
      <c r="E8374" t="inlineStr">
        <is>
          <t>STRÖMSUND</t>
        </is>
      </c>
      <c r="F8374" t="inlineStr">
        <is>
          <t>SCA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24602-2023</t>
        </is>
      </c>
      <c r="B8375" s="1" t="n">
        <v>45083</v>
      </c>
      <c r="C8375" s="1" t="n">
        <v>45363</v>
      </c>
      <c r="D8375" t="inlineStr">
        <is>
          <t>JÄMTLANDS LÄN</t>
        </is>
      </c>
      <c r="E8375" t="inlineStr">
        <is>
          <t>STRÖMSUND</t>
        </is>
      </c>
      <c r="F8375" t="inlineStr">
        <is>
          <t>SCA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24601-2023</t>
        </is>
      </c>
      <c r="B8376" s="1" t="n">
        <v>45084</v>
      </c>
      <c r="C8376" s="1" t="n">
        <v>45363</v>
      </c>
      <c r="D8376" t="inlineStr">
        <is>
          <t>JÄMTLANDS LÄN</t>
        </is>
      </c>
      <c r="E8376" t="inlineStr">
        <is>
          <t>STRÖMSUND</t>
        </is>
      </c>
      <c r="F8376" t="inlineStr">
        <is>
          <t>SCA</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24600-2023</t>
        </is>
      </c>
      <c r="B8377" s="1" t="n">
        <v>45084</v>
      </c>
      <c r="C8377" s="1" t="n">
        <v>45363</v>
      </c>
      <c r="D8377" t="inlineStr">
        <is>
          <t>JÄMTLANDS LÄN</t>
        </is>
      </c>
      <c r="E8377" t="inlineStr">
        <is>
          <t>STRÖMSUND</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24655-2023</t>
        </is>
      </c>
      <c r="B8378" s="1" t="n">
        <v>45084</v>
      </c>
      <c r="C8378" s="1" t="n">
        <v>45363</v>
      </c>
      <c r="D8378" t="inlineStr">
        <is>
          <t>JÄMTLANDS LÄN</t>
        </is>
      </c>
      <c r="E8378" t="inlineStr">
        <is>
          <t>ÅRE</t>
        </is>
      </c>
      <c r="G8378" t="n">
        <v>9.199999999999999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24831-2023</t>
        </is>
      </c>
      <c r="B8379" s="1" t="n">
        <v>45085</v>
      </c>
      <c r="C8379" s="1" t="n">
        <v>45363</v>
      </c>
      <c r="D8379" t="inlineStr">
        <is>
          <t>JÄMTLANDS LÄN</t>
        </is>
      </c>
      <c r="E8379" t="inlineStr">
        <is>
          <t>STRÖMSUND</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24821-2023</t>
        </is>
      </c>
      <c r="B8380" s="1" t="n">
        <v>45085</v>
      </c>
      <c r="C8380" s="1" t="n">
        <v>45363</v>
      </c>
      <c r="D8380" t="inlineStr">
        <is>
          <t>JÄMTLANDS LÄN</t>
        </is>
      </c>
      <c r="E8380" t="inlineStr">
        <is>
          <t>RAGUNDA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24833-2023</t>
        </is>
      </c>
      <c r="B8381" s="1" t="n">
        <v>45084</v>
      </c>
      <c r="C8381" s="1" t="n">
        <v>45363</v>
      </c>
      <c r="D8381" t="inlineStr">
        <is>
          <t>JÄMTLANDS LÄN</t>
        </is>
      </c>
      <c r="E8381" t="inlineStr">
        <is>
          <t>STRÖMSUND</t>
        </is>
      </c>
      <c r="F8381" t="inlineStr">
        <is>
          <t>SCA</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25726-2023</t>
        </is>
      </c>
      <c r="B8382" s="1" t="n">
        <v>45084</v>
      </c>
      <c r="C8382" s="1" t="n">
        <v>45363</v>
      </c>
      <c r="D8382" t="inlineStr">
        <is>
          <t>JÄMTLANDS LÄN</t>
        </is>
      </c>
      <c r="E8382" t="inlineStr">
        <is>
          <t>KROKOM</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24822-2023</t>
        </is>
      </c>
      <c r="B8383" s="1" t="n">
        <v>45085</v>
      </c>
      <c r="C8383" s="1" t="n">
        <v>45363</v>
      </c>
      <c r="D8383" t="inlineStr">
        <is>
          <t>JÄMTLANDS LÄN</t>
        </is>
      </c>
      <c r="E8383" t="inlineStr">
        <is>
          <t>RAGUNDA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24830-2023</t>
        </is>
      </c>
      <c r="B8384" s="1" t="n">
        <v>45085</v>
      </c>
      <c r="C8384" s="1" t="n">
        <v>45363</v>
      </c>
      <c r="D8384" t="inlineStr">
        <is>
          <t>JÄMTLANDS LÄN</t>
        </is>
      </c>
      <c r="E8384" t="inlineStr">
        <is>
          <t>STRÖMSUND</t>
        </is>
      </c>
      <c r="F8384" t="inlineStr">
        <is>
          <t>SCA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24820-2023</t>
        </is>
      </c>
      <c r="B8385" s="1" t="n">
        <v>45084</v>
      </c>
      <c r="C8385" s="1" t="n">
        <v>45363</v>
      </c>
      <c r="D8385" t="inlineStr">
        <is>
          <t>JÄMTLANDS LÄN</t>
        </is>
      </c>
      <c r="E8385" t="inlineStr">
        <is>
          <t>RAGUNDA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24824-2023</t>
        </is>
      </c>
      <c r="B8386" s="1" t="n">
        <v>45085</v>
      </c>
      <c r="C8386" s="1" t="n">
        <v>45363</v>
      </c>
      <c r="D8386" t="inlineStr">
        <is>
          <t>JÄMTLANDS LÄN</t>
        </is>
      </c>
      <c r="E8386" t="inlineStr">
        <is>
          <t>KROKOM</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24834-2023</t>
        </is>
      </c>
      <c r="B8387" s="1" t="n">
        <v>45084</v>
      </c>
      <c r="C8387" s="1" t="n">
        <v>45363</v>
      </c>
      <c r="D8387" t="inlineStr">
        <is>
          <t>JÄMTLANDS LÄN</t>
        </is>
      </c>
      <c r="E8387" t="inlineStr">
        <is>
          <t>HÄRJEDALEN</t>
        </is>
      </c>
      <c r="F8387" t="inlineStr">
        <is>
          <t>SCA</t>
        </is>
      </c>
      <c r="G8387" t="n">
        <v>16.5</v>
      </c>
      <c r="H8387" t="n">
        <v>0</v>
      </c>
      <c r="I8387" t="n">
        <v>0</v>
      </c>
      <c r="J8387" t="n">
        <v>0</v>
      </c>
      <c r="K8387" t="n">
        <v>0</v>
      </c>
      <c r="L8387" t="n">
        <v>0</v>
      </c>
      <c r="M8387" t="n">
        <v>0</v>
      </c>
      <c r="N8387" t="n">
        <v>0</v>
      </c>
      <c r="O8387" t="n">
        <v>0</v>
      </c>
      <c r="P8387" t="n">
        <v>0</v>
      </c>
      <c r="Q8387" t="n">
        <v>0</v>
      </c>
      <c r="R8387" s="2" t="inlineStr"/>
    </row>
    <row r="8388" ht="15" customHeight="1">
      <c r="A8388" t="inlineStr">
        <is>
          <t>A 25727-2023</t>
        </is>
      </c>
      <c r="B8388" s="1" t="n">
        <v>45084</v>
      </c>
      <c r="C8388" s="1" t="n">
        <v>45363</v>
      </c>
      <c r="D8388" t="inlineStr">
        <is>
          <t>JÄMTLANDS LÄN</t>
        </is>
      </c>
      <c r="E8388" t="inlineStr">
        <is>
          <t>ÖSTERSUND</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24835-2023</t>
        </is>
      </c>
      <c r="B8389" s="1" t="n">
        <v>45084</v>
      </c>
      <c r="C8389" s="1" t="n">
        <v>45363</v>
      </c>
      <c r="D8389" t="inlineStr">
        <is>
          <t>JÄMTLANDS LÄN</t>
        </is>
      </c>
      <c r="E8389" t="inlineStr">
        <is>
          <t>HÄRJEDALEN</t>
        </is>
      </c>
      <c r="F8389" t="inlineStr">
        <is>
          <t>SCA</t>
        </is>
      </c>
      <c r="G8389" t="n">
        <v>9.1</v>
      </c>
      <c r="H8389" t="n">
        <v>0</v>
      </c>
      <c r="I8389" t="n">
        <v>0</v>
      </c>
      <c r="J8389" t="n">
        <v>0</v>
      </c>
      <c r="K8389" t="n">
        <v>0</v>
      </c>
      <c r="L8389" t="n">
        <v>0</v>
      </c>
      <c r="M8389" t="n">
        <v>0</v>
      </c>
      <c r="N8389" t="n">
        <v>0</v>
      </c>
      <c r="O8389" t="n">
        <v>0</v>
      </c>
      <c r="P8389" t="n">
        <v>0</v>
      </c>
      <c r="Q8389" t="n">
        <v>0</v>
      </c>
      <c r="R8389" s="2" t="inlineStr"/>
    </row>
    <row r="8390" ht="15" customHeight="1">
      <c r="A8390" t="inlineStr">
        <is>
          <t>A 25866-2023</t>
        </is>
      </c>
      <c r="B8390" s="1" t="n">
        <v>45084</v>
      </c>
      <c r="C8390" s="1" t="n">
        <v>45363</v>
      </c>
      <c r="D8390" t="inlineStr">
        <is>
          <t>JÄMTLANDS LÄN</t>
        </is>
      </c>
      <c r="E8390" t="inlineStr">
        <is>
          <t>ÖSTERSUND</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25018-2023</t>
        </is>
      </c>
      <c r="B8391" s="1" t="n">
        <v>45085</v>
      </c>
      <c r="C8391" s="1" t="n">
        <v>45363</v>
      </c>
      <c r="D8391" t="inlineStr">
        <is>
          <t>JÄMTLANDS LÄN</t>
        </is>
      </c>
      <c r="E8391" t="inlineStr">
        <is>
          <t>HÄRJEDALEN</t>
        </is>
      </c>
      <c r="F8391" t="inlineStr">
        <is>
          <t>Sveaskog</t>
        </is>
      </c>
      <c r="G8391" t="n">
        <v>39.7</v>
      </c>
      <c r="H8391" t="n">
        <v>0</v>
      </c>
      <c r="I8391" t="n">
        <v>0</v>
      </c>
      <c r="J8391" t="n">
        <v>0</v>
      </c>
      <c r="K8391" t="n">
        <v>0</v>
      </c>
      <c r="L8391" t="n">
        <v>0</v>
      </c>
      <c r="M8391" t="n">
        <v>0</v>
      </c>
      <c r="N8391" t="n">
        <v>0</v>
      </c>
      <c r="O8391" t="n">
        <v>0</v>
      </c>
      <c r="P8391" t="n">
        <v>0</v>
      </c>
      <c r="Q8391" t="n">
        <v>0</v>
      </c>
      <c r="R8391" s="2" t="inlineStr"/>
    </row>
    <row r="8392" ht="15" customHeight="1">
      <c r="A8392" t="inlineStr">
        <is>
          <t>A 25043-2023</t>
        </is>
      </c>
      <c r="B8392" s="1" t="n">
        <v>45085</v>
      </c>
      <c r="C8392" s="1" t="n">
        <v>45363</v>
      </c>
      <c r="D8392" t="inlineStr">
        <is>
          <t>JÄMTLANDS LÄN</t>
        </is>
      </c>
      <c r="E8392" t="inlineStr">
        <is>
          <t>BRÄCKE</t>
        </is>
      </c>
      <c r="F8392" t="inlineStr">
        <is>
          <t>SCA</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25052-2023</t>
        </is>
      </c>
      <c r="B8393" s="1" t="n">
        <v>45086</v>
      </c>
      <c r="C8393" s="1" t="n">
        <v>45363</v>
      </c>
      <c r="D8393" t="inlineStr">
        <is>
          <t>JÄMTLANDS LÄN</t>
        </is>
      </c>
      <c r="E8393" t="inlineStr">
        <is>
          <t>STRÖMSUND</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25056-2023</t>
        </is>
      </c>
      <c r="B8394" s="1" t="n">
        <v>45086</v>
      </c>
      <c r="C8394" s="1" t="n">
        <v>45363</v>
      </c>
      <c r="D8394" t="inlineStr">
        <is>
          <t>JÄMTLANDS LÄN</t>
        </is>
      </c>
      <c r="E8394" t="inlineStr">
        <is>
          <t>BRÄCKE</t>
        </is>
      </c>
      <c r="F8394" t="inlineStr">
        <is>
          <t>SCA</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25060-2023</t>
        </is>
      </c>
      <c r="B8395" s="1" t="n">
        <v>45086</v>
      </c>
      <c r="C8395" s="1" t="n">
        <v>45363</v>
      </c>
      <c r="D8395" t="inlineStr">
        <is>
          <t>JÄMTLANDS LÄN</t>
        </is>
      </c>
      <c r="E8395" t="inlineStr">
        <is>
          <t>BRÄCKE</t>
        </is>
      </c>
      <c r="F8395" t="inlineStr">
        <is>
          <t>SCA</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25041-2023</t>
        </is>
      </c>
      <c r="B8396" s="1" t="n">
        <v>45085</v>
      </c>
      <c r="C8396" s="1" t="n">
        <v>45363</v>
      </c>
      <c r="D8396" t="inlineStr">
        <is>
          <t>JÄMTLANDS LÄN</t>
        </is>
      </c>
      <c r="E8396" t="inlineStr">
        <is>
          <t>BRÄCKE</t>
        </is>
      </c>
      <c r="F8396" t="inlineStr">
        <is>
          <t>SCA</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25058-2023</t>
        </is>
      </c>
      <c r="B8397" s="1" t="n">
        <v>45086</v>
      </c>
      <c r="C8397" s="1" t="n">
        <v>45363</v>
      </c>
      <c r="D8397" t="inlineStr">
        <is>
          <t>JÄMTLANDS LÄN</t>
        </is>
      </c>
      <c r="E8397" t="inlineStr">
        <is>
          <t>BRÄCKE</t>
        </is>
      </c>
      <c r="F8397" t="inlineStr">
        <is>
          <t>SCA</t>
        </is>
      </c>
      <c r="G8397" t="n">
        <v>4.6</v>
      </c>
      <c r="H8397" t="n">
        <v>0</v>
      </c>
      <c r="I8397" t="n">
        <v>0</v>
      </c>
      <c r="J8397" t="n">
        <v>0</v>
      </c>
      <c r="K8397" t="n">
        <v>0</v>
      </c>
      <c r="L8397" t="n">
        <v>0</v>
      </c>
      <c r="M8397" t="n">
        <v>0</v>
      </c>
      <c r="N8397" t="n">
        <v>0</v>
      </c>
      <c r="O8397" t="n">
        <v>0</v>
      </c>
      <c r="P8397" t="n">
        <v>0</v>
      </c>
      <c r="Q8397" t="n">
        <v>0</v>
      </c>
      <c r="R8397" s="2" t="inlineStr"/>
    </row>
    <row r="8398" ht="15" customHeight="1">
      <c r="A8398" t="inlineStr">
        <is>
          <t>A 24964-2023</t>
        </is>
      </c>
      <c r="B8398" s="1" t="n">
        <v>45085</v>
      </c>
      <c r="C8398" s="1" t="n">
        <v>45363</v>
      </c>
      <c r="D8398" t="inlineStr">
        <is>
          <t>JÄMTLANDS LÄN</t>
        </is>
      </c>
      <c r="E8398" t="inlineStr">
        <is>
          <t>HÄRJEDALEN</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25040-2023</t>
        </is>
      </c>
      <c r="B8399" s="1" t="n">
        <v>45086</v>
      </c>
      <c r="C8399" s="1" t="n">
        <v>45363</v>
      </c>
      <c r="D8399" t="inlineStr">
        <is>
          <t>JÄMTLANDS LÄN</t>
        </is>
      </c>
      <c r="E8399" t="inlineStr">
        <is>
          <t>ÅRE</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25057-2023</t>
        </is>
      </c>
      <c r="B8400" s="1" t="n">
        <v>45086</v>
      </c>
      <c r="C8400" s="1" t="n">
        <v>45363</v>
      </c>
      <c r="D8400" t="inlineStr">
        <is>
          <t>JÄMTLANDS LÄN</t>
        </is>
      </c>
      <c r="E8400" t="inlineStr">
        <is>
          <t>BRÄCKE</t>
        </is>
      </c>
      <c r="F8400" t="inlineStr">
        <is>
          <t>SCA</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25061-2023</t>
        </is>
      </c>
      <c r="B8401" s="1" t="n">
        <v>45085</v>
      </c>
      <c r="C8401" s="1" t="n">
        <v>45363</v>
      </c>
      <c r="D8401" t="inlineStr">
        <is>
          <t>JÄMTLANDS LÄN</t>
        </is>
      </c>
      <c r="E8401" t="inlineStr">
        <is>
          <t>BRÄCKE</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25895-2023</t>
        </is>
      </c>
      <c r="B8402" s="1" t="n">
        <v>45085</v>
      </c>
      <c r="C8402" s="1" t="n">
        <v>45363</v>
      </c>
      <c r="D8402" t="inlineStr">
        <is>
          <t>JÄMTLANDS LÄN</t>
        </is>
      </c>
      <c r="E8402" t="inlineStr">
        <is>
          <t>BRÄCKE</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25026-2023</t>
        </is>
      </c>
      <c r="B8403" s="1" t="n">
        <v>45085</v>
      </c>
      <c r="C8403" s="1" t="n">
        <v>45363</v>
      </c>
      <c r="D8403" t="inlineStr">
        <is>
          <t>JÄMTLANDS LÄN</t>
        </is>
      </c>
      <c r="E8403" t="inlineStr">
        <is>
          <t>STRÖMSUND</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25042-2023</t>
        </is>
      </c>
      <c r="B8404" s="1" t="n">
        <v>45086</v>
      </c>
      <c r="C8404" s="1" t="n">
        <v>45363</v>
      </c>
      <c r="D8404" t="inlineStr">
        <is>
          <t>JÄMTLANDS LÄN</t>
        </is>
      </c>
      <c r="E8404" t="inlineStr">
        <is>
          <t>BRÄCKE</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25051-2023</t>
        </is>
      </c>
      <c r="B8405" s="1" t="n">
        <v>45086</v>
      </c>
      <c r="C8405" s="1" t="n">
        <v>45363</v>
      </c>
      <c r="D8405" t="inlineStr">
        <is>
          <t>JÄMTLANDS LÄN</t>
        </is>
      </c>
      <c r="E8405" t="inlineStr">
        <is>
          <t>STRÖMSUND</t>
        </is>
      </c>
      <c r="F8405" t="inlineStr">
        <is>
          <t>SCA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25055-2023</t>
        </is>
      </c>
      <c r="B8406" s="1" t="n">
        <v>45086</v>
      </c>
      <c r="C8406" s="1" t="n">
        <v>45363</v>
      </c>
      <c r="D8406" t="inlineStr">
        <is>
          <t>JÄMTLANDS LÄN</t>
        </is>
      </c>
      <c r="E8406" t="inlineStr">
        <is>
          <t>BRÄCKE</t>
        </is>
      </c>
      <c r="F8406" t="inlineStr">
        <is>
          <t>SCA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25059-2023</t>
        </is>
      </c>
      <c r="B8407" s="1" t="n">
        <v>45086</v>
      </c>
      <c r="C8407" s="1" t="n">
        <v>45363</v>
      </c>
      <c r="D8407" t="inlineStr">
        <is>
          <t>JÄMTLANDS LÄN</t>
        </is>
      </c>
      <c r="E8407" t="inlineStr">
        <is>
          <t>BRÄCKE</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25892-2023</t>
        </is>
      </c>
      <c r="B8408" s="1" t="n">
        <v>45085</v>
      </c>
      <c r="C8408" s="1" t="n">
        <v>45363</v>
      </c>
      <c r="D8408" t="inlineStr">
        <is>
          <t>JÄMTLANDS LÄN</t>
        </is>
      </c>
      <c r="E8408" t="inlineStr">
        <is>
          <t>RAGUNDA</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25066-2023</t>
        </is>
      </c>
      <c r="B8409" s="1" t="n">
        <v>45085</v>
      </c>
      <c r="C8409" s="1" t="n">
        <v>45363</v>
      </c>
      <c r="D8409" t="inlineStr">
        <is>
          <t>JÄMTLANDS LÄN</t>
        </is>
      </c>
      <c r="E8409" t="inlineStr">
        <is>
          <t>STRÖMSUND</t>
        </is>
      </c>
      <c r="F8409" t="inlineStr">
        <is>
          <t>SCA</t>
        </is>
      </c>
      <c r="G8409" t="n">
        <v>7.3</v>
      </c>
      <c r="H8409" t="n">
        <v>0</v>
      </c>
      <c r="I8409" t="n">
        <v>0</v>
      </c>
      <c r="J8409" t="n">
        <v>0</v>
      </c>
      <c r="K8409" t="n">
        <v>0</v>
      </c>
      <c r="L8409" t="n">
        <v>0</v>
      </c>
      <c r="M8409" t="n">
        <v>0</v>
      </c>
      <c r="N8409" t="n">
        <v>0</v>
      </c>
      <c r="O8409" t="n">
        <v>0</v>
      </c>
      <c r="P8409" t="n">
        <v>0</v>
      </c>
      <c r="Q8409" t="n">
        <v>0</v>
      </c>
      <c r="R8409" s="2" t="inlineStr"/>
    </row>
    <row r="8410" ht="15" customHeight="1">
      <c r="A8410" t="inlineStr">
        <is>
          <t>A 25909-2023</t>
        </is>
      </c>
      <c r="B8410" s="1" t="n">
        <v>45085</v>
      </c>
      <c r="C8410" s="1" t="n">
        <v>45363</v>
      </c>
      <c r="D8410" t="inlineStr">
        <is>
          <t>JÄMTLANDS LÄN</t>
        </is>
      </c>
      <c r="E8410" t="inlineStr">
        <is>
          <t>BRÄCKE</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25926-2023</t>
        </is>
      </c>
      <c r="B8411" s="1" t="n">
        <v>45085</v>
      </c>
      <c r="C8411" s="1" t="n">
        <v>45363</v>
      </c>
      <c r="D8411" t="inlineStr">
        <is>
          <t>JÄMTLANDS LÄN</t>
        </is>
      </c>
      <c r="E8411" t="inlineStr">
        <is>
          <t>ÅRE</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25181-2023</t>
        </is>
      </c>
      <c r="B8412" s="1" t="n">
        <v>45086</v>
      </c>
      <c r="C8412" s="1" t="n">
        <v>45363</v>
      </c>
      <c r="D8412" t="inlineStr">
        <is>
          <t>JÄMTLANDS LÄN</t>
        </is>
      </c>
      <c r="E8412" t="inlineStr">
        <is>
          <t>HÄRJEDALEN</t>
        </is>
      </c>
      <c r="F8412" t="inlineStr">
        <is>
          <t>Bergvik skog väst AB</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25306-2023</t>
        </is>
      </c>
      <c r="B8413" s="1" t="n">
        <v>45086</v>
      </c>
      <c r="C8413" s="1" t="n">
        <v>45363</v>
      </c>
      <c r="D8413" t="inlineStr">
        <is>
          <t>JÄMTLANDS LÄN</t>
        </is>
      </c>
      <c r="E8413" t="inlineStr">
        <is>
          <t>BERG</t>
        </is>
      </c>
      <c r="G8413" t="n">
        <v>23.3</v>
      </c>
      <c r="H8413" t="n">
        <v>0</v>
      </c>
      <c r="I8413" t="n">
        <v>0</v>
      </c>
      <c r="J8413" t="n">
        <v>0</v>
      </c>
      <c r="K8413" t="n">
        <v>0</v>
      </c>
      <c r="L8413" t="n">
        <v>0</v>
      </c>
      <c r="M8413" t="n">
        <v>0</v>
      </c>
      <c r="N8413" t="n">
        <v>0</v>
      </c>
      <c r="O8413" t="n">
        <v>0</v>
      </c>
      <c r="P8413" t="n">
        <v>0</v>
      </c>
      <c r="Q8413" t="n">
        <v>0</v>
      </c>
      <c r="R8413" s="2" t="inlineStr"/>
    </row>
    <row r="8414" ht="15" customHeight="1">
      <c r="A8414" t="inlineStr">
        <is>
          <t>A 25319-2023</t>
        </is>
      </c>
      <c r="B8414" s="1" t="n">
        <v>45087</v>
      </c>
      <c r="C8414" s="1" t="n">
        <v>45363</v>
      </c>
      <c r="D8414" t="inlineStr">
        <is>
          <t>JÄMTLANDS LÄN</t>
        </is>
      </c>
      <c r="E8414" t="inlineStr">
        <is>
          <t>BRÄCKE</t>
        </is>
      </c>
      <c r="F8414" t="inlineStr">
        <is>
          <t>SCA</t>
        </is>
      </c>
      <c r="G8414" t="n">
        <v>8.9</v>
      </c>
      <c r="H8414" t="n">
        <v>0</v>
      </c>
      <c r="I8414" t="n">
        <v>0</v>
      </c>
      <c r="J8414" t="n">
        <v>0</v>
      </c>
      <c r="K8414" t="n">
        <v>0</v>
      </c>
      <c r="L8414" t="n">
        <v>0</v>
      </c>
      <c r="M8414" t="n">
        <v>0</v>
      </c>
      <c r="N8414" t="n">
        <v>0</v>
      </c>
      <c r="O8414" t="n">
        <v>0</v>
      </c>
      <c r="P8414" t="n">
        <v>0</v>
      </c>
      <c r="Q8414" t="n">
        <v>0</v>
      </c>
      <c r="R8414" s="2" t="inlineStr"/>
    </row>
    <row r="8415" ht="15" customHeight="1">
      <c r="A8415" t="inlineStr">
        <is>
          <t>A 25302-2023</t>
        </is>
      </c>
      <c r="B8415" s="1" t="n">
        <v>45086</v>
      </c>
      <c r="C8415" s="1" t="n">
        <v>45363</v>
      </c>
      <c r="D8415" t="inlineStr">
        <is>
          <t>JÄMTLANDS LÄN</t>
        </is>
      </c>
      <c r="E8415" t="inlineStr">
        <is>
          <t>ÅRE</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25328-2023</t>
        </is>
      </c>
      <c r="B8416" s="1" t="n">
        <v>45087</v>
      </c>
      <c r="C8416" s="1" t="n">
        <v>45363</v>
      </c>
      <c r="D8416" t="inlineStr">
        <is>
          <t>JÄMTLANDS LÄN</t>
        </is>
      </c>
      <c r="E8416" t="inlineStr">
        <is>
          <t>STRÖMSUND</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25332-2023</t>
        </is>
      </c>
      <c r="B8417" s="1" t="n">
        <v>45087</v>
      </c>
      <c r="C8417" s="1" t="n">
        <v>45363</v>
      </c>
      <c r="D8417" t="inlineStr">
        <is>
          <t>JÄMTLANDS LÄN</t>
        </is>
      </c>
      <c r="E8417" t="inlineStr">
        <is>
          <t>RAGUNDA</t>
        </is>
      </c>
      <c r="F8417" t="inlineStr">
        <is>
          <t>SCA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25303-2023</t>
        </is>
      </c>
      <c r="B8418" s="1" t="n">
        <v>45086</v>
      </c>
      <c r="C8418" s="1" t="n">
        <v>45363</v>
      </c>
      <c r="D8418" t="inlineStr">
        <is>
          <t>JÄMTLANDS LÄN</t>
        </is>
      </c>
      <c r="E8418" t="inlineStr">
        <is>
          <t>ÅRE</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25317-2023</t>
        </is>
      </c>
      <c r="B8419" s="1" t="n">
        <v>45087</v>
      </c>
      <c r="C8419" s="1" t="n">
        <v>45363</v>
      </c>
      <c r="D8419" t="inlineStr">
        <is>
          <t>JÄMTLANDS LÄN</t>
        </is>
      </c>
      <c r="E8419" t="inlineStr">
        <is>
          <t>BRÄCKE</t>
        </is>
      </c>
      <c r="F8419" t="inlineStr">
        <is>
          <t>SCA</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25329-2023</t>
        </is>
      </c>
      <c r="B8420" s="1" t="n">
        <v>45087</v>
      </c>
      <c r="C8420" s="1" t="n">
        <v>45363</v>
      </c>
      <c r="D8420" t="inlineStr">
        <is>
          <t>JÄMTLANDS LÄN</t>
        </is>
      </c>
      <c r="E8420" t="inlineStr">
        <is>
          <t>BRÄCKE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26226-2023</t>
        </is>
      </c>
      <c r="B8421" s="1" t="n">
        <v>45086</v>
      </c>
      <c r="C8421" s="1" t="n">
        <v>45363</v>
      </c>
      <c r="D8421" t="inlineStr">
        <is>
          <t>JÄMTLANDS LÄN</t>
        </is>
      </c>
      <c r="E8421" t="inlineStr">
        <is>
          <t>STRÖMSUND</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25304-2023</t>
        </is>
      </c>
      <c r="B8422" s="1" t="n">
        <v>45086</v>
      </c>
      <c r="C8422" s="1" t="n">
        <v>45363</v>
      </c>
      <c r="D8422" t="inlineStr">
        <is>
          <t>JÄMTLANDS LÄN</t>
        </is>
      </c>
      <c r="E8422" t="inlineStr">
        <is>
          <t>RAGUNDA</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25309-2023</t>
        </is>
      </c>
      <c r="B8423" s="1" t="n">
        <v>45087</v>
      </c>
      <c r="C8423" s="1" t="n">
        <v>45363</v>
      </c>
      <c r="D8423" t="inlineStr">
        <is>
          <t>JÄMTLANDS LÄN</t>
        </is>
      </c>
      <c r="E8423" t="inlineStr">
        <is>
          <t>KROKOM</t>
        </is>
      </c>
      <c r="F8423" t="inlineStr">
        <is>
          <t>SCA</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25318-2023</t>
        </is>
      </c>
      <c r="B8424" s="1" t="n">
        <v>45086</v>
      </c>
      <c r="C8424" s="1" t="n">
        <v>45363</v>
      </c>
      <c r="D8424" t="inlineStr">
        <is>
          <t>JÄMTLANDS LÄN</t>
        </is>
      </c>
      <c r="E8424" t="inlineStr">
        <is>
          <t>BRÄCKE</t>
        </is>
      </c>
      <c r="F8424" t="inlineStr">
        <is>
          <t>SCA</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25326-2023</t>
        </is>
      </c>
      <c r="B8425" s="1" t="n">
        <v>45087</v>
      </c>
      <c r="C8425" s="1" t="n">
        <v>45363</v>
      </c>
      <c r="D8425" t="inlineStr">
        <is>
          <t>JÄMTLANDS LÄN</t>
        </is>
      </c>
      <c r="E8425" t="inlineStr">
        <is>
          <t>STRÖMSUND</t>
        </is>
      </c>
      <c r="F8425" t="inlineStr">
        <is>
          <t>SCA</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25330-2023</t>
        </is>
      </c>
      <c r="B8426" s="1" t="n">
        <v>45087</v>
      </c>
      <c r="C8426" s="1" t="n">
        <v>45363</v>
      </c>
      <c r="D8426" t="inlineStr">
        <is>
          <t>JÄMTLANDS LÄN</t>
        </is>
      </c>
      <c r="E8426" t="inlineStr">
        <is>
          <t>BRÄCKE</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26270-2023</t>
        </is>
      </c>
      <c r="B8427" s="1" t="n">
        <v>45086</v>
      </c>
      <c r="C8427" s="1" t="n">
        <v>45363</v>
      </c>
      <c r="D8427" t="inlineStr">
        <is>
          <t>JÄMTLANDS LÄN</t>
        </is>
      </c>
      <c r="E8427" t="inlineStr">
        <is>
          <t>KROKOM</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25352-2023</t>
        </is>
      </c>
      <c r="B8428" s="1" t="n">
        <v>45088</v>
      </c>
      <c r="C8428" s="1" t="n">
        <v>45363</v>
      </c>
      <c r="D8428" t="inlineStr">
        <is>
          <t>JÄMTLANDS LÄN</t>
        </is>
      </c>
      <c r="E8428" t="inlineStr">
        <is>
          <t>BRÄCKE</t>
        </is>
      </c>
      <c r="F8428" t="inlineStr">
        <is>
          <t>SCA</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25374-2023</t>
        </is>
      </c>
      <c r="B8429" s="1" t="n">
        <v>45088</v>
      </c>
      <c r="C8429" s="1" t="n">
        <v>45363</v>
      </c>
      <c r="D8429" t="inlineStr">
        <is>
          <t>JÄMTLANDS LÄN</t>
        </is>
      </c>
      <c r="E8429" t="inlineStr">
        <is>
          <t>BRÄCKE</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25373-2023</t>
        </is>
      </c>
      <c r="B8430" s="1" t="n">
        <v>45089</v>
      </c>
      <c r="C8430" s="1" t="n">
        <v>45363</v>
      </c>
      <c r="D8430" t="inlineStr">
        <is>
          <t>JÄMTLANDS LÄN</t>
        </is>
      </c>
      <c r="E8430" t="inlineStr">
        <is>
          <t>BRÄCKE</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25485-2023</t>
        </is>
      </c>
      <c r="B8431" s="1" t="n">
        <v>45089</v>
      </c>
      <c r="C8431" s="1" t="n">
        <v>45363</v>
      </c>
      <c r="D8431" t="inlineStr">
        <is>
          <t>JÄMTLANDS LÄN</t>
        </is>
      </c>
      <c r="E8431" t="inlineStr">
        <is>
          <t>HÄRJEDALEN</t>
        </is>
      </c>
      <c r="G8431" t="n">
        <v>15.2</v>
      </c>
      <c r="H8431" t="n">
        <v>0</v>
      </c>
      <c r="I8431" t="n">
        <v>0</v>
      </c>
      <c r="J8431" t="n">
        <v>0</v>
      </c>
      <c r="K8431" t="n">
        <v>0</v>
      </c>
      <c r="L8431" t="n">
        <v>0</v>
      </c>
      <c r="M8431" t="n">
        <v>0</v>
      </c>
      <c r="N8431" t="n">
        <v>0</v>
      </c>
      <c r="O8431" t="n">
        <v>0</v>
      </c>
      <c r="P8431" t="n">
        <v>0</v>
      </c>
      <c r="Q8431" t="n">
        <v>0</v>
      </c>
      <c r="R8431" s="2" t="inlineStr"/>
    </row>
    <row r="8432" ht="15" customHeight="1">
      <c r="A8432" t="inlineStr">
        <is>
          <t>A 25496-2023</t>
        </is>
      </c>
      <c r="B8432" s="1" t="n">
        <v>45089</v>
      </c>
      <c r="C8432" s="1" t="n">
        <v>45363</v>
      </c>
      <c r="D8432" t="inlineStr">
        <is>
          <t>JÄMTLANDS LÄN</t>
        </is>
      </c>
      <c r="E8432" t="inlineStr">
        <is>
          <t>ÖSTERSUND</t>
        </is>
      </c>
      <c r="F8432" t="inlineStr">
        <is>
          <t>Kyrkan</t>
        </is>
      </c>
      <c r="G8432" t="n">
        <v>5.7</v>
      </c>
      <c r="H8432" t="n">
        <v>0</v>
      </c>
      <c r="I8432" t="n">
        <v>0</v>
      </c>
      <c r="J8432" t="n">
        <v>0</v>
      </c>
      <c r="K8432" t="n">
        <v>0</v>
      </c>
      <c r="L8432" t="n">
        <v>0</v>
      </c>
      <c r="M8432" t="n">
        <v>0</v>
      </c>
      <c r="N8432" t="n">
        <v>0</v>
      </c>
      <c r="O8432" t="n">
        <v>0</v>
      </c>
      <c r="P8432" t="n">
        <v>0</v>
      </c>
      <c r="Q8432" t="n">
        <v>0</v>
      </c>
      <c r="R8432" s="2" t="inlineStr"/>
    </row>
    <row r="8433" ht="15" customHeight="1">
      <c r="A8433" t="inlineStr">
        <is>
          <t>A 25535-2023</t>
        </is>
      </c>
      <c r="B8433" s="1" t="n">
        <v>45089</v>
      </c>
      <c r="C8433" s="1" t="n">
        <v>45363</v>
      </c>
      <c r="D8433" t="inlineStr">
        <is>
          <t>JÄMTLANDS LÄN</t>
        </is>
      </c>
      <c r="E8433" t="inlineStr">
        <is>
          <t>ÖSTERSUND</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25430-2023</t>
        </is>
      </c>
      <c r="B8434" s="1" t="n">
        <v>45089</v>
      </c>
      <c r="C8434" s="1" t="n">
        <v>45363</v>
      </c>
      <c r="D8434" t="inlineStr">
        <is>
          <t>JÄMTLANDS LÄN</t>
        </is>
      </c>
      <c r="E8434" t="inlineStr">
        <is>
          <t>RAGUNDA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25514-2023</t>
        </is>
      </c>
      <c r="B8435" s="1" t="n">
        <v>45089</v>
      </c>
      <c r="C8435" s="1" t="n">
        <v>45363</v>
      </c>
      <c r="D8435" t="inlineStr">
        <is>
          <t>JÄMTLANDS LÄN</t>
        </is>
      </c>
      <c r="E8435" t="inlineStr">
        <is>
          <t>ÖSTERSUND</t>
        </is>
      </c>
      <c r="F8435" t="inlineStr">
        <is>
          <t>Kyrkan</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25673-2023</t>
        </is>
      </c>
      <c r="B8436" s="1" t="n">
        <v>45090</v>
      </c>
      <c r="C8436" s="1" t="n">
        <v>45363</v>
      </c>
      <c r="D8436" t="inlineStr">
        <is>
          <t>JÄMTLANDS LÄN</t>
        </is>
      </c>
      <c r="E8436" t="inlineStr">
        <is>
          <t>STRÖMSUND</t>
        </is>
      </c>
      <c r="F8436" t="inlineStr">
        <is>
          <t>SCA</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25689-2023</t>
        </is>
      </c>
      <c r="B8437" s="1" t="n">
        <v>45090</v>
      </c>
      <c r="C8437" s="1" t="n">
        <v>45363</v>
      </c>
      <c r="D8437" t="inlineStr">
        <is>
          <t>JÄMTLANDS LÄN</t>
        </is>
      </c>
      <c r="E8437" t="inlineStr">
        <is>
          <t>BRÄCKE</t>
        </is>
      </c>
      <c r="F8437" t="inlineStr">
        <is>
          <t>SCA</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25677-2023</t>
        </is>
      </c>
      <c r="B8438" s="1" t="n">
        <v>45090</v>
      </c>
      <c r="C8438" s="1" t="n">
        <v>45363</v>
      </c>
      <c r="D8438" t="inlineStr">
        <is>
          <t>JÄMTLANDS LÄN</t>
        </is>
      </c>
      <c r="E8438" t="inlineStr">
        <is>
          <t>BRÄCKE</t>
        </is>
      </c>
      <c r="F8438" t="inlineStr">
        <is>
          <t>SCA</t>
        </is>
      </c>
      <c r="G8438" t="n">
        <v>26.2</v>
      </c>
      <c r="H8438" t="n">
        <v>0</v>
      </c>
      <c r="I8438" t="n">
        <v>0</v>
      </c>
      <c r="J8438" t="n">
        <v>0</v>
      </c>
      <c r="K8438" t="n">
        <v>0</v>
      </c>
      <c r="L8438" t="n">
        <v>0</v>
      </c>
      <c r="M8438" t="n">
        <v>0</v>
      </c>
      <c r="N8438" t="n">
        <v>0</v>
      </c>
      <c r="O8438" t="n">
        <v>0</v>
      </c>
      <c r="P8438" t="n">
        <v>0</v>
      </c>
      <c r="Q8438" t="n">
        <v>0</v>
      </c>
      <c r="R8438" s="2" t="inlineStr"/>
    </row>
    <row r="8439" ht="15" customHeight="1">
      <c r="A8439" t="inlineStr">
        <is>
          <t>A 25669-2023</t>
        </is>
      </c>
      <c r="B8439" s="1" t="n">
        <v>45089</v>
      </c>
      <c r="C8439" s="1" t="n">
        <v>45363</v>
      </c>
      <c r="D8439" t="inlineStr">
        <is>
          <t>JÄMTLANDS LÄN</t>
        </is>
      </c>
      <c r="E8439" t="inlineStr">
        <is>
          <t>RAGUNDA</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25675-2023</t>
        </is>
      </c>
      <c r="B8440" s="1" t="n">
        <v>45089</v>
      </c>
      <c r="C8440" s="1" t="n">
        <v>45363</v>
      </c>
      <c r="D8440" t="inlineStr">
        <is>
          <t>JÄMTLANDS LÄN</t>
        </is>
      </c>
      <c r="E8440" t="inlineStr">
        <is>
          <t>BRÄCKE</t>
        </is>
      </c>
      <c r="F8440" t="inlineStr">
        <is>
          <t>SCA</t>
        </is>
      </c>
      <c r="G8440" t="n">
        <v>9.300000000000001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25687-2023</t>
        </is>
      </c>
      <c r="B8441" s="1" t="n">
        <v>45090</v>
      </c>
      <c r="C8441" s="1" t="n">
        <v>45363</v>
      </c>
      <c r="D8441" t="inlineStr">
        <is>
          <t>JÄMTLANDS LÄN</t>
        </is>
      </c>
      <c r="E8441" t="inlineStr">
        <is>
          <t>BRÄCKE</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25676-2023</t>
        </is>
      </c>
      <c r="B8442" s="1" t="n">
        <v>45090</v>
      </c>
      <c r="C8442" s="1" t="n">
        <v>45363</v>
      </c>
      <c r="D8442" t="inlineStr">
        <is>
          <t>JÄMTLANDS LÄN</t>
        </is>
      </c>
      <c r="E8442" t="inlineStr">
        <is>
          <t>BRÄCKE</t>
        </is>
      </c>
      <c r="F8442" t="inlineStr">
        <is>
          <t>SCA</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25674-2023</t>
        </is>
      </c>
      <c r="B8443" s="1" t="n">
        <v>45089</v>
      </c>
      <c r="C8443" s="1" t="n">
        <v>45363</v>
      </c>
      <c r="D8443" t="inlineStr">
        <is>
          <t>JÄMTLANDS LÄN</t>
        </is>
      </c>
      <c r="E8443" t="inlineStr">
        <is>
          <t>BRÄCKE</t>
        </is>
      </c>
      <c r="F8443" t="inlineStr">
        <is>
          <t>SCA</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25694-2023</t>
        </is>
      </c>
      <c r="B8444" s="1" t="n">
        <v>45089</v>
      </c>
      <c r="C8444" s="1" t="n">
        <v>45363</v>
      </c>
      <c r="D8444" t="inlineStr">
        <is>
          <t>JÄMTLANDS LÄN</t>
        </is>
      </c>
      <c r="E8444" t="inlineStr">
        <is>
          <t>RAGUNDA</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25666-2023</t>
        </is>
      </c>
      <c r="B8445" s="1" t="n">
        <v>45089</v>
      </c>
      <c r="C8445" s="1" t="n">
        <v>45363</v>
      </c>
      <c r="D8445" t="inlineStr">
        <is>
          <t>JÄMTLANDS LÄN</t>
        </is>
      </c>
      <c r="E8445" t="inlineStr">
        <is>
          <t>RAGUNDA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25682-2023</t>
        </is>
      </c>
      <c r="B8446" s="1" t="n">
        <v>45089</v>
      </c>
      <c r="C8446" s="1" t="n">
        <v>45363</v>
      </c>
      <c r="D8446" t="inlineStr">
        <is>
          <t>JÄMTLANDS LÄN</t>
        </is>
      </c>
      <c r="E8446" t="inlineStr">
        <is>
          <t>STRÖMSUND</t>
        </is>
      </c>
      <c r="F8446" t="inlineStr">
        <is>
          <t>SCA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25686-2023</t>
        </is>
      </c>
      <c r="B8447" s="1" t="n">
        <v>45090</v>
      </c>
      <c r="C8447" s="1" t="n">
        <v>45363</v>
      </c>
      <c r="D8447" t="inlineStr">
        <is>
          <t>JÄMTLANDS LÄN</t>
        </is>
      </c>
      <c r="E8447" t="inlineStr">
        <is>
          <t>BRÄCKE</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25678-2023</t>
        </is>
      </c>
      <c r="B8448" s="1" t="n">
        <v>45089</v>
      </c>
      <c r="C8448" s="1" t="n">
        <v>45363</v>
      </c>
      <c r="D8448" t="inlineStr">
        <is>
          <t>JÄMTLANDS LÄN</t>
        </is>
      </c>
      <c r="E8448" t="inlineStr">
        <is>
          <t>BRÄCKE</t>
        </is>
      </c>
      <c r="F8448" t="inlineStr">
        <is>
          <t>SCA</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25670-2023</t>
        </is>
      </c>
      <c r="B8449" s="1" t="n">
        <v>45090</v>
      </c>
      <c r="C8449" s="1" t="n">
        <v>45363</v>
      </c>
      <c r="D8449" t="inlineStr">
        <is>
          <t>JÄMTLANDS LÄN</t>
        </is>
      </c>
      <c r="E8449" t="inlineStr">
        <is>
          <t>RAGUNDA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25684-2023</t>
        </is>
      </c>
      <c r="B8450" s="1" t="n">
        <v>45090</v>
      </c>
      <c r="C8450" s="1" t="n">
        <v>45363</v>
      </c>
      <c r="D8450" t="inlineStr">
        <is>
          <t>JÄMTLANDS LÄN</t>
        </is>
      </c>
      <c r="E8450" t="inlineStr">
        <is>
          <t>BRÄCKE</t>
        </is>
      </c>
      <c r="F8450" t="inlineStr">
        <is>
          <t>SCA</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25685-2023</t>
        </is>
      </c>
      <c r="B8451" s="1" t="n">
        <v>45090</v>
      </c>
      <c r="C8451" s="1" t="n">
        <v>45363</v>
      </c>
      <c r="D8451" t="inlineStr">
        <is>
          <t>JÄMTLANDS LÄN</t>
        </is>
      </c>
      <c r="E8451" t="inlineStr">
        <is>
          <t>BRÄCKE</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26565-2023</t>
        </is>
      </c>
      <c r="B8452" s="1" t="n">
        <v>45089</v>
      </c>
      <c r="C8452" s="1" t="n">
        <v>45363</v>
      </c>
      <c r="D8452" t="inlineStr">
        <is>
          <t>JÄMTLANDS LÄN</t>
        </is>
      </c>
      <c r="E8452" t="inlineStr">
        <is>
          <t>ÖSTERSUND</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26521-2023</t>
        </is>
      </c>
      <c r="B8453" s="1" t="n">
        <v>45089</v>
      </c>
      <c r="C8453" s="1" t="n">
        <v>45363</v>
      </c>
      <c r="D8453" t="inlineStr">
        <is>
          <t>JÄMTLANDS LÄN</t>
        </is>
      </c>
      <c r="E8453" t="inlineStr">
        <is>
          <t>ÖSTERSUND</t>
        </is>
      </c>
      <c r="G8453" t="n">
        <v>11.7</v>
      </c>
      <c r="H8453" t="n">
        <v>0</v>
      </c>
      <c r="I8453" t="n">
        <v>0</v>
      </c>
      <c r="J8453" t="n">
        <v>0</v>
      </c>
      <c r="K8453" t="n">
        <v>0</v>
      </c>
      <c r="L8453" t="n">
        <v>0</v>
      </c>
      <c r="M8453" t="n">
        <v>0</v>
      </c>
      <c r="N8453" t="n">
        <v>0</v>
      </c>
      <c r="O8453" t="n">
        <v>0</v>
      </c>
      <c r="P8453" t="n">
        <v>0</v>
      </c>
      <c r="Q8453" t="n">
        <v>0</v>
      </c>
      <c r="R8453" s="2" t="inlineStr"/>
    </row>
    <row r="8454" ht="15" customHeight="1">
      <c r="A8454" t="inlineStr">
        <is>
          <t>A 25708-2023</t>
        </is>
      </c>
      <c r="B8454" s="1" t="n">
        <v>45090</v>
      </c>
      <c r="C8454" s="1" t="n">
        <v>45363</v>
      </c>
      <c r="D8454" t="inlineStr">
        <is>
          <t>JÄMTLANDS LÄN</t>
        </is>
      </c>
      <c r="E8454" t="inlineStr">
        <is>
          <t>RAGUNDA</t>
        </is>
      </c>
      <c r="G8454" t="n">
        <v>16.1</v>
      </c>
      <c r="H8454" t="n">
        <v>0</v>
      </c>
      <c r="I8454" t="n">
        <v>0</v>
      </c>
      <c r="J8454" t="n">
        <v>0</v>
      </c>
      <c r="K8454" t="n">
        <v>0</v>
      </c>
      <c r="L8454" t="n">
        <v>0</v>
      </c>
      <c r="M8454" t="n">
        <v>0</v>
      </c>
      <c r="N8454" t="n">
        <v>0</v>
      </c>
      <c r="O8454" t="n">
        <v>0</v>
      </c>
      <c r="P8454" t="n">
        <v>0</v>
      </c>
      <c r="Q8454" t="n">
        <v>0</v>
      </c>
      <c r="R8454" s="2" t="inlineStr"/>
    </row>
    <row r="8455" ht="15" customHeight="1">
      <c r="A8455" t="inlineStr">
        <is>
          <t>A 25789-2023</t>
        </is>
      </c>
      <c r="B8455" s="1" t="n">
        <v>45090</v>
      </c>
      <c r="C8455" s="1" t="n">
        <v>45363</v>
      </c>
      <c r="D8455" t="inlineStr">
        <is>
          <t>JÄMTLANDS LÄN</t>
        </is>
      </c>
      <c r="E8455" t="inlineStr">
        <is>
          <t>ÖSTERSUND</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26011-2023</t>
        </is>
      </c>
      <c r="B8456" s="1" t="n">
        <v>45091</v>
      </c>
      <c r="C8456" s="1" t="n">
        <v>45363</v>
      </c>
      <c r="D8456" t="inlineStr">
        <is>
          <t>JÄMTLANDS LÄN</t>
        </is>
      </c>
      <c r="E8456" t="inlineStr">
        <is>
          <t>BERG</t>
        </is>
      </c>
      <c r="F8456" t="inlineStr">
        <is>
          <t>SCA</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26012-2023</t>
        </is>
      </c>
      <c r="B8457" s="1" t="n">
        <v>45091</v>
      </c>
      <c r="C8457" s="1" t="n">
        <v>45363</v>
      </c>
      <c r="D8457" t="inlineStr">
        <is>
          <t>JÄMTLANDS LÄN</t>
        </is>
      </c>
      <c r="E8457" t="inlineStr">
        <is>
          <t>ÖSTERSUND</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26693-2023</t>
        </is>
      </c>
      <c r="B8458" s="1" t="n">
        <v>45090</v>
      </c>
      <c r="C8458" s="1" t="n">
        <v>45363</v>
      </c>
      <c r="D8458" t="inlineStr">
        <is>
          <t>JÄMTLANDS LÄN</t>
        </is>
      </c>
      <c r="E8458" t="inlineStr">
        <is>
          <t>KROKOM</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26005-2023</t>
        </is>
      </c>
      <c r="B8459" s="1" t="n">
        <v>45091</v>
      </c>
      <c r="C8459" s="1" t="n">
        <v>45363</v>
      </c>
      <c r="D8459" t="inlineStr">
        <is>
          <t>JÄMTLANDS LÄN</t>
        </is>
      </c>
      <c r="E8459" t="inlineStr">
        <is>
          <t>KROKOM</t>
        </is>
      </c>
      <c r="G8459" t="n">
        <v>18.3</v>
      </c>
      <c r="H8459" t="n">
        <v>0</v>
      </c>
      <c r="I8459" t="n">
        <v>0</v>
      </c>
      <c r="J8459" t="n">
        <v>0</v>
      </c>
      <c r="K8459" t="n">
        <v>0</v>
      </c>
      <c r="L8459" t="n">
        <v>0</v>
      </c>
      <c r="M8459" t="n">
        <v>0</v>
      </c>
      <c r="N8459" t="n">
        <v>0</v>
      </c>
      <c r="O8459" t="n">
        <v>0</v>
      </c>
      <c r="P8459" t="n">
        <v>0</v>
      </c>
      <c r="Q8459" t="n">
        <v>0</v>
      </c>
      <c r="R8459" s="2" t="inlineStr"/>
    </row>
    <row r="8460" ht="15" customHeight="1">
      <c r="A8460" t="inlineStr">
        <is>
          <t>A 26009-2023</t>
        </is>
      </c>
      <c r="B8460" s="1" t="n">
        <v>45091</v>
      </c>
      <c r="C8460" s="1" t="n">
        <v>45363</v>
      </c>
      <c r="D8460" t="inlineStr">
        <is>
          <t>JÄMTLANDS LÄN</t>
        </is>
      </c>
      <c r="E8460" t="inlineStr">
        <is>
          <t>BERG</t>
        </is>
      </c>
      <c r="F8460" t="inlineStr">
        <is>
          <t>SCA</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25990-2023</t>
        </is>
      </c>
      <c r="B8461" s="1" t="n">
        <v>45091</v>
      </c>
      <c r="C8461" s="1" t="n">
        <v>45363</v>
      </c>
      <c r="D8461" t="inlineStr">
        <is>
          <t>JÄMTLANDS LÄN</t>
        </is>
      </c>
      <c r="E8461" t="inlineStr">
        <is>
          <t>BERG</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26002-2023</t>
        </is>
      </c>
      <c r="B8462" s="1" t="n">
        <v>45091</v>
      </c>
      <c r="C8462" s="1" t="n">
        <v>45363</v>
      </c>
      <c r="D8462" t="inlineStr">
        <is>
          <t>JÄMTLANDS LÄN</t>
        </is>
      </c>
      <c r="E8462" t="inlineStr">
        <is>
          <t>RAGUNDA</t>
        </is>
      </c>
      <c r="F8462" t="inlineStr">
        <is>
          <t>SCA</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26721-2023</t>
        </is>
      </c>
      <c r="B8463" s="1" t="n">
        <v>45090</v>
      </c>
      <c r="C8463" s="1" t="n">
        <v>45363</v>
      </c>
      <c r="D8463" t="inlineStr">
        <is>
          <t>JÄMTLANDS LÄN</t>
        </is>
      </c>
      <c r="E8463" t="inlineStr">
        <is>
          <t>KROKOM</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26006-2023</t>
        </is>
      </c>
      <c r="B8464" s="1" t="n">
        <v>45091</v>
      </c>
      <c r="C8464" s="1" t="n">
        <v>45363</v>
      </c>
      <c r="D8464" t="inlineStr">
        <is>
          <t>JÄMTLANDS LÄN</t>
        </is>
      </c>
      <c r="E8464" t="inlineStr">
        <is>
          <t>KROKOM</t>
        </is>
      </c>
      <c r="G8464" t="n">
        <v>14.1</v>
      </c>
      <c r="H8464" t="n">
        <v>0</v>
      </c>
      <c r="I8464" t="n">
        <v>0</v>
      </c>
      <c r="J8464" t="n">
        <v>0</v>
      </c>
      <c r="K8464" t="n">
        <v>0</v>
      </c>
      <c r="L8464" t="n">
        <v>0</v>
      </c>
      <c r="M8464" t="n">
        <v>0</v>
      </c>
      <c r="N8464" t="n">
        <v>0</v>
      </c>
      <c r="O8464" t="n">
        <v>0</v>
      </c>
      <c r="P8464" t="n">
        <v>0</v>
      </c>
      <c r="Q8464" t="n">
        <v>0</v>
      </c>
      <c r="R8464" s="2" t="inlineStr"/>
    </row>
    <row r="8465" ht="15" customHeight="1">
      <c r="A8465" t="inlineStr">
        <is>
          <t>A 26010-2023</t>
        </is>
      </c>
      <c r="B8465" s="1" t="n">
        <v>45091</v>
      </c>
      <c r="C8465" s="1" t="n">
        <v>45363</v>
      </c>
      <c r="D8465" t="inlineStr">
        <is>
          <t>JÄMTLANDS LÄN</t>
        </is>
      </c>
      <c r="E8465" t="inlineStr">
        <is>
          <t>BERG</t>
        </is>
      </c>
      <c r="F8465" t="inlineStr">
        <is>
          <t>SCA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26004-2023</t>
        </is>
      </c>
      <c r="B8466" s="1" t="n">
        <v>45090</v>
      </c>
      <c r="C8466" s="1" t="n">
        <v>45363</v>
      </c>
      <c r="D8466" t="inlineStr">
        <is>
          <t>JÄMTLANDS LÄN</t>
        </is>
      </c>
      <c r="E8466" t="inlineStr">
        <is>
          <t>BRÄCKE</t>
        </is>
      </c>
      <c r="F8466" t="inlineStr">
        <is>
          <t>SCA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26008-2023</t>
        </is>
      </c>
      <c r="B8467" s="1" t="n">
        <v>45091</v>
      </c>
      <c r="C8467" s="1" t="n">
        <v>45363</v>
      </c>
      <c r="D8467" t="inlineStr">
        <is>
          <t>JÄMTLANDS LÄN</t>
        </is>
      </c>
      <c r="E8467" t="inlineStr">
        <is>
          <t>BERG</t>
        </is>
      </c>
      <c r="F8467" t="inlineStr">
        <is>
          <t>SCA</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26739-2023</t>
        </is>
      </c>
      <c r="B8468" s="1" t="n">
        <v>45090</v>
      </c>
      <c r="C8468" s="1" t="n">
        <v>45363</v>
      </c>
      <c r="D8468" t="inlineStr">
        <is>
          <t>JÄMTLANDS LÄN</t>
        </is>
      </c>
      <c r="E8468" t="inlineStr">
        <is>
          <t>KROKOM</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26805-2023</t>
        </is>
      </c>
      <c r="B8469" s="1" t="n">
        <v>45090</v>
      </c>
      <c r="C8469" s="1" t="n">
        <v>45363</v>
      </c>
      <c r="D8469" t="inlineStr">
        <is>
          <t>JÄMTLANDS LÄN</t>
        </is>
      </c>
      <c r="E8469" t="inlineStr">
        <is>
          <t>KROKOM</t>
        </is>
      </c>
      <c r="G8469" t="n">
        <v>20.4</v>
      </c>
      <c r="H8469" t="n">
        <v>0</v>
      </c>
      <c r="I8469" t="n">
        <v>0</v>
      </c>
      <c r="J8469" t="n">
        <v>0</v>
      </c>
      <c r="K8469" t="n">
        <v>0</v>
      </c>
      <c r="L8469" t="n">
        <v>0</v>
      </c>
      <c r="M8469" t="n">
        <v>0</v>
      </c>
      <c r="N8469" t="n">
        <v>0</v>
      </c>
      <c r="O8469" t="n">
        <v>0</v>
      </c>
      <c r="P8469" t="n">
        <v>0</v>
      </c>
      <c r="Q8469" t="n">
        <v>0</v>
      </c>
      <c r="R8469" s="2" t="inlineStr"/>
    </row>
    <row r="8470" ht="15" customHeight="1">
      <c r="A8470" t="inlineStr">
        <is>
          <t>A 26347-2023</t>
        </is>
      </c>
      <c r="B8470" s="1" t="n">
        <v>45091</v>
      </c>
      <c r="C8470" s="1" t="n">
        <v>45363</v>
      </c>
      <c r="D8470" t="inlineStr">
        <is>
          <t>JÄMTLANDS LÄN</t>
        </is>
      </c>
      <c r="E8470" t="inlineStr">
        <is>
          <t>RAGUNDA</t>
        </is>
      </c>
      <c r="F8470" t="inlineStr">
        <is>
          <t>SCA</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26032-2023</t>
        </is>
      </c>
      <c r="B8471" s="1" t="n">
        <v>45091</v>
      </c>
      <c r="C8471" s="1" t="n">
        <v>45363</v>
      </c>
      <c r="D8471" t="inlineStr">
        <is>
          <t>JÄMTLANDS LÄN</t>
        </is>
      </c>
      <c r="E8471" t="inlineStr">
        <is>
          <t>ÅRE</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26033-2023</t>
        </is>
      </c>
      <c r="B8472" s="1" t="n">
        <v>45091</v>
      </c>
      <c r="C8472" s="1" t="n">
        <v>45363</v>
      </c>
      <c r="D8472" t="inlineStr">
        <is>
          <t>JÄMTLANDS LÄN</t>
        </is>
      </c>
      <c r="E8472" t="inlineStr">
        <is>
          <t>ÅRE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26370-2023</t>
        </is>
      </c>
      <c r="B8473" s="1" t="n">
        <v>45092</v>
      </c>
      <c r="C8473" s="1" t="n">
        <v>45363</v>
      </c>
      <c r="D8473" t="inlineStr">
        <is>
          <t>JÄMTLANDS LÄN</t>
        </is>
      </c>
      <c r="E8473" t="inlineStr">
        <is>
          <t>BRÄCKE</t>
        </is>
      </c>
      <c r="F8473" t="inlineStr">
        <is>
          <t>SCA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26346-2023</t>
        </is>
      </c>
      <c r="B8474" s="1" t="n">
        <v>45092</v>
      </c>
      <c r="C8474" s="1" t="n">
        <v>45363</v>
      </c>
      <c r="D8474" t="inlineStr">
        <is>
          <t>JÄMTLANDS LÄN</t>
        </is>
      </c>
      <c r="E8474" t="inlineStr">
        <is>
          <t>STRÖMSUND</t>
        </is>
      </c>
      <c r="F8474" t="inlineStr">
        <is>
          <t>SCA</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26350-2023</t>
        </is>
      </c>
      <c r="B8475" s="1" t="n">
        <v>45092</v>
      </c>
      <c r="C8475" s="1" t="n">
        <v>45363</v>
      </c>
      <c r="D8475" t="inlineStr">
        <is>
          <t>JÄMTLANDS LÄN</t>
        </is>
      </c>
      <c r="E8475" t="inlineStr">
        <is>
          <t>BRÄCKE</t>
        </is>
      </c>
      <c r="F8475" t="inlineStr">
        <is>
          <t>SCA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26960-2023</t>
        </is>
      </c>
      <c r="B8476" s="1" t="n">
        <v>45091</v>
      </c>
      <c r="C8476" s="1" t="n">
        <v>45363</v>
      </c>
      <c r="D8476" t="inlineStr">
        <is>
          <t>JÄMTLANDS LÄN</t>
        </is>
      </c>
      <c r="E8476" t="inlineStr">
        <is>
          <t>ÅRE</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26351-2023</t>
        </is>
      </c>
      <c r="B8477" s="1" t="n">
        <v>45091</v>
      </c>
      <c r="C8477" s="1" t="n">
        <v>45363</v>
      </c>
      <c r="D8477" t="inlineStr">
        <is>
          <t>JÄMTLANDS LÄN</t>
        </is>
      </c>
      <c r="E8477" t="inlineStr">
        <is>
          <t>BRÄCKE</t>
        </is>
      </c>
      <c r="F8477" t="inlineStr">
        <is>
          <t>SCA</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26353-2023</t>
        </is>
      </c>
      <c r="B8478" s="1" t="n">
        <v>45092</v>
      </c>
      <c r="C8478" s="1" t="n">
        <v>45363</v>
      </c>
      <c r="D8478" t="inlineStr">
        <is>
          <t>JÄMTLANDS LÄN</t>
        </is>
      </c>
      <c r="E8478" t="inlineStr">
        <is>
          <t>BRÄCKE</t>
        </is>
      </c>
      <c r="F8478" t="inlineStr">
        <is>
          <t>SCA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26349-2023</t>
        </is>
      </c>
      <c r="B8479" s="1" t="n">
        <v>45092</v>
      </c>
      <c r="C8479" s="1" t="n">
        <v>45363</v>
      </c>
      <c r="D8479" t="inlineStr">
        <is>
          <t>JÄMTLANDS LÄN</t>
        </is>
      </c>
      <c r="E8479" t="inlineStr">
        <is>
          <t>STRÖMSUND</t>
        </is>
      </c>
      <c r="F8479" t="inlineStr">
        <is>
          <t>SCA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26345-2023</t>
        </is>
      </c>
      <c r="B8480" s="1" t="n">
        <v>45091</v>
      </c>
      <c r="C8480" s="1" t="n">
        <v>45363</v>
      </c>
      <c r="D8480" t="inlineStr">
        <is>
          <t>JÄMTLANDS LÄN</t>
        </is>
      </c>
      <c r="E8480" t="inlineStr">
        <is>
          <t>BRÄCKE</t>
        </is>
      </c>
      <c r="F8480" t="inlineStr">
        <is>
          <t>SCA</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26348-2023</t>
        </is>
      </c>
      <c r="B8481" s="1" t="n">
        <v>45092</v>
      </c>
      <c r="C8481" s="1" t="n">
        <v>45363</v>
      </c>
      <c r="D8481" t="inlineStr">
        <is>
          <t>JÄMTLANDS LÄN</t>
        </is>
      </c>
      <c r="E8481" t="inlineStr">
        <is>
          <t>STRÖMSUND</t>
        </is>
      </c>
      <c r="F8481" t="inlineStr">
        <is>
          <t>SCA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26368-2023</t>
        </is>
      </c>
      <c r="B8482" s="1" t="n">
        <v>45091</v>
      </c>
      <c r="C8482" s="1" t="n">
        <v>45363</v>
      </c>
      <c r="D8482" t="inlineStr">
        <is>
          <t>JÄMTLANDS LÄN</t>
        </is>
      </c>
      <c r="E8482" t="inlineStr">
        <is>
          <t>STRÖMSUND</t>
        </is>
      </c>
      <c r="F8482" t="inlineStr">
        <is>
          <t>SCA</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26352-2023</t>
        </is>
      </c>
      <c r="B8483" s="1" t="n">
        <v>45092</v>
      </c>
      <c r="C8483" s="1" t="n">
        <v>45363</v>
      </c>
      <c r="D8483" t="inlineStr">
        <is>
          <t>JÄMTLANDS LÄN</t>
        </is>
      </c>
      <c r="E8483" t="inlineStr">
        <is>
          <t>BRÄCKE</t>
        </is>
      </c>
      <c r="F8483" t="inlineStr">
        <is>
          <t>SCA</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26411-2023</t>
        </is>
      </c>
      <c r="B8484" s="1" t="n">
        <v>45092</v>
      </c>
      <c r="C8484" s="1" t="n">
        <v>45363</v>
      </c>
      <c r="D8484" t="inlineStr">
        <is>
          <t>JÄMTLANDS LÄN</t>
        </is>
      </c>
      <c r="E8484" t="inlineStr">
        <is>
          <t>HÄRJEDALEN</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26455-2023</t>
        </is>
      </c>
      <c r="B8485" s="1" t="n">
        <v>45092</v>
      </c>
      <c r="C8485" s="1" t="n">
        <v>45363</v>
      </c>
      <c r="D8485" t="inlineStr">
        <is>
          <t>JÄMTLANDS LÄN</t>
        </is>
      </c>
      <c r="E8485" t="inlineStr">
        <is>
          <t>RAGUNDA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26644-2023</t>
        </is>
      </c>
      <c r="B8486" s="1" t="n">
        <v>45093</v>
      </c>
      <c r="C8486" s="1" t="n">
        <v>45363</v>
      </c>
      <c r="D8486" t="inlineStr">
        <is>
          <t>JÄMTLANDS LÄN</t>
        </is>
      </c>
      <c r="E8486" t="inlineStr">
        <is>
          <t>RAGUNDA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26662-2023</t>
        </is>
      </c>
      <c r="B8487" s="1" t="n">
        <v>45093</v>
      </c>
      <c r="C8487" s="1" t="n">
        <v>45363</v>
      </c>
      <c r="D8487" t="inlineStr">
        <is>
          <t>JÄMTLANDS LÄN</t>
        </is>
      </c>
      <c r="E8487" t="inlineStr">
        <is>
          <t>KROKOM</t>
        </is>
      </c>
      <c r="G8487" t="n">
        <v>12.6</v>
      </c>
      <c r="H8487" t="n">
        <v>0</v>
      </c>
      <c r="I8487" t="n">
        <v>0</v>
      </c>
      <c r="J8487" t="n">
        <v>0</v>
      </c>
      <c r="K8487" t="n">
        <v>0</v>
      </c>
      <c r="L8487" t="n">
        <v>0</v>
      </c>
      <c r="M8487" t="n">
        <v>0</v>
      </c>
      <c r="N8487" t="n">
        <v>0</v>
      </c>
      <c r="O8487" t="n">
        <v>0</v>
      </c>
      <c r="P8487" t="n">
        <v>0</v>
      </c>
      <c r="Q8487" t="n">
        <v>0</v>
      </c>
      <c r="R8487" s="2" t="inlineStr"/>
    </row>
    <row r="8488" ht="15" customHeight="1">
      <c r="A8488" t="inlineStr">
        <is>
          <t>A 26666-2023</t>
        </is>
      </c>
      <c r="B8488" s="1" t="n">
        <v>45093</v>
      </c>
      <c r="C8488" s="1" t="n">
        <v>45363</v>
      </c>
      <c r="D8488" t="inlineStr">
        <is>
          <t>JÄMTLANDS LÄN</t>
        </is>
      </c>
      <c r="E8488" t="inlineStr">
        <is>
          <t>STRÖMSUND</t>
        </is>
      </c>
      <c r="F8488" t="inlineStr">
        <is>
          <t>SCA</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26652-2023</t>
        </is>
      </c>
      <c r="B8489" s="1" t="n">
        <v>45093</v>
      </c>
      <c r="C8489" s="1" t="n">
        <v>45363</v>
      </c>
      <c r="D8489" t="inlineStr">
        <is>
          <t>JÄMTLANDS LÄN</t>
        </is>
      </c>
      <c r="E8489" t="inlineStr">
        <is>
          <t>BERG</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26665-2023</t>
        </is>
      </c>
      <c r="B8490" s="1" t="n">
        <v>45093</v>
      </c>
      <c r="C8490" s="1" t="n">
        <v>45363</v>
      </c>
      <c r="D8490" t="inlineStr">
        <is>
          <t>JÄMTLANDS LÄN</t>
        </is>
      </c>
      <c r="E8490" t="inlineStr">
        <is>
          <t>STRÖMSUND</t>
        </is>
      </c>
      <c r="F8490" t="inlineStr">
        <is>
          <t>SCA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26661-2023</t>
        </is>
      </c>
      <c r="B8491" s="1" t="n">
        <v>45093</v>
      </c>
      <c r="C8491" s="1" t="n">
        <v>45363</v>
      </c>
      <c r="D8491" t="inlineStr">
        <is>
          <t>JÄMTLANDS LÄN</t>
        </is>
      </c>
      <c r="E8491" t="inlineStr">
        <is>
          <t>KROKOM</t>
        </is>
      </c>
      <c r="G8491" t="n">
        <v>5.4</v>
      </c>
      <c r="H8491" t="n">
        <v>0</v>
      </c>
      <c r="I8491" t="n">
        <v>0</v>
      </c>
      <c r="J8491" t="n">
        <v>0</v>
      </c>
      <c r="K8491" t="n">
        <v>0</v>
      </c>
      <c r="L8491" t="n">
        <v>0</v>
      </c>
      <c r="M8491" t="n">
        <v>0</v>
      </c>
      <c r="N8491" t="n">
        <v>0</v>
      </c>
      <c r="O8491" t="n">
        <v>0</v>
      </c>
      <c r="P8491" t="n">
        <v>0</v>
      </c>
      <c r="Q8491" t="n">
        <v>0</v>
      </c>
      <c r="R8491" s="2" t="inlineStr"/>
    </row>
    <row r="8492" ht="15" customHeight="1">
      <c r="A8492" t="inlineStr">
        <is>
          <t>A 26646-2023</t>
        </is>
      </c>
      <c r="B8492" s="1" t="n">
        <v>45092</v>
      </c>
      <c r="C8492" s="1" t="n">
        <v>45363</v>
      </c>
      <c r="D8492" t="inlineStr">
        <is>
          <t>JÄMTLANDS LÄN</t>
        </is>
      </c>
      <c r="E8492" t="inlineStr">
        <is>
          <t>RAGUNDA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26650-2023</t>
        </is>
      </c>
      <c r="B8493" s="1" t="n">
        <v>45093</v>
      </c>
      <c r="C8493" s="1" t="n">
        <v>45363</v>
      </c>
      <c r="D8493" t="inlineStr">
        <is>
          <t>JÄMTLANDS LÄN</t>
        </is>
      </c>
      <c r="E8493" t="inlineStr">
        <is>
          <t>STRÖMSUND</t>
        </is>
      </c>
      <c r="F8493" t="inlineStr">
        <is>
          <t>SCA</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26659-2023</t>
        </is>
      </c>
      <c r="B8494" s="1" t="n">
        <v>45092</v>
      </c>
      <c r="C8494" s="1" t="n">
        <v>45363</v>
      </c>
      <c r="D8494" t="inlineStr">
        <is>
          <t>JÄMTLANDS LÄN</t>
        </is>
      </c>
      <c r="E8494" t="inlineStr">
        <is>
          <t>STRÖMSUND</t>
        </is>
      </c>
      <c r="F8494" t="inlineStr">
        <is>
          <t>SCA</t>
        </is>
      </c>
      <c r="G8494" t="n">
        <v>8.300000000000001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26664-2023</t>
        </is>
      </c>
      <c r="B8495" s="1" t="n">
        <v>45093</v>
      </c>
      <c r="C8495" s="1" t="n">
        <v>45363</v>
      </c>
      <c r="D8495" t="inlineStr">
        <is>
          <t>JÄMTLANDS LÄN</t>
        </is>
      </c>
      <c r="E8495" t="inlineStr">
        <is>
          <t>BRÄCKE</t>
        </is>
      </c>
      <c r="G8495" t="n">
        <v>9.6</v>
      </c>
      <c r="H8495" t="n">
        <v>0</v>
      </c>
      <c r="I8495" t="n">
        <v>0</v>
      </c>
      <c r="J8495" t="n">
        <v>0</v>
      </c>
      <c r="K8495" t="n">
        <v>0</v>
      </c>
      <c r="L8495" t="n">
        <v>0</v>
      </c>
      <c r="M8495" t="n">
        <v>0</v>
      </c>
      <c r="N8495" t="n">
        <v>0</v>
      </c>
      <c r="O8495" t="n">
        <v>0</v>
      </c>
      <c r="P8495" t="n">
        <v>0</v>
      </c>
      <c r="Q8495" t="n">
        <v>0</v>
      </c>
      <c r="R8495" s="2" t="inlineStr"/>
    </row>
    <row r="8496" ht="15" customHeight="1">
      <c r="A8496" t="inlineStr">
        <is>
          <t>A 26660-2023</t>
        </is>
      </c>
      <c r="B8496" s="1" t="n">
        <v>45092</v>
      </c>
      <c r="C8496" s="1" t="n">
        <v>45363</v>
      </c>
      <c r="D8496" t="inlineStr">
        <is>
          <t>JÄMTLANDS LÄN</t>
        </is>
      </c>
      <c r="E8496" t="inlineStr">
        <is>
          <t>STRÖMSUND</t>
        </is>
      </c>
      <c r="F8496" t="inlineStr">
        <is>
          <t>SCA</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27091-2023</t>
        </is>
      </c>
      <c r="B8497" s="1" t="n">
        <v>45092</v>
      </c>
      <c r="C8497" s="1" t="n">
        <v>45363</v>
      </c>
      <c r="D8497" t="inlineStr">
        <is>
          <t>JÄMTLANDS LÄN</t>
        </is>
      </c>
      <c r="E8497" t="inlineStr">
        <is>
          <t>RAGUNDA</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27239-2023</t>
        </is>
      </c>
      <c r="B8498" s="1" t="n">
        <v>45092</v>
      </c>
      <c r="C8498" s="1" t="n">
        <v>45363</v>
      </c>
      <c r="D8498" t="inlineStr">
        <is>
          <t>JÄMTLANDS LÄN</t>
        </is>
      </c>
      <c r="E8498" t="inlineStr">
        <is>
          <t>BERG</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27294-2023</t>
        </is>
      </c>
      <c r="B8499" s="1" t="n">
        <v>45092</v>
      </c>
      <c r="C8499" s="1" t="n">
        <v>45363</v>
      </c>
      <c r="D8499" t="inlineStr">
        <is>
          <t>JÄMTLANDS LÄN</t>
        </is>
      </c>
      <c r="E8499" t="inlineStr">
        <is>
          <t>ÖSTERSUND</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27085-2023</t>
        </is>
      </c>
      <c r="B8500" s="1" t="n">
        <v>45092</v>
      </c>
      <c r="C8500" s="1" t="n">
        <v>45363</v>
      </c>
      <c r="D8500" t="inlineStr">
        <is>
          <t>JÄMTLANDS LÄN</t>
        </is>
      </c>
      <c r="E8500" t="inlineStr">
        <is>
          <t>RAGUNDA</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26799-2023</t>
        </is>
      </c>
      <c r="B8501" s="1" t="n">
        <v>45093</v>
      </c>
      <c r="C8501" s="1" t="n">
        <v>45363</v>
      </c>
      <c r="D8501" t="inlineStr">
        <is>
          <t>JÄMTLANDS LÄN</t>
        </is>
      </c>
      <c r="E8501" t="inlineStr">
        <is>
          <t>STRÖMSUND</t>
        </is>
      </c>
      <c r="G8501" t="n">
        <v>9.800000000000001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26701-2023</t>
        </is>
      </c>
      <c r="B8502" s="1" t="n">
        <v>45093</v>
      </c>
      <c r="C8502" s="1" t="n">
        <v>45363</v>
      </c>
      <c r="D8502" t="inlineStr">
        <is>
          <t>JÄMTLANDS LÄN</t>
        </is>
      </c>
      <c r="E8502" t="inlineStr">
        <is>
          <t>HÄRJEDALEN</t>
        </is>
      </c>
      <c r="F8502" t="inlineStr">
        <is>
          <t>Bergvik skog väst AB</t>
        </is>
      </c>
      <c r="G8502" t="n">
        <v>10.1</v>
      </c>
      <c r="H8502" t="n">
        <v>0</v>
      </c>
      <c r="I8502" t="n">
        <v>0</v>
      </c>
      <c r="J8502" t="n">
        <v>0</v>
      </c>
      <c r="K8502" t="n">
        <v>0</v>
      </c>
      <c r="L8502" t="n">
        <v>0</v>
      </c>
      <c r="M8502" t="n">
        <v>0</v>
      </c>
      <c r="N8502" t="n">
        <v>0</v>
      </c>
      <c r="O8502" t="n">
        <v>0</v>
      </c>
      <c r="P8502" t="n">
        <v>0</v>
      </c>
      <c r="Q8502" t="n">
        <v>0</v>
      </c>
      <c r="R8502" s="2" t="inlineStr"/>
    </row>
    <row r="8503" ht="15" customHeight="1">
      <c r="A8503" t="inlineStr">
        <is>
          <t>A 26735-2023</t>
        </is>
      </c>
      <c r="B8503" s="1" t="n">
        <v>45093</v>
      </c>
      <c r="C8503" s="1" t="n">
        <v>45363</v>
      </c>
      <c r="D8503" t="inlineStr">
        <is>
          <t>JÄMTLANDS LÄN</t>
        </is>
      </c>
      <c r="E8503" t="inlineStr">
        <is>
          <t>STRÖMSUND</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26902-2023</t>
        </is>
      </c>
      <c r="B8504" s="1" t="n">
        <v>45093</v>
      </c>
      <c r="C8504" s="1" t="n">
        <v>45363</v>
      </c>
      <c r="D8504" t="inlineStr">
        <is>
          <t>JÄMTLANDS LÄN</t>
        </is>
      </c>
      <c r="E8504" t="inlineStr">
        <is>
          <t>HÄRJEDALEN</t>
        </is>
      </c>
      <c r="F8504" t="inlineStr">
        <is>
          <t>Bergvik skog väst AB</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26991-2023</t>
        </is>
      </c>
      <c r="B8505" s="1" t="n">
        <v>45094</v>
      </c>
      <c r="C8505" s="1" t="n">
        <v>45363</v>
      </c>
      <c r="D8505" t="inlineStr">
        <is>
          <t>JÄMTLANDS LÄN</t>
        </is>
      </c>
      <c r="E8505" t="inlineStr">
        <is>
          <t>RAGUNDA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26995-2023</t>
        </is>
      </c>
      <c r="B8506" s="1" t="n">
        <v>45093</v>
      </c>
      <c r="C8506" s="1" t="n">
        <v>45363</v>
      </c>
      <c r="D8506" t="inlineStr">
        <is>
          <t>JÄMTLANDS LÄN</t>
        </is>
      </c>
      <c r="E8506" t="inlineStr">
        <is>
          <t>RAGUNDA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27004-2023</t>
        </is>
      </c>
      <c r="B8507" s="1" t="n">
        <v>45094</v>
      </c>
      <c r="C8507" s="1" t="n">
        <v>45363</v>
      </c>
      <c r="D8507" t="inlineStr">
        <is>
          <t>JÄMTLANDS LÄN</t>
        </is>
      </c>
      <c r="E8507" t="inlineStr">
        <is>
          <t>ÖSTERSUND</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26993-2023</t>
        </is>
      </c>
      <c r="B8508" s="1" t="n">
        <v>45093</v>
      </c>
      <c r="C8508" s="1" t="n">
        <v>45363</v>
      </c>
      <c r="D8508" t="inlineStr">
        <is>
          <t>JÄMTLANDS LÄN</t>
        </is>
      </c>
      <c r="E8508" t="inlineStr">
        <is>
          <t>RAGUNDA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26905-2023</t>
        </is>
      </c>
      <c r="B8509" s="1" t="n">
        <v>45093</v>
      </c>
      <c r="C8509" s="1" t="n">
        <v>45363</v>
      </c>
      <c r="D8509" t="inlineStr">
        <is>
          <t>JÄMTLANDS LÄN</t>
        </is>
      </c>
      <c r="E8509" t="inlineStr">
        <is>
          <t>HÄRJEDALEN</t>
        </is>
      </c>
      <c r="F8509" t="inlineStr">
        <is>
          <t>Bergvik skog väst AB</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26994-2023</t>
        </is>
      </c>
      <c r="B8510" s="1" t="n">
        <v>45094</v>
      </c>
      <c r="C8510" s="1" t="n">
        <v>45363</v>
      </c>
      <c r="D8510" t="inlineStr">
        <is>
          <t>JÄMTLANDS LÄN</t>
        </is>
      </c>
      <c r="E8510" t="inlineStr">
        <is>
          <t>RAGUNDA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26992-2023</t>
        </is>
      </c>
      <c r="B8511" s="1" t="n">
        <v>45094</v>
      </c>
      <c r="C8511" s="1" t="n">
        <v>45363</v>
      </c>
      <c r="D8511" t="inlineStr">
        <is>
          <t>JÄMTLANDS LÄN</t>
        </is>
      </c>
      <c r="E8511" t="inlineStr">
        <is>
          <t>RAGUNDA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27124-2023</t>
        </is>
      </c>
      <c r="B8512" s="1" t="n">
        <v>45096</v>
      </c>
      <c r="C8512" s="1" t="n">
        <v>45363</v>
      </c>
      <c r="D8512" t="inlineStr">
        <is>
          <t>JÄMTLANDS LÄN</t>
        </is>
      </c>
      <c r="E8512" t="inlineStr">
        <is>
          <t>ÖSTERSUND</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27136-2023</t>
        </is>
      </c>
      <c r="B8513" s="1" t="n">
        <v>45096</v>
      </c>
      <c r="C8513" s="1" t="n">
        <v>45363</v>
      </c>
      <c r="D8513" t="inlineStr">
        <is>
          <t>JÄMTLANDS LÄN</t>
        </is>
      </c>
      <c r="E8513" t="inlineStr">
        <is>
          <t>HÄRJEDALEN</t>
        </is>
      </c>
      <c r="F8513" t="inlineStr">
        <is>
          <t>Bergvik skog väst AB</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27118-2023</t>
        </is>
      </c>
      <c r="B8514" s="1" t="n">
        <v>45096</v>
      </c>
      <c r="C8514" s="1" t="n">
        <v>45363</v>
      </c>
      <c r="D8514" t="inlineStr">
        <is>
          <t>JÄMTLANDS LÄN</t>
        </is>
      </c>
      <c r="E8514" t="inlineStr">
        <is>
          <t>ÖSTERSUND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27130-2023</t>
        </is>
      </c>
      <c r="B8515" s="1" t="n">
        <v>45096</v>
      </c>
      <c r="C8515" s="1" t="n">
        <v>45363</v>
      </c>
      <c r="D8515" t="inlineStr">
        <is>
          <t>JÄMTLANDS LÄN</t>
        </is>
      </c>
      <c r="E8515" t="inlineStr">
        <is>
          <t>ÖSTERSUND</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27261-2023</t>
        </is>
      </c>
      <c r="B8516" s="1" t="n">
        <v>45096</v>
      </c>
      <c r="C8516" s="1" t="n">
        <v>45363</v>
      </c>
      <c r="D8516" t="inlineStr">
        <is>
          <t>JÄMTLANDS LÄN</t>
        </is>
      </c>
      <c r="E8516" t="inlineStr">
        <is>
          <t>HÄRJEDALEN</t>
        </is>
      </c>
      <c r="F8516" t="inlineStr">
        <is>
          <t>Bergvik skog väst AB</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27377-2023</t>
        </is>
      </c>
      <c r="B8517" s="1" t="n">
        <v>45096</v>
      </c>
      <c r="C8517" s="1" t="n">
        <v>45363</v>
      </c>
      <c r="D8517" t="inlineStr">
        <is>
          <t>JÄMTLANDS LÄN</t>
        </is>
      </c>
      <c r="E8517" t="inlineStr">
        <is>
          <t>BERG</t>
        </is>
      </c>
      <c r="F8517" t="inlineStr">
        <is>
          <t>SCA</t>
        </is>
      </c>
      <c r="G8517" t="n">
        <v>25.3</v>
      </c>
      <c r="H8517" t="n">
        <v>0</v>
      </c>
      <c r="I8517" t="n">
        <v>0</v>
      </c>
      <c r="J8517" t="n">
        <v>0</v>
      </c>
      <c r="K8517" t="n">
        <v>0</v>
      </c>
      <c r="L8517" t="n">
        <v>0</v>
      </c>
      <c r="M8517" t="n">
        <v>0</v>
      </c>
      <c r="N8517" t="n">
        <v>0</v>
      </c>
      <c r="O8517" t="n">
        <v>0</v>
      </c>
      <c r="P8517" t="n">
        <v>0</v>
      </c>
      <c r="Q8517" t="n">
        <v>0</v>
      </c>
      <c r="R8517" s="2" t="inlineStr"/>
    </row>
    <row r="8518" ht="15" customHeight="1">
      <c r="A8518" t="inlineStr">
        <is>
          <t>A 27354-2023</t>
        </is>
      </c>
      <c r="B8518" s="1" t="n">
        <v>45096</v>
      </c>
      <c r="C8518" s="1" t="n">
        <v>45363</v>
      </c>
      <c r="D8518" t="inlineStr">
        <is>
          <t>JÄMTLANDS LÄN</t>
        </is>
      </c>
      <c r="E8518" t="inlineStr">
        <is>
          <t>BRÄCKE</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27389-2023</t>
        </is>
      </c>
      <c r="B8519" s="1" t="n">
        <v>45096</v>
      </c>
      <c r="C8519" s="1" t="n">
        <v>45363</v>
      </c>
      <c r="D8519" t="inlineStr">
        <is>
          <t>JÄMTLANDS LÄN</t>
        </is>
      </c>
      <c r="E8519" t="inlineStr">
        <is>
          <t>STRÖMSUND</t>
        </is>
      </c>
      <c r="F8519" t="inlineStr">
        <is>
          <t>SCA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27366-2023</t>
        </is>
      </c>
      <c r="B8520" s="1" t="n">
        <v>45096</v>
      </c>
      <c r="C8520" s="1" t="n">
        <v>45363</v>
      </c>
      <c r="D8520" t="inlineStr">
        <is>
          <t>JÄMTLANDS LÄN</t>
        </is>
      </c>
      <c r="E8520" t="inlineStr">
        <is>
          <t>STRÖMSUND</t>
        </is>
      </c>
      <c r="F8520" t="inlineStr">
        <is>
          <t>SCA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27386-2023</t>
        </is>
      </c>
      <c r="B8521" s="1" t="n">
        <v>45097</v>
      </c>
      <c r="C8521" s="1" t="n">
        <v>45363</v>
      </c>
      <c r="D8521" t="inlineStr">
        <is>
          <t>JÄMTLANDS LÄN</t>
        </is>
      </c>
      <c r="E8521" t="inlineStr">
        <is>
          <t>STRÖMSUND</t>
        </is>
      </c>
      <c r="F8521" t="inlineStr">
        <is>
          <t>SCA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27374-2023</t>
        </is>
      </c>
      <c r="B8522" s="1" t="n">
        <v>45097</v>
      </c>
      <c r="C8522" s="1" t="n">
        <v>45363</v>
      </c>
      <c r="D8522" t="inlineStr">
        <is>
          <t>JÄMTLANDS LÄN</t>
        </is>
      </c>
      <c r="E8522" t="inlineStr">
        <is>
          <t>STRÖMSUND</t>
        </is>
      </c>
      <c r="F8522" t="inlineStr">
        <is>
          <t>SCA</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27376-2023</t>
        </is>
      </c>
      <c r="B8523" s="1" t="n">
        <v>45097</v>
      </c>
      <c r="C8523" s="1" t="n">
        <v>45363</v>
      </c>
      <c r="D8523" t="inlineStr">
        <is>
          <t>JÄMTLANDS LÄN</t>
        </is>
      </c>
      <c r="E8523" t="inlineStr">
        <is>
          <t>BERG</t>
        </is>
      </c>
      <c r="F8523" t="inlineStr">
        <is>
          <t>SCA</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27388-2023</t>
        </is>
      </c>
      <c r="B8524" s="1" t="n">
        <v>45097</v>
      </c>
      <c r="C8524" s="1" t="n">
        <v>45363</v>
      </c>
      <c r="D8524" t="inlineStr">
        <is>
          <t>JÄMTLANDS LÄN</t>
        </is>
      </c>
      <c r="E8524" t="inlineStr">
        <is>
          <t>STRÖMSUND</t>
        </is>
      </c>
      <c r="F8524" t="inlineStr">
        <is>
          <t>SCA</t>
        </is>
      </c>
      <c r="G8524" t="n">
        <v>10.9</v>
      </c>
      <c r="H8524" t="n">
        <v>0</v>
      </c>
      <c r="I8524" t="n">
        <v>0</v>
      </c>
      <c r="J8524" t="n">
        <v>0</v>
      </c>
      <c r="K8524" t="n">
        <v>0</v>
      </c>
      <c r="L8524" t="n">
        <v>0</v>
      </c>
      <c r="M8524" t="n">
        <v>0</v>
      </c>
      <c r="N8524" t="n">
        <v>0</v>
      </c>
      <c r="O8524" t="n">
        <v>0</v>
      </c>
      <c r="P8524" t="n">
        <v>0</v>
      </c>
      <c r="Q8524" t="n">
        <v>0</v>
      </c>
      <c r="R8524" s="2" t="inlineStr"/>
    </row>
    <row r="8525" ht="15" customHeight="1">
      <c r="A8525" t="inlineStr">
        <is>
          <t>A 27368-2023</t>
        </is>
      </c>
      <c r="B8525" s="1" t="n">
        <v>45096</v>
      </c>
      <c r="C8525" s="1" t="n">
        <v>45363</v>
      </c>
      <c r="D8525" t="inlineStr">
        <is>
          <t>JÄMTLANDS LÄN</t>
        </is>
      </c>
      <c r="E8525" t="inlineStr">
        <is>
          <t>STRÖMSUND</t>
        </is>
      </c>
      <c r="F8525" t="inlineStr">
        <is>
          <t>SCA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27365-2023</t>
        </is>
      </c>
      <c r="B8526" s="1" t="n">
        <v>45097</v>
      </c>
      <c r="C8526" s="1" t="n">
        <v>45363</v>
      </c>
      <c r="D8526" t="inlineStr">
        <is>
          <t>JÄMTLANDS LÄN</t>
        </is>
      </c>
      <c r="E8526" t="inlineStr">
        <is>
          <t>STRÖMSUND</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27373-2023</t>
        </is>
      </c>
      <c r="B8527" s="1" t="n">
        <v>45097</v>
      </c>
      <c r="C8527" s="1" t="n">
        <v>45363</v>
      </c>
      <c r="D8527" t="inlineStr">
        <is>
          <t>JÄMTLANDS LÄN</t>
        </is>
      </c>
      <c r="E8527" t="inlineStr">
        <is>
          <t>RAGUNDA</t>
        </is>
      </c>
      <c r="F8527" t="inlineStr">
        <is>
          <t>SCA</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28801-2023</t>
        </is>
      </c>
      <c r="B8528" s="1" t="n">
        <v>45096</v>
      </c>
      <c r="C8528" s="1" t="n">
        <v>45363</v>
      </c>
      <c r="D8528" t="inlineStr">
        <is>
          <t>JÄMTLANDS LÄN</t>
        </is>
      </c>
      <c r="E8528" t="inlineStr">
        <is>
          <t>BRÄCKE</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27387-2023</t>
        </is>
      </c>
      <c r="B8529" s="1" t="n">
        <v>45097</v>
      </c>
      <c r="C8529" s="1" t="n">
        <v>45363</v>
      </c>
      <c r="D8529" t="inlineStr">
        <is>
          <t>JÄMTLANDS LÄN</t>
        </is>
      </c>
      <c r="E8529" t="inlineStr">
        <is>
          <t>STRÖMSUND</t>
        </is>
      </c>
      <c r="F8529" t="inlineStr">
        <is>
          <t>SCA</t>
        </is>
      </c>
      <c r="G8529" t="n">
        <v>10.2</v>
      </c>
      <c r="H8529" t="n">
        <v>0</v>
      </c>
      <c r="I8529" t="n">
        <v>0</v>
      </c>
      <c r="J8529" t="n">
        <v>0</v>
      </c>
      <c r="K8529" t="n">
        <v>0</v>
      </c>
      <c r="L8529" t="n">
        <v>0</v>
      </c>
      <c r="M8529" t="n">
        <v>0</v>
      </c>
      <c r="N8529" t="n">
        <v>0</v>
      </c>
      <c r="O8529" t="n">
        <v>0</v>
      </c>
      <c r="P8529" t="n">
        <v>0</v>
      </c>
      <c r="Q8529" t="n">
        <v>0</v>
      </c>
      <c r="R8529" s="2" t="inlineStr"/>
    </row>
    <row r="8530" ht="15" customHeight="1">
      <c r="A8530" t="inlineStr">
        <is>
          <t>A 27363-2023</t>
        </is>
      </c>
      <c r="B8530" s="1" t="n">
        <v>45097</v>
      </c>
      <c r="C8530" s="1" t="n">
        <v>45363</v>
      </c>
      <c r="D8530" t="inlineStr">
        <is>
          <t>JÄMTLANDS LÄN</t>
        </is>
      </c>
      <c r="E8530" t="inlineStr">
        <is>
          <t>BRÄCKE</t>
        </is>
      </c>
      <c r="F8530" t="inlineStr">
        <is>
          <t>SCA</t>
        </is>
      </c>
      <c r="G8530" t="n">
        <v>12.6</v>
      </c>
      <c r="H8530" t="n">
        <v>0</v>
      </c>
      <c r="I8530" t="n">
        <v>0</v>
      </c>
      <c r="J8530" t="n">
        <v>0</v>
      </c>
      <c r="K8530" t="n">
        <v>0</v>
      </c>
      <c r="L8530" t="n">
        <v>0</v>
      </c>
      <c r="M8530" t="n">
        <v>0</v>
      </c>
      <c r="N8530" t="n">
        <v>0</v>
      </c>
      <c r="O8530" t="n">
        <v>0</v>
      </c>
      <c r="P8530" t="n">
        <v>0</v>
      </c>
      <c r="Q8530" t="n">
        <v>0</v>
      </c>
      <c r="R8530" s="2" t="inlineStr"/>
    </row>
    <row r="8531" ht="15" customHeight="1">
      <c r="A8531" t="inlineStr">
        <is>
          <t>A 27375-2023</t>
        </is>
      </c>
      <c r="B8531" s="1" t="n">
        <v>45097</v>
      </c>
      <c r="C8531" s="1" t="n">
        <v>45363</v>
      </c>
      <c r="D8531" t="inlineStr">
        <is>
          <t>JÄMTLANDS LÄN</t>
        </is>
      </c>
      <c r="E8531" t="inlineStr">
        <is>
          <t>STRÖMSUND</t>
        </is>
      </c>
      <c r="F8531" t="inlineStr">
        <is>
          <t>SCA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27379-2023</t>
        </is>
      </c>
      <c r="B8532" s="1" t="n">
        <v>45097</v>
      </c>
      <c r="C8532" s="1" t="n">
        <v>45363</v>
      </c>
      <c r="D8532" t="inlineStr">
        <is>
          <t>JÄMTLANDS LÄN</t>
        </is>
      </c>
      <c r="E8532" t="inlineStr">
        <is>
          <t>RAGUNDA</t>
        </is>
      </c>
      <c r="F8532" t="inlineStr">
        <is>
          <t>SCA</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28685-2023</t>
        </is>
      </c>
      <c r="B8533" s="1" t="n">
        <v>45096</v>
      </c>
      <c r="C8533" s="1" t="n">
        <v>45363</v>
      </c>
      <c r="D8533" t="inlineStr">
        <is>
          <t>JÄMTLANDS LÄN</t>
        </is>
      </c>
      <c r="E8533" t="inlineStr">
        <is>
          <t>RAGUNDA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28796-2023</t>
        </is>
      </c>
      <c r="B8534" s="1" t="n">
        <v>45096</v>
      </c>
      <c r="C8534" s="1" t="n">
        <v>45363</v>
      </c>
      <c r="D8534" t="inlineStr">
        <is>
          <t>JÄMTLANDS LÄN</t>
        </is>
      </c>
      <c r="E8534" t="inlineStr">
        <is>
          <t>BRÄCKE</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28137-2023</t>
        </is>
      </c>
      <c r="B8535" s="1" t="n">
        <v>45096</v>
      </c>
      <c r="C8535" s="1" t="n">
        <v>45363</v>
      </c>
      <c r="D8535" t="inlineStr">
        <is>
          <t>JÄMTLANDS LÄN</t>
        </is>
      </c>
      <c r="E8535" t="inlineStr">
        <is>
          <t>KROKOM</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28660-2023</t>
        </is>
      </c>
      <c r="B8536" s="1" t="n">
        <v>45096</v>
      </c>
      <c r="C8536" s="1" t="n">
        <v>45363</v>
      </c>
      <c r="D8536" t="inlineStr">
        <is>
          <t>JÄMTLANDS LÄN</t>
        </is>
      </c>
      <c r="E8536" t="inlineStr">
        <is>
          <t>STRÖMSUND</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28806-2023</t>
        </is>
      </c>
      <c r="B8537" s="1" t="n">
        <v>45096</v>
      </c>
      <c r="C8537" s="1" t="n">
        <v>45363</v>
      </c>
      <c r="D8537" t="inlineStr">
        <is>
          <t>JÄMTLANDS LÄN</t>
        </is>
      </c>
      <c r="E8537" t="inlineStr">
        <is>
          <t>RAGUNDA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27541-2023</t>
        </is>
      </c>
      <c r="B8538" s="1" t="n">
        <v>45097</v>
      </c>
      <c r="C8538" s="1" t="n">
        <v>45363</v>
      </c>
      <c r="D8538" t="inlineStr">
        <is>
          <t>JÄMTLANDS LÄN</t>
        </is>
      </c>
      <c r="E8538" t="inlineStr">
        <is>
          <t>HÄRJEDALEN</t>
        </is>
      </c>
      <c r="F8538" t="inlineStr">
        <is>
          <t>Bergvik skog väst AB</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27616-2023</t>
        </is>
      </c>
      <c r="B8539" s="1" t="n">
        <v>45097</v>
      </c>
      <c r="C8539" s="1" t="n">
        <v>45363</v>
      </c>
      <c r="D8539" t="inlineStr">
        <is>
          <t>JÄMTLANDS LÄN</t>
        </is>
      </c>
      <c r="E8539" t="inlineStr">
        <is>
          <t>KROKOM</t>
        </is>
      </c>
      <c r="F8539" t="inlineStr">
        <is>
          <t>Övriga Aktiebolag</t>
        </is>
      </c>
      <c r="G8539" t="n">
        <v>13.3</v>
      </c>
      <c r="H8539" t="n">
        <v>0</v>
      </c>
      <c r="I8539" t="n">
        <v>0</v>
      </c>
      <c r="J8539" t="n">
        <v>0</v>
      </c>
      <c r="K8539" t="n">
        <v>0</v>
      </c>
      <c r="L8539" t="n">
        <v>0</v>
      </c>
      <c r="M8539" t="n">
        <v>0</v>
      </c>
      <c r="N8539" t="n">
        <v>0</v>
      </c>
      <c r="O8539" t="n">
        <v>0</v>
      </c>
      <c r="P8539" t="n">
        <v>0</v>
      </c>
      <c r="Q8539" t="n">
        <v>0</v>
      </c>
      <c r="R8539" s="2" t="inlineStr"/>
    </row>
    <row r="8540" ht="15" customHeight="1">
      <c r="A8540" t="inlineStr">
        <is>
          <t>A 27691-2023</t>
        </is>
      </c>
      <c r="B8540" s="1" t="n">
        <v>45098</v>
      </c>
      <c r="C8540" s="1" t="n">
        <v>45363</v>
      </c>
      <c r="D8540" t="inlineStr">
        <is>
          <t>JÄMTLANDS LÄN</t>
        </is>
      </c>
      <c r="E8540" t="inlineStr">
        <is>
          <t>BRÄCKE</t>
        </is>
      </c>
      <c r="F8540" t="inlineStr">
        <is>
          <t>SCA</t>
        </is>
      </c>
      <c r="G8540" t="n">
        <v>26.5</v>
      </c>
      <c r="H8540" t="n">
        <v>0</v>
      </c>
      <c r="I8540" t="n">
        <v>0</v>
      </c>
      <c r="J8540" t="n">
        <v>0</v>
      </c>
      <c r="K8540" t="n">
        <v>0</v>
      </c>
      <c r="L8540" t="n">
        <v>0</v>
      </c>
      <c r="M8540" t="n">
        <v>0</v>
      </c>
      <c r="N8540" t="n">
        <v>0</v>
      </c>
      <c r="O8540" t="n">
        <v>0</v>
      </c>
      <c r="P8540" t="n">
        <v>0</v>
      </c>
      <c r="Q8540" t="n">
        <v>0</v>
      </c>
      <c r="R8540" s="2" t="inlineStr"/>
    </row>
    <row r="8541" ht="15" customHeight="1">
      <c r="A8541" t="inlineStr">
        <is>
          <t>A 27690-2023</t>
        </is>
      </c>
      <c r="B8541" s="1" t="n">
        <v>45098</v>
      </c>
      <c r="C8541" s="1" t="n">
        <v>45363</v>
      </c>
      <c r="D8541" t="inlineStr">
        <is>
          <t>JÄMTLANDS LÄN</t>
        </is>
      </c>
      <c r="E8541" t="inlineStr">
        <is>
          <t>BRÄCKE</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27679-2023</t>
        </is>
      </c>
      <c r="B8542" s="1" t="n">
        <v>45098</v>
      </c>
      <c r="C8542" s="1" t="n">
        <v>45363</v>
      </c>
      <c r="D8542" t="inlineStr">
        <is>
          <t>JÄMTLANDS LÄN</t>
        </is>
      </c>
      <c r="E8542" t="inlineStr">
        <is>
          <t>STRÖMSUND</t>
        </is>
      </c>
      <c r="G8542" t="n">
        <v>12.7</v>
      </c>
      <c r="H8542" t="n">
        <v>0</v>
      </c>
      <c r="I8542" t="n">
        <v>0</v>
      </c>
      <c r="J8542" t="n">
        <v>0</v>
      </c>
      <c r="K8542" t="n">
        <v>0</v>
      </c>
      <c r="L8542" t="n">
        <v>0</v>
      </c>
      <c r="M8542" t="n">
        <v>0</v>
      </c>
      <c r="N8542" t="n">
        <v>0</v>
      </c>
      <c r="O8542" t="n">
        <v>0</v>
      </c>
      <c r="P8542" t="n">
        <v>0</v>
      </c>
      <c r="Q8542" t="n">
        <v>0</v>
      </c>
      <c r="R8542" s="2" t="inlineStr"/>
    </row>
    <row r="8543" ht="15" customHeight="1">
      <c r="A8543" t="inlineStr">
        <is>
          <t>A 29143-2023</t>
        </is>
      </c>
      <c r="B8543" s="1" t="n">
        <v>45097</v>
      </c>
      <c r="C8543" s="1" t="n">
        <v>45363</v>
      </c>
      <c r="D8543" t="inlineStr">
        <is>
          <t>JÄMTLANDS LÄN</t>
        </is>
      </c>
      <c r="E8543" t="inlineStr">
        <is>
          <t>BERG</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29078-2023</t>
        </is>
      </c>
      <c r="B8544" s="1" t="n">
        <v>45097</v>
      </c>
      <c r="C8544" s="1" t="n">
        <v>45363</v>
      </c>
      <c r="D8544" t="inlineStr">
        <is>
          <t>JÄMTLANDS LÄN</t>
        </is>
      </c>
      <c r="E8544" t="inlineStr">
        <is>
          <t>BERG</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29224-2023</t>
        </is>
      </c>
      <c r="B8545" s="1" t="n">
        <v>45097</v>
      </c>
      <c r="C8545" s="1" t="n">
        <v>45363</v>
      </c>
      <c r="D8545" t="inlineStr">
        <is>
          <t>JÄMTLANDS LÄN</t>
        </is>
      </c>
      <c r="E8545" t="inlineStr">
        <is>
          <t>KROKOM</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29244-2023</t>
        </is>
      </c>
      <c r="B8546" s="1" t="n">
        <v>45097</v>
      </c>
      <c r="C8546" s="1" t="n">
        <v>45363</v>
      </c>
      <c r="D8546" t="inlineStr">
        <is>
          <t>JÄMTLANDS LÄN</t>
        </is>
      </c>
      <c r="E8546" t="inlineStr">
        <is>
          <t>KROKOM</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27764-2023</t>
        </is>
      </c>
      <c r="B8547" s="1" t="n">
        <v>45098</v>
      </c>
      <c r="C8547" s="1" t="n">
        <v>45363</v>
      </c>
      <c r="D8547" t="inlineStr">
        <is>
          <t>JÄMTLANDS LÄN</t>
        </is>
      </c>
      <c r="E8547" t="inlineStr">
        <is>
          <t>HÄRJEDALEN</t>
        </is>
      </c>
      <c r="G8547" t="n">
        <v>66.40000000000001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27812-2023</t>
        </is>
      </c>
      <c r="B8548" s="1" t="n">
        <v>45098</v>
      </c>
      <c r="C8548" s="1" t="n">
        <v>45363</v>
      </c>
      <c r="D8548" t="inlineStr">
        <is>
          <t>JÄMTLANDS LÄN</t>
        </is>
      </c>
      <c r="E8548" t="inlineStr">
        <is>
          <t>HÄRJEDALEN</t>
        </is>
      </c>
      <c r="F8548" t="inlineStr">
        <is>
          <t>Bergvik skog väst AB</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27753-2023</t>
        </is>
      </c>
      <c r="B8549" s="1" t="n">
        <v>45098</v>
      </c>
      <c r="C8549" s="1" t="n">
        <v>45363</v>
      </c>
      <c r="D8549" t="inlineStr">
        <is>
          <t>JÄMTLANDS LÄN</t>
        </is>
      </c>
      <c r="E8549" t="inlineStr">
        <is>
          <t>KROKOM</t>
        </is>
      </c>
      <c r="F8549" t="inlineStr">
        <is>
          <t>Övriga Aktiebolag</t>
        </is>
      </c>
      <c r="G8549" t="n">
        <v>20.9</v>
      </c>
      <c r="H8549" t="n">
        <v>0</v>
      </c>
      <c r="I8549" t="n">
        <v>0</v>
      </c>
      <c r="J8549" t="n">
        <v>0</v>
      </c>
      <c r="K8549" t="n">
        <v>0</v>
      </c>
      <c r="L8549" t="n">
        <v>0</v>
      </c>
      <c r="M8549" t="n">
        <v>0</v>
      </c>
      <c r="N8549" t="n">
        <v>0</v>
      </c>
      <c r="O8549" t="n">
        <v>0</v>
      </c>
      <c r="P8549" t="n">
        <v>0</v>
      </c>
      <c r="Q8549" t="n">
        <v>0</v>
      </c>
      <c r="R8549" s="2" t="inlineStr"/>
    </row>
    <row r="8550" ht="15" customHeight="1">
      <c r="A8550" t="inlineStr">
        <is>
          <t>A 27940-2023</t>
        </is>
      </c>
      <c r="B8550" s="1" t="n">
        <v>45098</v>
      </c>
      <c r="C8550" s="1" t="n">
        <v>45363</v>
      </c>
      <c r="D8550" t="inlineStr">
        <is>
          <t>JÄMTLANDS LÄN</t>
        </is>
      </c>
      <c r="E8550" t="inlineStr">
        <is>
          <t>HÄRJEDALEN</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28005-2023</t>
        </is>
      </c>
      <c r="B8551" s="1" t="n">
        <v>45099</v>
      </c>
      <c r="C8551" s="1" t="n">
        <v>45363</v>
      </c>
      <c r="D8551" t="inlineStr">
        <is>
          <t>JÄMTLANDS LÄN</t>
        </is>
      </c>
      <c r="E8551" t="inlineStr">
        <is>
          <t>STRÖMSUND</t>
        </is>
      </c>
      <c r="F8551" t="inlineStr">
        <is>
          <t>SCA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28009-2023</t>
        </is>
      </c>
      <c r="B8552" s="1" t="n">
        <v>45098</v>
      </c>
      <c r="C8552" s="1" t="n">
        <v>45363</v>
      </c>
      <c r="D8552" t="inlineStr">
        <is>
          <t>JÄMTLANDS LÄN</t>
        </is>
      </c>
      <c r="E8552" t="inlineStr">
        <is>
          <t>BERG</t>
        </is>
      </c>
      <c r="F8552" t="inlineStr">
        <is>
          <t>SCA</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28006-2023</t>
        </is>
      </c>
      <c r="B8553" s="1" t="n">
        <v>45099</v>
      </c>
      <c r="C8553" s="1" t="n">
        <v>45363</v>
      </c>
      <c r="D8553" t="inlineStr">
        <is>
          <t>JÄMTLANDS LÄN</t>
        </is>
      </c>
      <c r="E8553" t="inlineStr">
        <is>
          <t>STRÖMSUND</t>
        </is>
      </c>
      <c r="F8553" t="inlineStr">
        <is>
          <t>SCA</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28014-2023</t>
        </is>
      </c>
      <c r="B8554" s="1" t="n">
        <v>45098</v>
      </c>
      <c r="C8554" s="1" t="n">
        <v>45363</v>
      </c>
      <c r="D8554" t="inlineStr">
        <is>
          <t>JÄMTLANDS LÄN</t>
        </is>
      </c>
      <c r="E8554" t="inlineStr">
        <is>
          <t>STRÖMSUND</t>
        </is>
      </c>
      <c r="F8554" t="inlineStr">
        <is>
          <t>SCA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28003-2023</t>
        </is>
      </c>
      <c r="B8555" s="1" t="n">
        <v>45099</v>
      </c>
      <c r="C8555" s="1" t="n">
        <v>45363</v>
      </c>
      <c r="D8555" t="inlineStr">
        <is>
          <t>JÄMTLANDS LÄN</t>
        </is>
      </c>
      <c r="E8555" t="inlineStr">
        <is>
          <t>STRÖMSUND</t>
        </is>
      </c>
      <c r="F8555" t="inlineStr">
        <is>
          <t>SCA</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28004-2023</t>
        </is>
      </c>
      <c r="B8556" s="1" t="n">
        <v>45099</v>
      </c>
      <c r="C8556" s="1" t="n">
        <v>45363</v>
      </c>
      <c r="D8556" t="inlineStr">
        <is>
          <t>JÄMTLANDS LÄN</t>
        </is>
      </c>
      <c r="E8556" t="inlineStr">
        <is>
          <t>STRÖMSUND</t>
        </is>
      </c>
      <c r="F8556" t="inlineStr">
        <is>
          <t>SCA</t>
        </is>
      </c>
      <c r="G8556" t="n">
        <v>20.1</v>
      </c>
      <c r="H8556" t="n">
        <v>0</v>
      </c>
      <c r="I8556" t="n">
        <v>0</v>
      </c>
      <c r="J8556" t="n">
        <v>0</v>
      </c>
      <c r="K8556" t="n">
        <v>0</v>
      </c>
      <c r="L8556" t="n">
        <v>0</v>
      </c>
      <c r="M8556" t="n">
        <v>0</v>
      </c>
      <c r="N8556" t="n">
        <v>0</v>
      </c>
      <c r="O8556" t="n">
        <v>0</v>
      </c>
      <c r="P8556" t="n">
        <v>0</v>
      </c>
      <c r="Q8556" t="n">
        <v>0</v>
      </c>
      <c r="R8556" s="2" t="inlineStr"/>
    </row>
    <row r="8557" ht="15" customHeight="1">
      <c r="A8557" t="inlineStr">
        <is>
          <t>A 28016-2023</t>
        </is>
      </c>
      <c r="B8557" s="1" t="n">
        <v>45099</v>
      </c>
      <c r="C8557" s="1" t="n">
        <v>45363</v>
      </c>
      <c r="D8557" t="inlineStr">
        <is>
          <t>JÄMTLANDS LÄN</t>
        </is>
      </c>
      <c r="E8557" t="inlineStr">
        <is>
          <t>STRÖMSUND</t>
        </is>
      </c>
      <c r="F8557" t="inlineStr">
        <is>
          <t>SCA</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29293-2023</t>
        </is>
      </c>
      <c r="B8558" s="1" t="n">
        <v>45098</v>
      </c>
      <c r="C8558" s="1" t="n">
        <v>45363</v>
      </c>
      <c r="D8558" t="inlineStr">
        <is>
          <t>JÄMTLANDS LÄN</t>
        </is>
      </c>
      <c r="E8558" t="inlineStr">
        <is>
          <t>ÅRE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29295-2023</t>
        </is>
      </c>
      <c r="B8559" s="1" t="n">
        <v>45098</v>
      </c>
      <c r="C8559" s="1" t="n">
        <v>45363</v>
      </c>
      <c r="D8559" t="inlineStr">
        <is>
          <t>JÄMTLANDS LÄN</t>
        </is>
      </c>
      <c r="E8559" t="inlineStr">
        <is>
          <t>ÅRE</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29469-2023</t>
        </is>
      </c>
      <c r="B8560" s="1" t="n">
        <v>45098</v>
      </c>
      <c r="C8560" s="1" t="n">
        <v>45363</v>
      </c>
      <c r="D8560" t="inlineStr">
        <is>
          <t>JÄMTLANDS LÄN</t>
        </is>
      </c>
      <c r="E8560" t="inlineStr">
        <is>
          <t>ÅRE</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29548-2023</t>
        </is>
      </c>
      <c r="B8561" s="1" t="n">
        <v>45098</v>
      </c>
      <c r="C8561" s="1" t="n">
        <v>45363</v>
      </c>
      <c r="D8561" t="inlineStr">
        <is>
          <t>JÄMTLANDS LÄN</t>
        </is>
      </c>
      <c r="E8561" t="inlineStr">
        <is>
          <t>ÖSTERSUND</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29383-2023</t>
        </is>
      </c>
      <c r="B8562" s="1" t="n">
        <v>45098</v>
      </c>
      <c r="C8562" s="1" t="n">
        <v>45363</v>
      </c>
      <c r="D8562" t="inlineStr">
        <is>
          <t>JÄMTLANDS LÄN</t>
        </is>
      </c>
      <c r="E8562" t="inlineStr">
        <is>
          <t>BERG</t>
        </is>
      </c>
      <c r="G8562" t="n">
        <v>6.1</v>
      </c>
      <c r="H8562" t="n">
        <v>0</v>
      </c>
      <c r="I8562" t="n">
        <v>0</v>
      </c>
      <c r="J8562" t="n">
        <v>0</v>
      </c>
      <c r="K8562" t="n">
        <v>0</v>
      </c>
      <c r="L8562" t="n">
        <v>0</v>
      </c>
      <c r="M8562" t="n">
        <v>0</v>
      </c>
      <c r="N8562" t="n">
        <v>0</v>
      </c>
      <c r="O8562" t="n">
        <v>0</v>
      </c>
      <c r="P8562" t="n">
        <v>0</v>
      </c>
      <c r="Q8562" t="n">
        <v>0</v>
      </c>
      <c r="R8562" s="2" t="inlineStr"/>
      <c r="U8562">
        <f>HYPERLINK("https://klasma.github.io/Logging_2326/knärot/A 29383-2023 karta knärot.png", "A 29383-2023")</f>
        <v/>
      </c>
      <c r="V8562">
        <f>HYPERLINK("https://klasma.github.io/Logging_2326/klagomål/A 29383-2023 FSC-klagomål.docx", "A 29383-2023")</f>
        <v/>
      </c>
      <c r="W8562">
        <f>HYPERLINK("https://klasma.github.io/Logging_2326/klagomålsmail/A 29383-2023 FSC-klagomål mail.docx", "A 29383-2023")</f>
        <v/>
      </c>
      <c r="X8562">
        <f>HYPERLINK("https://klasma.github.io/Logging_2326/tillsyn/A 29383-2023 tillsynsbegäran.docx", "A 29383-2023")</f>
        <v/>
      </c>
      <c r="Y8562">
        <f>HYPERLINK("https://klasma.github.io/Logging_2326/tillsynsmail/A 29383-2023 tillsynsbegäran mail.docx", "A 29383-2023")</f>
        <v/>
      </c>
    </row>
    <row r="8563" ht="15" customHeight="1">
      <c r="A8563" t="inlineStr">
        <is>
          <t>A 29775-2023</t>
        </is>
      </c>
      <c r="B8563" s="1" t="n">
        <v>45098</v>
      </c>
      <c r="C8563" s="1" t="n">
        <v>45363</v>
      </c>
      <c r="D8563" t="inlineStr">
        <is>
          <t>JÄMTLANDS LÄN</t>
        </is>
      </c>
      <c r="E8563" t="inlineStr">
        <is>
          <t>RAGUNDA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29294-2023</t>
        </is>
      </c>
      <c r="B8564" s="1" t="n">
        <v>45098</v>
      </c>
      <c r="C8564" s="1" t="n">
        <v>45363</v>
      </c>
      <c r="D8564" t="inlineStr">
        <is>
          <t>JÄMTLANDS LÄN</t>
        </is>
      </c>
      <c r="E8564" t="inlineStr">
        <is>
          <t>ÅRE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29593-2023</t>
        </is>
      </c>
      <c r="B8565" s="1" t="n">
        <v>45098</v>
      </c>
      <c r="C8565" s="1" t="n">
        <v>45363</v>
      </c>
      <c r="D8565" t="inlineStr">
        <is>
          <t>JÄMTLANDS LÄN</t>
        </is>
      </c>
      <c r="E8565" t="inlineStr">
        <is>
          <t>STRÖMSUND</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29531-2023</t>
        </is>
      </c>
      <c r="B8566" s="1" t="n">
        <v>45098</v>
      </c>
      <c r="C8566" s="1" t="n">
        <v>45363</v>
      </c>
      <c r="D8566" t="inlineStr">
        <is>
          <t>JÄMTLANDS LÄN</t>
        </is>
      </c>
      <c r="E8566" t="inlineStr">
        <is>
          <t>ÅRE</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29766-2023</t>
        </is>
      </c>
      <c r="B8567" s="1" t="n">
        <v>45098</v>
      </c>
      <c r="C8567" s="1" t="n">
        <v>45363</v>
      </c>
      <c r="D8567" t="inlineStr">
        <is>
          <t>JÄMTLANDS LÄN</t>
        </is>
      </c>
      <c r="E8567" t="inlineStr">
        <is>
          <t>RAGUNDA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30660-2023</t>
        </is>
      </c>
      <c r="B8568" s="1" t="n">
        <v>45098</v>
      </c>
      <c r="C8568" s="1" t="n">
        <v>45363</v>
      </c>
      <c r="D8568" t="inlineStr">
        <is>
          <t>JÄMTLANDS LÄN</t>
        </is>
      </c>
      <c r="E8568" t="inlineStr">
        <is>
          <t>ÅRE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28078-2023</t>
        </is>
      </c>
      <c r="B8569" s="1" t="n">
        <v>45099</v>
      </c>
      <c r="C8569" s="1" t="n">
        <v>45363</v>
      </c>
      <c r="D8569" t="inlineStr">
        <is>
          <t>JÄMTLANDS LÄN</t>
        </is>
      </c>
      <c r="E8569" t="inlineStr">
        <is>
          <t>HÄRJEDALEN</t>
        </is>
      </c>
      <c r="F8569" t="inlineStr">
        <is>
          <t>Bergvik skog väst AB</t>
        </is>
      </c>
      <c r="G8569" t="n">
        <v>7.9</v>
      </c>
      <c r="H8569" t="n">
        <v>0</v>
      </c>
      <c r="I8569" t="n">
        <v>0</v>
      </c>
      <c r="J8569" t="n">
        <v>0</v>
      </c>
      <c r="K8569" t="n">
        <v>0</v>
      </c>
      <c r="L8569" t="n">
        <v>0</v>
      </c>
      <c r="M8569" t="n">
        <v>0</v>
      </c>
      <c r="N8569" t="n">
        <v>0</v>
      </c>
      <c r="O8569" t="n">
        <v>0</v>
      </c>
      <c r="P8569" t="n">
        <v>0</v>
      </c>
      <c r="Q8569" t="n">
        <v>0</v>
      </c>
      <c r="R8569" s="2" t="inlineStr"/>
    </row>
    <row r="8570" ht="15" customHeight="1">
      <c r="A8570" t="inlineStr">
        <is>
          <t>A 28059-2023</t>
        </is>
      </c>
      <c r="B8570" s="1" t="n">
        <v>45099</v>
      </c>
      <c r="C8570" s="1" t="n">
        <v>45363</v>
      </c>
      <c r="D8570" t="inlineStr">
        <is>
          <t>JÄMTLANDS LÄN</t>
        </is>
      </c>
      <c r="E8570" t="inlineStr">
        <is>
          <t>HÄRJEDALEN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28068-2023</t>
        </is>
      </c>
      <c r="B8571" s="1" t="n">
        <v>45099</v>
      </c>
      <c r="C8571" s="1" t="n">
        <v>45363</v>
      </c>
      <c r="D8571" t="inlineStr">
        <is>
          <t>JÄMTLANDS LÄN</t>
        </is>
      </c>
      <c r="E8571" t="inlineStr">
        <is>
          <t>KROKOM</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28072-2023</t>
        </is>
      </c>
      <c r="B8572" s="1" t="n">
        <v>45099</v>
      </c>
      <c r="C8572" s="1" t="n">
        <v>45363</v>
      </c>
      <c r="D8572" t="inlineStr">
        <is>
          <t>JÄMTLANDS LÄN</t>
        </is>
      </c>
      <c r="E8572" t="inlineStr">
        <is>
          <t>KROKOM</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28062-2023</t>
        </is>
      </c>
      <c r="B8573" s="1" t="n">
        <v>45099</v>
      </c>
      <c r="C8573" s="1" t="n">
        <v>45363</v>
      </c>
      <c r="D8573" t="inlineStr">
        <is>
          <t>JÄMTLANDS LÄN</t>
        </is>
      </c>
      <c r="E8573" t="inlineStr">
        <is>
          <t>KROKOM</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28067-2023</t>
        </is>
      </c>
      <c r="B8574" s="1" t="n">
        <v>45099</v>
      </c>
      <c r="C8574" s="1" t="n">
        <v>45363</v>
      </c>
      <c r="D8574" t="inlineStr">
        <is>
          <t>JÄMTLANDS LÄN</t>
        </is>
      </c>
      <c r="E8574" t="inlineStr">
        <is>
          <t>KROKOM</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28209-2023</t>
        </is>
      </c>
      <c r="B8575" s="1" t="n">
        <v>45099</v>
      </c>
      <c r="C8575" s="1" t="n">
        <v>45363</v>
      </c>
      <c r="D8575" t="inlineStr">
        <is>
          <t>JÄMTLANDS LÄN</t>
        </is>
      </c>
      <c r="E8575" t="inlineStr">
        <is>
          <t>HÄRJEDALEN</t>
        </is>
      </c>
      <c r="F8575" t="inlineStr">
        <is>
          <t>Bergvik skog väst AB</t>
        </is>
      </c>
      <c r="G8575" t="n">
        <v>10.9</v>
      </c>
      <c r="H8575" t="n">
        <v>0</v>
      </c>
      <c r="I8575" t="n">
        <v>0</v>
      </c>
      <c r="J8575" t="n">
        <v>0</v>
      </c>
      <c r="K8575" t="n">
        <v>0</v>
      </c>
      <c r="L8575" t="n">
        <v>0</v>
      </c>
      <c r="M8575" t="n">
        <v>0</v>
      </c>
      <c r="N8575" t="n">
        <v>0</v>
      </c>
      <c r="O8575" t="n">
        <v>0</v>
      </c>
      <c r="P8575" t="n">
        <v>0</v>
      </c>
      <c r="Q8575" t="n">
        <v>0</v>
      </c>
      <c r="R8575" s="2" t="inlineStr"/>
    </row>
    <row r="8576" ht="15" customHeight="1">
      <c r="A8576" t="inlineStr">
        <is>
          <t>A 28297-2023</t>
        </is>
      </c>
      <c r="B8576" s="1" t="n">
        <v>45099</v>
      </c>
      <c r="C8576" s="1" t="n">
        <v>45363</v>
      </c>
      <c r="D8576" t="inlineStr">
        <is>
          <t>JÄMTLANDS LÄN</t>
        </is>
      </c>
      <c r="E8576" t="inlineStr">
        <is>
          <t>STRÖMSUND</t>
        </is>
      </c>
      <c r="G8576" t="n">
        <v>5.6</v>
      </c>
      <c r="H8576" t="n">
        <v>0</v>
      </c>
      <c r="I8576" t="n">
        <v>0</v>
      </c>
      <c r="J8576" t="n">
        <v>0</v>
      </c>
      <c r="K8576" t="n">
        <v>0</v>
      </c>
      <c r="L8576" t="n">
        <v>0</v>
      </c>
      <c r="M8576" t="n">
        <v>0</v>
      </c>
      <c r="N8576" t="n">
        <v>0</v>
      </c>
      <c r="O8576" t="n">
        <v>0</v>
      </c>
      <c r="P8576" t="n">
        <v>0</v>
      </c>
      <c r="Q8576" t="n">
        <v>0</v>
      </c>
      <c r="R8576" s="2" t="inlineStr"/>
    </row>
    <row r="8577" ht="15" customHeight="1">
      <c r="A8577" t="inlineStr">
        <is>
          <t>A 28365-2023</t>
        </is>
      </c>
      <c r="B8577" s="1" t="n">
        <v>45100</v>
      </c>
      <c r="C8577" s="1" t="n">
        <v>45363</v>
      </c>
      <c r="D8577" t="inlineStr">
        <is>
          <t>JÄMTLANDS LÄN</t>
        </is>
      </c>
      <c r="E8577" t="inlineStr">
        <is>
          <t>STRÖMSUND</t>
        </is>
      </c>
      <c r="F8577" t="inlineStr">
        <is>
          <t>SCA</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28376-2023</t>
        </is>
      </c>
      <c r="B8578" s="1" t="n">
        <v>45100</v>
      </c>
      <c r="C8578" s="1" t="n">
        <v>45363</v>
      </c>
      <c r="D8578" t="inlineStr">
        <is>
          <t>JÄMTLANDS LÄN</t>
        </is>
      </c>
      <c r="E8578" t="inlineStr">
        <is>
          <t>STRÖMSUND</t>
        </is>
      </c>
      <c r="F8578" t="inlineStr">
        <is>
          <t>SCA</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28352-2023</t>
        </is>
      </c>
      <c r="B8579" s="1" t="n">
        <v>45100</v>
      </c>
      <c r="C8579" s="1" t="n">
        <v>45363</v>
      </c>
      <c r="D8579" t="inlineStr">
        <is>
          <t>JÄMTLANDS LÄN</t>
        </is>
      </c>
      <c r="E8579" t="inlineStr">
        <is>
          <t>RAGUNDA</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28392-2023</t>
        </is>
      </c>
      <c r="B8580" s="1" t="n">
        <v>45099</v>
      </c>
      <c r="C8580" s="1" t="n">
        <v>45363</v>
      </c>
      <c r="D8580" t="inlineStr">
        <is>
          <t>JÄMTLANDS LÄN</t>
        </is>
      </c>
      <c r="E8580" t="inlineStr">
        <is>
          <t>BRÄCKE</t>
        </is>
      </c>
      <c r="F8580" t="inlineStr">
        <is>
          <t>SCA</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28364-2023</t>
        </is>
      </c>
      <c r="B8581" s="1" t="n">
        <v>45100</v>
      </c>
      <c r="C8581" s="1" t="n">
        <v>45363</v>
      </c>
      <c r="D8581" t="inlineStr">
        <is>
          <t>JÄMTLANDS LÄN</t>
        </is>
      </c>
      <c r="E8581" t="inlineStr">
        <is>
          <t>STRÖMSUND</t>
        </is>
      </c>
      <c r="F8581" t="inlineStr">
        <is>
          <t>SCA</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28362-2023</t>
        </is>
      </c>
      <c r="B8582" s="1" t="n">
        <v>45100</v>
      </c>
      <c r="C8582" s="1" t="n">
        <v>45363</v>
      </c>
      <c r="D8582" t="inlineStr">
        <is>
          <t>JÄMTLANDS LÄN</t>
        </is>
      </c>
      <c r="E8582" t="inlineStr">
        <is>
          <t>STRÖMSUND</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28377-2023</t>
        </is>
      </c>
      <c r="B8583" s="1" t="n">
        <v>45100</v>
      </c>
      <c r="C8583" s="1" t="n">
        <v>45363</v>
      </c>
      <c r="D8583" t="inlineStr">
        <is>
          <t>JÄMTLANDS LÄN</t>
        </is>
      </c>
      <c r="E8583" t="inlineStr">
        <is>
          <t>STRÖMSUND</t>
        </is>
      </c>
      <c r="F8583" t="inlineStr">
        <is>
          <t>SCA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28351-2023</t>
        </is>
      </c>
      <c r="B8584" s="1" t="n">
        <v>45100</v>
      </c>
      <c r="C8584" s="1" t="n">
        <v>45363</v>
      </c>
      <c r="D8584" t="inlineStr">
        <is>
          <t>JÄMTLANDS LÄN</t>
        </is>
      </c>
      <c r="E8584" t="inlineStr">
        <is>
          <t>RAGUNDA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28363-2023</t>
        </is>
      </c>
      <c r="B8585" s="1" t="n">
        <v>45100</v>
      </c>
      <c r="C8585" s="1" t="n">
        <v>45363</v>
      </c>
      <c r="D8585" t="inlineStr">
        <is>
          <t>JÄMTLANDS LÄN</t>
        </is>
      </c>
      <c r="E8585" t="inlineStr">
        <is>
          <t>BERG</t>
        </is>
      </c>
      <c r="G8585" t="n">
        <v>18.1</v>
      </c>
      <c r="H8585" t="n">
        <v>0</v>
      </c>
      <c r="I8585" t="n">
        <v>0</v>
      </c>
      <c r="J8585" t="n">
        <v>0</v>
      </c>
      <c r="K8585" t="n">
        <v>0</v>
      </c>
      <c r="L8585" t="n">
        <v>0</v>
      </c>
      <c r="M8585" t="n">
        <v>0</v>
      </c>
      <c r="N8585" t="n">
        <v>0</v>
      </c>
      <c r="O8585" t="n">
        <v>0</v>
      </c>
      <c r="P8585" t="n">
        <v>0</v>
      </c>
      <c r="Q8585" t="n">
        <v>0</v>
      </c>
      <c r="R8585" s="2" t="inlineStr"/>
    </row>
    <row r="8586" ht="15" customHeight="1">
      <c r="A8586" t="inlineStr">
        <is>
          <t>A 30191-2023</t>
        </is>
      </c>
      <c r="B8586" s="1" t="n">
        <v>45099</v>
      </c>
      <c r="C8586" s="1" t="n">
        <v>45363</v>
      </c>
      <c r="D8586" t="inlineStr">
        <is>
          <t>JÄMTLANDS LÄN</t>
        </is>
      </c>
      <c r="E8586" t="inlineStr">
        <is>
          <t>BERG</t>
        </is>
      </c>
      <c r="G8586" t="n">
        <v>6.4</v>
      </c>
      <c r="H8586" t="n">
        <v>0</v>
      </c>
      <c r="I8586" t="n">
        <v>0</v>
      </c>
      <c r="J8586" t="n">
        <v>0</v>
      </c>
      <c r="K8586" t="n">
        <v>0</v>
      </c>
      <c r="L8586" t="n">
        <v>0</v>
      </c>
      <c r="M8586" t="n">
        <v>0</v>
      </c>
      <c r="N8586" t="n">
        <v>0</v>
      </c>
      <c r="O8586" t="n">
        <v>0</v>
      </c>
      <c r="P8586" t="n">
        <v>0</v>
      </c>
      <c r="Q8586" t="n">
        <v>0</v>
      </c>
      <c r="R8586" s="2" t="inlineStr"/>
    </row>
    <row r="8587" ht="15" customHeight="1">
      <c r="A8587" t="inlineStr">
        <is>
          <t>A 30263-2023</t>
        </is>
      </c>
      <c r="B8587" s="1" t="n">
        <v>45099</v>
      </c>
      <c r="C8587" s="1" t="n">
        <v>45363</v>
      </c>
      <c r="D8587" t="inlineStr">
        <is>
          <t>JÄMTLANDS LÄN</t>
        </is>
      </c>
      <c r="E8587" t="inlineStr">
        <is>
          <t>ÅRE</t>
        </is>
      </c>
      <c r="G8587" t="n">
        <v>15.9</v>
      </c>
      <c r="H8587" t="n">
        <v>0</v>
      </c>
      <c r="I8587" t="n">
        <v>0</v>
      </c>
      <c r="J8587" t="n">
        <v>0</v>
      </c>
      <c r="K8587" t="n">
        <v>0</v>
      </c>
      <c r="L8587" t="n">
        <v>0</v>
      </c>
      <c r="M8587" t="n">
        <v>0</v>
      </c>
      <c r="N8587" t="n">
        <v>0</v>
      </c>
      <c r="O8587" t="n">
        <v>0</v>
      </c>
      <c r="P8587" t="n">
        <v>0</v>
      </c>
      <c r="Q8587" t="n">
        <v>0</v>
      </c>
      <c r="R8587" s="2" t="inlineStr"/>
    </row>
    <row r="8588" ht="15" customHeight="1">
      <c r="A8588" t="inlineStr">
        <is>
          <t>A 30244-2023</t>
        </is>
      </c>
      <c r="B8588" s="1" t="n">
        <v>45099</v>
      </c>
      <c r="C8588" s="1" t="n">
        <v>45363</v>
      </c>
      <c r="D8588" t="inlineStr">
        <is>
          <t>JÄMTLANDS LÄN</t>
        </is>
      </c>
      <c r="E8588" t="inlineStr">
        <is>
          <t>ÖSTERSUND</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30262-2023</t>
        </is>
      </c>
      <c r="B8589" s="1" t="n">
        <v>45099</v>
      </c>
      <c r="C8589" s="1" t="n">
        <v>45363</v>
      </c>
      <c r="D8589" t="inlineStr">
        <is>
          <t>JÄMTLANDS LÄN</t>
        </is>
      </c>
      <c r="E8589" t="inlineStr">
        <is>
          <t>ÖSTERSUND</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30255-2023</t>
        </is>
      </c>
      <c r="B8590" s="1" t="n">
        <v>45099</v>
      </c>
      <c r="C8590" s="1" t="n">
        <v>45363</v>
      </c>
      <c r="D8590" t="inlineStr">
        <is>
          <t>JÄMTLANDS LÄN</t>
        </is>
      </c>
      <c r="E8590" t="inlineStr">
        <is>
          <t>ÖSTERSUND</t>
        </is>
      </c>
      <c r="G8590" t="n">
        <v>20.2</v>
      </c>
      <c r="H8590" t="n">
        <v>0</v>
      </c>
      <c r="I8590" t="n">
        <v>0</v>
      </c>
      <c r="J8590" t="n">
        <v>0</v>
      </c>
      <c r="K8590" t="n">
        <v>0</v>
      </c>
      <c r="L8590" t="n">
        <v>0</v>
      </c>
      <c r="M8590" t="n">
        <v>0</v>
      </c>
      <c r="N8590" t="n">
        <v>0</v>
      </c>
      <c r="O8590" t="n">
        <v>0</v>
      </c>
      <c r="P8590" t="n">
        <v>0</v>
      </c>
      <c r="Q8590" t="n">
        <v>0</v>
      </c>
      <c r="R8590" s="2" t="inlineStr"/>
    </row>
    <row r="8591" ht="15" customHeight="1">
      <c r="A8591" t="inlineStr">
        <is>
          <t>A 30264-2023</t>
        </is>
      </c>
      <c r="B8591" s="1" t="n">
        <v>45099</v>
      </c>
      <c r="C8591" s="1" t="n">
        <v>45363</v>
      </c>
      <c r="D8591" t="inlineStr">
        <is>
          <t>JÄMTLANDS LÄN</t>
        </is>
      </c>
      <c r="E8591" t="inlineStr">
        <is>
          <t>ÖSTERSUND</t>
        </is>
      </c>
      <c r="G8591" t="n">
        <v>10</v>
      </c>
      <c r="H8591" t="n">
        <v>0</v>
      </c>
      <c r="I8591" t="n">
        <v>0</v>
      </c>
      <c r="J8591" t="n">
        <v>0</v>
      </c>
      <c r="K8591" t="n">
        <v>0</v>
      </c>
      <c r="L8591" t="n">
        <v>0</v>
      </c>
      <c r="M8591" t="n">
        <v>0</v>
      </c>
      <c r="N8591" t="n">
        <v>0</v>
      </c>
      <c r="O8591" t="n">
        <v>0</v>
      </c>
      <c r="P8591" t="n">
        <v>0</v>
      </c>
      <c r="Q8591" t="n">
        <v>0</v>
      </c>
      <c r="R8591" s="2" t="inlineStr"/>
    </row>
    <row r="8592" ht="15" customHeight="1">
      <c r="A8592" t="inlineStr">
        <is>
          <t>A 30206-2023</t>
        </is>
      </c>
      <c r="B8592" s="1" t="n">
        <v>45099</v>
      </c>
      <c r="C8592" s="1" t="n">
        <v>45363</v>
      </c>
      <c r="D8592" t="inlineStr">
        <is>
          <t>JÄMTLANDS LÄN</t>
        </is>
      </c>
      <c r="E8592" t="inlineStr">
        <is>
          <t>ÖSTERSUND</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30236-2023</t>
        </is>
      </c>
      <c r="B8593" s="1" t="n">
        <v>45099</v>
      </c>
      <c r="C8593" s="1" t="n">
        <v>45363</v>
      </c>
      <c r="D8593" t="inlineStr">
        <is>
          <t>JÄMTLANDS LÄN</t>
        </is>
      </c>
      <c r="E8593" t="inlineStr">
        <is>
          <t>ÖSTERSUND</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30450-2023</t>
        </is>
      </c>
      <c r="B8594" s="1" t="n">
        <v>45099</v>
      </c>
      <c r="C8594" s="1" t="n">
        <v>45363</v>
      </c>
      <c r="D8594" t="inlineStr">
        <is>
          <t>JÄMTLANDS LÄN</t>
        </is>
      </c>
      <c r="E8594" t="inlineStr">
        <is>
          <t>KROKOM</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28405-2023</t>
        </is>
      </c>
      <c r="B8595" s="1" t="n">
        <v>45101</v>
      </c>
      <c r="C8595" s="1" t="n">
        <v>45363</v>
      </c>
      <c r="D8595" t="inlineStr">
        <is>
          <t>JÄMTLANDS LÄN</t>
        </is>
      </c>
      <c r="E8595" t="inlineStr">
        <is>
          <t>STRÖMSUND</t>
        </is>
      </c>
      <c r="F8595" t="inlineStr">
        <is>
          <t>SCA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28715-2023</t>
        </is>
      </c>
      <c r="B8596" s="1" t="n">
        <v>45103</v>
      </c>
      <c r="C8596" s="1" t="n">
        <v>45363</v>
      </c>
      <c r="D8596" t="inlineStr">
        <is>
          <t>JÄMTLANDS LÄN</t>
        </is>
      </c>
      <c r="E8596" t="inlineStr">
        <is>
          <t>STRÖMSUND</t>
        </is>
      </c>
      <c r="F8596" t="inlineStr">
        <is>
          <t>Sveaskog</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28740-2023</t>
        </is>
      </c>
      <c r="B8597" s="1" t="n">
        <v>45104</v>
      </c>
      <c r="C8597" s="1" t="n">
        <v>45363</v>
      </c>
      <c r="D8597" t="inlineStr">
        <is>
          <t>JÄMTLANDS LÄN</t>
        </is>
      </c>
      <c r="E8597" t="inlineStr">
        <is>
          <t>STRÖMSUND</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28744-2023</t>
        </is>
      </c>
      <c r="B8598" s="1" t="n">
        <v>45104</v>
      </c>
      <c r="C8598" s="1" t="n">
        <v>45363</v>
      </c>
      <c r="D8598" t="inlineStr">
        <is>
          <t>JÄMTLANDS LÄN</t>
        </is>
      </c>
      <c r="E8598" t="inlineStr">
        <is>
          <t>STRÖMSUND</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28753-2023</t>
        </is>
      </c>
      <c r="B8599" s="1" t="n">
        <v>45104</v>
      </c>
      <c r="C8599" s="1" t="n">
        <v>45363</v>
      </c>
      <c r="D8599" t="inlineStr">
        <is>
          <t>JÄMTLANDS LÄN</t>
        </is>
      </c>
      <c r="E8599" t="inlineStr">
        <is>
          <t>STRÖMSUND</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28762-2023</t>
        </is>
      </c>
      <c r="B8600" s="1" t="n">
        <v>45104</v>
      </c>
      <c r="C8600" s="1" t="n">
        <v>45363</v>
      </c>
      <c r="D8600" t="inlineStr">
        <is>
          <t>JÄMTLANDS LÄN</t>
        </is>
      </c>
      <c r="E8600" t="inlineStr">
        <is>
          <t>BRÄCKE</t>
        </is>
      </c>
      <c r="F8600" t="inlineStr">
        <is>
          <t>SCA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28766-2023</t>
        </is>
      </c>
      <c r="B8601" s="1" t="n">
        <v>45104</v>
      </c>
      <c r="C8601" s="1" t="n">
        <v>45363</v>
      </c>
      <c r="D8601" t="inlineStr">
        <is>
          <t>JÄMTLANDS LÄN</t>
        </is>
      </c>
      <c r="E8601" t="inlineStr">
        <is>
          <t>STRÖMSUND</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28713-2023</t>
        </is>
      </c>
      <c r="B8602" s="1" t="n">
        <v>45103</v>
      </c>
      <c r="C8602" s="1" t="n">
        <v>45363</v>
      </c>
      <c r="D8602" t="inlineStr">
        <is>
          <t>JÄMTLANDS LÄN</t>
        </is>
      </c>
      <c r="E8602" t="inlineStr">
        <is>
          <t>STRÖMSUND</t>
        </is>
      </c>
      <c r="F8602" t="inlineStr">
        <is>
          <t>Sveaskog</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28742-2023</t>
        </is>
      </c>
      <c r="B8603" s="1" t="n">
        <v>45103</v>
      </c>
      <c r="C8603" s="1" t="n">
        <v>45363</v>
      </c>
      <c r="D8603" t="inlineStr">
        <is>
          <t>JÄMTLANDS LÄN</t>
        </is>
      </c>
      <c r="E8603" t="inlineStr">
        <is>
          <t>RAGUNDA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28759-2023</t>
        </is>
      </c>
      <c r="B8604" s="1" t="n">
        <v>45104</v>
      </c>
      <c r="C8604" s="1" t="n">
        <v>45363</v>
      </c>
      <c r="D8604" t="inlineStr">
        <is>
          <t>JÄMTLANDS LÄN</t>
        </is>
      </c>
      <c r="E8604" t="inlineStr">
        <is>
          <t>BRÄCKE</t>
        </is>
      </c>
      <c r="F8604" t="inlineStr">
        <is>
          <t>SCA</t>
        </is>
      </c>
      <c r="G8604" t="n">
        <v>6.3</v>
      </c>
      <c r="H8604" t="n">
        <v>0</v>
      </c>
      <c r="I8604" t="n">
        <v>0</v>
      </c>
      <c r="J8604" t="n">
        <v>0</v>
      </c>
      <c r="K8604" t="n">
        <v>0</v>
      </c>
      <c r="L8604" t="n">
        <v>0</v>
      </c>
      <c r="M8604" t="n">
        <v>0</v>
      </c>
      <c r="N8604" t="n">
        <v>0</v>
      </c>
      <c r="O8604" t="n">
        <v>0</v>
      </c>
      <c r="P8604" t="n">
        <v>0</v>
      </c>
      <c r="Q8604" t="n">
        <v>0</v>
      </c>
      <c r="R8604" s="2" t="inlineStr"/>
    </row>
    <row r="8605" ht="15" customHeight="1">
      <c r="A8605" t="inlineStr">
        <is>
          <t>A 28741-2023</t>
        </is>
      </c>
      <c r="B8605" s="1" t="n">
        <v>45103</v>
      </c>
      <c r="C8605" s="1" t="n">
        <v>45363</v>
      </c>
      <c r="D8605" t="inlineStr">
        <is>
          <t>JÄMTLANDS LÄN</t>
        </is>
      </c>
      <c r="E8605" t="inlineStr">
        <is>
          <t>STRÖMSUND</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28754-2023</t>
        </is>
      </c>
      <c r="B8606" s="1" t="n">
        <v>45104</v>
      </c>
      <c r="C8606" s="1" t="n">
        <v>45363</v>
      </c>
      <c r="D8606" t="inlineStr">
        <is>
          <t>JÄMTLANDS LÄN</t>
        </is>
      </c>
      <c r="E8606" t="inlineStr">
        <is>
          <t>STRÖMSUND</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28758-2023</t>
        </is>
      </c>
      <c r="B8607" s="1" t="n">
        <v>45104</v>
      </c>
      <c r="C8607" s="1" t="n">
        <v>45363</v>
      </c>
      <c r="D8607" t="inlineStr">
        <is>
          <t>JÄMTLANDS LÄN</t>
        </is>
      </c>
      <c r="E8607" t="inlineStr">
        <is>
          <t>KROKOM</t>
        </is>
      </c>
      <c r="G8607" t="n">
        <v>9.6</v>
      </c>
      <c r="H8607" t="n">
        <v>0</v>
      </c>
      <c r="I8607" t="n">
        <v>0</v>
      </c>
      <c r="J8607" t="n">
        <v>0</v>
      </c>
      <c r="K8607" t="n">
        <v>0</v>
      </c>
      <c r="L8607" t="n">
        <v>0</v>
      </c>
      <c r="M8607" t="n">
        <v>0</v>
      </c>
      <c r="N8607" t="n">
        <v>0</v>
      </c>
      <c r="O8607" t="n">
        <v>0</v>
      </c>
      <c r="P8607" t="n">
        <v>0</v>
      </c>
      <c r="Q8607" t="n">
        <v>0</v>
      </c>
      <c r="R8607" s="2" t="inlineStr"/>
    </row>
    <row r="8608" ht="15" customHeight="1">
      <c r="A8608" t="inlineStr">
        <is>
          <t>A 28763-2023</t>
        </is>
      </c>
      <c r="B8608" s="1" t="n">
        <v>45104</v>
      </c>
      <c r="C8608" s="1" t="n">
        <v>45363</v>
      </c>
      <c r="D8608" t="inlineStr">
        <is>
          <t>JÄMTLANDS LÄN</t>
        </is>
      </c>
      <c r="E8608" t="inlineStr">
        <is>
          <t>KROKOM</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28767-2023</t>
        </is>
      </c>
      <c r="B8609" s="1" t="n">
        <v>45104</v>
      </c>
      <c r="C8609" s="1" t="n">
        <v>45363</v>
      </c>
      <c r="D8609" t="inlineStr">
        <is>
          <t>JÄMTLANDS LÄN</t>
        </is>
      </c>
      <c r="E8609" t="inlineStr">
        <is>
          <t>STRÖMSUND</t>
        </is>
      </c>
      <c r="F8609" t="inlineStr">
        <is>
          <t>SCA</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28764-2023</t>
        </is>
      </c>
      <c r="B8610" s="1" t="n">
        <v>45104</v>
      </c>
      <c r="C8610" s="1" t="n">
        <v>45363</v>
      </c>
      <c r="D8610" t="inlineStr">
        <is>
          <t>JÄMTLANDS LÄN</t>
        </is>
      </c>
      <c r="E8610" t="inlineStr">
        <is>
          <t>BRÄCKE</t>
        </is>
      </c>
      <c r="F8610" t="inlineStr">
        <is>
          <t>SCA</t>
        </is>
      </c>
      <c r="G8610" t="n">
        <v>7.4</v>
      </c>
      <c r="H8610" t="n">
        <v>0</v>
      </c>
      <c r="I8610" t="n">
        <v>0</v>
      </c>
      <c r="J8610" t="n">
        <v>0</v>
      </c>
      <c r="K8610" t="n">
        <v>0</v>
      </c>
      <c r="L8610" t="n">
        <v>0</v>
      </c>
      <c r="M8610" t="n">
        <v>0</v>
      </c>
      <c r="N8610" t="n">
        <v>0</v>
      </c>
      <c r="O8610" t="n">
        <v>0</v>
      </c>
      <c r="P8610" t="n">
        <v>0</v>
      </c>
      <c r="Q8610" t="n">
        <v>0</v>
      </c>
      <c r="R8610" s="2" t="inlineStr"/>
    </row>
    <row r="8611" ht="15" customHeight="1">
      <c r="A8611" t="inlineStr">
        <is>
          <t>A 31156-2023</t>
        </is>
      </c>
      <c r="B8611" s="1" t="n">
        <v>45103</v>
      </c>
      <c r="C8611" s="1" t="n">
        <v>45363</v>
      </c>
      <c r="D8611" t="inlineStr">
        <is>
          <t>JÄMTLANDS LÄN</t>
        </is>
      </c>
      <c r="E8611" t="inlineStr">
        <is>
          <t>STRÖMSUND</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28714-2023</t>
        </is>
      </c>
      <c r="B8612" s="1" t="n">
        <v>45103</v>
      </c>
      <c r="C8612" s="1" t="n">
        <v>45363</v>
      </c>
      <c r="D8612" t="inlineStr">
        <is>
          <t>JÄMTLANDS LÄN</t>
        </is>
      </c>
      <c r="E8612" t="inlineStr">
        <is>
          <t>STRÖMSUND</t>
        </is>
      </c>
      <c r="F8612" t="inlineStr">
        <is>
          <t>Sveaskog</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28735-2023</t>
        </is>
      </c>
      <c r="B8613" s="1" t="n">
        <v>45104</v>
      </c>
      <c r="C8613" s="1" t="n">
        <v>45363</v>
      </c>
      <c r="D8613" t="inlineStr">
        <is>
          <t>JÄMTLANDS LÄN</t>
        </is>
      </c>
      <c r="E8613" t="inlineStr">
        <is>
          <t>STRÖMSUND</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28743-2023</t>
        </is>
      </c>
      <c r="B8614" s="1" t="n">
        <v>45103</v>
      </c>
      <c r="C8614" s="1" t="n">
        <v>45363</v>
      </c>
      <c r="D8614" t="inlineStr">
        <is>
          <t>JÄMTLANDS LÄN</t>
        </is>
      </c>
      <c r="E8614" t="inlineStr">
        <is>
          <t>STRÖMSUND</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28747-2023</t>
        </is>
      </c>
      <c r="B8615" s="1" t="n">
        <v>45103</v>
      </c>
      <c r="C8615" s="1" t="n">
        <v>45363</v>
      </c>
      <c r="D8615" t="inlineStr">
        <is>
          <t>JÄMTLANDS LÄN</t>
        </is>
      </c>
      <c r="E8615" t="inlineStr">
        <is>
          <t>ÖSTERSUND</t>
        </is>
      </c>
      <c r="F8615" t="inlineStr">
        <is>
          <t>SCA</t>
        </is>
      </c>
      <c r="G8615" t="n">
        <v>8</v>
      </c>
      <c r="H8615" t="n">
        <v>0</v>
      </c>
      <c r="I8615" t="n">
        <v>0</v>
      </c>
      <c r="J8615" t="n">
        <v>0</v>
      </c>
      <c r="K8615" t="n">
        <v>0</v>
      </c>
      <c r="L8615" t="n">
        <v>0</v>
      </c>
      <c r="M8615" t="n">
        <v>0</v>
      </c>
      <c r="N8615" t="n">
        <v>0</v>
      </c>
      <c r="O8615" t="n">
        <v>0</v>
      </c>
      <c r="P8615" t="n">
        <v>0</v>
      </c>
      <c r="Q8615" t="n">
        <v>0</v>
      </c>
      <c r="R8615" s="2" t="inlineStr"/>
    </row>
    <row r="8616" ht="15" customHeight="1">
      <c r="A8616" t="inlineStr">
        <is>
          <t>A 28752-2023</t>
        </is>
      </c>
      <c r="B8616" s="1" t="n">
        <v>45104</v>
      </c>
      <c r="C8616" s="1" t="n">
        <v>45363</v>
      </c>
      <c r="D8616" t="inlineStr">
        <is>
          <t>JÄMTLANDS LÄN</t>
        </is>
      </c>
      <c r="E8616" t="inlineStr">
        <is>
          <t>STRÖMSUND</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28760-2023</t>
        </is>
      </c>
      <c r="B8617" s="1" t="n">
        <v>45104</v>
      </c>
      <c r="C8617" s="1" t="n">
        <v>45363</v>
      </c>
      <c r="D8617" t="inlineStr">
        <is>
          <t>JÄMTLANDS LÄN</t>
        </is>
      </c>
      <c r="E8617" t="inlineStr">
        <is>
          <t>BRÄCKE</t>
        </is>
      </c>
      <c r="F8617" t="inlineStr">
        <is>
          <t>SCA</t>
        </is>
      </c>
      <c r="G8617" t="n">
        <v>8.199999999999999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31135-2023</t>
        </is>
      </c>
      <c r="B8618" s="1" t="n">
        <v>45103</v>
      </c>
      <c r="C8618" s="1" t="n">
        <v>45363</v>
      </c>
      <c r="D8618" t="inlineStr">
        <is>
          <t>JÄMTLANDS LÄN</t>
        </is>
      </c>
      <c r="E8618" t="inlineStr">
        <is>
          <t>RAGUNDA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31467-2023</t>
        </is>
      </c>
      <c r="B8619" s="1" t="n">
        <v>45104</v>
      </c>
      <c r="C8619" s="1" t="n">
        <v>45363</v>
      </c>
      <c r="D8619" t="inlineStr">
        <is>
          <t>JÄMTLANDS LÄN</t>
        </is>
      </c>
      <c r="E8619" t="inlineStr">
        <is>
          <t>BRÄCKE</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28802-2023</t>
        </is>
      </c>
      <c r="B8620" s="1" t="n">
        <v>45104</v>
      </c>
      <c r="C8620" s="1" t="n">
        <v>45363</v>
      </c>
      <c r="D8620" t="inlineStr">
        <is>
          <t>JÄMTLANDS LÄN</t>
        </is>
      </c>
      <c r="E8620" t="inlineStr">
        <is>
          <t>HÄRJEDALEN</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29039-2023</t>
        </is>
      </c>
      <c r="B8621" s="1" t="n">
        <v>45104</v>
      </c>
      <c r="C8621" s="1" t="n">
        <v>45363</v>
      </c>
      <c r="D8621" t="inlineStr">
        <is>
          <t>JÄMTLANDS LÄN</t>
        </is>
      </c>
      <c r="E8621" t="inlineStr">
        <is>
          <t>STRÖMSUND</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31471-2023</t>
        </is>
      </c>
      <c r="B8622" s="1" t="n">
        <v>45104</v>
      </c>
      <c r="C8622" s="1" t="n">
        <v>45363</v>
      </c>
      <c r="D8622" t="inlineStr">
        <is>
          <t>JÄMTLANDS LÄN</t>
        </is>
      </c>
      <c r="E8622" t="inlineStr">
        <is>
          <t>BRÄCKE</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29053-2023</t>
        </is>
      </c>
      <c r="B8623" s="1" t="n">
        <v>45104</v>
      </c>
      <c r="C8623" s="1" t="n">
        <v>45363</v>
      </c>
      <c r="D8623" t="inlineStr">
        <is>
          <t>JÄMTLANDS LÄN</t>
        </is>
      </c>
      <c r="E8623" t="inlineStr">
        <is>
          <t>RAGUNDA</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29069-2023</t>
        </is>
      </c>
      <c r="B8624" s="1" t="n">
        <v>45105</v>
      </c>
      <c r="C8624" s="1" t="n">
        <v>45363</v>
      </c>
      <c r="D8624" t="inlineStr">
        <is>
          <t>JÄMTLANDS LÄN</t>
        </is>
      </c>
      <c r="E8624" t="inlineStr">
        <is>
          <t>STRÖMSUND</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31470-2023</t>
        </is>
      </c>
      <c r="B8625" s="1" t="n">
        <v>45104</v>
      </c>
      <c r="C8625" s="1" t="n">
        <v>45363</v>
      </c>
      <c r="D8625" t="inlineStr">
        <is>
          <t>JÄMTLANDS LÄN</t>
        </is>
      </c>
      <c r="E8625" t="inlineStr">
        <is>
          <t>BRÄCKE</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29040-2023</t>
        </is>
      </c>
      <c r="B8626" s="1" t="n">
        <v>45104</v>
      </c>
      <c r="C8626" s="1" t="n">
        <v>45363</v>
      </c>
      <c r="D8626" t="inlineStr">
        <is>
          <t>JÄMTLANDS LÄN</t>
        </is>
      </c>
      <c r="E8626" t="inlineStr">
        <is>
          <t>STRÖMSUND</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29067-2023</t>
        </is>
      </c>
      <c r="B8627" s="1" t="n">
        <v>45104</v>
      </c>
      <c r="C8627" s="1" t="n">
        <v>45363</v>
      </c>
      <c r="D8627" t="inlineStr">
        <is>
          <t>JÄMTLANDS LÄN</t>
        </is>
      </c>
      <c r="E8627" t="inlineStr">
        <is>
          <t>HÄRJEDALEN</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29194-2023</t>
        </is>
      </c>
      <c r="B8628" s="1" t="n">
        <v>45105</v>
      </c>
      <c r="C8628" s="1" t="n">
        <v>45363</v>
      </c>
      <c r="D8628" t="inlineStr">
        <is>
          <t>JÄMTLANDS LÄN</t>
        </is>
      </c>
      <c r="E8628" t="inlineStr">
        <is>
          <t>HÄRJEDALEN</t>
        </is>
      </c>
      <c r="F8628" t="inlineStr">
        <is>
          <t>Bergvik skog väst AB</t>
        </is>
      </c>
      <c r="G8628" t="n">
        <v>21.4</v>
      </c>
      <c r="H8628" t="n">
        <v>0</v>
      </c>
      <c r="I8628" t="n">
        <v>0</v>
      </c>
      <c r="J8628" t="n">
        <v>0</v>
      </c>
      <c r="K8628" t="n">
        <v>0</v>
      </c>
      <c r="L8628" t="n">
        <v>0</v>
      </c>
      <c r="M8628" t="n">
        <v>0</v>
      </c>
      <c r="N8628" t="n">
        <v>0</v>
      </c>
      <c r="O8628" t="n">
        <v>0</v>
      </c>
      <c r="P8628" t="n">
        <v>0</v>
      </c>
      <c r="Q8628" t="n">
        <v>0</v>
      </c>
      <c r="R8628" s="2" t="inlineStr"/>
    </row>
    <row r="8629" ht="15" customHeight="1">
      <c r="A8629" t="inlineStr">
        <is>
          <t>A 29094-2023</t>
        </is>
      </c>
      <c r="B8629" s="1" t="n">
        <v>45105</v>
      </c>
      <c r="C8629" s="1" t="n">
        <v>45363</v>
      </c>
      <c r="D8629" t="inlineStr">
        <is>
          <t>JÄMTLANDS LÄN</t>
        </is>
      </c>
      <c r="E8629" t="inlineStr">
        <is>
          <t>HÄRJEDALEN</t>
        </is>
      </c>
      <c r="F8629" t="inlineStr">
        <is>
          <t>Bergvik skog väst AB</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29305-2023</t>
        </is>
      </c>
      <c r="B8630" s="1" t="n">
        <v>45106</v>
      </c>
      <c r="C8630" s="1" t="n">
        <v>45363</v>
      </c>
      <c r="D8630" t="inlineStr">
        <is>
          <t>JÄMTLANDS LÄN</t>
        </is>
      </c>
      <c r="E8630" t="inlineStr">
        <is>
          <t>STRÖMSUND</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29322-2023</t>
        </is>
      </c>
      <c r="B8631" s="1" t="n">
        <v>45105</v>
      </c>
      <c r="C8631" s="1" t="n">
        <v>45363</v>
      </c>
      <c r="D8631" t="inlineStr">
        <is>
          <t>JÄMTLANDS LÄN</t>
        </is>
      </c>
      <c r="E8631" t="inlineStr">
        <is>
          <t>BRÄCKE</t>
        </is>
      </c>
      <c r="F8631" t="inlineStr">
        <is>
          <t>SCA</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29329-2023</t>
        </is>
      </c>
      <c r="B8632" s="1" t="n">
        <v>45106</v>
      </c>
      <c r="C8632" s="1" t="n">
        <v>45363</v>
      </c>
      <c r="D8632" t="inlineStr">
        <is>
          <t>JÄMTLANDS LÄN</t>
        </is>
      </c>
      <c r="E8632" t="inlineStr">
        <is>
          <t>STRÖMSUND</t>
        </is>
      </c>
      <c r="F8632" t="inlineStr">
        <is>
          <t>SCA</t>
        </is>
      </c>
      <c r="G8632" t="n">
        <v>6.6</v>
      </c>
      <c r="H8632" t="n">
        <v>0</v>
      </c>
      <c r="I8632" t="n">
        <v>0</v>
      </c>
      <c r="J8632" t="n">
        <v>0</v>
      </c>
      <c r="K8632" t="n">
        <v>0</v>
      </c>
      <c r="L8632" t="n">
        <v>0</v>
      </c>
      <c r="M8632" t="n">
        <v>0</v>
      </c>
      <c r="N8632" t="n">
        <v>0</v>
      </c>
      <c r="O8632" t="n">
        <v>0</v>
      </c>
      <c r="P8632" t="n">
        <v>0</v>
      </c>
      <c r="Q8632" t="n">
        <v>0</v>
      </c>
      <c r="R8632" s="2" t="inlineStr"/>
    </row>
    <row r="8633" ht="15" customHeight="1">
      <c r="A8633" t="inlineStr">
        <is>
          <t>A 29326-2023</t>
        </is>
      </c>
      <c r="B8633" s="1" t="n">
        <v>45106</v>
      </c>
      <c r="C8633" s="1" t="n">
        <v>45363</v>
      </c>
      <c r="D8633" t="inlineStr">
        <is>
          <t>JÄMTLANDS LÄN</t>
        </is>
      </c>
      <c r="E8633" t="inlineStr">
        <is>
          <t>BERG</t>
        </is>
      </c>
      <c r="F8633" t="inlineStr">
        <is>
          <t>SCA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29334-2023</t>
        </is>
      </c>
      <c r="B8634" s="1" t="n">
        <v>45105</v>
      </c>
      <c r="C8634" s="1" t="n">
        <v>45363</v>
      </c>
      <c r="D8634" t="inlineStr">
        <is>
          <t>JÄMTLANDS LÄN</t>
        </is>
      </c>
      <c r="E8634" t="inlineStr">
        <is>
          <t>BRÄCKE</t>
        </is>
      </c>
      <c r="F8634" t="inlineStr">
        <is>
          <t>SCA</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29345-2023</t>
        </is>
      </c>
      <c r="B8635" s="1" t="n">
        <v>45105</v>
      </c>
      <c r="C8635" s="1" t="n">
        <v>45363</v>
      </c>
      <c r="D8635" t="inlineStr">
        <is>
          <t>JÄMTLANDS LÄN</t>
        </is>
      </c>
      <c r="E8635" t="inlineStr">
        <is>
          <t>KROKOM</t>
        </is>
      </c>
      <c r="G8635" t="n">
        <v>33.9</v>
      </c>
      <c r="H8635" t="n">
        <v>0</v>
      </c>
      <c r="I8635" t="n">
        <v>0</v>
      </c>
      <c r="J8635" t="n">
        <v>0</v>
      </c>
      <c r="K8635" t="n">
        <v>0</v>
      </c>
      <c r="L8635" t="n">
        <v>0</v>
      </c>
      <c r="M8635" t="n">
        <v>0</v>
      </c>
      <c r="N8635" t="n">
        <v>0</v>
      </c>
      <c r="O8635" t="n">
        <v>0</v>
      </c>
      <c r="P8635" t="n">
        <v>0</v>
      </c>
      <c r="Q8635" t="n">
        <v>0</v>
      </c>
      <c r="R8635" s="2" t="inlineStr"/>
    </row>
    <row r="8636" ht="15" customHeight="1">
      <c r="A8636" t="inlineStr">
        <is>
          <t>A 29328-2023</t>
        </is>
      </c>
      <c r="B8636" s="1" t="n">
        <v>45106</v>
      </c>
      <c r="C8636" s="1" t="n">
        <v>45363</v>
      </c>
      <c r="D8636" t="inlineStr">
        <is>
          <t>JÄMTLANDS LÄN</t>
        </is>
      </c>
      <c r="E8636" t="inlineStr">
        <is>
          <t>STRÖMSUND</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29319-2023</t>
        </is>
      </c>
      <c r="B8637" s="1" t="n">
        <v>45105</v>
      </c>
      <c r="C8637" s="1" t="n">
        <v>45363</v>
      </c>
      <c r="D8637" t="inlineStr">
        <is>
          <t>JÄMTLANDS LÄN</t>
        </is>
      </c>
      <c r="E8637" t="inlineStr">
        <is>
          <t>RAGUNDA</t>
        </is>
      </c>
      <c r="F8637" t="inlineStr">
        <is>
          <t>SCA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29323-2023</t>
        </is>
      </c>
      <c r="B8638" s="1" t="n">
        <v>45105</v>
      </c>
      <c r="C8638" s="1" t="n">
        <v>45363</v>
      </c>
      <c r="D8638" t="inlineStr">
        <is>
          <t>JÄMTLANDS LÄN</t>
        </is>
      </c>
      <c r="E8638" t="inlineStr">
        <is>
          <t>BRÄCKE</t>
        </is>
      </c>
      <c r="F8638" t="inlineStr">
        <is>
          <t>SCA</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29335-2023</t>
        </is>
      </c>
      <c r="B8639" s="1" t="n">
        <v>45106</v>
      </c>
      <c r="C8639" s="1" t="n">
        <v>45363</v>
      </c>
      <c r="D8639" t="inlineStr">
        <is>
          <t>JÄMTLANDS LÄN</t>
        </is>
      </c>
      <c r="E8639" t="inlineStr">
        <is>
          <t>STRÖMSUND</t>
        </is>
      </c>
      <c r="F8639" t="inlineStr">
        <is>
          <t>SCA</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29343-2023</t>
        </is>
      </c>
      <c r="B8640" s="1" t="n">
        <v>45106</v>
      </c>
      <c r="C8640" s="1" t="n">
        <v>45363</v>
      </c>
      <c r="D8640" t="inlineStr">
        <is>
          <t>JÄMTLANDS LÄN</t>
        </is>
      </c>
      <c r="E8640" t="inlineStr">
        <is>
          <t>STRÖMSUND</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29431-2023</t>
        </is>
      </c>
      <c r="B8641" s="1" t="n">
        <v>45106</v>
      </c>
      <c r="C8641" s="1" t="n">
        <v>45363</v>
      </c>
      <c r="D8641" t="inlineStr">
        <is>
          <t>JÄMTLANDS LÄN</t>
        </is>
      </c>
      <c r="E8641" t="inlineStr">
        <is>
          <t>HÄRJEDALEN</t>
        </is>
      </c>
      <c r="F8641" t="inlineStr">
        <is>
          <t>Bergvik skog väst AB</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29605-2023</t>
        </is>
      </c>
      <c r="B8642" s="1" t="n">
        <v>45107</v>
      </c>
      <c r="C8642" s="1" t="n">
        <v>45363</v>
      </c>
      <c r="D8642" t="inlineStr">
        <is>
          <t>JÄMTLANDS LÄN</t>
        </is>
      </c>
      <c r="E8642" t="inlineStr">
        <is>
          <t>STRÖMSUND</t>
        </is>
      </c>
      <c r="F8642" t="inlineStr">
        <is>
          <t>SCA</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29630-2023</t>
        </is>
      </c>
      <c r="B8643" s="1" t="n">
        <v>45107</v>
      </c>
      <c r="C8643" s="1" t="n">
        <v>45363</v>
      </c>
      <c r="D8643" t="inlineStr">
        <is>
          <t>JÄMTLANDS LÄN</t>
        </is>
      </c>
      <c r="E8643" t="inlineStr">
        <is>
          <t>KROKOM</t>
        </is>
      </c>
      <c r="G8643" t="n">
        <v>15.4</v>
      </c>
      <c r="H8643" t="n">
        <v>0</v>
      </c>
      <c r="I8643" t="n">
        <v>0</v>
      </c>
      <c r="J8643" t="n">
        <v>0</v>
      </c>
      <c r="K8643" t="n">
        <v>0</v>
      </c>
      <c r="L8643" t="n">
        <v>0</v>
      </c>
      <c r="M8643" t="n">
        <v>0</v>
      </c>
      <c r="N8643" t="n">
        <v>0</v>
      </c>
      <c r="O8643" t="n">
        <v>0</v>
      </c>
      <c r="P8643" t="n">
        <v>0</v>
      </c>
      <c r="Q8643" t="n">
        <v>0</v>
      </c>
      <c r="R8643" s="2" t="inlineStr"/>
    </row>
    <row r="8644" ht="15" customHeight="1">
      <c r="A8644" t="inlineStr">
        <is>
          <t>A 29632-2023</t>
        </is>
      </c>
      <c r="B8644" s="1" t="n">
        <v>45107</v>
      </c>
      <c r="C8644" s="1" t="n">
        <v>45363</v>
      </c>
      <c r="D8644" t="inlineStr">
        <is>
          <t>JÄMTLANDS LÄN</t>
        </is>
      </c>
      <c r="E8644" t="inlineStr">
        <is>
          <t>STRÖMSUND</t>
        </is>
      </c>
      <c r="F8644" t="inlineStr">
        <is>
          <t>SCA</t>
        </is>
      </c>
      <c r="G8644" t="n">
        <v>13.7</v>
      </c>
      <c r="H8644" t="n">
        <v>0</v>
      </c>
      <c r="I8644" t="n">
        <v>0</v>
      </c>
      <c r="J8644" t="n">
        <v>0</v>
      </c>
      <c r="K8644" t="n">
        <v>0</v>
      </c>
      <c r="L8644" t="n">
        <v>0</v>
      </c>
      <c r="M8644" t="n">
        <v>0</v>
      </c>
      <c r="N8644" t="n">
        <v>0</v>
      </c>
      <c r="O8644" t="n">
        <v>0</v>
      </c>
      <c r="P8644" t="n">
        <v>0</v>
      </c>
      <c r="Q8644" t="n">
        <v>0</v>
      </c>
      <c r="R8644" s="2" t="inlineStr"/>
    </row>
    <row r="8645" ht="15" customHeight="1">
      <c r="A8645" t="inlineStr">
        <is>
          <t>A 31870-2023</t>
        </is>
      </c>
      <c r="B8645" s="1" t="n">
        <v>45106</v>
      </c>
      <c r="C8645" s="1" t="n">
        <v>45363</v>
      </c>
      <c r="D8645" t="inlineStr">
        <is>
          <t>JÄMTLANDS LÄN</t>
        </is>
      </c>
      <c r="E8645" t="inlineStr">
        <is>
          <t>ÖSTERSUND</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29631-2023</t>
        </is>
      </c>
      <c r="B8646" s="1" t="n">
        <v>45107</v>
      </c>
      <c r="C8646" s="1" t="n">
        <v>45363</v>
      </c>
      <c r="D8646" t="inlineStr">
        <is>
          <t>JÄMTLANDS LÄN</t>
        </is>
      </c>
      <c r="E8646" t="inlineStr">
        <is>
          <t>STRÖMSUND</t>
        </is>
      </c>
      <c r="F8646" t="inlineStr">
        <is>
          <t>SCA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29635-2023</t>
        </is>
      </c>
      <c r="B8647" s="1" t="n">
        <v>45107</v>
      </c>
      <c r="C8647" s="1" t="n">
        <v>45363</v>
      </c>
      <c r="D8647" t="inlineStr">
        <is>
          <t>JÄMTLANDS LÄN</t>
        </is>
      </c>
      <c r="E8647" t="inlineStr">
        <is>
          <t>STRÖMSUND</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29621-2023</t>
        </is>
      </c>
      <c r="B8648" s="1" t="n">
        <v>45107</v>
      </c>
      <c r="C8648" s="1" t="n">
        <v>45363</v>
      </c>
      <c r="D8648" t="inlineStr">
        <is>
          <t>JÄMTLANDS LÄN</t>
        </is>
      </c>
      <c r="E8648" t="inlineStr">
        <is>
          <t>BRÄCKE</t>
        </is>
      </c>
      <c r="F8648" t="inlineStr">
        <is>
          <t>SCA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29703-2023</t>
        </is>
      </c>
      <c r="B8649" s="1" t="n">
        <v>45107</v>
      </c>
      <c r="C8649" s="1" t="n">
        <v>45363</v>
      </c>
      <c r="D8649" t="inlineStr">
        <is>
          <t>JÄMTLANDS LÄN</t>
        </is>
      </c>
      <c r="E8649" t="inlineStr">
        <is>
          <t>ÖSTERSUND</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29682-2023</t>
        </is>
      </c>
      <c r="B8650" s="1" t="n">
        <v>45107</v>
      </c>
      <c r="C8650" s="1" t="n">
        <v>45363</v>
      </c>
      <c r="D8650" t="inlineStr">
        <is>
          <t>JÄMTLANDS LÄN</t>
        </is>
      </c>
      <c r="E8650" t="inlineStr">
        <is>
          <t>ÖSTERSUND</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29805-2023</t>
        </is>
      </c>
      <c r="B8651" s="1" t="n">
        <v>45107</v>
      </c>
      <c r="C8651" s="1" t="n">
        <v>45363</v>
      </c>
      <c r="D8651" t="inlineStr">
        <is>
          <t>JÄMTLANDS LÄN</t>
        </is>
      </c>
      <c r="E8651" t="inlineStr">
        <is>
          <t>BRÄCKE</t>
        </is>
      </c>
      <c r="G8651" t="n">
        <v>8.5</v>
      </c>
      <c r="H8651" t="n">
        <v>0</v>
      </c>
      <c r="I8651" t="n">
        <v>0</v>
      </c>
      <c r="J8651" t="n">
        <v>0</v>
      </c>
      <c r="K8651" t="n">
        <v>0</v>
      </c>
      <c r="L8651" t="n">
        <v>0</v>
      </c>
      <c r="M8651" t="n">
        <v>0</v>
      </c>
      <c r="N8651" t="n">
        <v>0</v>
      </c>
      <c r="O8651" t="n">
        <v>0</v>
      </c>
      <c r="P8651" t="n">
        <v>0</v>
      </c>
      <c r="Q8651" t="n">
        <v>0</v>
      </c>
      <c r="R8651" s="2" t="inlineStr"/>
    </row>
    <row r="8652" ht="15" customHeight="1">
      <c r="A8652" t="inlineStr">
        <is>
          <t>A 29751-2023</t>
        </is>
      </c>
      <c r="B8652" s="1" t="n">
        <v>45107</v>
      </c>
      <c r="C8652" s="1" t="n">
        <v>45363</v>
      </c>
      <c r="D8652" t="inlineStr">
        <is>
          <t>JÄMTLANDS LÄN</t>
        </is>
      </c>
      <c r="E8652" t="inlineStr">
        <is>
          <t>BRÄCKE</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29772-2023</t>
        </is>
      </c>
      <c r="B8653" s="1" t="n">
        <v>45107</v>
      </c>
      <c r="C8653" s="1" t="n">
        <v>45363</v>
      </c>
      <c r="D8653" t="inlineStr">
        <is>
          <t>JÄMTLANDS LÄN</t>
        </is>
      </c>
      <c r="E8653" t="inlineStr">
        <is>
          <t>HÄRJEDALEN</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29936-2023</t>
        </is>
      </c>
      <c r="B8654" s="1" t="n">
        <v>45107</v>
      </c>
      <c r="C8654" s="1" t="n">
        <v>45363</v>
      </c>
      <c r="D8654" t="inlineStr">
        <is>
          <t>JÄMTLANDS LÄN</t>
        </is>
      </c>
      <c r="E8654" t="inlineStr">
        <is>
          <t>KROKOM</t>
        </is>
      </c>
      <c r="G8654" t="n">
        <v>77.40000000000001</v>
      </c>
      <c r="H8654" t="n">
        <v>0</v>
      </c>
      <c r="I8654" t="n">
        <v>0</v>
      </c>
      <c r="J8654" t="n">
        <v>0</v>
      </c>
      <c r="K8654" t="n">
        <v>0</v>
      </c>
      <c r="L8654" t="n">
        <v>0</v>
      </c>
      <c r="M8654" t="n">
        <v>0</v>
      </c>
      <c r="N8654" t="n">
        <v>0</v>
      </c>
      <c r="O8654" t="n">
        <v>0</v>
      </c>
      <c r="P8654" t="n">
        <v>0</v>
      </c>
      <c r="Q8654" t="n">
        <v>0</v>
      </c>
      <c r="R8654" s="2" t="inlineStr"/>
    </row>
    <row r="8655" ht="15" customHeight="1">
      <c r="A8655" t="inlineStr">
        <is>
          <t>A 29940-2023</t>
        </is>
      </c>
      <c r="B8655" s="1" t="n">
        <v>45107</v>
      </c>
      <c r="C8655" s="1" t="n">
        <v>45363</v>
      </c>
      <c r="D8655" t="inlineStr">
        <is>
          <t>JÄMTLANDS LÄN</t>
        </is>
      </c>
      <c r="E8655" t="inlineStr">
        <is>
          <t>RAGUNDA</t>
        </is>
      </c>
      <c r="G8655" t="n">
        <v>13.5</v>
      </c>
      <c r="H8655" t="n">
        <v>0</v>
      </c>
      <c r="I8655" t="n">
        <v>0</v>
      </c>
      <c r="J8655" t="n">
        <v>0</v>
      </c>
      <c r="K8655" t="n">
        <v>0</v>
      </c>
      <c r="L8655" t="n">
        <v>0</v>
      </c>
      <c r="M8655" t="n">
        <v>0</v>
      </c>
      <c r="N8655" t="n">
        <v>0</v>
      </c>
      <c r="O8655" t="n">
        <v>0</v>
      </c>
      <c r="P8655" t="n">
        <v>0</v>
      </c>
      <c r="Q8655" t="n">
        <v>0</v>
      </c>
      <c r="R8655" s="2" t="inlineStr"/>
    </row>
    <row r="8656" ht="15" customHeight="1">
      <c r="A8656" t="inlineStr">
        <is>
          <t>A 29939-2023</t>
        </is>
      </c>
      <c r="B8656" s="1" t="n">
        <v>45107</v>
      </c>
      <c r="C8656" s="1" t="n">
        <v>45363</v>
      </c>
      <c r="D8656" t="inlineStr">
        <is>
          <t>JÄMTLANDS LÄN</t>
        </is>
      </c>
      <c r="E8656" t="inlineStr">
        <is>
          <t>RAGUNDA</t>
        </is>
      </c>
      <c r="G8656" t="n">
        <v>11.3</v>
      </c>
      <c r="H8656" t="n">
        <v>0</v>
      </c>
      <c r="I8656" t="n">
        <v>0</v>
      </c>
      <c r="J8656" t="n">
        <v>0</v>
      </c>
      <c r="K8656" t="n">
        <v>0</v>
      </c>
      <c r="L8656" t="n">
        <v>0</v>
      </c>
      <c r="M8656" t="n">
        <v>0</v>
      </c>
      <c r="N8656" t="n">
        <v>0</v>
      </c>
      <c r="O8656" t="n">
        <v>0</v>
      </c>
      <c r="P8656" t="n">
        <v>0</v>
      </c>
      <c r="Q8656" t="n">
        <v>0</v>
      </c>
      <c r="R8656" s="2" t="inlineStr"/>
    </row>
    <row r="8657" ht="15" customHeight="1">
      <c r="A8657" t="inlineStr">
        <is>
          <t>A 29965-2023</t>
        </is>
      </c>
      <c r="B8657" s="1" t="n">
        <v>45107</v>
      </c>
      <c r="C8657" s="1" t="n">
        <v>45363</v>
      </c>
      <c r="D8657" t="inlineStr">
        <is>
          <t>JÄMTLANDS LÄN</t>
        </is>
      </c>
      <c r="E8657" t="inlineStr">
        <is>
          <t>STRÖMSUND</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29941-2023</t>
        </is>
      </c>
      <c r="B8658" s="1" t="n">
        <v>45107</v>
      </c>
      <c r="C8658" s="1" t="n">
        <v>45363</v>
      </c>
      <c r="D8658" t="inlineStr">
        <is>
          <t>JÄMTLANDS LÄN</t>
        </is>
      </c>
      <c r="E8658" t="inlineStr">
        <is>
          <t>BRÄCKE</t>
        </is>
      </c>
      <c r="G8658" t="n">
        <v>6.1</v>
      </c>
      <c r="H8658" t="n">
        <v>0</v>
      </c>
      <c r="I8658" t="n">
        <v>0</v>
      </c>
      <c r="J8658" t="n">
        <v>0</v>
      </c>
      <c r="K8658" t="n">
        <v>0</v>
      </c>
      <c r="L8658" t="n">
        <v>0</v>
      </c>
      <c r="M8658" t="n">
        <v>0</v>
      </c>
      <c r="N8658" t="n">
        <v>0</v>
      </c>
      <c r="O8658" t="n">
        <v>0</v>
      </c>
      <c r="P8658" t="n">
        <v>0</v>
      </c>
      <c r="Q8658" t="n">
        <v>0</v>
      </c>
      <c r="R8658" s="2" t="inlineStr"/>
    </row>
    <row r="8659" ht="15" customHeight="1">
      <c r="A8659" t="inlineStr">
        <is>
          <t>A 31959-2023</t>
        </is>
      </c>
      <c r="B8659" s="1" t="n">
        <v>45107</v>
      </c>
      <c r="C8659" s="1" t="n">
        <v>45363</v>
      </c>
      <c r="D8659" t="inlineStr">
        <is>
          <t>JÄMTLANDS LÄN</t>
        </is>
      </c>
      <c r="E8659" t="inlineStr">
        <is>
          <t>KROKOM</t>
        </is>
      </c>
      <c r="G8659" t="n">
        <v>12.1</v>
      </c>
      <c r="H8659" t="n">
        <v>0</v>
      </c>
      <c r="I8659" t="n">
        <v>0</v>
      </c>
      <c r="J8659" t="n">
        <v>0</v>
      </c>
      <c r="K8659" t="n">
        <v>0</v>
      </c>
      <c r="L8659" t="n">
        <v>0</v>
      </c>
      <c r="M8659" t="n">
        <v>0</v>
      </c>
      <c r="N8659" t="n">
        <v>0</v>
      </c>
      <c r="O8659" t="n">
        <v>0</v>
      </c>
      <c r="P8659" t="n">
        <v>0</v>
      </c>
      <c r="Q8659" t="n">
        <v>0</v>
      </c>
      <c r="R8659" s="2" t="inlineStr"/>
    </row>
    <row r="8660" ht="15" customHeight="1">
      <c r="A8660" t="inlineStr">
        <is>
          <t>A 29959-2023</t>
        </is>
      </c>
      <c r="B8660" s="1" t="n">
        <v>45108</v>
      </c>
      <c r="C8660" s="1" t="n">
        <v>45363</v>
      </c>
      <c r="D8660" t="inlineStr">
        <is>
          <t>JÄMTLANDS LÄN</t>
        </is>
      </c>
      <c r="E8660" t="inlineStr">
        <is>
          <t>STRÖMSUND</t>
        </is>
      </c>
      <c r="F8660" t="inlineStr">
        <is>
          <t>SCA</t>
        </is>
      </c>
      <c r="G8660" t="n">
        <v>14.9</v>
      </c>
      <c r="H8660" t="n">
        <v>0</v>
      </c>
      <c r="I8660" t="n">
        <v>0</v>
      </c>
      <c r="J8660" t="n">
        <v>0</v>
      </c>
      <c r="K8660" t="n">
        <v>0</v>
      </c>
      <c r="L8660" t="n">
        <v>0</v>
      </c>
      <c r="M8660" t="n">
        <v>0</v>
      </c>
      <c r="N8660" t="n">
        <v>0</v>
      </c>
      <c r="O8660" t="n">
        <v>0</v>
      </c>
      <c r="P8660" t="n">
        <v>0</v>
      </c>
      <c r="Q8660" t="n">
        <v>0</v>
      </c>
      <c r="R8660" s="2" t="inlineStr"/>
    </row>
    <row r="8661" ht="15" customHeight="1">
      <c r="A8661" t="inlineStr">
        <is>
          <t>A 29942-2023</t>
        </is>
      </c>
      <c r="B8661" s="1" t="n">
        <v>45107</v>
      </c>
      <c r="C8661" s="1" t="n">
        <v>45363</v>
      </c>
      <c r="D8661" t="inlineStr">
        <is>
          <t>JÄMTLANDS LÄN</t>
        </is>
      </c>
      <c r="E8661" t="inlineStr">
        <is>
          <t>BRÄCKE</t>
        </is>
      </c>
      <c r="G8661" t="n">
        <v>9.199999999999999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32131-2023</t>
        </is>
      </c>
      <c r="B8662" s="1" t="n">
        <v>45107</v>
      </c>
      <c r="C8662" s="1" t="n">
        <v>45363</v>
      </c>
      <c r="D8662" t="inlineStr">
        <is>
          <t>JÄMTLANDS LÄN</t>
        </is>
      </c>
      <c r="E8662" t="inlineStr">
        <is>
          <t>KROKOM</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32000-2023</t>
        </is>
      </c>
      <c r="B8663" s="1" t="n">
        <v>45107</v>
      </c>
      <c r="C8663" s="1" t="n">
        <v>45363</v>
      </c>
      <c r="D8663" t="inlineStr">
        <is>
          <t>JÄMTLANDS LÄN</t>
        </is>
      </c>
      <c r="E8663" t="inlineStr">
        <is>
          <t>BRÄCKE</t>
        </is>
      </c>
      <c r="G8663" t="n">
        <v>8.699999999999999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32123-2023</t>
        </is>
      </c>
      <c r="B8664" s="1" t="n">
        <v>45107</v>
      </c>
      <c r="C8664" s="1" t="n">
        <v>45363</v>
      </c>
      <c r="D8664" t="inlineStr">
        <is>
          <t>JÄMTLANDS LÄN</t>
        </is>
      </c>
      <c r="E8664" t="inlineStr">
        <is>
          <t>KROKOM</t>
        </is>
      </c>
      <c r="G8664" t="n">
        <v>10.8</v>
      </c>
      <c r="H8664" t="n">
        <v>0</v>
      </c>
      <c r="I8664" t="n">
        <v>0</v>
      </c>
      <c r="J8664" t="n">
        <v>0</v>
      </c>
      <c r="K8664" t="n">
        <v>0</v>
      </c>
      <c r="L8664" t="n">
        <v>0</v>
      </c>
      <c r="M8664" t="n">
        <v>0</v>
      </c>
      <c r="N8664" t="n">
        <v>0</v>
      </c>
      <c r="O8664" t="n">
        <v>0</v>
      </c>
      <c r="P8664" t="n">
        <v>0</v>
      </c>
      <c r="Q8664" t="n">
        <v>0</v>
      </c>
      <c r="R8664" s="2" t="inlineStr"/>
    </row>
    <row r="8665" ht="15" customHeight="1">
      <c r="A8665" t="inlineStr">
        <is>
          <t>A 29986-2023</t>
        </is>
      </c>
      <c r="B8665" s="1" t="n">
        <v>45109</v>
      </c>
      <c r="C8665" s="1" t="n">
        <v>45363</v>
      </c>
      <c r="D8665" t="inlineStr">
        <is>
          <t>JÄMTLANDS LÄN</t>
        </is>
      </c>
      <c r="E8665" t="inlineStr">
        <is>
          <t>KROKOM</t>
        </is>
      </c>
      <c r="F8665" t="inlineStr">
        <is>
          <t>Övriga Aktiebolag</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30170-2023</t>
        </is>
      </c>
      <c r="B8666" s="1" t="n">
        <v>45110</v>
      </c>
      <c r="C8666" s="1" t="n">
        <v>45363</v>
      </c>
      <c r="D8666" t="inlineStr">
        <is>
          <t>JÄMTLANDS LÄN</t>
        </is>
      </c>
      <c r="E8666" t="inlineStr">
        <is>
          <t>STRÖMSUND</t>
        </is>
      </c>
      <c r="G8666" t="n">
        <v>15.8</v>
      </c>
      <c r="H8666" t="n">
        <v>0</v>
      </c>
      <c r="I8666" t="n">
        <v>0</v>
      </c>
      <c r="J8666" t="n">
        <v>0</v>
      </c>
      <c r="K8666" t="n">
        <v>0</v>
      </c>
      <c r="L8666" t="n">
        <v>0</v>
      </c>
      <c r="M8666" t="n">
        <v>0</v>
      </c>
      <c r="N8666" t="n">
        <v>0</v>
      </c>
      <c r="O8666" t="n">
        <v>0</v>
      </c>
      <c r="P8666" t="n">
        <v>0</v>
      </c>
      <c r="Q8666" t="n">
        <v>0</v>
      </c>
      <c r="R8666" s="2" t="inlineStr"/>
    </row>
    <row r="8667" ht="15" customHeight="1">
      <c r="A8667" t="inlineStr">
        <is>
          <t>A 30283-2023</t>
        </is>
      </c>
      <c r="B8667" s="1" t="n">
        <v>45111</v>
      </c>
      <c r="C8667" s="1" t="n">
        <v>45363</v>
      </c>
      <c r="D8667" t="inlineStr">
        <is>
          <t>JÄMTLANDS LÄN</t>
        </is>
      </c>
      <c r="E8667" t="inlineStr">
        <is>
          <t>RAGUNDA</t>
        </is>
      </c>
      <c r="G8667" t="n">
        <v>7.4</v>
      </c>
      <c r="H8667" t="n">
        <v>0</v>
      </c>
      <c r="I8667" t="n">
        <v>0</v>
      </c>
      <c r="J8667" t="n">
        <v>0</v>
      </c>
      <c r="K8667" t="n">
        <v>0</v>
      </c>
      <c r="L8667" t="n">
        <v>0</v>
      </c>
      <c r="M8667" t="n">
        <v>0</v>
      </c>
      <c r="N8667" t="n">
        <v>0</v>
      </c>
      <c r="O8667" t="n">
        <v>0</v>
      </c>
      <c r="P8667" t="n">
        <v>0</v>
      </c>
      <c r="Q8667" t="n">
        <v>0</v>
      </c>
      <c r="R8667" s="2" t="inlineStr"/>
    </row>
    <row r="8668" ht="15" customHeight="1">
      <c r="A8668" t="inlineStr">
        <is>
          <t>A 30312-2023</t>
        </is>
      </c>
      <c r="B8668" s="1" t="n">
        <v>45111</v>
      </c>
      <c r="C8668" s="1" t="n">
        <v>45363</v>
      </c>
      <c r="D8668" t="inlineStr">
        <is>
          <t>JÄMTLANDS LÄN</t>
        </is>
      </c>
      <c r="E8668" t="inlineStr">
        <is>
          <t>BRÄCKE</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32379-2023</t>
        </is>
      </c>
      <c r="B8669" s="1" t="n">
        <v>45110</v>
      </c>
      <c r="C8669" s="1" t="n">
        <v>45363</v>
      </c>
      <c r="D8669" t="inlineStr">
        <is>
          <t>JÄMTLANDS LÄN</t>
        </is>
      </c>
      <c r="E8669" t="inlineStr">
        <is>
          <t>STRÖMSUND</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30284-2023</t>
        </is>
      </c>
      <c r="B8670" s="1" t="n">
        <v>45110</v>
      </c>
      <c r="C8670" s="1" t="n">
        <v>45363</v>
      </c>
      <c r="D8670" t="inlineStr">
        <is>
          <t>JÄMTLANDS LÄN</t>
        </is>
      </c>
      <c r="E8670" t="inlineStr">
        <is>
          <t>STRÖMSUND</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30311-2023</t>
        </is>
      </c>
      <c r="B8671" s="1" t="n">
        <v>45111</v>
      </c>
      <c r="C8671" s="1" t="n">
        <v>45363</v>
      </c>
      <c r="D8671" t="inlineStr">
        <is>
          <t>JÄMTLANDS LÄN</t>
        </is>
      </c>
      <c r="E8671" t="inlineStr">
        <is>
          <t>BRÄCKE</t>
        </is>
      </c>
      <c r="F8671" t="inlineStr">
        <is>
          <t>SCA</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30309-2023</t>
        </is>
      </c>
      <c r="B8672" s="1" t="n">
        <v>45111</v>
      </c>
      <c r="C8672" s="1" t="n">
        <v>45363</v>
      </c>
      <c r="D8672" t="inlineStr">
        <is>
          <t>JÄMTLANDS LÄN</t>
        </is>
      </c>
      <c r="E8672" t="inlineStr">
        <is>
          <t>BRÄCKE</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30313-2023</t>
        </is>
      </c>
      <c r="B8673" s="1" t="n">
        <v>45111</v>
      </c>
      <c r="C8673" s="1" t="n">
        <v>45363</v>
      </c>
      <c r="D8673" t="inlineStr">
        <is>
          <t>JÄMTLANDS LÄN</t>
        </is>
      </c>
      <c r="E8673" t="inlineStr">
        <is>
          <t>BRÄCKE</t>
        </is>
      </c>
      <c r="F8673" t="inlineStr">
        <is>
          <t>SCA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30285-2023</t>
        </is>
      </c>
      <c r="B8674" s="1" t="n">
        <v>45110</v>
      </c>
      <c r="C8674" s="1" t="n">
        <v>45363</v>
      </c>
      <c r="D8674" t="inlineStr">
        <is>
          <t>JÄMTLANDS LÄN</t>
        </is>
      </c>
      <c r="E8674" t="inlineStr">
        <is>
          <t>STRÖMSUND</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30310-2023</t>
        </is>
      </c>
      <c r="B8675" s="1" t="n">
        <v>45110</v>
      </c>
      <c r="C8675" s="1" t="n">
        <v>45363</v>
      </c>
      <c r="D8675" t="inlineStr">
        <is>
          <t>JÄMTLANDS LÄN</t>
        </is>
      </c>
      <c r="E8675" t="inlineStr">
        <is>
          <t>BRÄCKE</t>
        </is>
      </c>
      <c r="F8675" t="inlineStr">
        <is>
          <t>SCA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30314-2023</t>
        </is>
      </c>
      <c r="B8676" s="1" t="n">
        <v>45111</v>
      </c>
      <c r="C8676" s="1" t="n">
        <v>45363</v>
      </c>
      <c r="D8676" t="inlineStr">
        <is>
          <t>JÄMTLANDS LÄN</t>
        </is>
      </c>
      <c r="E8676" t="inlineStr">
        <is>
          <t>KROKOM</t>
        </is>
      </c>
      <c r="G8676" t="n">
        <v>4.8</v>
      </c>
      <c r="H8676" t="n">
        <v>0</v>
      </c>
      <c r="I8676" t="n">
        <v>0</v>
      </c>
      <c r="J8676" t="n">
        <v>0</v>
      </c>
      <c r="K8676" t="n">
        <v>0</v>
      </c>
      <c r="L8676" t="n">
        <v>0</v>
      </c>
      <c r="M8676" t="n">
        <v>0</v>
      </c>
      <c r="N8676" t="n">
        <v>0</v>
      </c>
      <c r="O8676" t="n">
        <v>0</v>
      </c>
      <c r="P8676" t="n">
        <v>0</v>
      </c>
      <c r="Q8676" t="n">
        <v>0</v>
      </c>
      <c r="R8676" s="2" t="inlineStr"/>
    </row>
    <row r="8677" ht="15" customHeight="1">
      <c r="A8677" t="inlineStr">
        <is>
          <t>A 30486-2023</t>
        </is>
      </c>
      <c r="B8677" s="1" t="n">
        <v>45111</v>
      </c>
      <c r="C8677" s="1" t="n">
        <v>45363</v>
      </c>
      <c r="D8677" t="inlineStr">
        <is>
          <t>JÄMTLANDS LÄN</t>
        </is>
      </c>
      <c r="E8677" t="inlineStr">
        <is>
          <t>KROKOM</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30488-2023</t>
        </is>
      </c>
      <c r="B8678" s="1" t="n">
        <v>45111</v>
      </c>
      <c r="C8678" s="1" t="n">
        <v>45363</v>
      </c>
      <c r="D8678" t="inlineStr">
        <is>
          <t>JÄMTLANDS LÄN</t>
        </is>
      </c>
      <c r="E8678" t="inlineStr">
        <is>
          <t>KROKOM</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30565-2023</t>
        </is>
      </c>
      <c r="B8679" s="1" t="n">
        <v>45112</v>
      </c>
      <c r="C8679" s="1" t="n">
        <v>45363</v>
      </c>
      <c r="D8679" t="inlineStr">
        <is>
          <t>JÄMTLANDS LÄN</t>
        </is>
      </c>
      <c r="E8679" t="inlineStr">
        <is>
          <t>STRÖMSUND</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32530-2023</t>
        </is>
      </c>
      <c r="B8680" s="1" t="n">
        <v>45111</v>
      </c>
      <c r="C8680" s="1" t="n">
        <v>45363</v>
      </c>
      <c r="D8680" t="inlineStr">
        <is>
          <t>JÄMTLANDS LÄN</t>
        </is>
      </c>
      <c r="E8680" t="inlineStr">
        <is>
          <t>STRÖMSUND</t>
        </is>
      </c>
      <c r="F8680" t="inlineStr">
        <is>
          <t>Kommuner</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30411-2023</t>
        </is>
      </c>
      <c r="B8681" s="1" t="n">
        <v>45111</v>
      </c>
      <c r="C8681" s="1" t="n">
        <v>45363</v>
      </c>
      <c r="D8681" t="inlineStr">
        <is>
          <t>JÄMTLANDS LÄN</t>
        </is>
      </c>
      <c r="E8681" t="inlineStr">
        <is>
          <t>HÄRJEDALEN</t>
        </is>
      </c>
      <c r="F8681" t="inlineStr">
        <is>
          <t>Bergvik skog väst AB</t>
        </is>
      </c>
      <c r="G8681" t="n">
        <v>28.3</v>
      </c>
      <c r="H8681" t="n">
        <v>0</v>
      </c>
      <c r="I8681" t="n">
        <v>0</v>
      </c>
      <c r="J8681" t="n">
        <v>0</v>
      </c>
      <c r="K8681" t="n">
        <v>0</v>
      </c>
      <c r="L8681" t="n">
        <v>0</v>
      </c>
      <c r="M8681" t="n">
        <v>0</v>
      </c>
      <c r="N8681" t="n">
        <v>0</v>
      </c>
      <c r="O8681" t="n">
        <v>0</v>
      </c>
      <c r="P8681" t="n">
        <v>0</v>
      </c>
      <c r="Q8681" t="n">
        <v>0</v>
      </c>
      <c r="R8681" s="2" t="inlineStr"/>
    </row>
    <row r="8682" ht="15" customHeight="1">
      <c r="A8682" t="inlineStr">
        <is>
          <t>A 30391-2023</t>
        </is>
      </c>
      <c r="B8682" s="1" t="n">
        <v>45111</v>
      </c>
      <c r="C8682" s="1" t="n">
        <v>45363</v>
      </c>
      <c r="D8682" t="inlineStr">
        <is>
          <t>JÄMTLANDS LÄN</t>
        </is>
      </c>
      <c r="E8682" t="inlineStr">
        <is>
          <t>BERG</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30429-2023</t>
        </is>
      </c>
      <c r="B8683" s="1" t="n">
        <v>45111</v>
      </c>
      <c r="C8683" s="1" t="n">
        <v>45363</v>
      </c>
      <c r="D8683" t="inlineStr">
        <is>
          <t>JÄMTLANDS LÄN</t>
        </is>
      </c>
      <c r="E8683" t="inlineStr">
        <is>
          <t>KROKOM</t>
        </is>
      </c>
      <c r="G8683" t="n">
        <v>7.2</v>
      </c>
      <c r="H8683" t="n">
        <v>0</v>
      </c>
      <c r="I8683" t="n">
        <v>0</v>
      </c>
      <c r="J8683" t="n">
        <v>0</v>
      </c>
      <c r="K8683" t="n">
        <v>0</v>
      </c>
      <c r="L8683" t="n">
        <v>0</v>
      </c>
      <c r="M8683" t="n">
        <v>0</v>
      </c>
      <c r="N8683" t="n">
        <v>0</v>
      </c>
      <c r="O8683" t="n">
        <v>0</v>
      </c>
      <c r="P8683" t="n">
        <v>0</v>
      </c>
      <c r="Q8683" t="n">
        <v>0</v>
      </c>
      <c r="R8683" s="2" t="inlineStr"/>
    </row>
    <row r="8684" ht="15" customHeight="1">
      <c r="A8684" t="inlineStr">
        <is>
          <t>A 30435-2023</t>
        </is>
      </c>
      <c r="B8684" s="1" t="n">
        <v>45111</v>
      </c>
      <c r="C8684" s="1" t="n">
        <v>45363</v>
      </c>
      <c r="D8684" t="inlineStr">
        <is>
          <t>JÄMTLANDS LÄN</t>
        </is>
      </c>
      <c r="E8684" t="inlineStr">
        <is>
          <t>HÄRJEDALEN</t>
        </is>
      </c>
      <c r="G8684" t="n">
        <v>20</v>
      </c>
      <c r="H8684" t="n">
        <v>0</v>
      </c>
      <c r="I8684" t="n">
        <v>0</v>
      </c>
      <c r="J8684" t="n">
        <v>0</v>
      </c>
      <c r="K8684" t="n">
        <v>0</v>
      </c>
      <c r="L8684" t="n">
        <v>0</v>
      </c>
      <c r="M8684" t="n">
        <v>0</v>
      </c>
      <c r="N8684" t="n">
        <v>0</v>
      </c>
      <c r="O8684" t="n">
        <v>0</v>
      </c>
      <c r="P8684" t="n">
        <v>0</v>
      </c>
      <c r="Q8684" t="n">
        <v>0</v>
      </c>
      <c r="R8684" s="2" t="inlineStr"/>
    </row>
    <row r="8685" ht="15" customHeight="1">
      <c r="A8685" t="inlineStr">
        <is>
          <t>A 30563-2023</t>
        </is>
      </c>
      <c r="B8685" s="1" t="n">
        <v>45112</v>
      </c>
      <c r="C8685" s="1" t="n">
        <v>45363</v>
      </c>
      <c r="D8685" t="inlineStr">
        <is>
          <t>JÄMTLANDS LÄN</t>
        </is>
      </c>
      <c r="E8685" t="inlineStr">
        <is>
          <t>RAGUNDA</t>
        </is>
      </c>
      <c r="F8685" t="inlineStr">
        <is>
          <t>Övriga Aktiebolag</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32572-2023</t>
        </is>
      </c>
      <c r="B8686" s="1" t="n">
        <v>45111</v>
      </c>
      <c r="C8686" s="1" t="n">
        <v>45363</v>
      </c>
      <c r="D8686" t="inlineStr">
        <is>
          <t>JÄMTLANDS LÄN</t>
        </is>
      </c>
      <c r="E8686" t="inlineStr">
        <is>
          <t>STRÖMSUND</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30566-2023</t>
        </is>
      </c>
      <c r="B8687" s="1" t="n">
        <v>45112</v>
      </c>
      <c r="C8687" s="1" t="n">
        <v>45363</v>
      </c>
      <c r="D8687" t="inlineStr">
        <is>
          <t>JÄMTLANDS LÄN</t>
        </is>
      </c>
      <c r="E8687" t="inlineStr">
        <is>
          <t>KROKOM</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32546-2023</t>
        </is>
      </c>
      <c r="B8688" s="1" t="n">
        <v>45111</v>
      </c>
      <c r="C8688" s="1" t="n">
        <v>45363</v>
      </c>
      <c r="D8688" t="inlineStr">
        <is>
          <t>JÄMTLANDS LÄN</t>
        </is>
      </c>
      <c r="E8688" t="inlineStr">
        <is>
          <t>STRÖMSUND</t>
        </is>
      </c>
      <c r="F8688" t="inlineStr">
        <is>
          <t>Kommuner</t>
        </is>
      </c>
      <c r="G8688" t="n">
        <v>10.3</v>
      </c>
      <c r="H8688" t="n">
        <v>0</v>
      </c>
      <c r="I8688" t="n">
        <v>0</v>
      </c>
      <c r="J8688" t="n">
        <v>0</v>
      </c>
      <c r="K8688" t="n">
        <v>0</v>
      </c>
      <c r="L8688" t="n">
        <v>0</v>
      </c>
      <c r="M8688" t="n">
        <v>0</v>
      </c>
      <c r="N8688" t="n">
        <v>0</v>
      </c>
      <c r="O8688" t="n">
        <v>0</v>
      </c>
      <c r="P8688" t="n">
        <v>0</v>
      </c>
      <c r="Q8688" t="n">
        <v>0</v>
      </c>
      <c r="R8688" s="2" t="inlineStr"/>
    </row>
    <row r="8689" ht="15" customHeight="1">
      <c r="A8689" t="inlineStr">
        <is>
          <t>A 32538-2023</t>
        </is>
      </c>
      <c r="B8689" s="1" t="n">
        <v>45111</v>
      </c>
      <c r="C8689" s="1" t="n">
        <v>45363</v>
      </c>
      <c r="D8689" t="inlineStr">
        <is>
          <t>JÄMTLANDS LÄN</t>
        </is>
      </c>
      <c r="E8689" t="inlineStr">
        <is>
          <t>STRÖMSUND</t>
        </is>
      </c>
      <c r="F8689" t="inlineStr">
        <is>
          <t>Kommuner</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32550-2023</t>
        </is>
      </c>
      <c r="B8690" s="1" t="n">
        <v>45111</v>
      </c>
      <c r="C8690" s="1" t="n">
        <v>45363</v>
      </c>
      <c r="D8690" t="inlineStr">
        <is>
          <t>JÄMTLANDS LÄN</t>
        </is>
      </c>
      <c r="E8690" t="inlineStr">
        <is>
          <t>STRÖMSUND</t>
        </is>
      </c>
      <c r="F8690" t="inlineStr">
        <is>
          <t>Kommuner</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32592-2023</t>
        </is>
      </c>
      <c r="B8691" s="1" t="n">
        <v>45111</v>
      </c>
      <c r="C8691" s="1" t="n">
        <v>45363</v>
      </c>
      <c r="D8691" t="inlineStr">
        <is>
          <t>JÄMTLANDS LÄN</t>
        </is>
      </c>
      <c r="E8691" t="inlineStr">
        <is>
          <t>RAGUNDA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30751-2023</t>
        </is>
      </c>
      <c r="B8692" s="1" t="n">
        <v>45112</v>
      </c>
      <c r="C8692" s="1" t="n">
        <v>45363</v>
      </c>
      <c r="D8692" t="inlineStr">
        <is>
          <t>JÄMTLANDS LÄN</t>
        </is>
      </c>
      <c r="E8692" t="inlineStr">
        <is>
          <t>HÄRJEDALEN</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30771-2023</t>
        </is>
      </c>
      <c r="B8693" s="1" t="n">
        <v>45112</v>
      </c>
      <c r="C8693" s="1" t="n">
        <v>45363</v>
      </c>
      <c r="D8693" t="inlineStr">
        <is>
          <t>JÄMTLANDS LÄN</t>
        </is>
      </c>
      <c r="E8693" t="inlineStr">
        <is>
          <t>KROKOM</t>
        </is>
      </c>
      <c r="G8693" t="n">
        <v>10.6</v>
      </c>
      <c r="H8693" t="n">
        <v>0</v>
      </c>
      <c r="I8693" t="n">
        <v>0</v>
      </c>
      <c r="J8693" t="n">
        <v>0</v>
      </c>
      <c r="K8693" t="n">
        <v>0</v>
      </c>
      <c r="L8693" t="n">
        <v>0</v>
      </c>
      <c r="M8693" t="n">
        <v>0</v>
      </c>
      <c r="N8693" t="n">
        <v>0</v>
      </c>
      <c r="O8693" t="n">
        <v>0</v>
      </c>
      <c r="P8693" t="n">
        <v>0</v>
      </c>
      <c r="Q8693" t="n">
        <v>0</v>
      </c>
      <c r="R8693" s="2" t="inlineStr"/>
    </row>
    <row r="8694" ht="15" customHeight="1">
      <c r="A8694" t="inlineStr">
        <is>
          <t>A 30818-2023</t>
        </is>
      </c>
      <c r="B8694" s="1" t="n">
        <v>45112</v>
      </c>
      <c r="C8694" s="1" t="n">
        <v>45363</v>
      </c>
      <c r="D8694" t="inlineStr">
        <is>
          <t>JÄMTLANDS LÄN</t>
        </is>
      </c>
      <c r="E8694" t="inlineStr">
        <is>
          <t>STRÖMSUND</t>
        </is>
      </c>
      <c r="G8694" t="n">
        <v>10.4</v>
      </c>
      <c r="H8694" t="n">
        <v>0</v>
      </c>
      <c r="I8694" t="n">
        <v>0</v>
      </c>
      <c r="J8694" t="n">
        <v>0</v>
      </c>
      <c r="K8694" t="n">
        <v>0</v>
      </c>
      <c r="L8694" t="n">
        <v>0</v>
      </c>
      <c r="M8694" t="n">
        <v>0</v>
      </c>
      <c r="N8694" t="n">
        <v>0</v>
      </c>
      <c r="O8694" t="n">
        <v>0</v>
      </c>
      <c r="P8694" t="n">
        <v>0</v>
      </c>
      <c r="Q8694" t="n">
        <v>0</v>
      </c>
      <c r="R8694" s="2" t="inlineStr"/>
    </row>
    <row r="8695" ht="15" customHeight="1">
      <c r="A8695" t="inlineStr">
        <is>
          <t>A 30826-2023</t>
        </is>
      </c>
      <c r="B8695" s="1" t="n">
        <v>45112</v>
      </c>
      <c r="C8695" s="1" t="n">
        <v>45363</v>
      </c>
      <c r="D8695" t="inlineStr">
        <is>
          <t>JÄMTLANDS LÄN</t>
        </is>
      </c>
      <c r="E8695" t="inlineStr">
        <is>
          <t>RAGUNDA</t>
        </is>
      </c>
      <c r="F8695" t="inlineStr">
        <is>
          <t>SCA</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30830-2023</t>
        </is>
      </c>
      <c r="B8696" s="1" t="n">
        <v>45113</v>
      </c>
      <c r="C8696" s="1" t="n">
        <v>45363</v>
      </c>
      <c r="D8696" t="inlineStr">
        <is>
          <t>JÄMTLANDS LÄN</t>
        </is>
      </c>
      <c r="E8696" t="inlineStr">
        <is>
          <t>STRÖMSUND</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30842-2023</t>
        </is>
      </c>
      <c r="B8697" s="1" t="n">
        <v>45113</v>
      </c>
      <c r="C8697" s="1" t="n">
        <v>45363</v>
      </c>
      <c r="D8697" t="inlineStr">
        <is>
          <t>JÄMTLANDS LÄN</t>
        </is>
      </c>
      <c r="E8697" t="inlineStr">
        <is>
          <t>STRÖMSUND</t>
        </is>
      </c>
      <c r="F8697" t="inlineStr">
        <is>
          <t>SCA</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30854-2023</t>
        </is>
      </c>
      <c r="B8698" s="1" t="n">
        <v>45113</v>
      </c>
      <c r="C8698" s="1" t="n">
        <v>45363</v>
      </c>
      <c r="D8698" t="inlineStr">
        <is>
          <t>JÄMTLANDS LÄN</t>
        </is>
      </c>
      <c r="E8698" t="inlineStr">
        <is>
          <t>BRÄCKE</t>
        </is>
      </c>
      <c r="F8698" t="inlineStr">
        <is>
          <t>SCA</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30825-2023</t>
        </is>
      </c>
      <c r="B8699" s="1" t="n">
        <v>45113</v>
      </c>
      <c r="C8699" s="1" t="n">
        <v>45363</v>
      </c>
      <c r="D8699" t="inlineStr">
        <is>
          <t>JÄMTLANDS LÄN</t>
        </is>
      </c>
      <c r="E8699" t="inlineStr">
        <is>
          <t>RAGUNDA</t>
        </is>
      </c>
      <c r="F8699" t="inlineStr">
        <is>
          <t>SCA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30833-2023</t>
        </is>
      </c>
      <c r="B8700" s="1" t="n">
        <v>45112</v>
      </c>
      <c r="C8700" s="1" t="n">
        <v>45363</v>
      </c>
      <c r="D8700" t="inlineStr">
        <is>
          <t>JÄMTLANDS LÄN</t>
        </is>
      </c>
      <c r="E8700" t="inlineStr">
        <is>
          <t>BRÄCKE</t>
        </is>
      </c>
      <c r="F8700" t="inlineStr">
        <is>
          <t>SCA</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30602-2023</t>
        </is>
      </c>
      <c r="B8701" s="1" t="n">
        <v>45112</v>
      </c>
      <c r="C8701" s="1" t="n">
        <v>45363</v>
      </c>
      <c r="D8701" t="inlineStr">
        <is>
          <t>JÄMTLANDS LÄN</t>
        </is>
      </c>
      <c r="E8701" t="inlineStr">
        <is>
          <t>ÖSTERSUND</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30849-2023</t>
        </is>
      </c>
      <c r="B8702" s="1" t="n">
        <v>45113</v>
      </c>
      <c r="C8702" s="1" t="n">
        <v>45363</v>
      </c>
      <c r="D8702" t="inlineStr">
        <is>
          <t>JÄMTLANDS LÄN</t>
        </is>
      </c>
      <c r="E8702" t="inlineStr">
        <is>
          <t>STRÖMSUND</t>
        </is>
      </c>
      <c r="F8702" t="inlineStr">
        <is>
          <t>SCA</t>
        </is>
      </c>
      <c r="G8702" t="n">
        <v>8.4</v>
      </c>
      <c r="H8702" t="n">
        <v>0</v>
      </c>
      <c r="I8702" t="n">
        <v>0</v>
      </c>
      <c r="J8702" t="n">
        <v>0</v>
      </c>
      <c r="K8702" t="n">
        <v>0</v>
      </c>
      <c r="L8702" t="n">
        <v>0</v>
      </c>
      <c r="M8702" t="n">
        <v>0</v>
      </c>
      <c r="N8702" t="n">
        <v>0</v>
      </c>
      <c r="O8702" t="n">
        <v>0</v>
      </c>
      <c r="P8702" t="n">
        <v>0</v>
      </c>
      <c r="Q8702" t="n">
        <v>0</v>
      </c>
      <c r="R8702" s="2" t="inlineStr"/>
    </row>
    <row r="8703" ht="15" customHeight="1">
      <c r="A8703" t="inlineStr">
        <is>
          <t>A 30685-2023</t>
        </is>
      </c>
      <c r="B8703" s="1" t="n">
        <v>45112</v>
      </c>
      <c r="C8703" s="1" t="n">
        <v>45363</v>
      </c>
      <c r="D8703" t="inlineStr">
        <is>
          <t>JÄMTLANDS LÄN</t>
        </is>
      </c>
      <c r="E8703" t="inlineStr">
        <is>
          <t>BRÄCKE</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30709-2023</t>
        </is>
      </c>
      <c r="B8704" s="1" t="n">
        <v>45112</v>
      </c>
      <c r="C8704" s="1" t="n">
        <v>45363</v>
      </c>
      <c r="D8704" t="inlineStr">
        <is>
          <t>JÄMTLANDS LÄN</t>
        </is>
      </c>
      <c r="E8704" t="inlineStr">
        <is>
          <t>HÄRJEDALEN</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30819-2023</t>
        </is>
      </c>
      <c r="B8705" s="1" t="n">
        <v>45113</v>
      </c>
      <c r="C8705" s="1" t="n">
        <v>45363</v>
      </c>
      <c r="D8705" t="inlineStr">
        <is>
          <t>JÄMTLANDS LÄN</t>
        </is>
      </c>
      <c r="E8705" t="inlineStr">
        <is>
          <t>STRÖMSUND</t>
        </is>
      </c>
      <c r="G8705" t="n">
        <v>8.5</v>
      </c>
      <c r="H8705" t="n">
        <v>0</v>
      </c>
      <c r="I8705" t="n">
        <v>0</v>
      </c>
      <c r="J8705" t="n">
        <v>0</v>
      </c>
      <c r="K8705" t="n">
        <v>0</v>
      </c>
      <c r="L8705" t="n">
        <v>0</v>
      </c>
      <c r="M8705" t="n">
        <v>0</v>
      </c>
      <c r="N8705" t="n">
        <v>0</v>
      </c>
      <c r="O8705" t="n">
        <v>0</v>
      </c>
      <c r="P8705" t="n">
        <v>0</v>
      </c>
      <c r="Q8705" t="n">
        <v>0</v>
      </c>
      <c r="R8705" s="2" t="inlineStr"/>
    </row>
    <row r="8706" ht="15" customHeight="1">
      <c r="A8706" t="inlineStr">
        <is>
          <t>A 30823-2023</t>
        </is>
      </c>
      <c r="B8706" s="1" t="n">
        <v>45112</v>
      </c>
      <c r="C8706" s="1" t="n">
        <v>45363</v>
      </c>
      <c r="D8706" t="inlineStr">
        <is>
          <t>JÄMTLANDS LÄN</t>
        </is>
      </c>
      <c r="E8706" t="inlineStr">
        <is>
          <t>RAGUNDA</t>
        </is>
      </c>
      <c r="F8706" t="inlineStr">
        <is>
          <t>SCA</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30831-2023</t>
        </is>
      </c>
      <c r="B8707" s="1" t="n">
        <v>45113</v>
      </c>
      <c r="C8707" s="1" t="n">
        <v>45363</v>
      </c>
      <c r="D8707" t="inlineStr">
        <is>
          <t>JÄMTLANDS LÄN</t>
        </is>
      </c>
      <c r="E8707" t="inlineStr">
        <is>
          <t>STRÖMSUND</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30816-2023</t>
        </is>
      </c>
      <c r="B8708" s="1" t="n">
        <v>45112</v>
      </c>
      <c r="C8708" s="1" t="n">
        <v>45363</v>
      </c>
      <c r="D8708" t="inlineStr">
        <is>
          <t>JÄMTLANDS LÄN</t>
        </is>
      </c>
      <c r="E8708" t="inlineStr">
        <is>
          <t>STRÖMSUND</t>
        </is>
      </c>
      <c r="G8708" t="n">
        <v>11.2</v>
      </c>
      <c r="H8708" t="n">
        <v>0</v>
      </c>
      <c r="I8708" t="n">
        <v>0</v>
      </c>
      <c r="J8708" t="n">
        <v>0</v>
      </c>
      <c r="K8708" t="n">
        <v>0</v>
      </c>
      <c r="L8708" t="n">
        <v>0</v>
      </c>
      <c r="M8708" t="n">
        <v>0</v>
      </c>
      <c r="N8708" t="n">
        <v>0</v>
      </c>
      <c r="O8708" t="n">
        <v>0</v>
      </c>
      <c r="P8708" t="n">
        <v>0</v>
      </c>
      <c r="Q8708" t="n">
        <v>0</v>
      </c>
      <c r="R8708" s="2" t="inlineStr"/>
    </row>
    <row r="8709" ht="15" customHeight="1">
      <c r="A8709" t="inlineStr">
        <is>
          <t>A 30824-2023</t>
        </is>
      </c>
      <c r="B8709" s="1" t="n">
        <v>45113</v>
      </c>
      <c r="C8709" s="1" t="n">
        <v>45363</v>
      </c>
      <c r="D8709" t="inlineStr">
        <is>
          <t>JÄMTLANDS LÄN</t>
        </is>
      </c>
      <c r="E8709" t="inlineStr">
        <is>
          <t>RAGUNDA</t>
        </is>
      </c>
      <c r="F8709" t="inlineStr">
        <is>
          <t>SCA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30828-2023</t>
        </is>
      </c>
      <c r="B8710" s="1" t="n">
        <v>45113</v>
      </c>
      <c r="C8710" s="1" t="n">
        <v>45363</v>
      </c>
      <c r="D8710" t="inlineStr">
        <is>
          <t>JÄMTLANDS LÄN</t>
        </is>
      </c>
      <c r="E8710" t="inlineStr">
        <is>
          <t>STRÖMSUND</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30832-2023</t>
        </is>
      </c>
      <c r="B8711" s="1" t="n">
        <v>45112</v>
      </c>
      <c r="C8711" s="1" t="n">
        <v>45363</v>
      </c>
      <c r="D8711" t="inlineStr">
        <is>
          <t>JÄMTLANDS LÄN</t>
        </is>
      </c>
      <c r="E8711" t="inlineStr">
        <is>
          <t>STRÖMSUND</t>
        </is>
      </c>
      <c r="F8711" t="inlineStr">
        <is>
          <t>SCA</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30836-2023</t>
        </is>
      </c>
      <c r="B8712" s="1" t="n">
        <v>45113</v>
      </c>
      <c r="C8712" s="1" t="n">
        <v>45363</v>
      </c>
      <c r="D8712" t="inlineStr">
        <is>
          <t>JÄMTLANDS LÄN</t>
        </is>
      </c>
      <c r="E8712" t="inlineStr">
        <is>
          <t>STRÖMSUND</t>
        </is>
      </c>
      <c r="F8712" t="inlineStr">
        <is>
          <t>SCA</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32692-2023</t>
        </is>
      </c>
      <c r="B8713" s="1" t="n">
        <v>45112</v>
      </c>
      <c r="C8713" s="1" t="n">
        <v>45363</v>
      </c>
      <c r="D8713" t="inlineStr">
        <is>
          <t>JÄMTLANDS LÄN</t>
        </is>
      </c>
      <c r="E8713" t="inlineStr">
        <is>
          <t>KROKOM</t>
        </is>
      </c>
      <c r="G8713" t="n">
        <v>6.6</v>
      </c>
      <c r="H8713" t="n">
        <v>0</v>
      </c>
      <c r="I8713" t="n">
        <v>0</v>
      </c>
      <c r="J8713" t="n">
        <v>0</v>
      </c>
      <c r="K8713" t="n">
        <v>0</v>
      </c>
      <c r="L8713" t="n">
        <v>0</v>
      </c>
      <c r="M8713" t="n">
        <v>0</v>
      </c>
      <c r="N8713" t="n">
        <v>0</v>
      </c>
      <c r="O8713" t="n">
        <v>0</v>
      </c>
      <c r="P8713" t="n">
        <v>0</v>
      </c>
      <c r="Q8713" t="n">
        <v>0</v>
      </c>
      <c r="R8713" s="2" t="inlineStr"/>
    </row>
    <row r="8714" ht="15" customHeight="1">
      <c r="A8714" t="inlineStr">
        <is>
          <t>A 32871-2023</t>
        </is>
      </c>
      <c r="B8714" s="1" t="n">
        <v>45112</v>
      </c>
      <c r="C8714" s="1" t="n">
        <v>45363</v>
      </c>
      <c r="D8714" t="inlineStr">
        <is>
          <t>JÄMTLANDS LÄN</t>
        </is>
      </c>
      <c r="E8714" t="inlineStr">
        <is>
          <t>STRÖMSUND</t>
        </is>
      </c>
      <c r="F8714" t="inlineStr">
        <is>
          <t>Kommuner</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32650-2023</t>
        </is>
      </c>
      <c r="B8715" s="1" t="n">
        <v>45112</v>
      </c>
      <c r="C8715" s="1" t="n">
        <v>45363</v>
      </c>
      <c r="D8715" t="inlineStr">
        <is>
          <t>JÄMTLANDS LÄN</t>
        </is>
      </c>
      <c r="E8715" t="inlineStr">
        <is>
          <t>KROKOM</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32873-2023</t>
        </is>
      </c>
      <c r="B8716" s="1" t="n">
        <v>45112</v>
      </c>
      <c r="C8716" s="1" t="n">
        <v>45363</v>
      </c>
      <c r="D8716" t="inlineStr">
        <is>
          <t>JÄMTLANDS LÄN</t>
        </is>
      </c>
      <c r="E8716" t="inlineStr">
        <is>
          <t>STRÖMSUND</t>
        </is>
      </c>
      <c r="F8716" t="inlineStr">
        <is>
          <t>Kommuner</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32881-2023</t>
        </is>
      </c>
      <c r="B8717" s="1" t="n">
        <v>45112</v>
      </c>
      <c r="C8717" s="1" t="n">
        <v>45363</v>
      </c>
      <c r="D8717" t="inlineStr">
        <is>
          <t>JÄMTLANDS LÄN</t>
        </is>
      </c>
      <c r="E8717" t="inlineStr">
        <is>
          <t>KROKOM</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32837-2023</t>
        </is>
      </c>
      <c r="B8718" s="1" t="n">
        <v>45112</v>
      </c>
      <c r="C8718" s="1" t="n">
        <v>45363</v>
      </c>
      <c r="D8718" t="inlineStr">
        <is>
          <t>JÄMTLANDS LÄN</t>
        </is>
      </c>
      <c r="E8718" t="inlineStr">
        <is>
          <t>KROKOM</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32882-2023</t>
        </is>
      </c>
      <c r="B8719" s="1" t="n">
        <v>45112</v>
      </c>
      <c r="C8719" s="1" t="n">
        <v>45363</v>
      </c>
      <c r="D8719" t="inlineStr">
        <is>
          <t>JÄMTLANDS LÄN</t>
        </is>
      </c>
      <c r="E8719" t="inlineStr">
        <is>
          <t>STRÖMSUND</t>
        </is>
      </c>
      <c r="F8719" t="inlineStr">
        <is>
          <t>Kommuner</t>
        </is>
      </c>
      <c r="G8719" t="n">
        <v>0.2</v>
      </c>
      <c r="H8719" t="n">
        <v>0</v>
      </c>
      <c r="I8719" t="n">
        <v>0</v>
      </c>
      <c r="J8719" t="n">
        <v>0</v>
      </c>
      <c r="K8719" t="n">
        <v>0</v>
      </c>
      <c r="L8719" t="n">
        <v>0</v>
      </c>
      <c r="M8719" t="n">
        <v>0</v>
      </c>
      <c r="N8719" t="n">
        <v>0</v>
      </c>
      <c r="O8719" t="n">
        <v>0</v>
      </c>
      <c r="P8719" t="n">
        <v>0</v>
      </c>
      <c r="Q8719" t="n">
        <v>0</v>
      </c>
      <c r="R8719" s="2" t="inlineStr"/>
    </row>
    <row r="8720" ht="15" customHeight="1">
      <c r="A8720" t="inlineStr">
        <is>
          <t>A 32883-2023</t>
        </is>
      </c>
      <c r="B8720" s="1" t="n">
        <v>45112</v>
      </c>
      <c r="C8720" s="1" t="n">
        <v>45363</v>
      </c>
      <c r="D8720" t="inlineStr">
        <is>
          <t>JÄMTLANDS LÄN</t>
        </is>
      </c>
      <c r="E8720" t="inlineStr">
        <is>
          <t>STRÖMSUND</t>
        </is>
      </c>
      <c r="F8720" t="inlineStr">
        <is>
          <t>Kommuner</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32884-2023</t>
        </is>
      </c>
      <c r="B8721" s="1" t="n">
        <v>45112</v>
      </c>
      <c r="C8721" s="1" t="n">
        <v>45363</v>
      </c>
      <c r="D8721" t="inlineStr">
        <is>
          <t>JÄMTLANDS LÄN</t>
        </is>
      </c>
      <c r="E8721" t="inlineStr">
        <is>
          <t>STRÖMSUND</t>
        </is>
      </c>
      <c r="F8721" t="inlineStr">
        <is>
          <t>Kommuner</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30984-2023</t>
        </is>
      </c>
      <c r="B8722" s="1" t="n">
        <v>45113</v>
      </c>
      <c r="C8722" s="1" t="n">
        <v>45363</v>
      </c>
      <c r="D8722" t="inlineStr">
        <is>
          <t>JÄMTLANDS LÄN</t>
        </is>
      </c>
      <c r="E8722" t="inlineStr">
        <is>
          <t>HÄRJEDALEN</t>
        </is>
      </c>
      <c r="F8722" t="inlineStr">
        <is>
          <t>Bergvik skog väst AB</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31201-2023</t>
        </is>
      </c>
      <c r="B8723" s="1" t="n">
        <v>45113</v>
      </c>
      <c r="C8723" s="1" t="n">
        <v>45363</v>
      </c>
      <c r="D8723" t="inlineStr">
        <is>
          <t>JÄMTLANDS LÄN</t>
        </is>
      </c>
      <c r="E8723" t="inlineStr">
        <is>
          <t>STRÖMSUND</t>
        </is>
      </c>
      <c r="F8723" t="inlineStr">
        <is>
          <t>SCA</t>
        </is>
      </c>
      <c r="G8723" t="n">
        <v>10.5</v>
      </c>
      <c r="H8723" t="n">
        <v>0</v>
      </c>
      <c r="I8723" t="n">
        <v>0</v>
      </c>
      <c r="J8723" t="n">
        <v>0</v>
      </c>
      <c r="K8723" t="n">
        <v>0</v>
      </c>
      <c r="L8723" t="n">
        <v>0</v>
      </c>
      <c r="M8723" t="n">
        <v>0</v>
      </c>
      <c r="N8723" t="n">
        <v>0</v>
      </c>
      <c r="O8723" t="n">
        <v>0</v>
      </c>
      <c r="P8723" t="n">
        <v>0</v>
      </c>
      <c r="Q8723" t="n">
        <v>0</v>
      </c>
      <c r="R8723" s="2" t="inlineStr"/>
    </row>
    <row r="8724" ht="15" customHeight="1">
      <c r="A8724" t="inlineStr">
        <is>
          <t>A 31210-2023</t>
        </is>
      </c>
      <c r="B8724" s="1" t="n">
        <v>45114</v>
      </c>
      <c r="C8724" s="1" t="n">
        <v>45363</v>
      </c>
      <c r="D8724" t="inlineStr">
        <is>
          <t>JÄMTLANDS LÄN</t>
        </is>
      </c>
      <c r="E8724" t="inlineStr">
        <is>
          <t>STRÖMSUND</t>
        </is>
      </c>
      <c r="F8724" t="inlineStr">
        <is>
          <t>SCA</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31182-2023</t>
        </is>
      </c>
      <c r="B8725" s="1" t="n">
        <v>45113</v>
      </c>
      <c r="C8725" s="1" t="n">
        <v>45363</v>
      </c>
      <c r="D8725" t="inlineStr">
        <is>
          <t>JÄMTLANDS LÄN</t>
        </is>
      </c>
      <c r="E8725" t="inlineStr">
        <is>
          <t>STRÖMSUND</t>
        </is>
      </c>
      <c r="F8725" t="inlineStr">
        <is>
          <t>SCA</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31195-2023</t>
        </is>
      </c>
      <c r="B8726" s="1" t="n">
        <v>45114</v>
      </c>
      <c r="C8726" s="1" t="n">
        <v>45363</v>
      </c>
      <c r="D8726" t="inlineStr">
        <is>
          <t>JÄMTLANDS LÄN</t>
        </is>
      </c>
      <c r="E8726" t="inlineStr">
        <is>
          <t>BRÄCKE</t>
        </is>
      </c>
      <c r="F8726" t="inlineStr">
        <is>
          <t>SCA</t>
        </is>
      </c>
      <c r="G8726" t="n">
        <v>9.800000000000001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31200-2023</t>
        </is>
      </c>
      <c r="B8727" s="1" t="n">
        <v>45114</v>
      </c>
      <c r="C8727" s="1" t="n">
        <v>45363</v>
      </c>
      <c r="D8727" t="inlineStr">
        <is>
          <t>JÄMTLANDS LÄN</t>
        </is>
      </c>
      <c r="E8727" t="inlineStr">
        <is>
          <t>RAGUNDA</t>
        </is>
      </c>
      <c r="F8727" t="inlineStr">
        <is>
          <t>SCA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31269-2023</t>
        </is>
      </c>
      <c r="B8728" s="1" t="n">
        <v>45114</v>
      </c>
      <c r="C8728" s="1" t="n">
        <v>45363</v>
      </c>
      <c r="D8728" t="inlineStr">
        <is>
          <t>JÄMTLANDS LÄN</t>
        </is>
      </c>
      <c r="E8728" t="inlineStr">
        <is>
          <t>HÄRJEDALEN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31442-2023</t>
        </is>
      </c>
      <c r="B8729" s="1" t="n">
        <v>45114</v>
      </c>
      <c r="C8729" s="1" t="n">
        <v>45363</v>
      </c>
      <c r="D8729" t="inlineStr">
        <is>
          <t>JÄMTLANDS LÄN</t>
        </is>
      </c>
      <c r="E8729" t="inlineStr">
        <is>
          <t>BERG</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31491-2023</t>
        </is>
      </c>
      <c r="B8730" s="1" t="n">
        <v>45114</v>
      </c>
      <c r="C8730" s="1" t="n">
        <v>45363</v>
      </c>
      <c r="D8730" t="inlineStr">
        <is>
          <t>JÄMTLANDS LÄN</t>
        </is>
      </c>
      <c r="E8730" t="inlineStr">
        <is>
          <t>STRÖMSUND</t>
        </is>
      </c>
      <c r="F8730" t="inlineStr">
        <is>
          <t>SCA</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31386-2023</t>
        </is>
      </c>
      <c r="B8731" s="1" t="n">
        <v>45114</v>
      </c>
      <c r="C8731" s="1" t="n">
        <v>45363</v>
      </c>
      <c r="D8731" t="inlineStr">
        <is>
          <t>JÄMTLANDS LÄN</t>
        </is>
      </c>
      <c r="E8731" t="inlineStr">
        <is>
          <t>KROKOM</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31435-2023</t>
        </is>
      </c>
      <c r="B8732" s="1" t="n">
        <v>45114</v>
      </c>
      <c r="C8732" s="1" t="n">
        <v>45363</v>
      </c>
      <c r="D8732" t="inlineStr">
        <is>
          <t>JÄMTLANDS LÄN</t>
        </is>
      </c>
      <c r="E8732" t="inlineStr">
        <is>
          <t>HÄRJEDALEN</t>
        </is>
      </c>
      <c r="G8732" t="n">
        <v>20.9</v>
      </c>
      <c r="H8732" t="n">
        <v>0</v>
      </c>
      <c r="I8732" t="n">
        <v>0</v>
      </c>
      <c r="J8732" t="n">
        <v>0</v>
      </c>
      <c r="K8732" t="n">
        <v>0</v>
      </c>
      <c r="L8732" t="n">
        <v>0</v>
      </c>
      <c r="M8732" t="n">
        <v>0</v>
      </c>
      <c r="N8732" t="n">
        <v>0</v>
      </c>
      <c r="O8732" t="n">
        <v>0</v>
      </c>
      <c r="P8732" t="n">
        <v>0</v>
      </c>
      <c r="Q8732" t="n">
        <v>0</v>
      </c>
      <c r="R8732" s="2" t="inlineStr"/>
    </row>
    <row r="8733" ht="15" customHeight="1">
      <c r="A8733" t="inlineStr">
        <is>
          <t>A 31395-2023</t>
        </is>
      </c>
      <c r="B8733" s="1" t="n">
        <v>45114</v>
      </c>
      <c r="C8733" s="1" t="n">
        <v>45363</v>
      </c>
      <c r="D8733" t="inlineStr">
        <is>
          <t>JÄMTLANDS LÄN</t>
        </is>
      </c>
      <c r="E8733" t="inlineStr">
        <is>
          <t>KROKOM</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31497-2023</t>
        </is>
      </c>
      <c r="B8734" s="1" t="n">
        <v>45115</v>
      </c>
      <c r="C8734" s="1" t="n">
        <v>45363</v>
      </c>
      <c r="D8734" t="inlineStr">
        <is>
          <t>JÄMTLANDS LÄN</t>
        </is>
      </c>
      <c r="E8734" t="inlineStr">
        <is>
          <t>STRÖMSUND</t>
        </is>
      </c>
      <c r="F8734" t="inlineStr">
        <is>
          <t>SCA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31551-2023</t>
        </is>
      </c>
      <c r="B8735" s="1" t="n">
        <v>45117</v>
      </c>
      <c r="C8735" s="1" t="n">
        <v>45363</v>
      </c>
      <c r="D8735" t="inlineStr">
        <is>
          <t>JÄMTLANDS LÄN</t>
        </is>
      </c>
      <c r="E8735" t="inlineStr">
        <is>
          <t>ÖSTERSUND</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31580-2023</t>
        </is>
      </c>
      <c r="B8736" s="1" t="n">
        <v>45117</v>
      </c>
      <c r="C8736" s="1" t="n">
        <v>45363</v>
      </c>
      <c r="D8736" t="inlineStr">
        <is>
          <t>JÄMTLANDS LÄN</t>
        </is>
      </c>
      <c r="E8736" t="inlineStr">
        <is>
          <t>KROKOM</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31584-2023</t>
        </is>
      </c>
      <c r="B8737" s="1" t="n">
        <v>45117</v>
      </c>
      <c r="C8737" s="1" t="n">
        <v>45363</v>
      </c>
      <c r="D8737" t="inlineStr">
        <is>
          <t>JÄMTLANDS LÄN</t>
        </is>
      </c>
      <c r="E8737" t="inlineStr">
        <is>
          <t>KROKOM</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31537-2023</t>
        </is>
      </c>
      <c r="B8738" s="1" t="n">
        <v>45117</v>
      </c>
      <c r="C8738" s="1" t="n">
        <v>45363</v>
      </c>
      <c r="D8738" t="inlineStr">
        <is>
          <t>JÄMTLANDS LÄN</t>
        </is>
      </c>
      <c r="E8738" t="inlineStr">
        <is>
          <t>KROKOM</t>
        </is>
      </c>
      <c r="F8738" t="inlineStr">
        <is>
          <t>Övriga Aktiebolag</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31600-2023</t>
        </is>
      </c>
      <c r="B8739" s="1" t="n">
        <v>45117</v>
      </c>
      <c r="C8739" s="1" t="n">
        <v>45363</v>
      </c>
      <c r="D8739" t="inlineStr">
        <is>
          <t>JÄMTLANDS LÄN</t>
        </is>
      </c>
      <c r="E8739" t="inlineStr">
        <is>
          <t>ÖSTERSUND</t>
        </is>
      </c>
      <c r="F8739" t="inlineStr">
        <is>
          <t>Övriga Aktiebolag</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31538-2023</t>
        </is>
      </c>
      <c r="B8740" s="1" t="n">
        <v>45117</v>
      </c>
      <c r="C8740" s="1" t="n">
        <v>45363</v>
      </c>
      <c r="D8740" t="inlineStr">
        <is>
          <t>JÄMTLANDS LÄN</t>
        </is>
      </c>
      <c r="E8740" t="inlineStr">
        <is>
          <t>KROKOM</t>
        </is>
      </c>
      <c r="F8740" t="inlineStr">
        <is>
          <t>Övriga Aktiebolag</t>
        </is>
      </c>
      <c r="G8740" t="n">
        <v>9.9</v>
      </c>
      <c r="H8740" t="n">
        <v>0</v>
      </c>
      <c r="I8740" t="n">
        <v>0</v>
      </c>
      <c r="J8740" t="n">
        <v>0</v>
      </c>
      <c r="K8740" t="n">
        <v>0</v>
      </c>
      <c r="L8740" t="n">
        <v>0</v>
      </c>
      <c r="M8740" t="n">
        <v>0</v>
      </c>
      <c r="N8740" t="n">
        <v>0</v>
      </c>
      <c r="O8740" t="n">
        <v>0</v>
      </c>
      <c r="P8740" t="n">
        <v>0</v>
      </c>
      <c r="Q8740" t="n">
        <v>0</v>
      </c>
      <c r="R8740" s="2" t="inlineStr"/>
    </row>
    <row r="8741" ht="15" customHeight="1">
      <c r="A8741" t="inlineStr">
        <is>
          <t>A 31549-2023</t>
        </is>
      </c>
      <c r="B8741" s="1" t="n">
        <v>45117</v>
      </c>
      <c r="C8741" s="1" t="n">
        <v>45363</v>
      </c>
      <c r="D8741" t="inlineStr">
        <is>
          <t>JÄMTLANDS LÄN</t>
        </is>
      </c>
      <c r="E8741" t="inlineStr">
        <is>
          <t>ÖSTERSUND</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31601-2023</t>
        </is>
      </c>
      <c r="B8742" s="1" t="n">
        <v>45117</v>
      </c>
      <c r="C8742" s="1" t="n">
        <v>45363</v>
      </c>
      <c r="D8742" t="inlineStr">
        <is>
          <t>JÄMTLANDS LÄN</t>
        </is>
      </c>
      <c r="E8742" t="inlineStr">
        <is>
          <t>KROKOM</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31550-2023</t>
        </is>
      </c>
      <c r="B8743" s="1" t="n">
        <v>45117</v>
      </c>
      <c r="C8743" s="1" t="n">
        <v>45363</v>
      </c>
      <c r="D8743" t="inlineStr">
        <is>
          <t>JÄMTLANDS LÄN</t>
        </is>
      </c>
      <c r="E8743" t="inlineStr">
        <is>
          <t>KROKOM</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31778-2023</t>
        </is>
      </c>
      <c r="B8744" s="1" t="n">
        <v>45118</v>
      </c>
      <c r="C8744" s="1" t="n">
        <v>45363</v>
      </c>
      <c r="D8744" t="inlineStr">
        <is>
          <t>JÄMTLANDS LÄN</t>
        </is>
      </c>
      <c r="E8744" t="inlineStr">
        <is>
          <t>HÄRJEDALEN</t>
        </is>
      </c>
      <c r="F8744" t="inlineStr">
        <is>
          <t>Bergvik skog väst AB</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31927-2023</t>
        </is>
      </c>
      <c r="B8745" s="1" t="n">
        <v>45119</v>
      </c>
      <c r="C8745" s="1" t="n">
        <v>45363</v>
      </c>
      <c r="D8745" t="inlineStr">
        <is>
          <t>JÄMTLANDS LÄN</t>
        </is>
      </c>
      <c r="E8745" t="inlineStr">
        <is>
          <t>KROKOM</t>
        </is>
      </c>
      <c r="G8745" t="n">
        <v>56.6</v>
      </c>
      <c r="H8745" t="n">
        <v>0</v>
      </c>
      <c r="I8745" t="n">
        <v>0</v>
      </c>
      <c r="J8745" t="n">
        <v>0</v>
      </c>
      <c r="K8745" t="n">
        <v>0</v>
      </c>
      <c r="L8745" t="n">
        <v>0</v>
      </c>
      <c r="M8745" t="n">
        <v>0</v>
      </c>
      <c r="N8745" t="n">
        <v>0</v>
      </c>
      <c r="O8745" t="n">
        <v>0</v>
      </c>
      <c r="P8745" t="n">
        <v>0</v>
      </c>
      <c r="Q8745" t="n">
        <v>0</v>
      </c>
      <c r="R8745" s="2" t="inlineStr"/>
    </row>
    <row r="8746" ht="15" customHeight="1">
      <c r="A8746" t="inlineStr">
        <is>
          <t>A 31877-2023</t>
        </is>
      </c>
      <c r="B8746" s="1" t="n">
        <v>45118</v>
      </c>
      <c r="C8746" s="1" t="n">
        <v>45363</v>
      </c>
      <c r="D8746" t="inlineStr">
        <is>
          <t>JÄMTLANDS LÄN</t>
        </is>
      </c>
      <c r="E8746" t="inlineStr">
        <is>
          <t>KROKOM</t>
        </is>
      </c>
      <c r="F8746" t="inlineStr">
        <is>
          <t>Övriga Aktiebolag</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31811-2023</t>
        </is>
      </c>
      <c r="B8747" s="1" t="n">
        <v>45118</v>
      </c>
      <c r="C8747" s="1" t="n">
        <v>45363</v>
      </c>
      <c r="D8747" t="inlineStr">
        <is>
          <t>JÄMTLANDS LÄN</t>
        </is>
      </c>
      <c r="E8747" t="inlineStr">
        <is>
          <t>HÄRJEDALEN</t>
        </is>
      </c>
      <c r="F8747" t="inlineStr">
        <is>
          <t>Bergvik skog väst AB</t>
        </is>
      </c>
      <c r="G8747" t="n">
        <v>12.5</v>
      </c>
      <c r="H8747" t="n">
        <v>0</v>
      </c>
      <c r="I8747" t="n">
        <v>0</v>
      </c>
      <c r="J8747" t="n">
        <v>0</v>
      </c>
      <c r="K8747" t="n">
        <v>0</v>
      </c>
      <c r="L8747" t="n">
        <v>0</v>
      </c>
      <c r="M8747" t="n">
        <v>0</v>
      </c>
      <c r="N8747" t="n">
        <v>0</v>
      </c>
      <c r="O8747" t="n">
        <v>0</v>
      </c>
      <c r="P8747" t="n">
        <v>0</v>
      </c>
      <c r="Q8747" t="n">
        <v>0</v>
      </c>
      <c r="R8747" s="2" t="inlineStr"/>
    </row>
    <row r="8748" ht="15" customHeight="1">
      <c r="A8748" t="inlineStr">
        <is>
          <t>A 31910-2023</t>
        </is>
      </c>
      <c r="B8748" s="1" t="n">
        <v>45118</v>
      </c>
      <c r="C8748" s="1" t="n">
        <v>45363</v>
      </c>
      <c r="D8748" t="inlineStr">
        <is>
          <t>JÄMTLANDS LÄN</t>
        </is>
      </c>
      <c r="E8748" t="inlineStr">
        <is>
          <t>HÄRJEDALEN</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31926-2023</t>
        </is>
      </c>
      <c r="B8749" s="1" t="n">
        <v>45119</v>
      </c>
      <c r="C8749" s="1" t="n">
        <v>45363</v>
      </c>
      <c r="D8749" t="inlineStr">
        <is>
          <t>JÄMTLANDS LÄN</t>
        </is>
      </c>
      <c r="E8749" t="inlineStr">
        <is>
          <t>RAGUNDA</t>
        </is>
      </c>
      <c r="F8749" t="inlineStr">
        <is>
          <t>SCA</t>
        </is>
      </c>
      <c r="G8749" t="n">
        <v>11.3</v>
      </c>
      <c r="H8749" t="n">
        <v>0</v>
      </c>
      <c r="I8749" t="n">
        <v>0</v>
      </c>
      <c r="J8749" t="n">
        <v>0</v>
      </c>
      <c r="K8749" t="n">
        <v>0</v>
      </c>
      <c r="L8749" t="n">
        <v>0</v>
      </c>
      <c r="M8749" t="n">
        <v>0</v>
      </c>
      <c r="N8749" t="n">
        <v>0</v>
      </c>
      <c r="O8749" t="n">
        <v>0</v>
      </c>
      <c r="P8749" t="n">
        <v>0</v>
      </c>
      <c r="Q8749" t="n">
        <v>0</v>
      </c>
      <c r="R8749" s="2" t="inlineStr"/>
    </row>
    <row r="8750" ht="15" customHeight="1">
      <c r="A8750" t="inlineStr">
        <is>
          <t>A 31929-2023</t>
        </is>
      </c>
      <c r="B8750" s="1" t="n">
        <v>45118</v>
      </c>
      <c r="C8750" s="1" t="n">
        <v>45363</v>
      </c>
      <c r="D8750" t="inlineStr">
        <is>
          <t>JÄMTLANDS LÄN</t>
        </is>
      </c>
      <c r="E8750" t="inlineStr">
        <is>
          <t>STRÖMSUND</t>
        </is>
      </c>
      <c r="F8750" t="inlineStr">
        <is>
          <t>SCA</t>
        </is>
      </c>
      <c r="G8750" t="n">
        <v>16.7</v>
      </c>
      <c r="H8750" t="n">
        <v>0</v>
      </c>
      <c r="I8750" t="n">
        <v>0</v>
      </c>
      <c r="J8750" t="n">
        <v>0</v>
      </c>
      <c r="K8750" t="n">
        <v>0</v>
      </c>
      <c r="L8750" t="n">
        <v>0</v>
      </c>
      <c r="M8750" t="n">
        <v>0</v>
      </c>
      <c r="N8750" t="n">
        <v>0</v>
      </c>
      <c r="O8750" t="n">
        <v>0</v>
      </c>
      <c r="P8750" t="n">
        <v>0</v>
      </c>
      <c r="Q8750" t="n">
        <v>0</v>
      </c>
      <c r="R8750" s="2" t="inlineStr"/>
    </row>
    <row r="8751" ht="15" customHeight="1">
      <c r="A8751" t="inlineStr">
        <is>
          <t>A 31933-2023</t>
        </is>
      </c>
      <c r="B8751" s="1" t="n">
        <v>45119</v>
      </c>
      <c r="C8751" s="1" t="n">
        <v>45363</v>
      </c>
      <c r="D8751" t="inlineStr">
        <is>
          <t>JÄMTLANDS LÄN</t>
        </is>
      </c>
      <c r="E8751" t="inlineStr">
        <is>
          <t>BRÄCKE</t>
        </is>
      </c>
      <c r="F8751" t="inlineStr">
        <is>
          <t>SCA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33501-2023</t>
        </is>
      </c>
      <c r="B8752" s="1" t="n">
        <v>45118</v>
      </c>
      <c r="C8752" s="1" t="n">
        <v>45363</v>
      </c>
      <c r="D8752" t="inlineStr">
        <is>
          <t>JÄMTLANDS LÄN</t>
        </is>
      </c>
      <c r="E8752" t="inlineStr">
        <is>
          <t>ÖSTERSUND</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33502-2023</t>
        </is>
      </c>
      <c r="B8753" s="1" t="n">
        <v>45118</v>
      </c>
      <c r="C8753" s="1" t="n">
        <v>45363</v>
      </c>
      <c r="D8753" t="inlineStr">
        <is>
          <t>JÄMTLANDS LÄN</t>
        </is>
      </c>
      <c r="E8753" t="inlineStr">
        <is>
          <t>ÖSTERSUND</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31958-2023</t>
        </is>
      </c>
      <c r="B8754" s="1" t="n">
        <v>45119</v>
      </c>
      <c r="C8754" s="1" t="n">
        <v>45363</v>
      </c>
      <c r="D8754" t="inlineStr">
        <is>
          <t>JÄMTLANDS LÄN</t>
        </is>
      </c>
      <c r="E8754" t="inlineStr">
        <is>
          <t>HÄRJEDALEN</t>
        </is>
      </c>
      <c r="F8754" t="inlineStr">
        <is>
          <t>Bergvik skog väst AB</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32020-2023</t>
        </is>
      </c>
      <c r="B8755" s="1" t="n">
        <v>45119</v>
      </c>
      <c r="C8755" s="1" t="n">
        <v>45363</v>
      </c>
      <c r="D8755" t="inlineStr">
        <is>
          <t>JÄMTLANDS LÄN</t>
        </is>
      </c>
      <c r="E8755" t="inlineStr">
        <is>
          <t>BERG</t>
        </is>
      </c>
      <c r="G8755" t="n">
        <v>10.3</v>
      </c>
      <c r="H8755" t="n">
        <v>0</v>
      </c>
      <c r="I8755" t="n">
        <v>0</v>
      </c>
      <c r="J8755" t="n">
        <v>0</v>
      </c>
      <c r="K8755" t="n">
        <v>0</v>
      </c>
      <c r="L8755" t="n">
        <v>0</v>
      </c>
      <c r="M8755" t="n">
        <v>0</v>
      </c>
      <c r="N8755" t="n">
        <v>0</v>
      </c>
      <c r="O8755" t="n">
        <v>0</v>
      </c>
      <c r="P8755" t="n">
        <v>0</v>
      </c>
      <c r="Q8755" t="n">
        <v>0</v>
      </c>
      <c r="R8755" s="2" t="inlineStr"/>
    </row>
    <row r="8756" ht="15" customHeight="1">
      <c r="A8756" t="inlineStr">
        <is>
          <t>A 31996-2023</t>
        </is>
      </c>
      <c r="B8756" s="1" t="n">
        <v>45119</v>
      </c>
      <c r="C8756" s="1" t="n">
        <v>45363</v>
      </c>
      <c r="D8756" t="inlineStr">
        <is>
          <t>JÄMTLANDS LÄN</t>
        </is>
      </c>
      <c r="E8756" t="inlineStr">
        <is>
          <t>HÄRJEDALEN</t>
        </is>
      </c>
      <c r="G8756" t="n">
        <v>8.5</v>
      </c>
      <c r="H8756" t="n">
        <v>0</v>
      </c>
      <c r="I8756" t="n">
        <v>0</v>
      </c>
      <c r="J8756" t="n">
        <v>0</v>
      </c>
      <c r="K8756" t="n">
        <v>0</v>
      </c>
      <c r="L8756" t="n">
        <v>0</v>
      </c>
      <c r="M8756" t="n">
        <v>0</v>
      </c>
      <c r="N8756" t="n">
        <v>0</v>
      </c>
      <c r="O8756" t="n">
        <v>0</v>
      </c>
      <c r="P8756" t="n">
        <v>0</v>
      </c>
      <c r="Q8756" t="n">
        <v>0</v>
      </c>
      <c r="R8756" s="2" t="inlineStr"/>
    </row>
    <row r="8757" ht="15" customHeight="1">
      <c r="A8757" t="inlineStr">
        <is>
          <t>A 32019-2023</t>
        </is>
      </c>
      <c r="B8757" s="1" t="n">
        <v>45119</v>
      </c>
      <c r="C8757" s="1" t="n">
        <v>45363</v>
      </c>
      <c r="D8757" t="inlineStr">
        <is>
          <t>JÄMTLANDS LÄN</t>
        </is>
      </c>
      <c r="E8757" t="inlineStr">
        <is>
          <t>KROKOM</t>
        </is>
      </c>
      <c r="F8757" t="inlineStr">
        <is>
          <t>Övriga Aktiebolag</t>
        </is>
      </c>
      <c r="G8757" t="n">
        <v>37.5</v>
      </c>
      <c r="H8757" t="n">
        <v>0</v>
      </c>
      <c r="I8757" t="n">
        <v>0</v>
      </c>
      <c r="J8757" t="n">
        <v>0</v>
      </c>
      <c r="K8757" t="n">
        <v>0</v>
      </c>
      <c r="L8757" t="n">
        <v>0</v>
      </c>
      <c r="M8757" t="n">
        <v>0</v>
      </c>
      <c r="N8757" t="n">
        <v>0</v>
      </c>
      <c r="O8757" t="n">
        <v>0</v>
      </c>
      <c r="P8757" t="n">
        <v>0</v>
      </c>
      <c r="Q8757" t="n">
        <v>0</v>
      </c>
      <c r="R8757" s="2" t="inlineStr"/>
    </row>
    <row r="8758" ht="15" customHeight="1">
      <c r="A8758" t="inlineStr">
        <is>
          <t>A 32210-2023</t>
        </is>
      </c>
      <c r="B8758" s="1" t="n">
        <v>45120</v>
      </c>
      <c r="C8758" s="1" t="n">
        <v>45363</v>
      </c>
      <c r="D8758" t="inlineStr">
        <is>
          <t>JÄMTLANDS LÄN</t>
        </is>
      </c>
      <c r="E8758" t="inlineStr">
        <is>
          <t>STRÖMSUND</t>
        </is>
      </c>
      <c r="F8758" t="inlineStr">
        <is>
          <t>SCA</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32214-2023</t>
        </is>
      </c>
      <c r="B8759" s="1" t="n">
        <v>45119</v>
      </c>
      <c r="C8759" s="1" t="n">
        <v>45363</v>
      </c>
      <c r="D8759" t="inlineStr">
        <is>
          <t>JÄMTLANDS LÄN</t>
        </is>
      </c>
      <c r="E8759" t="inlineStr">
        <is>
          <t>BERG</t>
        </is>
      </c>
      <c r="F8759" t="inlineStr">
        <is>
          <t>SCA</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32090-2023</t>
        </is>
      </c>
      <c r="B8760" s="1" t="n">
        <v>45119</v>
      </c>
      <c r="C8760" s="1" t="n">
        <v>45363</v>
      </c>
      <c r="D8760" t="inlineStr">
        <is>
          <t>JÄMTLANDS LÄN</t>
        </is>
      </c>
      <c r="E8760" t="inlineStr">
        <is>
          <t>KROKOM</t>
        </is>
      </c>
      <c r="F8760" t="inlineStr">
        <is>
          <t>Övriga Aktiebolag</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32207-2023</t>
        </is>
      </c>
      <c r="B8761" s="1" t="n">
        <v>45120</v>
      </c>
      <c r="C8761" s="1" t="n">
        <v>45363</v>
      </c>
      <c r="D8761" t="inlineStr">
        <is>
          <t>JÄMTLANDS LÄN</t>
        </is>
      </c>
      <c r="E8761" t="inlineStr">
        <is>
          <t>RAGUNDA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31960-2023</t>
        </is>
      </c>
      <c r="B8762" s="1" t="n">
        <v>45119</v>
      </c>
      <c r="C8762" s="1" t="n">
        <v>45363</v>
      </c>
      <c r="D8762" t="inlineStr">
        <is>
          <t>JÄMTLANDS LÄN</t>
        </is>
      </c>
      <c r="E8762" t="inlineStr">
        <is>
          <t>HÄRJEDALEN</t>
        </is>
      </c>
      <c r="F8762" t="inlineStr">
        <is>
          <t>Bergvik skog väst AB</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31956-2023</t>
        </is>
      </c>
      <c r="B8763" s="1" t="n">
        <v>45119</v>
      </c>
      <c r="C8763" s="1" t="n">
        <v>45363</v>
      </c>
      <c r="D8763" t="inlineStr">
        <is>
          <t>JÄMTLANDS LÄN</t>
        </is>
      </c>
      <c r="E8763" t="inlineStr">
        <is>
          <t>HÄRJEDALEN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31961-2023</t>
        </is>
      </c>
      <c r="B8764" s="1" t="n">
        <v>45119</v>
      </c>
      <c r="C8764" s="1" t="n">
        <v>45363</v>
      </c>
      <c r="D8764" t="inlineStr">
        <is>
          <t>JÄMTLANDS LÄN</t>
        </is>
      </c>
      <c r="E8764" t="inlineStr">
        <is>
          <t>HÄRJEDALEN</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32228-2023</t>
        </is>
      </c>
      <c r="B8765" s="1" t="n">
        <v>45120</v>
      </c>
      <c r="C8765" s="1" t="n">
        <v>45363</v>
      </c>
      <c r="D8765" t="inlineStr">
        <is>
          <t>JÄMTLANDS LÄN</t>
        </is>
      </c>
      <c r="E8765" t="inlineStr">
        <is>
          <t>BRÄCKE</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32215-2023</t>
        </is>
      </c>
      <c r="B8766" s="1" t="n">
        <v>45119</v>
      </c>
      <c r="C8766" s="1" t="n">
        <v>45363</v>
      </c>
      <c r="D8766" t="inlineStr">
        <is>
          <t>JÄMTLANDS LÄN</t>
        </is>
      </c>
      <c r="E8766" t="inlineStr">
        <is>
          <t>BERG</t>
        </is>
      </c>
      <c r="F8766" t="inlineStr">
        <is>
          <t>SCA</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32220-2023</t>
        </is>
      </c>
      <c r="B8767" s="1" t="n">
        <v>45120</v>
      </c>
      <c r="C8767" s="1" t="n">
        <v>45363</v>
      </c>
      <c r="D8767" t="inlineStr">
        <is>
          <t>JÄMTLANDS LÄN</t>
        </is>
      </c>
      <c r="E8767" t="inlineStr">
        <is>
          <t>STRÖMSUND</t>
        </is>
      </c>
      <c r="F8767" t="inlineStr">
        <is>
          <t>SCA</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32229-2023</t>
        </is>
      </c>
      <c r="B8768" s="1" t="n">
        <v>45120</v>
      </c>
      <c r="C8768" s="1" t="n">
        <v>45363</v>
      </c>
      <c r="D8768" t="inlineStr">
        <is>
          <t>JÄMTLANDS LÄN</t>
        </is>
      </c>
      <c r="E8768" t="inlineStr">
        <is>
          <t>BRÄCKE</t>
        </is>
      </c>
      <c r="F8768" t="inlineStr">
        <is>
          <t>SCA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33615-2023</t>
        </is>
      </c>
      <c r="B8769" s="1" t="n">
        <v>45119</v>
      </c>
      <c r="C8769" s="1" t="n">
        <v>45363</v>
      </c>
      <c r="D8769" t="inlineStr">
        <is>
          <t>JÄMTLANDS LÄN</t>
        </is>
      </c>
      <c r="E8769" t="inlineStr">
        <is>
          <t>RAGUNDA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33653-2023</t>
        </is>
      </c>
      <c r="B8770" s="1" t="n">
        <v>45119</v>
      </c>
      <c r="C8770" s="1" t="n">
        <v>45363</v>
      </c>
      <c r="D8770" t="inlineStr">
        <is>
          <t>JÄMTLANDS LÄN</t>
        </is>
      </c>
      <c r="E8770" t="inlineStr">
        <is>
          <t>KROKOM</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32064-2023</t>
        </is>
      </c>
      <c r="B8771" s="1" t="n">
        <v>45119</v>
      </c>
      <c r="C8771" s="1" t="n">
        <v>45363</v>
      </c>
      <c r="D8771" t="inlineStr">
        <is>
          <t>JÄMTLANDS LÄN</t>
        </is>
      </c>
      <c r="E8771" t="inlineStr">
        <is>
          <t>BERG</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32231-2023</t>
        </is>
      </c>
      <c r="B8772" s="1" t="n">
        <v>45120</v>
      </c>
      <c r="C8772" s="1" t="n">
        <v>45363</v>
      </c>
      <c r="D8772" t="inlineStr">
        <is>
          <t>JÄMTLANDS LÄN</t>
        </is>
      </c>
      <c r="E8772" t="inlineStr">
        <is>
          <t>STRÖMSUND</t>
        </is>
      </c>
      <c r="F8772" t="inlineStr">
        <is>
          <t>SCA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33621-2023</t>
        </is>
      </c>
      <c r="B8773" s="1" t="n">
        <v>45119</v>
      </c>
      <c r="C8773" s="1" t="n">
        <v>45363</v>
      </c>
      <c r="D8773" t="inlineStr">
        <is>
          <t>JÄMTLANDS LÄN</t>
        </is>
      </c>
      <c r="E8773" t="inlineStr">
        <is>
          <t>RAGUNDA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33654-2023</t>
        </is>
      </c>
      <c r="B8774" s="1" t="n">
        <v>45119</v>
      </c>
      <c r="C8774" s="1" t="n">
        <v>45363</v>
      </c>
      <c r="D8774" t="inlineStr">
        <is>
          <t>JÄMTLANDS LÄN</t>
        </is>
      </c>
      <c r="E8774" t="inlineStr">
        <is>
          <t>BERG</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32479-2023</t>
        </is>
      </c>
      <c r="B8775" s="1" t="n">
        <v>45121</v>
      </c>
      <c r="C8775" s="1" t="n">
        <v>45363</v>
      </c>
      <c r="D8775" t="inlineStr">
        <is>
          <t>JÄMTLANDS LÄN</t>
        </is>
      </c>
      <c r="E8775" t="inlineStr">
        <is>
          <t>BRÄCKE</t>
        </is>
      </c>
      <c r="F8775" t="inlineStr">
        <is>
          <t>SCA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32477-2023</t>
        </is>
      </c>
      <c r="B8776" s="1" t="n">
        <v>45120</v>
      </c>
      <c r="C8776" s="1" t="n">
        <v>45363</v>
      </c>
      <c r="D8776" t="inlineStr">
        <is>
          <t>JÄMTLANDS LÄN</t>
        </is>
      </c>
      <c r="E8776" t="inlineStr">
        <is>
          <t>BRÄCKE</t>
        </is>
      </c>
      <c r="F8776" t="inlineStr">
        <is>
          <t>SCA</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32476-2023</t>
        </is>
      </c>
      <c r="B8777" s="1" t="n">
        <v>45120</v>
      </c>
      <c r="C8777" s="1" t="n">
        <v>45363</v>
      </c>
      <c r="D8777" t="inlineStr">
        <is>
          <t>JÄMTLANDS LÄN</t>
        </is>
      </c>
      <c r="E8777" t="inlineStr">
        <is>
          <t>BRÄCKE</t>
        </is>
      </c>
      <c r="F8777" t="inlineStr">
        <is>
          <t>SCA</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32481-2023</t>
        </is>
      </c>
      <c r="B8778" s="1" t="n">
        <v>45120</v>
      </c>
      <c r="C8778" s="1" t="n">
        <v>45363</v>
      </c>
      <c r="D8778" t="inlineStr">
        <is>
          <t>JÄMTLANDS LÄN</t>
        </is>
      </c>
      <c r="E8778" t="inlineStr">
        <is>
          <t>BRÄCKE</t>
        </is>
      </c>
      <c r="F8778" t="inlineStr">
        <is>
          <t>SCA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33750-2023</t>
        </is>
      </c>
      <c r="B8779" s="1" t="n">
        <v>45120</v>
      </c>
      <c r="C8779" s="1" t="n">
        <v>45363</v>
      </c>
      <c r="D8779" t="inlineStr">
        <is>
          <t>JÄMTLANDS LÄN</t>
        </is>
      </c>
      <c r="E8779" t="inlineStr">
        <is>
          <t>BERG</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33774-2023</t>
        </is>
      </c>
      <c r="B8780" s="1" t="n">
        <v>45120</v>
      </c>
      <c r="C8780" s="1" t="n">
        <v>45363</v>
      </c>
      <c r="D8780" t="inlineStr">
        <is>
          <t>JÄMTLANDS LÄN</t>
        </is>
      </c>
      <c r="E8780" t="inlineStr">
        <is>
          <t>ÅRE</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32568-2023</t>
        </is>
      </c>
      <c r="B8781" s="1" t="n">
        <v>45121</v>
      </c>
      <c r="C8781" s="1" t="n">
        <v>45363</v>
      </c>
      <c r="D8781" t="inlineStr">
        <is>
          <t>JÄMTLANDS LÄN</t>
        </is>
      </c>
      <c r="E8781" t="inlineStr">
        <is>
          <t>ÖSTERSUND</t>
        </is>
      </c>
      <c r="G8781" t="n">
        <v>14.9</v>
      </c>
      <c r="H8781" t="n">
        <v>0</v>
      </c>
      <c r="I8781" t="n">
        <v>0</v>
      </c>
      <c r="J8781" t="n">
        <v>0</v>
      </c>
      <c r="K8781" t="n">
        <v>0</v>
      </c>
      <c r="L8781" t="n">
        <v>0</v>
      </c>
      <c r="M8781" t="n">
        <v>0</v>
      </c>
      <c r="N8781" t="n">
        <v>0</v>
      </c>
      <c r="O8781" t="n">
        <v>0</v>
      </c>
      <c r="P8781" t="n">
        <v>0</v>
      </c>
      <c r="Q8781" t="n">
        <v>0</v>
      </c>
      <c r="R8781" s="2" t="inlineStr"/>
    </row>
    <row r="8782" ht="15" customHeight="1">
      <c r="A8782" t="inlineStr">
        <is>
          <t>A 32730-2023</t>
        </is>
      </c>
      <c r="B8782" s="1" t="n">
        <v>45122</v>
      </c>
      <c r="C8782" s="1" t="n">
        <v>45363</v>
      </c>
      <c r="D8782" t="inlineStr">
        <is>
          <t>JÄMTLANDS LÄN</t>
        </is>
      </c>
      <c r="E8782" t="inlineStr">
        <is>
          <t>STRÖMSUND</t>
        </is>
      </c>
      <c r="F8782" t="inlineStr">
        <is>
          <t>SCA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32724-2023</t>
        </is>
      </c>
      <c r="B8783" s="1" t="n">
        <v>45121</v>
      </c>
      <c r="C8783" s="1" t="n">
        <v>45363</v>
      </c>
      <c r="D8783" t="inlineStr">
        <is>
          <t>JÄMTLANDS LÄN</t>
        </is>
      </c>
      <c r="E8783" t="inlineStr">
        <is>
          <t>STRÖMSUND</t>
        </is>
      </c>
      <c r="F8783" t="inlineStr">
        <is>
          <t>SCA</t>
        </is>
      </c>
      <c r="G8783" t="n">
        <v>6.5</v>
      </c>
      <c r="H8783" t="n">
        <v>0</v>
      </c>
      <c r="I8783" t="n">
        <v>0</v>
      </c>
      <c r="J8783" t="n">
        <v>0</v>
      </c>
      <c r="K8783" t="n">
        <v>0</v>
      </c>
      <c r="L8783" t="n">
        <v>0</v>
      </c>
      <c r="M8783" t="n">
        <v>0</v>
      </c>
      <c r="N8783" t="n">
        <v>0</v>
      </c>
      <c r="O8783" t="n">
        <v>0</v>
      </c>
      <c r="P8783" t="n">
        <v>0</v>
      </c>
      <c r="Q8783" t="n">
        <v>0</v>
      </c>
      <c r="R8783" s="2" t="inlineStr"/>
    </row>
    <row r="8784" ht="15" customHeight="1">
      <c r="A8784" t="inlineStr">
        <is>
          <t>A 32732-2023</t>
        </is>
      </c>
      <c r="B8784" s="1" t="n">
        <v>45122</v>
      </c>
      <c r="C8784" s="1" t="n">
        <v>45363</v>
      </c>
      <c r="D8784" t="inlineStr">
        <is>
          <t>JÄMTLANDS LÄN</t>
        </is>
      </c>
      <c r="E8784" t="inlineStr">
        <is>
          <t>BRÄCKE</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32729-2023</t>
        </is>
      </c>
      <c r="B8785" s="1" t="n">
        <v>45122</v>
      </c>
      <c r="C8785" s="1" t="n">
        <v>45363</v>
      </c>
      <c r="D8785" t="inlineStr">
        <is>
          <t>JÄMTLANDS LÄN</t>
        </is>
      </c>
      <c r="E8785" t="inlineStr">
        <is>
          <t>STRÖMSUND</t>
        </is>
      </c>
      <c r="F8785" t="inlineStr">
        <is>
          <t>SCA</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32676-2023</t>
        </is>
      </c>
      <c r="B8786" s="1" t="n">
        <v>45121</v>
      </c>
      <c r="C8786" s="1" t="n">
        <v>45363</v>
      </c>
      <c r="D8786" t="inlineStr">
        <is>
          <t>JÄMTLANDS LÄN</t>
        </is>
      </c>
      <c r="E8786" t="inlineStr">
        <is>
          <t>KROKOM</t>
        </is>
      </c>
      <c r="F8786" t="inlineStr">
        <is>
          <t>Övriga Aktiebolag</t>
        </is>
      </c>
      <c r="G8786" t="n">
        <v>7.1</v>
      </c>
      <c r="H8786" t="n">
        <v>0</v>
      </c>
      <c r="I8786" t="n">
        <v>0</v>
      </c>
      <c r="J8786" t="n">
        <v>0</v>
      </c>
      <c r="K8786" t="n">
        <v>0</v>
      </c>
      <c r="L8786" t="n">
        <v>0</v>
      </c>
      <c r="M8786" t="n">
        <v>0</v>
      </c>
      <c r="N8786" t="n">
        <v>0</v>
      </c>
      <c r="O8786" t="n">
        <v>0</v>
      </c>
      <c r="P8786" t="n">
        <v>0</v>
      </c>
      <c r="Q8786" t="n">
        <v>0</v>
      </c>
      <c r="R8786" s="2" t="inlineStr"/>
    </row>
    <row r="8787" ht="15" customHeight="1">
      <c r="A8787" t="inlineStr">
        <is>
          <t>A 32731-2023</t>
        </is>
      </c>
      <c r="B8787" s="1" t="n">
        <v>45122</v>
      </c>
      <c r="C8787" s="1" t="n">
        <v>45363</v>
      </c>
      <c r="D8787" t="inlineStr">
        <is>
          <t>JÄMTLANDS LÄN</t>
        </is>
      </c>
      <c r="E8787" t="inlineStr">
        <is>
          <t>STRÖMSUND</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32765-2023</t>
        </is>
      </c>
      <c r="B8788" s="1" t="n">
        <v>45123</v>
      </c>
      <c r="C8788" s="1" t="n">
        <v>45363</v>
      </c>
      <c r="D8788" t="inlineStr">
        <is>
          <t>JÄMTLANDS LÄN</t>
        </is>
      </c>
      <c r="E8788" t="inlineStr">
        <is>
          <t>KROKOM</t>
        </is>
      </c>
      <c r="F8788" t="inlineStr">
        <is>
          <t>Övriga Aktiebolag</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32907-2023</t>
        </is>
      </c>
      <c r="B8789" s="1" t="n">
        <v>45124</v>
      </c>
      <c r="C8789" s="1" t="n">
        <v>45363</v>
      </c>
      <c r="D8789" t="inlineStr">
        <is>
          <t>JÄMTLANDS LÄN</t>
        </is>
      </c>
      <c r="E8789" t="inlineStr">
        <is>
          <t>STRÖMSUND</t>
        </is>
      </c>
      <c r="F8789" t="inlineStr">
        <is>
          <t>SCA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32911-2023</t>
        </is>
      </c>
      <c r="B8790" s="1" t="n">
        <v>45125</v>
      </c>
      <c r="C8790" s="1" t="n">
        <v>45363</v>
      </c>
      <c r="D8790" t="inlineStr">
        <is>
          <t>JÄMTLANDS LÄN</t>
        </is>
      </c>
      <c r="E8790" t="inlineStr">
        <is>
          <t>STRÖMSUND</t>
        </is>
      </c>
      <c r="F8790" t="inlineStr">
        <is>
          <t>SCA</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32908-2023</t>
        </is>
      </c>
      <c r="B8791" s="1" t="n">
        <v>45125</v>
      </c>
      <c r="C8791" s="1" t="n">
        <v>45363</v>
      </c>
      <c r="D8791" t="inlineStr">
        <is>
          <t>JÄMTLANDS LÄN</t>
        </is>
      </c>
      <c r="E8791" t="inlineStr">
        <is>
          <t>STRÖMSUND</t>
        </is>
      </c>
      <c r="F8791" t="inlineStr">
        <is>
          <t>SCA</t>
        </is>
      </c>
      <c r="G8791" t="n">
        <v>9.800000000000001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32906-2023</t>
        </is>
      </c>
      <c r="B8792" s="1" t="n">
        <v>45125</v>
      </c>
      <c r="C8792" s="1" t="n">
        <v>45363</v>
      </c>
      <c r="D8792" t="inlineStr">
        <is>
          <t>JÄMTLANDS LÄN</t>
        </is>
      </c>
      <c r="E8792" t="inlineStr">
        <is>
          <t>STRÖMSUND</t>
        </is>
      </c>
      <c r="F8792" t="inlineStr">
        <is>
          <t>SCA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32910-2023</t>
        </is>
      </c>
      <c r="B8793" s="1" t="n">
        <v>45125</v>
      </c>
      <c r="C8793" s="1" t="n">
        <v>45363</v>
      </c>
      <c r="D8793" t="inlineStr">
        <is>
          <t>JÄMTLANDS LÄN</t>
        </is>
      </c>
      <c r="E8793" t="inlineStr">
        <is>
          <t>STRÖMSUND</t>
        </is>
      </c>
      <c r="F8793" t="inlineStr">
        <is>
          <t>SCA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33031-2023</t>
        </is>
      </c>
      <c r="B8794" s="1" t="n">
        <v>45125</v>
      </c>
      <c r="C8794" s="1" t="n">
        <v>45363</v>
      </c>
      <c r="D8794" t="inlineStr">
        <is>
          <t>JÄMTLANDS LÄN</t>
        </is>
      </c>
      <c r="E8794" t="inlineStr">
        <is>
          <t>BRÄCKE</t>
        </is>
      </c>
      <c r="F8794" t="inlineStr">
        <is>
          <t>SCA</t>
        </is>
      </c>
      <c r="G8794" t="n">
        <v>10.7</v>
      </c>
      <c r="H8794" t="n">
        <v>0</v>
      </c>
      <c r="I8794" t="n">
        <v>0</v>
      </c>
      <c r="J8794" t="n">
        <v>0</v>
      </c>
      <c r="K8794" t="n">
        <v>0</v>
      </c>
      <c r="L8794" t="n">
        <v>0</v>
      </c>
      <c r="M8794" t="n">
        <v>0</v>
      </c>
      <c r="N8794" t="n">
        <v>0</v>
      </c>
      <c r="O8794" t="n">
        <v>0</v>
      </c>
      <c r="P8794" t="n">
        <v>0</v>
      </c>
      <c r="Q8794" t="n">
        <v>0</v>
      </c>
      <c r="R8794" s="2" t="inlineStr"/>
    </row>
    <row r="8795" ht="15" customHeight="1">
      <c r="A8795" t="inlineStr">
        <is>
          <t>A 33035-2023</t>
        </is>
      </c>
      <c r="B8795" s="1" t="n">
        <v>45126</v>
      </c>
      <c r="C8795" s="1" t="n">
        <v>45363</v>
      </c>
      <c r="D8795" t="inlineStr">
        <is>
          <t>JÄMTLANDS LÄN</t>
        </is>
      </c>
      <c r="E8795" t="inlineStr">
        <is>
          <t>RAGUNDA</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33039-2023</t>
        </is>
      </c>
      <c r="B8796" s="1" t="n">
        <v>45126</v>
      </c>
      <c r="C8796" s="1" t="n">
        <v>45363</v>
      </c>
      <c r="D8796" t="inlineStr">
        <is>
          <t>JÄMTLANDS LÄN</t>
        </is>
      </c>
      <c r="E8796" t="inlineStr">
        <is>
          <t>RAGUNDA</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33047-2023</t>
        </is>
      </c>
      <c r="B8797" s="1" t="n">
        <v>45126</v>
      </c>
      <c r="C8797" s="1" t="n">
        <v>45363</v>
      </c>
      <c r="D8797" t="inlineStr">
        <is>
          <t>JÄMTLANDS LÄN</t>
        </is>
      </c>
      <c r="E8797" t="inlineStr">
        <is>
          <t>RAGUNDA</t>
        </is>
      </c>
      <c r="F8797" t="inlineStr">
        <is>
          <t>SCA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33032-2023</t>
        </is>
      </c>
      <c r="B8798" s="1" t="n">
        <v>45126</v>
      </c>
      <c r="C8798" s="1" t="n">
        <v>45363</v>
      </c>
      <c r="D8798" t="inlineStr">
        <is>
          <t>JÄMTLANDS LÄN</t>
        </is>
      </c>
      <c r="E8798" t="inlineStr">
        <is>
          <t>BRÄCKE</t>
        </is>
      </c>
      <c r="F8798" t="inlineStr">
        <is>
          <t>SCA</t>
        </is>
      </c>
      <c r="G8798" t="n">
        <v>16.7</v>
      </c>
      <c r="H8798" t="n">
        <v>0</v>
      </c>
      <c r="I8798" t="n">
        <v>0</v>
      </c>
      <c r="J8798" t="n">
        <v>0</v>
      </c>
      <c r="K8798" t="n">
        <v>0</v>
      </c>
      <c r="L8798" t="n">
        <v>0</v>
      </c>
      <c r="M8798" t="n">
        <v>0</v>
      </c>
      <c r="N8798" t="n">
        <v>0</v>
      </c>
      <c r="O8798" t="n">
        <v>0</v>
      </c>
      <c r="P8798" t="n">
        <v>0</v>
      </c>
      <c r="Q8798" t="n">
        <v>0</v>
      </c>
      <c r="R8798" s="2" t="inlineStr"/>
    </row>
    <row r="8799" ht="15" customHeight="1">
      <c r="A8799" t="inlineStr">
        <is>
          <t>A 33033-2023</t>
        </is>
      </c>
      <c r="B8799" s="1" t="n">
        <v>45126</v>
      </c>
      <c r="C8799" s="1" t="n">
        <v>45363</v>
      </c>
      <c r="D8799" t="inlineStr">
        <is>
          <t>JÄMTLANDS LÄN</t>
        </is>
      </c>
      <c r="E8799" t="inlineStr">
        <is>
          <t>BRÄCKE</t>
        </is>
      </c>
      <c r="F8799" t="inlineStr">
        <is>
          <t>SCA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33045-2023</t>
        </is>
      </c>
      <c r="B8800" s="1" t="n">
        <v>45126</v>
      </c>
      <c r="C8800" s="1" t="n">
        <v>45363</v>
      </c>
      <c r="D8800" t="inlineStr">
        <is>
          <t>JÄMTLANDS LÄN</t>
        </is>
      </c>
      <c r="E8800" t="inlineStr">
        <is>
          <t>STRÖMSUND</t>
        </is>
      </c>
      <c r="F8800" t="inlineStr">
        <is>
          <t>SCA</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33038-2023</t>
        </is>
      </c>
      <c r="B8801" s="1" t="n">
        <v>45126</v>
      </c>
      <c r="C8801" s="1" t="n">
        <v>45363</v>
      </c>
      <c r="D8801" t="inlineStr">
        <is>
          <t>JÄMTLANDS LÄN</t>
        </is>
      </c>
      <c r="E8801" t="inlineStr">
        <is>
          <t>RAGUNDA</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33042-2023</t>
        </is>
      </c>
      <c r="B8802" s="1" t="n">
        <v>45125</v>
      </c>
      <c r="C8802" s="1" t="n">
        <v>45363</v>
      </c>
      <c r="D8802" t="inlineStr">
        <is>
          <t>JÄMTLANDS LÄN</t>
        </is>
      </c>
      <c r="E8802" t="inlineStr">
        <is>
          <t>BERG</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33046-2023</t>
        </is>
      </c>
      <c r="B8803" s="1" t="n">
        <v>45126</v>
      </c>
      <c r="C8803" s="1" t="n">
        <v>45363</v>
      </c>
      <c r="D8803" t="inlineStr">
        <is>
          <t>JÄMTLANDS LÄN</t>
        </is>
      </c>
      <c r="E8803" t="inlineStr">
        <is>
          <t>RAGUNDA</t>
        </is>
      </c>
      <c r="F8803" t="inlineStr">
        <is>
          <t>SCA</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34070-2023</t>
        </is>
      </c>
      <c r="B8804" s="1" t="n">
        <v>45125</v>
      </c>
      <c r="C8804" s="1" t="n">
        <v>45363</v>
      </c>
      <c r="D8804" t="inlineStr">
        <is>
          <t>JÄMTLANDS LÄN</t>
        </is>
      </c>
      <c r="E8804" t="inlineStr">
        <is>
          <t>KROKOM</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34052-2023</t>
        </is>
      </c>
      <c r="B8805" s="1" t="n">
        <v>45125</v>
      </c>
      <c r="C8805" s="1" t="n">
        <v>45363</v>
      </c>
      <c r="D8805" t="inlineStr">
        <is>
          <t>JÄMTLANDS LÄN</t>
        </is>
      </c>
      <c r="E8805" t="inlineStr">
        <is>
          <t>ÖSTERSUND</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33117-2023</t>
        </is>
      </c>
      <c r="B8806" s="1" t="n">
        <v>45126</v>
      </c>
      <c r="C8806" s="1" t="n">
        <v>45363</v>
      </c>
      <c r="D8806" t="inlineStr">
        <is>
          <t>JÄMTLANDS LÄN</t>
        </is>
      </c>
      <c r="E8806" t="inlineStr">
        <is>
          <t>ÅRE</t>
        </is>
      </c>
      <c r="F8806" t="inlineStr">
        <is>
          <t>Sveaskog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33172-2023</t>
        </is>
      </c>
      <c r="B8807" s="1" t="n">
        <v>45127</v>
      </c>
      <c r="C8807" s="1" t="n">
        <v>45363</v>
      </c>
      <c r="D8807" t="inlineStr">
        <is>
          <t>JÄMTLANDS LÄN</t>
        </is>
      </c>
      <c r="E8807" t="inlineStr">
        <is>
          <t>BRÄCKE</t>
        </is>
      </c>
      <c r="F8807" t="inlineStr">
        <is>
          <t>SCA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33176-2023</t>
        </is>
      </c>
      <c r="B8808" s="1" t="n">
        <v>45127</v>
      </c>
      <c r="C8808" s="1" t="n">
        <v>45363</v>
      </c>
      <c r="D8808" t="inlineStr">
        <is>
          <t>JÄMTLANDS LÄN</t>
        </is>
      </c>
      <c r="E8808" t="inlineStr">
        <is>
          <t>STRÖMSUND</t>
        </is>
      </c>
      <c r="F8808" t="inlineStr">
        <is>
          <t>SCA</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33123-2023</t>
        </is>
      </c>
      <c r="B8809" s="1" t="n">
        <v>45126</v>
      </c>
      <c r="C8809" s="1" t="n">
        <v>45363</v>
      </c>
      <c r="D8809" t="inlineStr">
        <is>
          <t>JÄMTLANDS LÄN</t>
        </is>
      </c>
      <c r="E8809" t="inlineStr">
        <is>
          <t>ÅRE</t>
        </is>
      </c>
      <c r="F8809" t="inlineStr">
        <is>
          <t>Sveaskog</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33173-2023</t>
        </is>
      </c>
      <c r="B8810" s="1" t="n">
        <v>45127</v>
      </c>
      <c r="C8810" s="1" t="n">
        <v>45363</v>
      </c>
      <c r="D8810" t="inlineStr">
        <is>
          <t>JÄMTLANDS LÄN</t>
        </is>
      </c>
      <c r="E8810" t="inlineStr">
        <is>
          <t>BERG</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33121-2023</t>
        </is>
      </c>
      <c r="B8811" s="1" t="n">
        <v>45126</v>
      </c>
      <c r="C8811" s="1" t="n">
        <v>45363</v>
      </c>
      <c r="D8811" t="inlineStr">
        <is>
          <t>JÄMTLANDS LÄN</t>
        </is>
      </c>
      <c r="E8811" t="inlineStr">
        <is>
          <t>ÅRE</t>
        </is>
      </c>
      <c r="F8811" t="inlineStr">
        <is>
          <t>Sveaskog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33174-2023</t>
        </is>
      </c>
      <c r="B8812" s="1" t="n">
        <v>45127</v>
      </c>
      <c r="C8812" s="1" t="n">
        <v>45363</v>
      </c>
      <c r="D8812" t="inlineStr">
        <is>
          <t>JÄMTLANDS LÄN</t>
        </is>
      </c>
      <c r="E8812" t="inlineStr">
        <is>
          <t>BRÄCKE</t>
        </is>
      </c>
      <c r="F8812" t="inlineStr">
        <is>
          <t>SCA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33257-2023</t>
        </is>
      </c>
      <c r="B8813" s="1" t="n">
        <v>45127</v>
      </c>
      <c r="C8813" s="1" t="n">
        <v>45363</v>
      </c>
      <c r="D8813" t="inlineStr">
        <is>
          <t>JÄMTLANDS LÄN</t>
        </is>
      </c>
      <c r="E8813" t="inlineStr">
        <is>
          <t>HÄRJEDALEN</t>
        </is>
      </c>
      <c r="F8813" t="inlineStr">
        <is>
          <t>Bergvik skog väst AB</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33232-2023</t>
        </is>
      </c>
      <c r="B8814" s="1" t="n">
        <v>45127</v>
      </c>
      <c r="C8814" s="1" t="n">
        <v>45363</v>
      </c>
      <c r="D8814" t="inlineStr">
        <is>
          <t>JÄMTLANDS LÄN</t>
        </is>
      </c>
      <c r="E8814" t="inlineStr">
        <is>
          <t>HÄRJEDALEN</t>
        </is>
      </c>
      <c r="F8814" t="inlineStr">
        <is>
          <t>Bergvik skog väst AB</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34231-2023</t>
        </is>
      </c>
      <c r="B8815" s="1" t="n">
        <v>45127</v>
      </c>
      <c r="C8815" s="1" t="n">
        <v>45363</v>
      </c>
      <c r="D8815" t="inlineStr">
        <is>
          <t>JÄMTLANDS LÄN</t>
        </is>
      </c>
      <c r="E8815" t="inlineStr">
        <is>
          <t>ÅRE</t>
        </is>
      </c>
      <c r="G8815" t="n">
        <v>18.3</v>
      </c>
      <c r="H8815" t="n">
        <v>0</v>
      </c>
      <c r="I8815" t="n">
        <v>0</v>
      </c>
      <c r="J8815" t="n">
        <v>0</v>
      </c>
      <c r="K8815" t="n">
        <v>0</v>
      </c>
      <c r="L8815" t="n">
        <v>0</v>
      </c>
      <c r="M8815" t="n">
        <v>0</v>
      </c>
      <c r="N8815" t="n">
        <v>0</v>
      </c>
      <c r="O8815" t="n">
        <v>0</v>
      </c>
      <c r="P8815" t="n">
        <v>0</v>
      </c>
      <c r="Q8815" t="n">
        <v>0</v>
      </c>
      <c r="R8815" s="2" t="inlineStr"/>
    </row>
    <row r="8816" ht="15" customHeight="1">
      <c r="A8816" t="inlineStr">
        <is>
          <t>A 33304-2023</t>
        </is>
      </c>
      <c r="B8816" s="1" t="n">
        <v>45127</v>
      </c>
      <c r="C8816" s="1" t="n">
        <v>45363</v>
      </c>
      <c r="D8816" t="inlineStr">
        <is>
          <t>JÄMTLANDS LÄN</t>
        </is>
      </c>
      <c r="E8816" t="inlineStr">
        <is>
          <t>BERG</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33426-2023</t>
        </is>
      </c>
      <c r="B8817" s="1" t="n">
        <v>45129</v>
      </c>
      <c r="C8817" s="1" t="n">
        <v>45363</v>
      </c>
      <c r="D8817" t="inlineStr">
        <is>
          <t>JÄMTLANDS LÄN</t>
        </is>
      </c>
      <c r="E8817" t="inlineStr">
        <is>
          <t>STRÖMSUND</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33427-2023</t>
        </is>
      </c>
      <c r="B8818" s="1" t="n">
        <v>45128</v>
      </c>
      <c r="C8818" s="1" t="n">
        <v>45363</v>
      </c>
      <c r="D8818" t="inlineStr">
        <is>
          <t>JÄMTLANDS LÄN</t>
        </is>
      </c>
      <c r="E8818" t="inlineStr">
        <is>
          <t>STRÖMSUND</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33433-2023</t>
        </is>
      </c>
      <c r="B8819" s="1" t="n">
        <v>45129</v>
      </c>
      <c r="C8819" s="1" t="n">
        <v>45363</v>
      </c>
      <c r="D8819" t="inlineStr">
        <is>
          <t>JÄMTLANDS LÄN</t>
        </is>
      </c>
      <c r="E8819" t="inlineStr">
        <is>
          <t>STRÖMSUND</t>
        </is>
      </c>
      <c r="F8819" t="inlineStr">
        <is>
          <t>SCA</t>
        </is>
      </c>
      <c r="G8819" t="n">
        <v>7.7</v>
      </c>
      <c r="H8819" t="n">
        <v>0</v>
      </c>
      <c r="I8819" t="n">
        <v>0</v>
      </c>
      <c r="J8819" t="n">
        <v>0</v>
      </c>
      <c r="K8819" t="n">
        <v>0</v>
      </c>
      <c r="L8819" t="n">
        <v>0</v>
      </c>
      <c r="M8819" t="n">
        <v>0</v>
      </c>
      <c r="N8819" t="n">
        <v>0</v>
      </c>
      <c r="O8819" t="n">
        <v>0</v>
      </c>
      <c r="P8819" t="n">
        <v>0</v>
      </c>
      <c r="Q8819" t="n">
        <v>0</v>
      </c>
      <c r="R8819" s="2" t="inlineStr"/>
    </row>
    <row r="8820" ht="15" customHeight="1">
      <c r="A8820" t="inlineStr">
        <is>
          <t>A 33432-2023</t>
        </is>
      </c>
      <c r="B8820" s="1" t="n">
        <v>45128</v>
      </c>
      <c r="C8820" s="1" t="n">
        <v>45363</v>
      </c>
      <c r="D8820" t="inlineStr">
        <is>
          <t>JÄMTLANDS LÄN</t>
        </is>
      </c>
      <c r="E8820" t="inlineStr">
        <is>
          <t>RAGUNDA</t>
        </is>
      </c>
      <c r="F8820" t="inlineStr">
        <is>
          <t>SCA</t>
        </is>
      </c>
      <c r="G8820" t="n">
        <v>10</v>
      </c>
      <c r="H8820" t="n">
        <v>0</v>
      </c>
      <c r="I8820" t="n">
        <v>0</v>
      </c>
      <c r="J8820" t="n">
        <v>0</v>
      </c>
      <c r="K8820" t="n">
        <v>0</v>
      </c>
      <c r="L8820" t="n">
        <v>0</v>
      </c>
      <c r="M8820" t="n">
        <v>0</v>
      </c>
      <c r="N8820" t="n">
        <v>0</v>
      </c>
      <c r="O8820" t="n">
        <v>0</v>
      </c>
      <c r="P8820" t="n">
        <v>0</v>
      </c>
      <c r="Q8820" t="n">
        <v>0</v>
      </c>
      <c r="R8820" s="2" t="inlineStr"/>
    </row>
    <row r="8821" ht="15" customHeight="1">
      <c r="A8821" t="inlineStr">
        <is>
          <t>A 33453-2023</t>
        </is>
      </c>
      <c r="B8821" s="1" t="n">
        <v>45130</v>
      </c>
      <c r="C8821" s="1" t="n">
        <v>45363</v>
      </c>
      <c r="D8821" t="inlineStr">
        <is>
          <t>JÄMTLANDS LÄN</t>
        </is>
      </c>
      <c r="E8821" t="inlineStr">
        <is>
          <t>STRÖMSUND</t>
        </is>
      </c>
      <c r="F8821" t="inlineStr">
        <is>
          <t>SCA</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33476-2023</t>
        </is>
      </c>
      <c r="B8822" s="1" t="n">
        <v>45131</v>
      </c>
      <c r="C8822" s="1" t="n">
        <v>45363</v>
      </c>
      <c r="D8822" t="inlineStr">
        <is>
          <t>JÄMTLANDS LÄN</t>
        </is>
      </c>
      <c r="E8822" t="inlineStr">
        <is>
          <t>BERG</t>
        </is>
      </c>
      <c r="F8822" t="inlineStr">
        <is>
          <t>Sveaskog</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33481-2023</t>
        </is>
      </c>
      <c r="B8823" s="1" t="n">
        <v>45131</v>
      </c>
      <c r="C8823" s="1" t="n">
        <v>45363</v>
      </c>
      <c r="D8823" t="inlineStr">
        <is>
          <t>JÄMTLANDS LÄN</t>
        </is>
      </c>
      <c r="E8823" t="inlineStr">
        <is>
          <t>BERG</t>
        </is>
      </c>
      <c r="F8823" t="inlineStr">
        <is>
          <t>Sveaskog</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33585-2023</t>
        </is>
      </c>
      <c r="B8824" s="1" t="n">
        <v>45132</v>
      </c>
      <c r="C8824" s="1" t="n">
        <v>45363</v>
      </c>
      <c r="D8824" t="inlineStr">
        <is>
          <t>JÄMTLANDS LÄN</t>
        </is>
      </c>
      <c r="E8824" t="inlineStr">
        <is>
          <t>BRÄCKE</t>
        </is>
      </c>
      <c r="F8824" t="inlineStr">
        <is>
          <t>SCA</t>
        </is>
      </c>
      <c r="G8824" t="n">
        <v>8.4</v>
      </c>
      <c r="H8824" t="n">
        <v>0</v>
      </c>
      <c r="I8824" t="n">
        <v>0</v>
      </c>
      <c r="J8824" t="n">
        <v>0</v>
      </c>
      <c r="K8824" t="n">
        <v>0</v>
      </c>
      <c r="L8824" t="n">
        <v>0</v>
      </c>
      <c r="M8824" t="n">
        <v>0</v>
      </c>
      <c r="N8824" t="n">
        <v>0</v>
      </c>
      <c r="O8824" t="n">
        <v>0</v>
      </c>
      <c r="P8824" t="n">
        <v>0</v>
      </c>
      <c r="Q8824" t="n">
        <v>0</v>
      </c>
      <c r="R8824" s="2" t="inlineStr"/>
    </row>
    <row r="8825" ht="15" customHeight="1">
      <c r="A8825" t="inlineStr">
        <is>
          <t>A 33589-2023</t>
        </is>
      </c>
      <c r="B8825" s="1" t="n">
        <v>45132</v>
      </c>
      <c r="C8825" s="1" t="n">
        <v>45363</v>
      </c>
      <c r="D8825" t="inlineStr">
        <is>
          <t>JÄMTLANDS LÄN</t>
        </is>
      </c>
      <c r="E8825" t="inlineStr">
        <is>
          <t>RAGUNDA</t>
        </is>
      </c>
      <c r="F8825" t="inlineStr">
        <is>
          <t>SCA</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33532-2023</t>
        </is>
      </c>
      <c r="B8826" s="1" t="n">
        <v>45131</v>
      </c>
      <c r="C8826" s="1" t="n">
        <v>45363</v>
      </c>
      <c r="D8826" t="inlineStr">
        <is>
          <t>JÄMTLANDS LÄN</t>
        </is>
      </c>
      <c r="E8826" t="inlineStr">
        <is>
          <t>STRÖMSUND</t>
        </is>
      </c>
      <c r="F8826" t="inlineStr">
        <is>
          <t>Kyrkan</t>
        </is>
      </c>
      <c r="G8826" t="n">
        <v>20.3</v>
      </c>
      <c r="H8826" t="n">
        <v>0</v>
      </c>
      <c r="I8826" t="n">
        <v>0</v>
      </c>
      <c r="J8826" t="n">
        <v>0</v>
      </c>
      <c r="K8826" t="n">
        <v>0</v>
      </c>
      <c r="L8826" t="n">
        <v>0</v>
      </c>
      <c r="M8826" t="n">
        <v>0</v>
      </c>
      <c r="N8826" t="n">
        <v>0</v>
      </c>
      <c r="O8826" t="n">
        <v>0</v>
      </c>
      <c r="P8826" t="n">
        <v>0</v>
      </c>
      <c r="Q8826" t="n">
        <v>0</v>
      </c>
      <c r="R8826" s="2" t="inlineStr"/>
    </row>
    <row r="8827" ht="15" customHeight="1">
      <c r="A8827" t="inlineStr">
        <is>
          <t>A 33584-2023</t>
        </is>
      </c>
      <c r="B8827" s="1" t="n">
        <v>45132</v>
      </c>
      <c r="C8827" s="1" t="n">
        <v>45363</v>
      </c>
      <c r="D8827" t="inlineStr">
        <is>
          <t>JÄMTLANDS LÄN</t>
        </is>
      </c>
      <c r="E8827" t="inlineStr">
        <is>
          <t>BRÄCKE</t>
        </is>
      </c>
      <c r="F8827" t="inlineStr">
        <is>
          <t>SCA</t>
        </is>
      </c>
      <c r="G8827" t="n">
        <v>8.6</v>
      </c>
      <c r="H8827" t="n">
        <v>0</v>
      </c>
      <c r="I8827" t="n">
        <v>0</v>
      </c>
      <c r="J8827" t="n">
        <v>0</v>
      </c>
      <c r="K8827" t="n">
        <v>0</v>
      </c>
      <c r="L8827" t="n">
        <v>0</v>
      </c>
      <c r="M8827" t="n">
        <v>0</v>
      </c>
      <c r="N8827" t="n">
        <v>0</v>
      </c>
      <c r="O8827" t="n">
        <v>0</v>
      </c>
      <c r="P8827" t="n">
        <v>0</v>
      </c>
      <c r="Q8827" t="n">
        <v>0</v>
      </c>
      <c r="R8827" s="2" t="inlineStr"/>
    </row>
    <row r="8828" ht="15" customHeight="1">
      <c r="A8828" t="inlineStr">
        <is>
          <t>A 33588-2023</t>
        </is>
      </c>
      <c r="B8828" s="1" t="n">
        <v>45131</v>
      </c>
      <c r="C8828" s="1" t="n">
        <v>45363</v>
      </c>
      <c r="D8828" t="inlineStr">
        <is>
          <t>JÄMTLANDS LÄN</t>
        </is>
      </c>
      <c r="E8828" t="inlineStr">
        <is>
          <t>RAGUNDA</t>
        </is>
      </c>
      <c r="F8828" t="inlineStr">
        <is>
          <t>SCA</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33590-2023</t>
        </is>
      </c>
      <c r="B8829" s="1" t="n">
        <v>45132</v>
      </c>
      <c r="C8829" s="1" t="n">
        <v>45363</v>
      </c>
      <c r="D8829" t="inlineStr">
        <is>
          <t>JÄMTLANDS LÄN</t>
        </is>
      </c>
      <c r="E8829" t="inlineStr">
        <is>
          <t>STRÖMSUND</t>
        </is>
      </c>
      <c r="F8829" t="inlineStr">
        <is>
          <t>SCA</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33718-2023</t>
        </is>
      </c>
      <c r="B8830" s="1" t="n">
        <v>45133</v>
      </c>
      <c r="C8830" s="1" t="n">
        <v>45363</v>
      </c>
      <c r="D8830" t="inlineStr">
        <is>
          <t>JÄMTLANDS LÄN</t>
        </is>
      </c>
      <c r="E8830" t="inlineStr">
        <is>
          <t>STRÖMSUND</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33717-2023</t>
        </is>
      </c>
      <c r="B8831" s="1" t="n">
        <v>45132</v>
      </c>
      <c r="C8831" s="1" t="n">
        <v>45363</v>
      </c>
      <c r="D8831" t="inlineStr">
        <is>
          <t>JÄMTLANDS LÄN</t>
        </is>
      </c>
      <c r="E8831" t="inlineStr">
        <is>
          <t>RAGUNDA</t>
        </is>
      </c>
      <c r="F8831" t="inlineStr">
        <is>
          <t>SCA</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33872-2023</t>
        </is>
      </c>
      <c r="B8832" s="1" t="n">
        <v>45134</v>
      </c>
      <c r="C8832" s="1" t="n">
        <v>45363</v>
      </c>
      <c r="D8832" t="inlineStr">
        <is>
          <t>JÄMTLANDS LÄN</t>
        </is>
      </c>
      <c r="E8832" t="inlineStr">
        <is>
          <t>BRÄCKE</t>
        </is>
      </c>
      <c r="F8832" t="inlineStr">
        <is>
          <t>SCA</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33875-2023</t>
        </is>
      </c>
      <c r="B8833" s="1" t="n">
        <v>45134</v>
      </c>
      <c r="C8833" s="1" t="n">
        <v>45363</v>
      </c>
      <c r="D8833" t="inlineStr">
        <is>
          <t>JÄMTLANDS LÄN</t>
        </is>
      </c>
      <c r="E8833" t="inlineStr">
        <is>
          <t>ÖSTERSUND</t>
        </is>
      </c>
      <c r="F8833" t="inlineStr">
        <is>
          <t>SCA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33869-2023</t>
        </is>
      </c>
      <c r="B8834" s="1" t="n">
        <v>45134</v>
      </c>
      <c r="C8834" s="1" t="n">
        <v>45363</v>
      </c>
      <c r="D8834" t="inlineStr">
        <is>
          <t>JÄMTLANDS LÄN</t>
        </is>
      </c>
      <c r="E8834" t="inlineStr">
        <is>
          <t>BRÄCKE</t>
        </is>
      </c>
      <c r="F8834" t="inlineStr">
        <is>
          <t>SCA</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33873-2023</t>
        </is>
      </c>
      <c r="B8835" s="1" t="n">
        <v>45134</v>
      </c>
      <c r="C8835" s="1" t="n">
        <v>45363</v>
      </c>
      <c r="D8835" t="inlineStr">
        <is>
          <t>JÄMTLANDS LÄN</t>
        </is>
      </c>
      <c r="E8835" t="inlineStr">
        <is>
          <t>BRÄCKE</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33877-2023</t>
        </is>
      </c>
      <c r="B8836" s="1" t="n">
        <v>45133</v>
      </c>
      <c r="C8836" s="1" t="n">
        <v>45363</v>
      </c>
      <c r="D8836" t="inlineStr">
        <is>
          <t>JÄMTLANDS LÄN</t>
        </is>
      </c>
      <c r="E8836" t="inlineStr">
        <is>
          <t>RAGUNDA</t>
        </is>
      </c>
      <c r="F8836" t="inlineStr">
        <is>
          <t>SCA</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33870-2023</t>
        </is>
      </c>
      <c r="B8837" s="1" t="n">
        <v>45134</v>
      </c>
      <c r="C8837" s="1" t="n">
        <v>45363</v>
      </c>
      <c r="D8837" t="inlineStr">
        <is>
          <t>JÄMTLANDS LÄN</t>
        </is>
      </c>
      <c r="E8837" t="inlineStr">
        <is>
          <t>BRÄCKE</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33878-2023</t>
        </is>
      </c>
      <c r="B8838" s="1" t="n">
        <v>45133</v>
      </c>
      <c r="C8838" s="1" t="n">
        <v>45363</v>
      </c>
      <c r="D8838" t="inlineStr">
        <is>
          <t>JÄMTLANDS LÄN</t>
        </is>
      </c>
      <c r="E8838" t="inlineStr">
        <is>
          <t>BRÄCKE</t>
        </is>
      </c>
      <c r="F8838" t="inlineStr">
        <is>
          <t>SCA</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34502-2023</t>
        </is>
      </c>
      <c r="B8839" s="1" t="n">
        <v>45133</v>
      </c>
      <c r="C8839" s="1" t="n">
        <v>45363</v>
      </c>
      <c r="D8839" t="inlineStr">
        <is>
          <t>JÄMTLANDS LÄN</t>
        </is>
      </c>
      <c r="E8839" t="inlineStr">
        <is>
          <t>KROKOM</t>
        </is>
      </c>
      <c r="G8839" t="n">
        <v>6.9</v>
      </c>
      <c r="H8839" t="n">
        <v>0</v>
      </c>
      <c r="I8839" t="n">
        <v>0</v>
      </c>
      <c r="J8839" t="n">
        <v>0</v>
      </c>
      <c r="K8839" t="n">
        <v>0</v>
      </c>
      <c r="L8839" t="n">
        <v>0</v>
      </c>
      <c r="M8839" t="n">
        <v>0</v>
      </c>
      <c r="N8839" t="n">
        <v>0</v>
      </c>
      <c r="O8839" t="n">
        <v>0</v>
      </c>
      <c r="P8839" t="n">
        <v>0</v>
      </c>
      <c r="Q8839" t="n">
        <v>0</v>
      </c>
      <c r="R8839" s="2" t="inlineStr"/>
    </row>
    <row r="8840" ht="15" customHeight="1">
      <c r="A8840" t="inlineStr">
        <is>
          <t>A 33998-2023</t>
        </is>
      </c>
      <c r="B8840" s="1" t="n">
        <v>45134</v>
      </c>
      <c r="C8840" s="1" t="n">
        <v>45363</v>
      </c>
      <c r="D8840" t="inlineStr">
        <is>
          <t>JÄMTLANDS LÄN</t>
        </is>
      </c>
      <c r="E8840" t="inlineStr">
        <is>
          <t>BRÄCKE</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34002-2023</t>
        </is>
      </c>
      <c r="B8841" s="1" t="n">
        <v>45135</v>
      </c>
      <c r="C8841" s="1" t="n">
        <v>45363</v>
      </c>
      <c r="D8841" t="inlineStr">
        <is>
          <t>JÄMTLANDS LÄN</t>
        </is>
      </c>
      <c r="E8841" t="inlineStr">
        <is>
          <t>STRÖMSUND</t>
        </is>
      </c>
      <c r="F8841" t="inlineStr">
        <is>
          <t>SCA</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34010-2023</t>
        </is>
      </c>
      <c r="B8842" s="1" t="n">
        <v>45134</v>
      </c>
      <c r="C8842" s="1" t="n">
        <v>45363</v>
      </c>
      <c r="D8842" t="inlineStr">
        <is>
          <t>JÄMTLANDS LÄN</t>
        </is>
      </c>
      <c r="E8842" t="inlineStr">
        <is>
          <t>STRÖMSUND</t>
        </is>
      </c>
      <c r="F8842" t="inlineStr">
        <is>
          <t>SCA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33992-2023</t>
        </is>
      </c>
      <c r="B8843" s="1" t="n">
        <v>45134</v>
      </c>
      <c r="C8843" s="1" t="n">
        <v>45363</v>
      </c>
      <c r="D8843" t="inlineStr">
        <is>
          <t>JÄMTLANDS LÄN</t>
        </is>
      </c>
      <c r="E8843" t="inlineStr">
        <is>
          <t>HÄRJEDALEN</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34001-2023</t>
        </is>
      </c>
      <c r="B8844" s="1" t="n">
        <v>45135</v>
      </c>
      <c r="C8844" s="1" t="n">
        <v>45363</v>
      </c>
      <c r="D8844" t="inlineStr">
        <is>
          <t>JÄMTLANDS LÄN</t>
        </is>
      </c>
      <c r="E8844" t="inlineStr">
        <is>
          <t>STRÖMSUND</t>
        </is>
      </c>
      <c r="F8844" t="inlineStr">
        <is>
          <t>SCA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34005-2023</t>
        </is>
      </c>
      <c r="B8845" s="1" t="n">
        <v>45134</v>
      </c>
      <c r="C8845" s="1" t="n">
        <v>45363</v>
      </c>
      <c r="D8845" t="inlineStr">
        <is>
          <t>JÄMTLANDS LÄN</t>
        </is>
      </c>
      <c r="E8845" t="inlineStr">
        <is>
          <t>STRÖMSUND</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34003-2023</t>
        </is>
      </c>
      <c r="B8846" s="1" t="n">
        <v>45135</v>
      </c>
      <c r="C8846" s="1" t="n">
        <v>45363</v>
      </c>
      <c r="D8846" t="inlineStr">
        <is>
          <t>JÄMTLANDS LÄN</t>
        </is>
      </c>
      <c r="E8846" t="inlineStr">
        <is>
          <t>STRÖMSUND</t>
        </is>
      </c>
      <c r="F8846" t="inlineStr">
        <is>
          <t>SCA</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34007-2023</t>
        </is>
      </c>
      <c r="B8847" s="1" t="n">
        <v>45135</v>
      </c>
      <c r="C8847" s="1" t="n">
        <v>45363</v>
      </c>
      <c r="D8847" t="inlineStr">
        <is>
          <t>JÄMTLANDS LÄN</t>
        </is>
      </c>
      <c r="E8847" t="inlineStr">
        <is>
          <t>STRÖMSUND</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34538-2023</t>
        </is>
      </c>
      <c r="B8848" s="1" t="n">
        <v>45134</v>
      </c>
      <c r="C8848" s="1" t="n">
        <v>45363</v>
      </c>
      <c r="D8848" t="inlineStr">
        <is>
          <t>JÄMTLANDS LÄN</t>
        </is>
      </c>
      <c r="E8848" t="inlineStr">
        <is>
          <t>ÅRE</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34009-2023</t>
        </is>
      </c>
      <c r="B8849" s="1" t="n">
        <v>45135</v>
      </c>
      <c r="C8849" s="1" t="n">
        <v>45363</v>
      </c>
      <c r="D8849" t="inlineStr">
        <is>
          <t>JÄMTLANDS LÄN</t>
        </is>
      </c>
      <c r="E8849" t="inlineStr">
        <is>
          <t>STRÖMSUND</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34004-2023</t>
        </is>
      </c>
      <c r="B8850" s="1" t="n">
        <v>45135</v>
      </c>
      <c r="C8850" s="1" t="n">
        <v>45363</v>
      </c>
      <c r="D8850" t="inlineStr">
        <is>
          <t>JÄMTLANDS LÄN</t>
        </is>
      </c>
      <c r="E8850" t="inlineStr">
        <is>
          <t>STRÖMSUND</t>
        </is>
      </c>
      <c r="F8850" t="inlineStr">
        <is>
          <t>SCA</t>
        </is>
      </c>
      <c r="G8850" t="n">
        <v>10.8</v>
      </c>
      <c r="H8850" t="n">
        <v>0</v>
      </c>
      <c r="I8850" t="n">
        <v>0</v>
      </c>
      <c r="J8850" t="n">
        <v>0</v>
      </c>
      <c r="K8850" t="n">
        <v>0</v>
      </c>
      <c r="L8850" t="n">
        <v>0</v>
      </c>
      <c r="M8850" t="n">
        <v>0</v>
      </c>
      <c r="N8850" t="n">
        <v>0</v>
      </c>
      <c r="O8850" t="n">
        <v>0</v>
      </c>
      <c r="P8850" t="n">
        <v>0</v>
      </c>
      <c r="Q8850" t="n">
        <v>0</v>
      </c>
      <c r="R8850" s="2" t="inlineStr"/>
    </row>
    <row r="8851" ht="15" customHeight="1">
      <c r="A8851" t="inlineStr">
        <is>
          <t>A 34008-2023</t>
        </is>
      </c>
      <c r="B8851" s="1" t="n">
        <v>45134</v>
      </c>
      <c r="C8851" s="1" t="n">
        <v>45363</v>
      </c>
      <c r="D8851" t="inlineStr">
        <is>
          <t>JÄMTLANDS LÄN</t>
        </is>
      </c>
      <c r="E8851" t="inlineStr">
        <is>
          <t>STRÖMSUND</t>
        </is>
      </c>
      <c r="F8851" t="inlineStr">
        <is>
          <t>SCA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34137-2023</t>
        </is>
      </c>
      <c r="B8852" s="1" t="n">
        <v>45135</v>
      </c>
      <c r="C8852" s="1" t="n">
        <v>45363</v>
      </c>
      <c r="D8852" t="inlineStr">
        <is>
          <t>JÄMTLANDS LÄN</t>
        </is>
      </c>
      <c r="E8852" t="inlineStr">
        <is>
          <t>BRÄCKE</t>
        </is>
      </c>
      <c r="F8852" t="inlineStr">
        <is>
          <t>SCA</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34136-2023</t>
        </is>
      </c>
      <c r="B8853" s="1" t="n">
        <v>45135</v>
      </c>
      <c r="C8853" s="1" t="n">
        <v>45363</v>
      </c>
      <c r="D8853" t="inlineStr">
        <is>
          <t>JÄMTLANDS LÄN</t>
        </is>
      </c>
      <c r="E8853" t="inlineStr">
        <is>
          <t>BRÄCKE</t>
        </is>
      </c>
      <c r="F8853" t="inlineStr">
        <is>
          <t>SCA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34138-2023</t>
        </is>
      </c>
      <c r="B8854" s="1" t="n">
        <v>45135</v>
      </c>
      <c r="C8854" s="1" t="n">
        <v>45363</v>
      </c>
      <c r="D8854" t="inlineStr">
        <is>
          <t>JÄMTLANDS LÄN</t>
        </is>
      </c>
      <c r="E8854" t="inlineStr">
        <is>
          <t>BRÄCKE</t>
        </is>
      </c>
      <c r="F8854" t="inlineStr">
        <is>
          <t>SCA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34587-2023</t>
        </is>
      </c>
      <c r="B8855" s="1" t="n">
        <v>45135</v>
      </c>
      <c r="C8855" s="1" t="n">
        <v>45363</v>
      </c>
      <c r="D8855" t="inlineStr">
        <is>
          <t>JÄMTLANDS LÄN</t>
        </is>
      </c>
      <c r="E8855" t="inlineStr">
        <is>
          <t>BRÄCKE</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34155-2023</t>
        </is>
      </c>
      <c r="B8856" s="1" t="n">
        <v>45137</v>
      </c>
      <c r="C8856" s="1" t="n">
        <v>45363</v>
      </c>
      <c r="D8856" t="inlineStr">
        <is>
          <t>JÄMTLANDS LÄN</t>
        </is>
      </c>
      <c r="E8856" t="inlineStr">
        <is>
          <t>KROKOM</t>
        </is>
      </c>
      <c r="F8856" t="inlineStr">
        <is>
          <t>Övriga Aktiebolag</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34260-2023</t>
        </is>
      </c>
      <c r="B8857" s="1" t="n">
        <v>45138</v>
      </c>
      <c r="C8857" s="1" t="n">
        <v>45363</v>
      </c>
      <c r="D8857" t="inlineStr">
        <is>
          <t>JÄMTLANDS LÄN</t>
        </is>
      </c>
      <c r="E8857" t="inlineStr">
        <is>
          <t>HÄRJEDALEN</t>
        </is>
      </c>
      <c r="F8857" t="inlineStr">
        <is>
          <t>Holmen skog AB</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34313-2023</t>
        </is>
      </c>
      <c r="B8858" s="1" t="n">
        <v>45139</v>
      </c>
      <c r="C8858" s="1" t="n">
        <v>45363</v>
      </c>
      <c r="D8858" t="inlineStr">
        <is>
          <t>JÄMTLANDS LÄN</t>
        </is>
      </c>
      <c r="E8858" t="inlineStr">
        <is>
          <t>HÄRJEDALEN</t>
        </is>
      </c>
      <c r="F8858" t="inlineStr">
        <is>
          <t>SCA</t>
        </is>
      </c>
      <c r="G8858" t="n">
        <v>31.6</v>
      </c>
      <c r="H8858" t="n">
        <v>0</v>
      </c>
      <c r="I8858" t="n">
        <v>0</v>
      </c>
      <c r="J8858" t="n">
        <v>0</v>
      </c>
      <c r="K8858" t="n">
        <v>0</v>
      </c>
      <c r="L8858" t="n">
        <v>0</v>
      </c>
      <c r="M8858" t="n">
        <v>0</v>
      </c>
      <c r="N8858" t="n">
        <v>0</v>
      </c>
      <c r="O8858" t="n">
        <v>0</v>
      </c>
      <c r="P8858" t="n">
        <v>0</v>
      </c>
      <c r="Q8858" t="n">
        <v>0</v>
      </c>
      <c r="R8858" s="2" t="inlineStr"/>
    </row>
    <row r="8859" ht="15" customHeight="1">
      <c r="A8859" t="inlineStr">
        <is>
          <t>A 34314-2023</t>
        </is>
      </c>
      <c r="B8859" s="1" t="n">
        <v>45138</v>
      </c>
      <c r="C8859" s="1" t="n">
        <v>45363</v>
      </c>
      <c r="D8859" t="inlineStr">
        <is>
          <t>JÄMTLANDS LÄN</t>
        </is>
      </c>
      <c r="E8859" t="inlineStr">
        <is>
          <t>HÄRJEDALEN</t>
        </is>
      </c>
      <c r="F8859" t="inlineStr">
        <is>
          <t>SCA</t>
        </is>
      </c>
      <c r="G8859" t="n">
        <v>18.1</v>
      </c>
      <c r="H8859" t="n">
        <v>0</v>
      </c>
      <c r="I8859" t="n">
        <v>0</v>
      </c>
      <c r="J8859" t="n">
        <v>0</v>
      </c>
      <c r="K8859" t="n">
        <v>0</v>
      </c>
      <c r="L8859" t="n">
        <v>0</v>
      </c>
      <c r="M8859" t="n">
        <v>0</v>
      </c>
      <c r="N8859" t="n">
        <v>0</v>
      </c>
      <c r="O8859" t="n">
        <v>0</v>
      </c>
      <c r="P8859" t="n">
        <v>0</v>
      </c>
      <c r="Q8859" t="n">
        <v>0</v>
      </c>
      <c r="R8859" s="2" t="inlineStr"/>
    </row>
    <row r="8860" ht="15" customHeight="1">
      <c r="A8860" t="inlineStr">
        <is>
          <t>A 34322-2023</t>
        </is>
      </c>
      <c r="B8860" s="1" t="n">
        <v>45139</v>
      </c>
      <c r="C8860" s="1" t="n">
        <v>45363</v>
      </c>
      <c r="D8860" t="inlineStr">
        <is>
          <t>JÄMTLANDS LÄN</t>
        </is>
      </c>
      <c r="E8860" t="inlineStr">
        <is>
          <t>RAGUNDA</t>
        </is>
      </c>
      <c r="F8860" t="inlineStr">
        <is>
          <t>SCA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34320-2023</t>
        </is>
      </c>
      <c r="B8861" s="1" t="n">
        <v>45139</v>
      </c>
      <c r="C8861" s="1" t="n">
        <v>45363</v>
      </c>
      <c r="D8861" t="inlineStr">
        <is>
          <t>JÄMTLANDS LÄN</t>
        </is>
      </c>
      <c r="E8861" t="inlineStr">
        <is>
          <t>BRÄCKE</t>
        </is>
      </c>
      <c r="F8861" t="inlineStr">
        <is>
          <t>SCA</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34321-2023</t>
        </is>
      </c>
      <c r="B8862" s="1" t="n">
        <v>45138</v>
      </c>
      <c r="C8862" s="1" t="n">
        <v>45363</v>
      </c>
      <c r="D8862" t="inlineStr">
        <is>
          <t>JÄMTLANDS LÄN</t>
        </is>
      </c>
      <c r="E8862" t="inlineStr">
        <is>
          <t>RAGUNDA</t>
        </is>
      </c>
      <c r="F8862" t="inlineStr">
        <is>
          <t>SCA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34323-2023</t>
        </is>
      </c>
      <c r="B8863" s="1" t="n">
        <v>45139</v>
      </c>
      <c r="C8863" s="1" t="n">
        <v>45363</v>
      </c>
      <c r="D8863" t="inlineStr">
        <is>
          <t>JÄMTLANDS LÄN</t>
        </is>
      </c>
      <c r="E8863" t="inlineStr">
        <is>
          <t>RAGUNDA</t>
        </is>
      </c>
      <c r="F8863" t="inlineStr">
        <is>
          <t>SCA</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34479-2023</t>
        </is>
      </c>
      <c r="B8864" s="1" t="n">
        <v>45139</v>
      </c>
      <c r="C8864" s="1" t="n">
        <v>45363</v>
      </c>
      <c r="D8864" t="inlineStr">
        <is>
          <t>JÄMTLANDS LÄN</t>
        </is>
      </c>
      <c r="E8864" t="inlineStr">
        <is>
          <t>STRÖMSUND</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34483-2023</t>
        </is>
      </c>
      <c r="B8865" s="1" t="n">
        <v>45140</v>
      </c>
      <c r="C8865" s="1" t="n">
        <v>45363</v>
      </c>
      <c r="D8865" t="inlineStr">
        <is>
          <t>JÄMTLANDS LÄN</t>
        </is>
      </c>
      <c r="E8865" t="inlineStr">
        <is>
          <t>RAGUNDA</t>
        </is>
      </c>
      <c r="F8865" t="inlineStr">
        <is>
          <t>SCA</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34720-2023</t>
        </is>
      </c>
      <c r="B8866" s="1" t="n">
        <v>45139</v>
      </c>
      <c r="C8866" s="1" t="n">
        <v>45363</v>
      </c>
      <c r="D8866" t="inlineStr">
        <is>
          <t>JÄMTLANDS LÄN</t>
        </is>
      </c>
      <c r="E8866" t="inlineStr">
        <is>
          <t>KROKOM</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34482-2023</t>
        </is>
      </c>
      <c r="B8867" s="1" t="n">
        <v>45140</v>
      </c>
      <c r="C8867" s="1" t="n">
        <v>45363</v>
      </c>
      <c r="D8867" t="inlineStr">
        <is>
          <t>JÄMTLANDS LÄN</t>
        </is>
      </c>
      <c r="E8867" t="inlineStr">
        <is>
          <t>ÖSTERSUND</t>
        </is>
      </c>
      <c r="F8867" t="inlineStr">
        <is>
          <t>SCA</t>
        </is>
      </c>
      <c r="G8867" t="n">
        <v>50</v>
      </c>
      <c r="H8867" t="n">
        <v>0</v>
      </c>
      <c r="I8867" t="n">
        <v>0</v>
      </c>
      <c r="J8867" t="n">
        <v>0</v>
      </c>
      <c r="K8867" t="n">
        <v>0</v>
      </c>
      <c r="L8867" t="n">
        <v>0</v>
      </c>
      <c r="M8867" t="n">
        <v>0</v>
      </c>
      <c r="N8867" t="n">
        <v>0</v>
      </c>
      <c r="O8867" t="n">
        <v>0</v>
      </c>
      <c r="P8867" t="n">
        <v>0</v>
      </c>
      <c r="Q8867" t="n">
        <v>0</v>
      </c>
      <c r="R8867" s="2" t="inlineStr"/>
    </row>
    <row r="8868" ht="15" customHeight="1">
      <c r="A8868" t="inlineStr">
        <is>
          <t>A 34480-2023</t>
        </is>
      </c>
      <c r="B8868" s="1" t="n">
        <v>45140</v>
      </c>
      <c r="C8868" s="1" t="n">
        <v>45363</v>
      </c>
      <c r="D8868" t="inlineStr">
        <is>
          <t>JÄMTLANDS LÄN</t>
        </is>
      </c>
      <c r="E8868" t="inlineStr">
        <is>
          <t>STRÖMSUND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34689-2023</t>
        </is>
      </c>
      <c r="B8869" s="1" t="n">
        <v>45141</v>
      </c>
      <c r="C8869" s="1" t="n">
        <v>45363</v>
      </c>
      <c r="D8869" t="inlineStr">
        <is>
          <t>JÄMTLANDS LÄN</t>
        </is>
      </c>
      <c r="E8869" t="inlineStr">
        <is>
          <t>RAGUNDA</t>
        </is>
      </c>
      <c r="F8869" t="inlineStr">
        <is>
          <t>SCA</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34693-2023</t>
        </is>
      </c>
      <c r="B8870" s="1" t="n">
        <v>45140</v>
      </c>
      <c r="C8870" s="1" t="n">
        <v>45363</v>
      </c>
      <c r="D8870" t="inlineStr">
        <is>
          <t>JÄMTLANDS LÄN</t>
        </is>
      </c>
      <c r="E8870" t="inlineStr">
        <is>
          <t>BRÄCKE</t>
        </is>
      </c>
      <c r="F8870" t="inlineStr">
        <is>
          <t>SCA</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34691-2023</t>
        </is>
      </c>
      <c r="B8871" s="1" t="n">
        <v>45141</v>
      </c>
      <c r="C8871" s="1" t="n">
        <v>45363</v>
      </c>
      <c r="D8871" t="inlineStr">
        <is>
          <t>JÄMTLANDS LÄN</t>
        </is>
      </c>
      <c r="E8871" t="inlineStr">
        <is>
          <t>RAGUNDA</t>
        </is>
      </c>
      <c r="F8871" t="inlineStr">
        <is>
          <t>SCA</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34688-2023</t>
        </is>
      </c>
      <c r="B8872" s="1" t="n">
        <v>45141</v>
      </c>
      <c r="C8872" s="1" t="n">
        <v>45363</v>
      </c>
      <c r="D8872" t="inlineStr">
        <is>
          <t>JÄMTLANDS LÄN</t>
        </is>
      </c>
      <c r="E8872" t="inlineStr">
        <is>
          <t>ÖSTERSUND</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34704-2023</t>
        </is>
      </c>
      <c r="B8873" s="1" t="n">
        <v>45140</v>
      </c>
      <c r="C8873" s="1" t="n">
        <v>45363</v>
      </c>
      <c r="D8873" t="inlineStr">
        <is>
          <t>JÄMTLANDS LÄN</t>
        </is>
      </c>
      <c r="E8873" t="inlineStr">
        <is>
          <t>BRÄCKE</t>
        </is>
      </c>
      <c r="F8873" t="inlineStr">
        <is>
          <t>SCA</t>
        </is>
      </c>
      <c r="G8873" t="n">
        <v>16.8</v>
      </c>
      <c r="H8873" t="n">
        <v>0</v>
      </c>
      <c r="I8873" t="n">
        <v>0</v>
      </c>
      <c r="J8873" t="n">
        <v>0</v>
      </c>
      <c r="K8873" t="n">
        <v>0</v>
      </c>
      <c r="L8873" t="n">
        <v>0</v>
      </c>
      <c r="M8873" t="n">
        <v>0</v>
      </c>
      <c r="N8873" t="n">
        <v>0</v>
      </c>
      <c r="O8873" t="n">
        <v>0</v>
      </c>
      <c r="P8873" t="n">
        <v>0</v>
      </c>
      <c r="Q8873" t="n">
        <v>0</v>
      </c>
      <c r="R8873" s="2" t="inlineStr"/>
    </row>
    <row r="8874" ht="15" customHeight="1">
      <c r="A8874" t="inlineStr">
        <is>
          <t>A 34801-2023</t>
        </is>
      </c>
      <c r="B8874" s="1" t="n">
        <v>45140</v>
      </c>
      <c r="C8874" s="1" t="n">
        <v>45363</v>
      </c>
      <c r="D8874" t="inlineStr">
        <is>
          <t>JÄMTLANDS LÄN</t>
        </is>
      </c>
      <c r="E8874" t="inlineStr">
        <is>
          <t>KROKOM</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34803-2023</t>
        </is>
      </c>
      <c r="B8875" s="1" t="n">
        <v>45140</v>
      </c>
      <c r="C8875" s="1" t="n">
        <v>45363</v>
      </c>
      <c r="D8875" t="inlineStr">
        <is>
          <t>JÄMTLANDS LÄN</t>
        </is>
      </c>
      <c r="E8875" t="inlineStr">
        <is>
          <t>KROKOM</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34819-2023</t>
        </is>
      </c>
      <c r="B8876" s="1" t="n">
        <v>45140</v>
      </c>
      <c r="C8876" s="1" t="n">
        <v>45363</v>
      </c>
      <c r="D8876" t="inlineStr">
        <is>
          <t>JÄMTLANDS LÄN</t>
        </is>
      </c>
      <c r="E8876" t="inlineStr">
        <is>
          <t>BERG</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34824-2023</t>
        </is>
      </c>
      <c r="B8877" s="1" t="n">
        <v>45141</v>
      </c>
      <c r="C8877" s="1" t="n">
        <v>45363</v>
      </c>
      <c r="D8877" t="inlineStr">
        <is>
          <t>JÄMTLANDS LÄN</t>
        </is>
      </c>
      <c r="E8877" t="inlineStr">
        <is>
          <t>STRÖMSUND</t>
        </is>
      </c>
      <c r="F8877" t="inlineStr">
        <is>
          <t>Kyrkan</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34845-2023</t>
        </is>
      </c>
      <c r="B8878" s="1" t="n">
        <v>45142</v>
      </c>
      <c r="C8878" s="1" t="n">
        <v>45363</v>
      </c>
      <c r="D8878" t="inlineStr">
        <is>
          <t>JÄMTLANDS LÄN</t>
        </is>
      </c>
      <c r="E8878" t="inlineStr">
        <is>
          <t>BERG</t>
        </is>
      </c>
      <c r="F8878" t="inlineStr">
        <is>
          <t>SCA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34907-2023</t>
        </is>
      </c>
      <c r="B8879" s="1" t="n">
        <v>45141</v>
      </c>
      <c r="C8879" s="1" t="n">
        <v>45363</v>
      </c>
      <c r="D8879" t="inlineStr">
        <is>
          <t>JÄMTLANDS LÄN</t>
        </is>
      </c>
      <c r="E8879" t="inlineStr">
        <is>
          <t>STRÖMSUND</t>
        </is>
      </c>
      <c r="G8879" t="n">
        <v>7.1</v>
      </c>
      <c r="H8879" t="n">
        <v>0</v>
      </c>
      <c r="I8879" t="n">
        <v>0</v>
      </c>
      <c r="J8879" t="n">
        <v>0</v>
      </c>
      <c r="K8879" t="n">
        <v>0</v>
      </c>
      <c r="L8879" t="n">
        <v>0</v>
      </c>
      <c r="M8879" t="n">
        <v>0</v>
      </c>
      <c r="N8879" t="n">
        <v>0</v>
      </c>
      <c r="O8879" t="n">
        <v>0</v>
      </c>
      <c r="P8879" t="n">
        <v>0</v>
      </c>
      <c r="Q8879" t="n">
        <v>0</v>
      </c>
      <c r="R8879" s="2" t="inlineStr"/>
    </row>
    <row r="8880" ht="15" customHeight="1">
      <c r="A8880" t="inlineStr">
        <is>
          <t>A 34947-2023</t>
        </is>
      </c>
      <c r="B8880" s="1" t="n">
        <v>45142</v>
      </c>
      <c r="C8880" s="1" t="n">
        <v>45363</v>
      </c>
      <c r="D8880" t="inlineStr">
        <is>
          <t>JÄMTLANDS LÄN</t>
        </is>
      </c>
      <c r="E8880" t="inlineStr">
        <is>
          <t>BRÄCKE</t>
        </is>
      </c>
      <c r="G8880" t="n">
        <v>5.8</v>
      </c>
      <c r="H8880" t="n">
        <v>0</v>
      </c>
      <c r="I8880" t="n">
        <v>0</v>
      </c>
      <c r="J8880" t="n">
        <v>0</v>
      </c>
      <c r="K8880" t="n">
        <v>0</v>
      </c>
      <c r="L8880" t="n">
        <v>0</v>
      </c>
      <c r="M8880" t="n">
        <v>0</v>
      </c>
      <c r="N8880" t="n">
        <v>0</v>
      </c>
      <c r="O8880" t="n">
        <v>0</v>
      </c>
      <c r="P8880" t="n">
        <v>0</v>
      </c>
      <c r="Q8880" t="n">
        <v>0</v>
      </c>
      <c r="R8880" s="2" t="inlineStr"/>
    </row>
    <row r="8881" ht="15" customHeight="1">
      <c r="A8881" t="inlineStr">
        <is>
          <t>A 35009-2023</t>
        </is>
      </c>
      <c r="B8881" s="1" t="n">
        <v>45142</v>
      </c>
      <c r="C8881" s="1" t="n">
        <v>45363</v>
      </c>
      <c r="D8881" t="inlineStr">
        <is>
          <t>JÄMTLANDS LÄN</t>
        </is>
      </c>
      <c r="E8881" t="inlineStr">
        <is>
          <t>RAGUNDA</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35013-2023</t>
        </is>
      </c>
      <c r="B8882" s="1" t="n">
        <v>45143</v>
      </c>
      <c r="C8882" s="1" t="n">
        <v>45363</v>
      </c>
      <c r="D8882" t="inlineStr">
        <is>
          <t>JÄMTLANDS LÄN</t>
        </is>
      </c>
      <c r="E8882" t="inlineStr">
        <is>
          <t>BRÄCKE</t>
        </is>
      </c>
      <c r="F8882" t="inlineStr">
        <is>
          <t>SCA</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35017-2023</t>
        </is>
      </c>
      <c r="B8883" s="1" t="n">
        <v>45142</v>
      </c>
      <c r="C8883" s="1" t="n">
        <v>45363</v>
      </c>
      <c r="D8883" t="inlineStr">
        <is>
          <t>JÄMTLANDS LÄN</t>
        </is>
      </c>
      <c r="E8883" t="inlineStr">
        <is>
          <t>BRÄCKE</t>
        </is>
      </c>
      <c r="F8883" t="inlineStr">
        <is>
          <t>SCA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35004-2023</t>
        </is>
      </c>
      <c r="B8884" s="1" t="n">
        <v>45143</v>
      </c>
      <c r="C8884" s="1" t="n">
        <v>45363</v>
      </c>
      <c r="D8884" t="inlineStr">
        <is>
          <t>JÄMTLANDS LÄN</t>
        </is>
      </c>
      <c r="E8884" t="inlineStr">
        <is>
          <t>STRÖMSUND</t>
        </is>
      </c>
      <c r="F8884" t="inlineStr">
        <is>
          <t>SCA</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35007-2023</t>
        </is>
      </c>
      <c r="B8885" s="1" t="n">
        <v>45143</v>
      </c>
      <c r="C8885" s="1" t="n">
        <v>45363</v>
      </c>
      <c r="D8885" t="inlineStr">
        <is>
          <t>JÄMTLANDS LÄN</t>
        </is>
      </c>
      <c r="E8885" t="inlineStr">
        <is>
          <t>STRÖMSUND</t>
        </is>
      </c>
      <c r="F8885" t="inlineStr">
        <is>
          <t>SCA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35012-2023</t>
        </is>
      </c>
      <c r="B8886" s="1" t="n">
        <v>45143</v>
      </c>
      <c r="C8886" s="1" t="n">
        <v>45363</v>
      </c>
      <c r="D8886" t="inlineStr">
        <is>
          <t>JÄMTLANDS LÄN</t>
        </is>
      </c>
      <c r="E8886" t="inlineStr">
        <is>
          <t>STRÖMSUND</t>
        </is>
      </c>
      <c r="F8886" t="inlineStr">
        <is>
          <t>SCA</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35014-2023</t>
        </is>
      </c>
      <c r="B8887" s="1" t="n">
        <v>45143</v>
      </c>
      <c r="C8887" s="1" t="n">
        <v>45363</v>
      </c>
      <c r="D8887" t="inlineStr">
        <is>
          <t>JÄMTLANDS LÄN</t>
        </is>
      </c>
      <c r="E8887" t="inlineStr">
        <is>
          <t>BRÄCKE</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35011-2023</t>
        </is>
      </c>
      <c r="B8888" s="1" t="n">
        <v>45143</v>
      </c>
      <c r="C8888" s="1" t="n">
        <v>45363</v>
      </c>
      <c r="D8888" t="inlineStr">
        <is>
          <t>JÄMTLANDS LÄN</t>
        </is>
      </c>
      <c r="E8888" t="inlineStr">
        <is>
          <t>STRÖMSUND</t>
        </is>
      </c>
      <c r="F8888" t="inlineStr">
        <is>
          <t>SCA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35015-2023</t>
        </is>
      </c>
      <c r="B8889" s="1" t="n">
        <v>45143</v>
      </c>
      <c r="C8889" s="1" t="n">
        <v>45363</v>
      </c>
      <c r="D8889" t="inlineStr">
        <is>
          <t>JÄMTLANDS LÄN</t>
        </is>
      </c>
      <c r="E8889" t="inlineStr">
        <is>
          <t>BRÄCKE</t>
        </is>
      </c>
      <c r="F8889" t="inlineStr">
        <is>
          <t>SCA</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35255-2023</t>
        </is>
      </c>
      <c r="B8890" s="1" t="n">
        <v>45145</v>
      </c>
      <c r="C8890" s="1" t="n">
        <v>45363</v>
      </c>
      <c r="D8890" t="inlineStr">
        <is>
          <t>JÄMTLANDS LÄN</t>
        </is>
      </c>
      <c r="E8890" t="inlineStr">
        <is>
          <t>BRÄCKE</t>
        </is>
      </c>
      <c r="F8890" t="inlineStr">
        <is>
          <t>SCA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35256-2023</t>
        </is>
      </c>
      <c r="B8891" s="1" t="n">
        <v>45145</v>
      </c>
      <c r="C8891" s="1" t="n">
        <v>45363</v>
      </c>
      <c r="D8891" t="inlineStr">
        <is>
          <t>JÄMTLANDS LÄN</t>
        </is>
      </c>
      <c r="E8891" t="inlineStr">
        <is>
          <t>BRÄCKE</t>
        </is>
      </c>
      <c r="F8891" t="inlineStr">
        <is>
          <t>SCA</t>
        </is>
      </c>
      <c r="G8891" t="n">
        <v>34.5</v>
      </c>
      <c r="H8891" t="n">
        <v>0</v>
      </c>
      <c r="I8891" t="n">
        <v>0</v>
      </c>
      <c r="J8891" t="n">
        <v>0</v>
      </c>
      <c r="K8891" t="n">
        <v>0</v>
      </c>
      <c r="L8891" t="n">
        <v>0</v>
      </c>
      <c r="M8891" t="n">
        <v>0</v>
      </c>
      <c r="N8891" t="n">
        <v>0</v>
      </c>
      <c r="O8891" t="n">
        <v>0</v>
      </c>
      <c r="P8891" t="n">
        <v>0</v>
      </c>
      <c r="Q8891" t="n">
        <v>0</v>
      </c>
      <c r="R8891" s="2" t="inlineStr"/>
    </row>
    <row r="8892" ht="15" customHeight="1">
      <c r="A8892" t="inlineStr">
        <is>
          <t>A 35272-2023</t>
        </is>
      </c>
      <c r="B8892" s="1" t="n">
        <v>45146</v>
      </c>
      <c r="C8892" s="1" t="n">
        <v>45363</v>
      </c>
      <c r="D8892" t="inlineStr">
        <is>
          <t>JÄMTLANDS LÄN</t>
        </is>
      </c>
      <c r="E8892" t="inlineStr">
        <is>
          <t>RAGUNDA</t>
        </is>
      </c>
      <c r="F8892" t="inlineStr">
        <is>
          <t>SCA</t>
        </is>
      </c>
      <c r="G8892" t="n">
        <v>15.5</v>
      </c>
      <c r="H8892" t="n">
        <v>0</v>
      </c>
      <c r="I8892" t="n">
        <v>0</v>
      </c>
      <c r="J8892" t="n">
        <v>0</v>
      </c>
      <c r="K8892" t="n">
        <v>0</v>
      </c>
      <c r="L8892" t="n">
        <v>0</v>
      </c>
      <c r="M8892" t="n">
        <v>0</v>
      </c>
      <c r="N8892" t="n">
        <v>0</v>
      </c>
      <c r="O8892" t="n">
        <v>0</v>
      </c>
      <c r="P8892" t="n">
        <v>0</v>
      </c>
      <c r="Q8892" t="n">
        <v>0</v>
      </c>
      <c r="R8892" s="2" t="inlineStr"/>
    </row>
    <row r="8893" ht="15" customHeight="1">
      <c r="A8893" t="inlineStr">
        <is>
          <t>A 35279-2023</t>
        </is>
      </c>
      <c r="B8893" s="1" t="n">
        <v>45146</v>
      </c>
      <c r="C8893" s="1" t="n">
        <v>45363</v>
      </c>
      <c r="D8893" t="inlineStr">
        <is>
          <t>JÄMTLANDS LÄN</t>
        </is>
      </c>
      <c r="E8893" t="inlineStr">
        <is>
          <t>STRÖMSUND</t>
        </is>
      </c>
      <c r="F8893" t="inlineStr">
        <is>
          <t>SCA</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35257-2023</t>
        </is>
      </c>
      <c r="B8894" s="1" t="n">
        <v>45146</v>
      </c>
      <c r="C8894" s="1" t="n">
        <v>45363</v>
      </c>
      <c r="D8894" t="inlineStr">
        <is>
          <t>JÄMTLANDS LÄN</t>
        </is>
      </c>
      <c r="E8894" t="inlineStr">
        <is>
          <t>KROKOM</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35265-2023</t>
        </is>
      </c>
      <c r="B8895" s="1" t="n">
        <v>45146</v>
      </c>
      <c r="C8895" s="1" t="n">
        <v>45363</v>
      </c>
      <c r="D8895" t="inlineStr">
        <is>
          <t>JÄMTLANDS LÄN</t>
        </is>
      </c>
      <c r="E8895" t="inlineStr">
        <is>
          <t>RAGUNDA</t>
        </is>
      </c>
      <c r="F8895" t="inlineStr">
        <is>
          <t>SCA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35273-2023</t>
        </is>
      </c>
      <c r="B8896" s="1" t="n">
        <v>45146</v>
      </c>
      <c r="C8896" s="1" t="n">
        <v>45363</v>
      </c>
      <c r="D8896" t="inlineStr">
        <is>
          <t>JÄMTLANDS LÄN</t>
        </is>
      </c>
      <c r="E8896" t="inlineStr">
        <is>
          <t>RAGUNDA</t>
        </is>
      </c>
      <c r="F8896" t="inlineStr">
        <is>
          <t>SCA</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35281-2023</t>
        </is>
      </c>
      <c r="B8897" s="1" t="n">
        <v>45146</v>
      </c>
      <c r="C8897" s="1" t="n">
        <v>45363</v>
      </c>
      <c r="D8897" t="inlineStr">
        <is>
          <t>JÄMTLANDS LÄN</t>
        </is>
      </c>
      <c r="E8897" t="inlineStr">
        <is>
          <t>KROKOM</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35385-2023</t>
        </is>
      </c>
      <c r="B8898" s="1" t="n">
        <v>45145</v>
      </c>
      <c r="C8898" s="1" t="n">
        <v>45363</v>
      </c>
      <c r="D8898" t="inlineStr">
        <is>
          <t>JÄMTLANDS LÄN</t>
        </is>
      </c>
      <c r="E8898" t="inlineStr">
        <is>
          <t>STRÖMSUND</t>
        </is>
      </c>
      <c r="G8898" t="n">
        <v>29.8</v>
      </c>
      <c r="H8898" t="n">
        <v>0</v>
      </c>
      <c r="I8898" t="n">
        <v>0</v>
      </c>
      <c r="J8898" t="n">
        <v>0</v>
      </c>
      <c r="K8898" t="n">
        <v>0</v>
      </c>
      <c r="L8898" t="n">
        <v>0</v>
      </c>
      <c r="M8898" t="n">
        <v>0</v>
      </c>
      <c r="N8898" t="n">
        <v>0</v>
      </c>
      <c r="O8898" t="n">
        <v>0</v>
      </c>
      <c r="P8898" t="n">
        <v>0</v>
      </c>
      <c r="Q8898" t="n">
        <v>0</v>
      </c>
      <c r="R8898" s="2" t="inlineStr"/>
    </row>
    <row r="8899" ht="15" customHeight="1">
      <c r="A8899" t="inlineStr">
        <is>
          <t>A 35274-2023</t>
        </is>
      </c>
      <c r="B8899" s="1" t="n">
        <v>45145</v>
      </c>
      <c r="C8899" s="1" t="n">
        <v>45363</v>
      </c>
      <c r="D8899" t="inlineStr">
        <is>
          <t>JÄMTLANDS LÄN</t>
        </is>
      </c>
      <c r="E8899" t="inlineStr">
        <is>
          <t>RAGUNDA</t>
        </is>
      </c>
      <c r="F8899" t="inlineStr">
        <is>
          <t>SCA</t>
        </is>
      </c>
      <c r="G8899" t="n">
        <v>6.1</v>
      </c>
      <c r="H8899" t="n">
        <v>0</v>
      </c>
      <c r="I8899" t="n">
        <v>0</v>
      </c>
      <c r="J8899" t="n">
        <v>0</v>
      </c>
      <c r="K8899" t="n">
        <v>0</v>
      </c>
      <c r="L8899" t="n">
        <v>0</v>
      </c>
      <c r="M8899" t="n">
        <v>0</v>
      </c>
      <c r="N8899" t="n">
        <v>0</v>
      </c>
      <c r="O8899" t="n">
        <v>0</v>
      </c>
      <c r="P8899" t="n">
        <v>0</v>
      </c>
      <c r="Q8899" t="n">
        <v>0</v>
      </c>
      <c r="R8899" s="2" t="inlineStr"/>
    </row>
    <row r="8900" ht="15" customHeight="1">
      <c r="A8900" t="inlineStr">
        <is>
          <t>A 35278-2023</t>
        </is>
      </c>
      <c r="B8900" s="1" t="n">
        <v>45146</v>
      </c>
      <c r="C8900" s="1" t="n">
        <v>45363</v>
      </c>
      <c r="D8900" t="inlineStr">
        <is>
          <t>JÄMTLANDS LÄN</t>
        </is>
      </c>
      <c r="E8900" t="inlineStr">
        <is>
          <t>STRÖMSUND</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35282-2023</t>
        </is>
      </c>
      <c r="B8901" s="1" t="n">
        <v>45146</v>
      </c>
      <c r="C8901" s="1" t="n">
        <v>45363</v>
      </c>
      <c r="D8901" t="inlineStr">
        <is>
          <t>JÄMTLANDS LÄN</t>
        </is>
      </c>
      <c r="E8901" t="inlineStr">
        <is>
          <t>KROKOM</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35334-2023</t>
        </is>
      </c>
      <c r="B8902" s="1" t="n">
        <v>45146</v>
      </c>
      <c r="C8902" s="1" t="n">
        <v>45363</v>
      </c>
      <c r="D8902" t="inlineStr">
        <is>
          <t>JÄMTLANDS LÄN</t>
        </is>
      </c>
      <c r="E8902" t="inlineStr">
        <is>
          <t>KROKOM</t>
        </is>
      </c>
      <c r="G8902" t="n">
        <v>10.9</v>
      </c>
      <c r="H8902" t="n">
        <v>0</v>
      </c>
      <c r="I8902" t="n">
        <v>0</v>
      </c>
      <c r="J8902" t="n">
        <v>0</v>
      </c>
      <c r="K8902" t="n">
        <v>0</v>
      </c>
      <c r="L8902" t="n">
        <v>0</v>
      </c>
      <c r="M8902" t="n">
        <v>0</v>
      </c>
      <c r="N8902" t="n">
        <v>0</v>
      </c>
      <c r="O8902" t="n">
        <v>0</v>
      </c>
      <c r="P8902" t="n">
        <v>0</v>
      </c>
      <c r="Q8902" t="n">
        <v>0</v>
      </c>
      <c r="R8902" s="2" t="inlineStr"/>
    </row>
    <row r="8903" ht="15" customHeight="1">
      <c r="A8903" t="inlineStr">
        <is>
          <t>A 35350-2023</t>
        </is>
      </c>
      <c r="B8903" s="1" t="n">
        <v>45146</v>
      </c>
      <c r="C8903" s="1" t="n">
        <v>45363</v>
      </c>
      <c r="D8903" t="inlineStr">
        <is>
          <t>JÄMTLANDS LÄN</t>
        </is>
      </c>
      <c r="E8903" t="inlineStr">
        <is>
          <t>KROKOM</t>
        </is>
      </c>
      <c r="F8903" t="inlineStr">
        <is>
          <t>Övriga Aktiebolag</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35503-2023</t>
        </is>
      </c>
      <c r="B8904" s="1" t="n">
        <v>45147</v>
      </c>
      <c r="C8904" s="1" t="n">
        <v>45363</v>
      </c>
      <c r="D8904" t="inlineStr">
        <is>
          <t>JÄMTLANDS LÄN</t>
        </is>
      </c>
      <c r="E8904" t="inlineStr">
        <is>
          <t>BRÄCKE</t>
        </is>
      </c>
      <c r="F8904" t="inlineStr">
        <is>
          <t>SCA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35506-2023</t>
        </is>
      </c>
      <c r="B8905" s="1" t="n">
        <v>45146</v>
      </c>
      <c r="C8905" s="1" t="n">
        <v>45363</v>
      </c>
      <c r="D8905" t="inlineStr">
        <is>
          <t>JÄMTLANDS LÄN</t>
        </is>
      </c>
      <c r="E8905" t="inlineStr">
        <is>
          <t>BRÄCKE</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35396-2023</t>
        </is>
      </c>
      <c r="B8906" s="1" t="n">
        <v>45146</v>
      </c>
      <c r="C8906" s="1" t="n">
        <v>45363</v>
      </c>
      <c r="D8906" t="inlineStr">
        <is>
          <t>JÄMTLANDS LÄN</t>
        </is>
      </c>
      <c r="E8906" t="inlineStr">
        <is>
          <t>HÄRJEDALEN</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35424-2023</t>
        </is>
      </c>
      <c r="B8907" s="1" t="n">
        <v>45146</v>
      </c>
      <c r="C8907" s="1" t="n">
        <v>45363</v>
      </c>
      <c r="D8907" t="inlineStr">
        <is>
          <t>JÄMTLANDS LÄN</t>
        </is>
      </c>
      <c r="E8907" t="inlineStr">
        <is>
          <t>BRÄCKE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35461-2023</t>
        </is>
      </c>
      <c r="B8908" s="1" t="n">
        <v>45146</v>
      </c>
      <c r="C8908" s="1" t="n">
        <v>45363</v>
      </c>
      <c r="D8908" t="inlineStr">
        <is>
          <t>JÄMTLANDS LÄN</t>
        </is>
      </c>
      <c r="E8908" t="inlineStr">
        <is>
          <t>STRÖMSUND</t>
        </is>
      </c>
      <c r="G8908" t="n">
        <v>11.1</v>
      </c>
      <c r="H8908" t="n">
        <v>0</v>
      </c>
      <c r="I8908" t="n">
        <v>0</v>
      </c>
      <c r="J8908" t="n">
        <v>0</v>
      </c>
      <c r="K8908" t="n">
        <v>0</v>
      </c>
      <c r="L8908" t="n">
        <v>0</v>
      </c>
      <c r="M8908" t="n">
        <v>0</v>
      </c>
      <c r="N8908" t="n">
        <v>0</v>
      </c>
      <c r="O8908" t="n">
        <v>0</v>
      </c>
      <c r="P8908" t="n">
        <v>0</v>
      </c>
      <c r="Q8908" t="n">
        <v>0</v>
      </c>
      <c r="R8908" s="2" t="inlineStr"/>
    </row>
    <row r="8909" ht="15" customHeight="1">
      <c r="A8909" t="inlineStr">
        <is>
          <t>A 35565-2023</t>
        </is>
      </c>
      <c r="B8909" s="1" t="n">
        <v>45146</v>
      </c>
      <c r="C8909" s="1" t="n">
        <v>45363</v>
      </c>
      <c r="D8909" t="inlineStr">
        <is>
          <t>JÄMTLANDS LÄN</t>
        </is>
      </c>
      <c r="E8909" t="inlineStr">
        <is>
          <t>RAGUNDA</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35636-2023</t>
        </is>
      </c>
      <c r="B8910" s="1" t="n">
        <v>45147</v>
      </c>
      <c r="C8910" s="1" t="n">
        <v>45363</v>
      </c>
      <c r="D8910" t="inlineStr">
        <is>
          <t>JÄMTLANDS LÄN</t>
        </is>
      </c>
      <c r="E8910" t="inlineStr">
        <is>
          <t>BERG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35742-2023</t>
        </is>
      </c>
      <c r="B8911" s="1" t="n">
        <v>45147</v>
      </c>
      <c r="C8911" s="1" t="n">
        <v>45363</v>
      </c>
      <c r="D8911" t="inlineStr">
        <is>
          <t>JÄMTLANDS LÄN</t>
        </is>
      </c>
      <c r="E8911" t="inlineStr">
        <is>
          <t>BRÄCKE</t>
        </is>
      </c>
      <c r="F8911" t="inlineStr">
        <is>
          <t>SCA</t>
        </is>
      </c>
      <c r="G8911" t="n">
        <v>26.8</v>
      </c>
      <c r="H8911" t="n">
        <v>0</v>
      </c>
      <c r="I8911" t="n">
        <v>0</v>
      </c>
      <c r="J8911" t="n">
        <v>0</v>
      </c>
      <c r="K8911" t="n">
        <v>0</v>
      </c>
      <c r="L8911" t="n">
        <v>0</v>
      </c>
      <c r="M8911" t="n">
        <v>0</v>
      </c>
      <c r="N8911" t="n">
        <v>0</v>
      </c>
      <c r="O8911" t="n">
        <v>0</v>
      </c>
      <c r="P8911" t="n">
        <v>0</v>
      </c>
      <c r="Q8911" t="n">
        <v>0</v>
      </c>
      <c r="R8911" s="2" t="inlineStr"/>
    </row>
    <row r="8912" ht="15" customHeight="1">
      <c r="A8912" t="inlineStr">
        <is>
          <t>A 35766-2023</t>
        </is>
      </c>
      <c r="B8912" s="1" t="n">
        <v>45147</v>
      </c>
      <c r="C8912" s="1" t="n">
        <v>45363</v>
      </c>
      <c r="D8912" t="inlineStr">
        <is>
          <t>JÄMTLANDS LÄN</t>
        </is>
      </c>
      <c r="E8912" t="inlineStr">
        <is>
          <t>BRÄCKE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35862-2023</t>
        </is>
      </c>
      <c r="B8913" s="1" t="n">
        <v>45147</v>
      </c>
      <c r="C8913" s="1" t="n">
        <v>45363</v>
      </c>
      <c r="D8913" t="inlineStr">
        <is>
          <t>JÄMTLANDS LÄN</t>
        </is>
      </c>
      <c r="E8913" t="inlineStr">
        <is>
          <t>BRÄCKE</t>
        </is>
      </c>
      <c r="G8913" t="n">
        <v>9</v>
      </c>
      <c r="H8913" t="n">
        <v>0</v>
      </c>
      <c r="I8913" t="n">
        <v>0</v>
      </c>
      <c r="J8913" t="n">
        <v>0</v>
      </c>
      <c r="K8913" t="n">
        <v>0</v>
      </c>
      <c r="L8913" t="n">
        <v>0</v>
      </c>
      <c r="M8913" t="n">
        <v>0</v>
      </c>
      <c r="N8913" t="n">
        <v>0</v>
      </c>
      <c r="O8913" t="n">
        <v>0</v>
      </c>
      <c r="P8913" t="n">
        <v>0</v>
      </c>
      <c r="Q8913" t="n">
        <v>0</v>
      </c>
      <c r="R8913" s="2" t="inlineStr"/>
    </row>
    <row r="8914" ht="15" customHeight="1">
      <c r="A8914" t="inlineStr">
        <is>
          <t>A 35741-2023</t>
        </is>
      </c>
      <c r="B8914" s="1" t="n">
        <v>45147</v>
      </c>
      <c r="C8914" s="1" t="n">
        <v>45363</v>
      </c>
      <c r="D8914" t="inlineStr">
        <is>
          <t>JÄMTLANDS LÄN</t>
        </is>
      </c>
      <c r="E8914" t="inlineStr">
        <is>
          <t>BRÄCKE</t>
        </is>
      </c>
      <c r="F8914" t="inlineStr">
        <is>
          <t>SCA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35813-2023</t>
        </is>
      </c>
      <c r="B8915" s="1" t="n">
        <v>45147</v>
      </c>
      <c r="C8915" s="1" t="n">
        <v>45363</v>
      </c>
      <c r="D8915" t="inlineStr">
        <is>
          <t>JÄMTLANDS LÄN</t>
        </is>
      </c>
      <c r="E8915" t="inlineStr">
        <is>
          <t>HÄRJEDALEN</t>
        </is>
      </c>
      <c r="G8915" t="n">
        <v>15.1</v>
      </c>
      <c r="H8915" t="n">
        <v>0</v>
      </c>
      <c r="I8915" t="n">
        <v>0</v>
      </c>
      <c r="J8915" t="n">
        <v>0</v>
      </c>
      <c r="K8915" t="n">
        <v>0</v>
      </c>
      <c r="L8915" t="n">
        <v>0</v>
      </c>
      <c r="M8915" t="n">
        <v>0</v>
      </c>
      <c r="N8915" t="n">
        <v>0</v>
      </c>
      <c r="O8915" t="n">
        <v>0</v>
      </c>
      <c r="P8915" t="n">
        <v>0</v>
      </c>
      <c r="Q8915" t="n">
        <v>0</v>
      </c>
      <c r="R8915" s="2" t="inlineStr"/>
    </row>
    <row r="8916" ht="15" customHeight="1">
      <c r="A8916" t="inlineStr">
        <is>
          <t>A 35887-2023</t>
        </is>
      </c>
      <c r="B8916" s="1" t="n">
        <v>45148</v>
      </c>
      <c r="C8916" s="1" t="n">
        <v>45363</v>
      </c>
      <c r="D8916" t="inlineStr">
        <is>
          <t>JÄMTLANDS LÄN</t>
        </is>
      </c>
      <c r="E8916" t="inlineStr">
        <is>
          <t>KROKOM</t>
        </is>
      </c>
      <c r="F8916" t="inlineStr">
        <is>
          <t>Övriga Aktiebolag</t>
        </is>
      </c>
      <c r="G8916" t="n">
        <v>14.3</v>
      </c>
      <c r="H8916" t="n">
        <v>0</v>
      </c>
      <c r="I8916" t="n">
        <v>0</v>
      </c>
      <c r="J8916" t="n">
        <v>0</v>
      </c>
      <c r="K8916" t="n">
        <v>0</v>
      </c>
      <c r="L8916" t="n">
        <v>0</v>
      </c>
      <c r="M8916" t="n">
        <v>0</v>
      </c>
      <c r="N8916" t="n">
        <v>0</v>
      </c>
      <c r="O8916" t="n">
        <v>0</v>
      </c>
      <c r="P8916" t="n">
        <v>0</v>
      </c>
      <c r="Q8916" t="n">
        <v>0</v>
      </c>
      <c r="R8916" s="2" t="inlineStr"/>
    </row>
    <row r="8917" ht="15" customHeight="1">
      <c r="A8917" t="inlineStr">
        <is>
          <t>A 35896-2023</t>
        </is>
      </c>
      <c r="B8917" s="1" t="n">
        <v>45148</v>
      </c>
      <c r="C8917" s="1" t="n">
        <v>45363</v>
      </c>
      <c r="D8917" t="inlineStr">
        <is>
          <t>JÄMTLANDS LÄN</t>
        </is>
      </c>
      <c r="E8917" t="inlineStr">
        <is>
          <t>BRÄCKE</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35912-2023</t>
        </is>
      </c>
      <c r="B8918" s="1" t="n">
        <v>45148</v>
      </c>
      <c r="C8918" s="1" t="n">
        <v>45363</v>
      </c>
      <c r="D8918" t="inlineStr">
        <is>
          <t>JÄMTLANDS LÄN</t>
        </is>
      </c>
      <c r="E8918" t="inlineStr">
        <is>
          <t>RAGUNDA</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35880-2023</t>
        </is>
      </c>
      <c r="B8919" s="1" t="n">
        <v>45148</v>
      </c>
      <c r="C8919" s="1" t="n">
        <v>45363</v>
      </c>
      <c r="D8919" t="inlineStr">
        <is>
          <t>JÄMTLANDS LÄN</t>
        </is>
      </c>
      <c r="E8919" t="inlineStr">
        <is>
          <t>BRÄCKE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35897-2023</t>
        </is>
      </c>
      <c r="B8920" s="1" t="n">
        <v>45148</v>
      </c>
      <c r="C8920" s="1" t="n">
        <v>45363</v>
      </c>
      <c r="D8920" t="inlineStr">
        <is>
          <t>JÄMTLANDS LÄN</t>
        </is>
      </c>
      <c r="E8920" t="inlineStr">
        <is>
          <t>STRÖMSUND</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35891-2023</t>
        </is>
      </c>
      <c r="B8921" s="1" t="n">
        <v>45148</v>
      </c>
      <c r="C8921" s="1" t="n">
        <v>45363</v>
      </c>
      <c r="D8921" t="inlineStr">
        <is>
          <t>JÄMTLANDS LÄN</t>
        </is>
      </c>
      <c r="E8921" t="inlineStr">
        <is>
          <t>HÄRJEDALEN</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35972-2023</t>
        </is>
      </c>
      <c r="B8922" s="1" t="n">
        <v>45148</v>
      </c>
      <c r="C8922" s="1" t="n">
        <v>45363</v>
      </c>
      <c r="D8922" t="inlineStr">
        <is>
          <t>JÄMTLANDS LÄN</t>
        </is>
      </c>
      <c r="E8922" t="inlineStr">
        <is>
          <t>BRÄCKE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35986-2023</t>
        </is>
      </c>
      <c r="B8923" s="1" t="n">
        <v>45148</v>
      </c>
      <c r="C8923" s="1" t="n">
        <v>45363</v>
      </c>
      <c r="D8923" t="inlineStr">
        <is>
          <t>JÄMTLANDS LÄN</t>
        </is>
      </c>
      <c r="E8923" t="inlineStr">
        <is>
          <t>BERG</t>
        </is>
      </c>
      <c r="F8923" t="inlineStr">
        <is>
          <t>SCA</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36046-2023</t>
        </is>
      </c>
      <c r="B8924" s="1" t="n">
        <v>45148</v>
      </c>
      <c r="C8924" s="1" t="n">
        <v>45363</v>
      </c>
      <c r="D8924" t="inlineStr">
        <is>
          <t>JÄMTLANDS LÄN</t>
        </is>
      </c>
      <c r="E8924" t="inlineStr">
        <is>
          <t>RAGUNDA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36027-2023</t>
        </is>
      </c>
      <c r="B8925" s="1" t="n">
        <v>45149</v>
      </c>
      <c r="C8925" s="1" t="n">
        <v>45363</v>
      </c>
      <c r="D8925" t="inlineStr">
        <is>
          <t>JÄMTLANDS LÄN</t>
        </is>
      </c>
      <c r="E8925" t="inlineStr">
        <is>
          <t>HÄRJEDALEN</t>
        </is>
      </c>
      <c r="F8925" t="inlineStr">
        <is>
          <t>Bergvik skog väst AB</t>
        </is>
      </c>
      <c r="G8925" t="n">
        <v>9.6</v>
      </c>
      <c r="H8925" t="n">
        <v>0</v>
      </c>
      <c r="I8925" t="n">
        <v>0</v>
      </c>
      <c r="J8925" t="n">
        <v>0</v>
      </c>
      <c r="K8925" t="n">
        <v>0</v>
      </c>
      <c r="L8925" t="n">
        <v>0</v>
      </c>
      <c r="M8925" t="n">
        <v>0</v>
      </c>
      <c r="N8925" t="n">
        <v>0</v>
      </c>
      <c r="O8925" t="n">
        <v>0</v>
      </c>
      <c r="P8925" t="n">
        <v>0</v>
      </c>
      <c r="Q8925" t="n">
        <v>0</v>
      </c>
      <c r="R8925" s="2" t="inlineStr"/>
    </row>
    <row r="8926" ht="15" customHeight="1">
      <c r="A8926" t="inlineStr">
        <is>
          <t>A 36111-2023</t>
        </is>
      </c>
      <c r="B8926" s="1" t="n">
        <v>45149</v>
      </c>
      <c r="C8926" s="1" t="n">
        <v>45363</v>
      </c>
      <c r="D8926" t="inlineStr">
        <is>
          <t>JÄMTLANDS LÄN</t>
        </is>
      </c>
      <c r="E8926" t="inlineStr">
        <is>
          <t>HÄRJEDALEN</t>
        </is>
      </c>
      <c r="F8926" t="inlineStr">
        <is>
          <t>Bergvik skog väst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36206-2023</t>
        </is>
      </c>
      <c r="B8927" s="1" t="n">
        <v>45150</v>
      </c>
      <c r="C8927" s="1" t="n">
        <v>45363</v>
      </c>
      <c r="D8927" t="inlineStr">
        <is>
          <t>JÄMTLANDS LÄN</t>
        </is>
      </c>
      <c r="E8927" t="inlineStr">
        <is>
          <t>RAGUNDA</t>
        </is>
      </c>
      <c r="F8927" t="inlineStr">
        <is>
          <t>SCA</t>
        </is>
      </c>
      <c r="G8927" t="n">
        <v>20.4</v>
      </c>
      <c r="H8927" t="n">
        <v>0</v>
      </c>
      <c r="I8927" t="n">
        <v>0</v>
      </c>
      <c r="J8927" t="n">
        <v>0</v>
      </c>
      <c r="K8927" t="n">
        <v>0</v>
      </c>
      <c r="L8927" t="n">
        <v>0</v>
      </c>
      <c r="M8927" t="n">
        <v>0</v>
      </c>
      <c r="N8927" t="n">
        <v>0</v>
      </c>
      <c r="O8927" t="n">
        <v>0</v>
      </c>
      <c r="P8927" t="n">
        <v>0</v>
      </c>
      <c r="Q8927" t="n">
        <v>0</v>
      </c>
      <c r="R8927" s="2" t="inlineStr"/>
    </row>
    <row r="8928" ht="15" customHeight="1">
      <c r="A8928" t="inlineStr">
        <is>
          <t>A 36227-2023</t>
        </is>
      </c>
      <c r="B8928" s="1" t="n">
        <v>45150</v>
      </c>
      <c r="C8928" s="1" t="n">
        <v>45363</v>
      </c>
      <c r="D8928" t="inlineStr">
        <is>
          <t>JÄMTLANDS LÄN</t>
        </is>
      </c>
      <c r="E8928" t="inlineStr">
        <is>
          <t>RAGUNDA</t>
        </is>
      </c>
      <c r="F8928" t="inlineStr">
        <is>
          <t>SCA</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36212-2023</t>
        </is>
      </c>
      <c r="B8929" s="1" t="n">
        <v>45150</v>
      </c>
      <c r="C8929" s="1" t="n">
        <v>45363</v>
      </c>
      <c r="D8929" t="inlineStr">
        <is>
          <t>JÄMTLANDS LÄN</t>
        </is>
      </c>
      <c r="E8929" t="inlineStr">
        <is>
          <t>RAGUNDA</t>
        </is>
      </c>
      <c r="F8929" t="inlineStr">
        <is>
          <t>SCA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36351-2023</t>
        </is>
      </c>
      <c r="B8930" s="1" t="n">
        <v>45149</v>
      </c>
      <c r="C8930" s="1" t="n">
        <v>45363</v>
      </c>
      <c r="D8930" t="inlineStr">
        <is>
          <t>JÄMTLANDS LÄN</t>
        </is>
      </c>
      <c r="E8930" t="inlineStr">
        <is>
          <t>BERG</t>
        </is>
      </c>
      <c r="G8930" t="n">
        <v>11.7</v>
      </c>
      <c r="H8930" t="n">
        <v>0</v>
      </c>
      <c r="I8930" t="n">
        <v>0</v>
      </c>
      <c r="J8930" t="n">
        <v>0</v>
      </c>
      <c r="K8930" t="n">
        <v>0</v>
      </c>
      <c r="L8930" t="n">
        <v>0</v>
      </c>
      <c r="M8930" t="n">
        <v>0</v>
      </c>
      <c r="N8930" t="n">
        <v>0</v>
      </c>
      <c r="O8930" t="n">
        <v>0</v>
      </c>
      <c r="P8930" t="n">
        <v>0</v>
      </c>
      <c r="Q8930" t="n">
        <v>0</v>
      </c>
      <c r="R8930" s="2" t="inlineStr"/>
    </row>
    <row r="8931" ht="15" customHeight="1">
      <c r="A8931" t="inlineStr">
        <is>
          <t>A 36396-2023</t>
        </is>
      </c>
      <c r="B8931" s="1" t="n">
        <v>45149</v>
      </c>
      <c r="C8931" s="1" t="n">
        <v>45363</v>
      </c>
      <c r="D8931" t="inlineStr">
        <is>
          <t>JÄMTLANDS LÄN</t>
        </is>
      </c>
      <c r="E8931" t="inlineStr">
        <is>
          <t>KROKOM</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36048-2023</t>
        </is>
      </c>
      <c r="B8932" s="1" t="n">
        <v>45149</v>
      </c>
      <c r="C8932" s="1" t="n">
        <v>45363</v>
      </c>
      <c r="D8932" t="inlineStr">
        <is>
          <t>JÄMTLANDS LÄN</t>
        </is>
      </c>
      <c r="E8932" t="inlineStr">
        <is>
          <t>ÅRE</t>
        </is>
      </c>
      <c r="G8932" t="n">
        <v>11.4</v>
      </c>
      <c r="H8932" t="n">
        <v>0</v>
      </c>
      <c r="I8932" t="n">
        <v>0</v>
      </c>
      <c r="J8932" t="n">
        <v>0</v>
      </c>
      <c r="K8932" t="n">
        <v>0</v>
      </c>
      <c r="L8932" t="n">
        <v>0</v>
      </c>
      <c r="M8932" t="n">
        <v>0</v>
      </c>
      <c r="N8932" t="n">
        <v>0</v>
      </c>
      <c r="O8932" t="n">
        <v>0</v>
      </c>
      <c r="P8932" t="n">
        <v>0</v>
      </c>
      <c r="Q8932" t="n">
        <v>0</v>
      </c>
      <c r="R8932" s="2" t="inlineStr"/>
    </row>
    <row r="8933" ht="15" customHeight="1">
      <c r="A8933" t="inlineStr">
        <is>
          <t>A 36143-2023</t>
        </is>
      </c>
      <c r="B8933" s="1" t="n">
        <v>45149</v>
      </c>
      <c r="C8933" s="1" t="n">
        <v>45363</v>
      </c>
      <c r="D8933" t="inlineStr">
        <is>
          <t>JÄMTLANDS LÄN</t>
        </is>
      </c>
      <c r="E8933" t="inlineStr">
        <is>
          <t>HÄRJEDALEN</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36205-2023</t>
        </is>
      </c>
      <c r="B8934" s="1" t="n">
        <v>45149</v>
      </c>
      <c r="C8934" s="1" t="n">
        <v>45363</v>
      </c>
      <c r="D8934" t="inlineStr">
        <is>
          <t>JÄMTLANDS LÄN</t>
        </is>
      </c>
      <c r="E8934" t="inlineStr">
        <is>
          <t>BRÄCKE</t>
        </is>
      </c>
      <c r="F8934" t="inlineStr">
        <is>
          <t>SCA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36209-2023</t>
        </is>
      </c>
      <c r="B8935" s="1" t="n">
        <v>45149</v>
      </c>
      <c r="C8935" s="1" t="n">
        <v>45363</v>
      </c>
      <c r="D8935" t="inlineStr">
        <is>
          <t>JÄMTLANDS LÄN</t>
        </is>
      </c>
      <c r="E8935" t="inlineStr">
        <is>
          <t>BRÄCKE</t>
        </is>
      </c>
      <c r="F8935" t="inlineStr">
        <is>
          <t>SCA</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36213-2023</t>
        </is>
      </c>
      <c r="B8936" s="1" t="n">
        <v>45150</v>
      </c>
      <c r="C8936" s="1" t="n">
        <v>45363</v>
      </c>
      <c r="D8936" t="inlineStr">
        <is>
          <t>JÄMTLANDS LÄN</t>
        </is>
      </c>
      <c r="E8936" t="inlineStr">
        <is>
          <t>RAGUNDA</t>
        </is>
      </c>
      <c r="F8936" t="inlineStr">
        <is>
          <t>SCA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36226-2023</t>
        </is>
      </c>
      <c r="B8937" s="1" t="n">
        <v>45150</v>
      </c>
      <c r="C8937" s="1" t="n">
        <v>45363</v>
      </c>
      <c r="D8937" t="inlineStr">
        <is>
          <t>JÄMTLANDS LÄN</t>
        </is>
      </c>
      <c r="E8937" t="inlineStr">
        <is>
          <t>RAGUNDA</t>
        </is>
      </c>
      <c r="F8937" t="inlineStr">
        <is>
          <t>SCA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36371-2023</t>
        </is>
      </c>
      <c r="B8938" s="1" t="n">
        <v>45149</v>
      </c>
      <c r="C8938" s="1" t="n">
        <v>45363</v>
      </c>
      <c r="D8938" t="inlineStr">
        <is>
          <t>JÄMTLANDS LÄN</t>
        </is>
      </c>
      <c r="E8938" t="inlineStr">
        <is>
          <t>RAGUNDA</t>
        </is>
      </c>
      <c r="G8938" t="n">
        <v>25.7</v>
      </c>
      <c r="H8938" t="n">
        <v>0</v>
      </c>
      <c r="I8938" t="n">
        <v>0</v>
      </c>
      <c r="J8938" t="n">
        <v>0</v>
      </c>
      <c r="K8938" t="n">
        <v>0</v>
      </c>
      <c r="L8938" t="n">
        <v>0</v>
      </c>
      <c r="M8938" t="n">
        <v>0</v>
      </c>
      <c r="N8938" t="n">
        <v>0</v>
      </c>
      <c r="O8938" t="n">
        <v>0</v>
      </c>
      <c r="P8938" t="n">
        <v>0</v>
      </c>
      <c r="Q8938" t="n">
        <v>0</v>
      </c>
      <c r="R8938" s="2" t="inlineStr"/>
    </row>
    <row r="8939" ht="15" customHeight="1">
      <c r="A8939" t="inlineStr">
        <is>
          <t>A 36406-2023</t>
        </is>
      </c>
      <c r="B8939" s="1" t="n">
        <v>45149</v>
      </c>
      <c r="C8939" s="1" t="n">
        <v>45363</v>
      </c>
      <c r="D8939" t="inlineStr">
        <is>
          <t>JÄMTLANDS LÄN</t>
        </is>
      </c>
      <c r="E8939" t="inlineStr">
        <is>
          <t>ÖSTERSUND</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36234-2023</t>
        </is>
      </c>
      <c r="B8940" s="1" t="n">
        <v>45150</v>
      </c>
      <c r="C8940" s="1" t="n">
        <v>45363</v>
      </c>
      <c r="D8940" t="inlineStr">
        <is>
          <t>JÄMTLANDS LÄN</t>
        </is>
      </c>
      <c r="E8940" t="inlineStr">
        <is>
          <t>ÅRE</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36235-2023</t>
        </is>
      </c>
      <c r="B8941" s="1" t="n">
        <v>45150</v>
      </c>
      <c r="C8941" s="1" t="n">
        <v>45363</v>
      </c>
      <c r="D8941" t="inlineStr">
        <is>
          <t>JÄMTLANDS LÄN</t>
        </is>
      </c>
      <c r="E8941" t="inlineStr">
        <is>
          <t>ÅRE</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36439-2023</t>
        </is>
      </c>
      <c r="B8942" s="1" t="n">
        <v>45152</v>
      </c>
      <c r="C8942" s="1" t="n">
        <v>45363</v>
      </c>
      <c r="D8942" t="inlineStr">
        <is>
          <t>JÄMTLANDS LÄN</t>
        </is>
      </c>
      <c r="E8942" t="inlineStr">
        <is>
          <t>KROKOM</t>
        </is>
      </c>
      <c r="F8942" t="inlineStr">
        <is>
          <t>Övriga Aktiebolag</t>
        </is>
      </c>
      <c r="G8942" t="n">
        <v>7.6</v>
      </c>
      <c r="H8942" t="n">
        <v>0</v>
      </c>
      <c r="I8942" t="n">
        <v>0</v>
      </c>
      <c r="J8942" t="n">
        <v>0</v>
      </c>
      <c r="K8942" t="n">
        <v>0</v>
      </c>
      <c r="L8942" t="n">
        <v>0</v>
      </c>
      <c r="M8942" t="n">
        <v>0</v>
      </c>
      <c r="N8942" t="n">
        <v>0</v>
      </c>
      <c r="O8942" t="n">
        <v>0</v>
      </c>
      <c r="P8942" t="n">
        <v>0</v>
      </c>
      <c r="Q8942" t="n">
        <v>0</v>
      </c>
      <c r="R8942" s="2" t="inlineStr"/>
    </row>
    <row r="8943" ht="15" customHeight="1">
      <c r="A8943" t="inlineStr">
        <is>
          <t>A 36503-2023</t>
        </is>
      </c>
      <c r="B8943" s="1" t="n">
        <v>45153</v>
      </c>
      <c r="C8943" s="1" t="n">
        <v>45363</v>
      </c>
      <c r="D8943" t="inlineStr">
        <is>
          <t>JÄMTLANDS LÄN</t>
        </is>
      </c>
      <c r="E8943" t="inlineStr">
        <is>
          <t>STRÖMSUND</t>
        </is>
      </c>
      <c r="F8943" t="inlineStr">
        <is>
          <t>SCA</t>
        </is>
      </c>
      <c r="G8943" t="n">
        <v>6.1</v>
      </c>
      <c r="H8943" t="n">
        <v>0</v>
      </c>
      <c r="I8943" t="n">
        <v>0</v>
      </c>
      <c r="J8943" t="n">
        <v>0</v>
      </c>
      <c r="K8943" t="n">
        <v>0</v>
      </c>
      <c r="L8943" t="n">
        <v>0</v>
      </c>
      <c r="M8943" t="n">
        <v>0</v>
      </c>
      <c r="N8943" t="n">
        <v>0</v>
      </c>
      <c r="O8943" t="n">
        <v>0</v>
      </c>
      <c r="P8943" t="n">
        <v>0</v>
      </c>
      <c r="Q8943" t="n">
        <v>0</v>
      </c>
      <c r="R8943" s="2" t="inlineStr"/>
    </row>
    <row r="8944" ht="15" customHeight="1">
      <c r="A8944" t="inlineStr">
        <is>
          <t>A 36507-2023</t>
        </is>
      </c>
      <c r="B8944" s="1" t="n">
        <v>45152</v>
      </c>
      <c r="C8944" s="1" t="n">
        <v>45363</v>
      </c>
      <c r="D8944" t="inlineStr">
        <is>
          <t>JÄMTLANDS LÄN</t>
        </is>
      </c>
      <c r="E8944" t="inlineStr">
        <is>
          <t>STRÖMSUND</t>
        </is>
      </c>
      <c r="F8944" t="inlineStr">
        <is>
          <t>SCA</t>
        </is>
      </c>
      <c r="G8944" t="n">
        <v>8.4</v>
      </c>
      <c r="H8944" t="n">
        <v>0</v>
      </c>
      <c r="I8944" t="n">
        <v>0</v>
      </c>
      <c r="J8944" t="n">
        <v>0</v>
      </c>
      <c r="K8944" t="n">
        <v>0</v>
      </c>
      <c r="L8944" t="n">
        <v>0</v>
      </c>
      <c r="M8944" t="n">
        <v>0</v>
      </c>
      <c r="N8944" t="n">
        <v>0</v>
      </c>
      <c r="O8944" t="n">
        <v>0</v>
      </c>
      <c r="P8944" t="n">
        <v>0</v>
      </c>
      <c r="Q8944" t="n">
        <v>0</v>
      </c>
      <c r="R8944" s="2" t="inlineStr"/>
    </row>
    <row r="8945" ht="15" customHeight="1">
      <c r="A8945" t="inlineStr">
        <is>
          <t>A 36524-2023</t>
        </is>
      </c>
      <c r="B8945" s="1" t="n">
        <v>45152</v>
      </c>
      <c r="C8945" s="1" t="n">
        <v>45363</v>
      </c>
      <c r="D8945" t="inlineStr">
        <is>
          <t>JÄMTLANDS LÄN</t>
        </is>
      </c>
      <c r="E8945" t="inlineStr">
        <is>
          <t>STRÖMSUND</t>
        </is>
      </c>
      <c r="G8945" t="n">
        <v>20.7</v>
      </c>
      <c r="H8945" t="n">
        <v>0</v>
      </c>
      <c r="I8945" t="n">
        <v>0</v>
      </c>
      <c r="J8945" t="n">
        <v>0</v>
      </c>
      <c r="K8945" t="n">
        <v>0</v>
      </c>
      <c r="L8945" t="n">
        <v>0</v>
      </c>
      <c r="M8945" t="n">
        <v>0</v>
      </c>
      <c r="N8945" t="n">
        <v>0</v>
      </c>
      <c r="O8945" t="n">
        <v>0</v>
      </c>
      <c r="P8945" t="n">
        <v>0</v>
      </c>
      <c r="Q8945" t="n">
        <v>0</v>
      </c>
      <c r="R8945" s="2" t="inlineStr"/>
    </row>
    <row r="8946" ht="15" customHeight="1">
      <c r="A8946" t="inlineStr">
        <is>
          <t>A 36394-2023</t>
        </is>
      </c>
      <c r="B8946" s="1" t="n">
        <v>45152</v>
      </c>
      <c r="C8946" s="1" t="n">
        <v>45363</v>
      </c>
      <c r="D8946" t="inlineStr">
        <is>
          <t>JÄMTLANDS LÄN</t>
        </is>
      </c>
      <c r="E8946" t="inlineStr">
        <is>
          <t>STRÖMSUND</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36424-2023</t>
        </is>
      </c>
      <c r="B8947" s="1" t="n">
        <v>45152</v>
      </c>
      <c r="C8947" s="1" t="n">
        <v>45363</v>
      </c>
      <c r="D8947" t="inlineStr">
        <is>
          <t>JÄMTLANDS LÄN</t>
        </is>
      </c>
      <c r="E8947" t="inlineStr">
        <is>
          <t>KROKOM</t>
        </is>
      </c>
      <c r="G8947" t="n">
        <v>12.3</v>
      </c>
      <c r="H8947" t="n">
        <v>0</v>
      </c>
      <c r="I8947" t="n">
        <v>0</v>
      </c>
      <c r="J8947" t="n">
        <v>0</v>
      </c>
      <c r="K8947" t="n">
        <v>0</v>
      </c>
      <c r="L8947" t="n">
        <v>0</v>
      </c>
      <c r="M8947" t="n">
        <v>0</v>
      </c>
      <c r="N8947" t="n">
        <v>0</v>
      </c>
      <c r="O8947" t="n">
        <v>0</v>
      </c>
      <c r="P8947" t="n">
        <v>0</v>
      </c>
      <c r="Q8947" t="n">
        <v>0</v>
      </c>
      <c r="R8947" s="2" t="inlineStr"/>
    </row>
    <row r="8948" ht="15" customHeight="1">
      <c r="A8948" t="inlineStr">
        <is>
          <t>A 36502-2023</t>
        </is>
      </c>
      <c r="B8948" s="1" t="n">
        <v>45153</v>
      </c>
      <c r="C8948" s="1" t="n">
        <v>45363</v>
      </c>
      <c r="D8948" t="inlineStr">
        <is>
          <t>JÄMTLANDS LÄN</t>
        </is>
      </c>
      <c r="E8948" t="inlineStr">
        <is>
          <t>STRÖMSUND</t>
        </is>
      </c>
      <c r="F8948" t="inlineStr">
        <is>
          <t>SCA</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36506-2023</t>
        </is>
      </c>
      <c r="B8949" s="1" t="n">
        <v>45153</v>
      </c>
      <c r="C8949" s="1" t="n">
        <v>45363</v>
      </c>
      <c r="D8949" t="inlineStr">
        <is>
          <t>JÄMTLANDS LÄN</t>
        </is>
      </c>
      <c r="E8949" t="inlineStr">
        <is>
          <t>RAGUNDA</t>
        </is>
      </c>
      <c r="F8949" t="inlineStr">
        <is>
          <t>SCA</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36488-2023</t>
        </is>
      </c>
      <c r="B8950" s="1" t="n">
        <v>45152</v>
      </c>
      <c r="C8950" s="1" t="n">
        <v>45363</v>
      </c>
      <c r="D8950" t="inlineStr">
        <is>
          <t>JÄMTLANDS LÄN</t>
        </is>
      </c>
      <c r="E8950" t="inlineStr">
        <is>
          <t>KROKOM</t>
        </is>
      </c>
      <c r="G8950" t="n">
        <v>7.6</v>
      </c>
      <c r="H8950" t="n">
        <v>0</v>
      </c>
      <c r="I8950" t="n">
        <v>0</v>
      </c>
      <c r="J8950" t="n">
        <v>0</v>
      </c>
      <c r="K8950" t="n">
        <v>0</v>
      </c>
      <c r="L8950" t="n">
        <v>0</v>
      </c>
      <c r="M8950" t="n">
        <v>0</v>
      </c>
      <c r="N8950" t="n">
        <v>0</v>
      </c>
      <c r="O8950" t="n">
        <v>0</v>
      </c>
      <c r="P8950" t="n">
        <v>0</v>
      </c>
      <c r="Q8950" t="n">
        <v>0</v>
      </c>
      <c r="R8950" s="2" t="inlineStr"/>
    </row>
    <row r="8951" ht="15" customHeight="1">
      <c r="A8951" t="inlineStr">
        <is>
          <t>A 36497-2023</t>
        </is>
      </c>
      <c r="B8951" s="1" t="n">
        <v>45152</v>
      </c>
      <c r="C8951" s="1" t="n">
        <v>45363</v>
      </c>
      <c r="D8951" t="inlineStr">
        <is>
          <t>JÄMTLANDS LÄN</t>
        </is>
      </c>
      <c r="E8951" t="inlineStr">
        <is>
          <t>BRÄCKE</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36535-2023</t>
        </is>
      </c>
      <c r="B8952" s="1" t="n">
        <v>45152</v>
      </c>
      <c r="C8952" s="1" t="n">
        <v>45363</v>
      </c>
      <c r="D8952" t="inlineStr">
        <is>
          <t>JÄMTLANDS LÄN</t>
        </is>
      </c>
      <c r="E8952" t="inlineStr">
        <is>
          <t>KROKOM</t>
        </is>
      </c>
      <c r="G8952" t="n">
        <v>11.8</v>
      </c>
      <c r="H8952" t="n">
        <v>0</v>
      </c>
      <c r="I8952" t="n">
        <v>0</v>
      </c>
      <c r="J8952" t="n">
        <v>0</v>
      </c>
      <c r="K8952" t="n">
        <v>0</v>
      </c>
      <c r="L8952" t="n">
        <v>0</v>
      </c>
      <c r="M8952" t="n">
        <v>0</v>
      </c>
      <c r="N8952" t="n">
        <v>0</v>
      </c>
      <c r="O8952" t="n">
        <v>0</v>
      </c>
      <c r="P8952" t="n">
        <v>0</v>
      </c>
      <c r="Q8952" t="n">
        <v>0</v>
      </c>
      <c r="R8952" s="2" t="inlineStr"/>
    </row>
    <row r="8953" ht="15" customHeight="1">
      <c r="A8953" t="inlineStr">
        <is>
          <t>A 36570-2023</t>
        </is>
      </c>
      <c r="B8953" s="1" t="n">
        <v>45153</v>
      </c>
      <c r="C8953" s="1" t="n">
        <v>45363</v>
      </c>
      <c r="D8953" t="inlineStr">
        <is>
          <t>JÄMTLANDS LÄN</t>
        </is>
      </c>
      <c r="E8953" t="inlineStr">
        <is>
          <t>HÄRJEDALEN</t>
        </is>
      </c>
      <c r="F8953" t="inlineStr">
        <is>
          <t>Bergvik skog väst AB</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36565-2023</t>
        </is>
      </c>
      <c r="B8954" s="1" t="n">
        <v>45153</v>
      </c>
      <c r="C8954" s="1" t="n">
        <v>45363</v>
      </c>
      <c r="D8954" t="inlineStr">
        <is>
          <t>JÄMTLANDS LÄN</t>
        </is>
      </c>
      <c r="E8954" t="inlineStr">
        <is>
          <t>HÄRJEDALEN</t>
        </is>
      </c>
      <c r="F8954" t="inlineStr">
        <is>
          <t>Bergvik skog väst AB</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36568-2023</t>
        </is>
      </c>
      <c r="B8955" s="1" t="n">
        <v>45153</v>
      </c>
      <c r="C8955" s="1" t="n">
        <v>45363</v>
      </c>
      <c r="D8955" t="inlineStr">
        <is>
          <t>JÄMTLANDS LÄN</t>
        </is>
      </c>
      <c r="E8955" t="inlineStr">
        <is>
          <t>HÄRJEDALEN</t>
        </is>
      </c>
      <c r="F8955" t="inlineStr">
        <is>
          <t>Bergvik skog väst AB</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36651-2023</t>
        </is>
      </c>
      <c r="B8956" s="1" t="n">
        <v>45153</v>
      </c>
      <c r="C8956" s="1" t="n">
        <v>45363</v>
      </c>
      <c r="D8956" t="inlineStr">
        <is>
          <t>JÄMTLANDS LÄN</t>
        </is>
      </c>
      <c r="E8956" t="inlineStr">
        <is>
          <t>HÄRJEDALEN</t>
        </is>
      </c>
      <c r="F8956" t="inlineStr">
        <is>
          <t>Bergvik skog väst AB</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36708-2023</t>
        </is>
      </c>
      <c r="B8957" s="1" t="n">
        <v>45153</v>
      </c>
      <c r="C8957" s="1" t="n">
        <v>45363</v>
      </c>
      <c r="D8957" t="inlineStr">
        <is>
          <t>JÄMTLANDS LÄN</t>
        </is>
      </c>
      <c r="E8957" t="inlineStr">
        <is>
          <t>BERG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36720-2023</t>
        </is>
      </c>
      <c r="B8958" s="1" t="n">
        <v>45153</v>
      </c>
      <c r="C8958" s="1" t="n">
        <v>45363</v>
      </c>
      <c r="D8958" t="inlineStr">
        <is>
          <t>JÄMTLANDS LÄN</t>
        </is>
      </c>
      <c r="E8958" t="inlineStr">
        <is>
          <t>HÄRJEDALEN</t>
        </is>
      </c>
      <c r="F8958" t="inlineStr">
        <is>
          <t>Bergvik skog väst AB</t>
        </is>
      </c>
      <c r="G8958" t="n">
        <v>6.3</v>
      </c>
      <c r="H8958" t="n">
        <v>0</v>
      </c>
      <c r="I8958" t="n">
        <v>0</v>
      </c>
      <c r="J8958" t="n">
        <v>0</v>
      </c>
      <c r="K8958" t="n">
        <v>0</v>
      </c>
      <c r="L8958" t="n">
        <v>0</v>
      </c>
      <c r="M8958" t="n">
        <v>0</v>
      </c>
      <c r="N8958" t="n">
        <v>0</v>
      </c>
      <c r="O8958" t="n">
        <v>0</v>
      </c>
      <c r="P8958" t="n">
        <v>0</v>
      </c>
      <c r="Q8958" t="n">
        <v>0</v>
      </c>
      <c r="R8958" s="2" t="inlineStr"/>
    </row>
    <row r="8959" ht="15" customHeight="1">
      <c r="A8959" t="inlineStr">
        <is>
          <t>A 36755-2023</t>
        </is>
      </c>
      <c r="B8959" s="1" t="n">
        <v>45153</v>
      </c>
      <c r="C8959" s="1" t="n">
        <v>45363</v>
      </c>
      <c r="D8959" t="inlineStr">
        <is>
          <t>JÄMTLANDS LÄN</t>
        </is>
      </c>
      <c r="E8959" t="inlineStr">
        <is>
          <t>RAGUNDA</t>
        </is>
      </c>
      <c r="G8959" t="n">
        <v>9.199999999999999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36764-2023</t>
        </is>
      </c>
      <c r="B8960" s="1" t="n">
        <v>45154</v>
      </c>
      <c r="C8960" s="1" t="n">
        <v>45363</v>
      </c>
      <c r="D8960" t="inlineStr">
        <is>
          <t>JÄMTLANDS LÄN</t>
        </is>
      </c>
      <c r="E8960" t="inlineStr">
        <is>
          <t>STRÖMSUND</t>
        </is>
      </c>
      <c r="F8960" t="inlineStr">
        <is>
          <t>SCA</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36677-2023</t>
        </is>
      </c>
      <c r="B8961" s="1" t="n">
        <v>45153</v>
      </c>
      <c r="C8961" s="1" t="n">
        <v>45363</v>
      </c>
      <c r="D8961" t="inlineStr">
        <is>
          <t>JÄMTLANDS LÄN</t>
        </is>
      </c>
      <c r="E8961" t="inlineStr">
        <is>
          <t>HÄRJEDALEN</t>
        </is>
      </c>
      <c r="F8961" t="inlineStr">
        <is>
          <t>Bergvik skog väst AB</t>
        </is>
      </c>
      <c r="G8961" t="n">
        <v>6.5</v>
      </c>
      <c r="H8961" t="n">
        <v>0</v>
      </c>
      <c r="I8961" t="n">
        <v>0</v>
      </c>
      <c r="J8961" t="n">
        <v>0</v>
      </c>
      <c r="K8961" t="n">
        <v>0</v>
      </c>
      <c r="L8961" t="n">
        <v>0</v>
      </c>
      <c r="M8961" t="n">
        <v>0</v>
      </c>
      <c r="N8961" t="n">
        <v>0</v>
      </c>
      <c r="O8961" t="n">
        <v>0</v>
      </c>
      <c r="P8961" t="n">
        <v>0</v>
      </c>
      <c r="Q8961" t="n">
        <v>0</v>
      </c>
      <c r="R8961" s="2" t="inlineStr"/>
    </row>
    <row r="8962" ht="15" customHeight="1">
      <c r="A8962" t="inlineStr">
        <is>
          <t>A 36749-2023</t>
        </is>
      </c>
      <c r="B8962" s="1" t="n">
        <v>45154</v>
      </c>
      <c r="C8962" s="1" t="n">
        <v>45363</v>
      </c>
      <c r="D8962" t="inlineStr">
        <is>
          <t>JÄMTLANDS LÄN</t>
        </is>
      </c>
      <c r="E8962" t="inlineStr">
        <is>
          <t>STRÖMSUND</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36753-2023</t>
        </is>
      </c>
      <c r="B8963" s="1" t="n">
        <v>45153</v>
      </c>
      <c r="C8963" s="1" t="n">
        <v>45363</v>
      </c>
      <c r="D8963" t="inlineStr">
        <is>
          <t>JÄMTLANDS LÄN</t>
        </is>
      </c>
      <c r="E8963" t="inlineStr">
        <is>
          <t>BRÄCKE</t>
        </is>
      </c>
      <c r="F8963" t="inlineStr">
        <is>
          <t>SCA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36859-2023</t>
        </is>
      </c>
      <c r="B8964" s="1" t="n">
        <v>45153</v>
      </c>
      <c r="C8964" s="1" t="n">
        <v>45363</v>
      </c>
      <c r="D8964" t="inlineStr">
        <is>
          <t>JÄMTLANDS LÄN</t>
        </is>
      </c>
      <c r="E8964" t="inlineStr">
        <is>
          <t>RAGUNDA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36773-2023</t>
        </is>
      </c>
      <c r="B8965" s="1" t="n">
        <v>45154</v>
      </c>
      <c r="C8965" s="1" t="n">
        <v>45363</v>
      </c>
      <c r="D8965" t="inlineStr">
        <is>
          <t>JÄMTLANDS LÄN</t>
        </is>
      </c>
      <c r="E8965" t="inlineStr">
        <is>
          <t>STRÖMSUND</t>
        </is>
      </c>
      <c r="F8965" t="inlineStr">
        <is>
          <t>Holmen skog AB</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36921-2023</t>
        </is>
      </c>
      <c r="B8966" s="1" t="n">
        <v>45154</v>
      </c>
      <c r="C8966" s="1" t="n">
        <v>45363</v>
      </c>
      <c r="D8966" t="inlineStr">
        <is>
          <t>JÄMTLANDS LÄN</t>
        </is>
      </c>
      <c r="E8966" t="inlineStr">
        <is>
          <t>HÄRJEDALEN</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36926-2023</t>
        </is>
      </c>
      <c r="B8967" s="1" t="n">
        <v>45154</v>
      </c>
      <c r="C8967" s="1" t="n">
        <v>45363</v>
      </c>
      <c r="D8967" t="inlineStr">
        <is>
          <t>JÄMTLANDS LÄN</t>
        </is>
      </c>
      <c r="E8967" t="inlineStr">
        <is>
          <t>HÄRJEDALEN</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36968-2023</t>
        </is>
      </c>
      <c r="B8968" s="1" t="n">
        <v>45155</v>
      </c>
      <c r="C8968" s="1" t="n">
        <v>45363</v>
      </c>
      <c r="D8968" t="inlineStr">
        <is>
          <t>JÄMTLANDS LÄN</t>
        </is>
      </c>
      <c r="E8968" t="inlineStr">
        <is>
          <t>STRÖMSUND</t>
        </is>
      </c>
      <c r="F8968" t="inlineStr">
        <is>
          <t>SCA</t>
        </is>
      </c>
      <c r="G8968" t="n">
        <v>7.5</v>
      </c>
      <c r="H8968" t="n">
        <v>0</v>
      </c>
      <c r="I8968" t="n">
        <v>0</v>
      </c>
      <c r="J8968" t="n">
        <v>0</v>
      </c>
      <c r="K8968" t="n">
        <v>0</v>
      </c>
      <c r="L8968" t="n">
        <v>0</v>
      </c>
      <c r="M8968" t="n">
        <v>0</v>
      </c>
      <c r="N8968" t="n">
        <v>0</v>
      </c>
      <c r="O8968" t="n">
        <v>0</v>
      </c>
      <c r="P8968" t="n">
        <v>0</v>
      </c>
      <c r="Q8968" t="n">
        <v>0</v>
      </c>
      <c r="R8968" s="2" t="inlineStr"/>
    </row>
    <row r="8969" ht="15" customHeight="1">
      <c r="A8969" t="inlineStr">
        <is>
          <t>A 36988-2023</t>
        </is>
      </c>
      <c r="B8969" s="1" t="n">
        <v>45154</v>
      </c>
      <c r="C8969" s="1" t="n">
        <v>45363</v>
      </c>
      <c r="D8969" t="inlineStr">
        <is>
          <t>JÄMTLANDS LÄN</t>
        </is>
      </c>
      <c r="E8969" t="inlineStr">
        <is>
          <t>BRÄCKE</t>
        </is>
      </c>
      <c r="F8969" t="inlineStr">
        <is>
          <t>SCA</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36985-2023</t>
        </is>
      </c>
      <c r="B8970" s="1" t="n">
        <v>45155</v>
      </c>
      <c r="C8970" s="1" t="n">
        <v>45363</v>
      </c>
      <c r="D8970" t="inlineStr">
        <is>
          <t>JÄMTLANDS LÄN</t>
        </is>
      </c>
      <c r="E8970" t="inlineStr">
        <is>
          <t>RAGUNDA</t>
        </is>
      </c>
      <c r="F8970" t="inlineStr">
        <is>
          <t>SCA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36993-2023</t>
        </is>
      </c>
      <c r="B8971" s="1" t="n">
        <v>45155</v>
      </c>
      <c r="C8971" s="1" t="n">
        <v>45363</v>
      </c>
      <c r="D8971" t="inlineStr">
        <is>
          <t>JÄMTLANDS LÄN</t>
        </is>
      </c>
      <c r="E8971" t="inlineStr">
        <is>
          <t>STRÖMSUND</t>
        </is>
      </c>
      <c r="F8971" t="inlineStr">
        <is>
          <t>SCA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36930-2023</t>
        </is>
      </c>
      <c r="B8972" s="1" t="n">
        <v>45154</v>
      </c>
      <c r="C8972" s="1" t="n">
        <v>45363</v>
      </c>
      <c r="D8972" t="inlineStr">
        <is>
          <t>JÄMTLANDS LÄN</t>
        </is>
      </c>
      <c r="E8972" t="inlineStr">
        <is>
          <t>HÄRJEDALEN</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37140-2023</t>
        </is>
      </c>
      <c r="B8973" s="1" t="n">
        <v>45154</v>
      </c>
      <c r="C8973" s="1" t="n">
        <v>45363</v>
      </c>
      <c r="D8973" t="inlineStr">
        <is>
          <t>JÄMTLANDS LÄN</t>
        </is>
      </c>
      <c r="E8973" t="inlineStr">
        <is>
          <t>ÖSTERSUND</t>
        </is>
      </c>
      <c r="F8973" t="inlineStr">
        <is>
          <t>Övriga Aktiebolag</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36946-2023</t>
        </is>
      </c>
      <c r="B8974" s="1" t="n">
        <v>45154</v>
      </c>
      <c r="C8974" s="1" t="n">
        <v>45363</v>
      </c>
      <c r="D8974" t="inlineStr">
        <is>
          <t>JÄMTLANDS LÄN</t>
        </is>
      </c>
      <c r="E8974" t="inlineStr">
        <is>
          <t>HÄRJEDALEN</t>
        </is>
      </c>
      <c r="F8974" t="inlineStr">
        <is>
          <t>Kyrkan</t>
        </is>
      </c>
      <c r="G8974" t="n">
        <v>43.1</v>
      </c>
      <c r="H8974" t="n">
        <v>0</v>
      </c>
      <c r="I8974" t="n">
        <v>0</v>
      </c>
      <c r="J8974" t="n">
        <v>0</v>
      </c>
      <c r="K8974" t="n">
        <v>0</v>
      </c>
      <c r="L8974" t="n">
        <v>0</v>
      </c>
      <c r="M8974" t="n">
        <v>0</v>
      </c>
      <c r="N8974" t="n">
        <v>0</v>
      </c>
      <c r="O8974" t="n">
        <v>0</v>
      </c>
      <c r="P8974" t="n">
        <v>0</v>
      </c>
      <c r="Q8974" t="n">
        <v>0</v>
      </c>
      <c r="R8974" s="2" t="inlineStr"/>
    </row>
    <row r="8975" ht="15" customHeight="1">
      <c r="A8975" t="inlineStr">
        <is>
          <t>A 36986-2023</t>
        </is>
      </c>
      <c r="B8975" s="1" t="n">
        <v>45155</v>
      </c>
      <c r="C8975" s="1" t="n">
        <v>45363</v>
      </c>
      <c r="D8975" t="inlineStr">
        <is>
          <t>JÄMTLANDS LÄN</t>
        </is>
      </c>
      <c r="E8975" t="inlineStr">
        <is>
          <t>RAGUNDA</t>
        </is>
      </c>
      <c r="F8975" t="inlineStr">
        <is>
          <t>SCA</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36840-2023</t>
        </is>
      </c>
      <c r="B8976" s="1" t="n">
        <v>45154</v>
      </c>
      <c r="C8976" s="1" t="n">
        <v>45363</v>
      </c>
      <c r="D8976" t="inlineStr">
        <is>
          <t>JÄMTLANDS LÄN</t>
        </is>
      </c>
      <c r="E8976" t="inlineStr">
        <is>
          <t>HÄRJEDALEN</t>
        </is>
      </c>
      <c r="G8976" t="n">
        <v>2.8</v>
      </c>
      <c r="H8976" t="n">
        <v>0</v>
      </c>
      <c r="I8976" t="n">
        <v>0</v>
      </c>
      <c r="J8976" t="n">
        <v>0</v>
      </c>
      <c r="K8976" t="n">
        <v>0</v>
      </c>
      <c r="L8976" t="n">
        <v>0</v>
      </c>
      <c r="M8976" t="n">
        <v>0</v>
      </c>
      <c r="N8976" t="n">
        <v>0</v>
      </c>
      <c r="O8976" t="n">
        <v>0</v>
      </c>
      <c r="P8976" t="n">
        <v>0</v>
      </c>
      <c r="Q8976" t="n">
        <v>0</v>
      </c>
      <c r="R8976" s="2" t="inlineStr"/>
      <c r="U8976">
        <f>HYPERLINK("https://klasma.github.io/Logging_2361/knärot/A 36840-2023 karta knärot.png", "A 36840-2023")</f>
        <v/>
      </c>
      <c r="V8976">
        <f>HYPERLINK("https://klasma.github.io/Logging_2361/klagomål/A 36840-2023 FSC-klagomål.docx", "A 36840-2023")</f>
        <v/>
      </c>
      <c r="W8976">
        <f>HYPERLINK("https://klasma.github.io/Logging_2361/klagomålsmail/A 36840-2023 FSC-klagomål mail.docx", "A 36840-2023")</f>
        <v/>
      </c>
      <c r="X8976">
        <f>HYPERLINK("https://klasma.github.io/Logging_2361/tillsyn/A 36840-2023 tillsynsbegäran.docx", "A 36840-2023")</f>
        <v/>
      </c>
      <c r="Y8976">
        <f>HYPERLINK("https://klasma.github.io/Logging_2361/tillsynsmail/A 36840-2023 tillsynsbegäran mail.docx", "A 36840-2023")</f>
        <v/>
      </c>
    </row>
    <row r="8977" ht="15" customHeight="1">
      <c r="A8977" t="inlineStr">
        <is>
          <t>A 36990-2023</t>
        </is>
      </c>
      <c r="B8977" s="1" t="n">
        <v>45154</v>
      </c>
      <c r="C8977" s="1" t="n">
        <v>45363</v>
      </c>
      <c r="D8977" t="inlineStr">
        <is>
          <t>JÄMTLANDS LÄN</t>
        </is>
      </c>
      <c r="E8977" t="inlineStr">
        <is>
          <t>KROKOM</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37054-2023</t>
        </is>
      </c>
      <c r="B8978" s="1" t="n">
        <v>45154</v>
      </c>
      <c r="C8978" s="1" t="n">
        <v>45363</v>
      </c>
      <c r="D8978" t="inlineStr">
        <is>
          <t>JÄMTLANDS LÄN</t>
        </is>
      </c>
      <c r="E8978" t="inlineStr">
        <is>
          <t>HÄRJEDALEN</t>
        </is>
      </c>
      <c r="G8978" t="n">
        <v>8.9</v>
      </c>
      <c r="H8978" t="n">
        <v>0</v>
      </c>
      <c r="I8978" t="n">
        <v>0</v>
      </c>
      <c r="J8978" t="n">
        <v>0</v>
      </c>
      <c r="K8978" t="n">
        <v>0</v>
      </c>
      <c r="L8978" t="n">
        <v>0</v>
      </c>
      <c r="M8978" t="n">
        <v>0</v>
      </c>
      <c r="N8978" t="n">
        <v>0</v>
      </c>
      <c r="O8978" t="n">
        <v>0</v>
      </c>
      <c r="P8978" t="n">
        <v>0</v>
      </c>
      <c r="Q8978" t="n">
        <v>0</v>
      </c>
      <c r="R8978" s="2" t="inlineStr"/>
    </row>
    <row r="8979" ht="15" customHeight="1">
      <c r="A8979" t="inlineStr">
        <is>
          <t>A 36931-2023</t>
        </is>
      </c>
      <c r="B8979" s="1" t="n">
        <v>45154</v>
      </c>
      <c r="C8979" s="1" t="n">
        <v>45363</v>
      </c>
      <c r="D8979" t="inlineStr">
        <is>
          <t>JÄMTLANDS LÄN</t>
        </is>
      </c>
      <c r="E8979" t="inlineStr">
        <is>
          <t>HÄRJEDALEN</t>
        </is>
      </c>
      <c r="F8979" t="inlineStr">
        <is>
          <t>Bergvik skog väst AB</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36959-2023</t>
        </is>
      </c>
      <c r="B8980" s="1" t="n">
        <v>45155</v>
      </c>
      <c r="C8980" s="1" t="n">
        <v>45363</v>
      </c>
      <c r="D8980" t="inlineStr">
        <is>
          <t>JÄMTLANDS LÄN</t>
        </is>
      </c>
      <c r="E8980" t="inlineStr">
        <is>
          <t>STRÖMSUND</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36991-2023</t>
        </is>
      </c>
      <c r="B8981" s="1" t="n">
        <v>45155</v>
      </c>
      <c r="C8981" s="1" t="n">
        <v>45363</v>
      </c>
      <c r="D8981" t="inlineStr">
        <is>
          <t>JÄMTLANDS LÄN</t>
        </is>
      </c>
      <c r="E8981" t="inlineStr">
        <is>
          <t>STRÖMSUND</t>
        </is>
      </c>
      <c r="F8981" t="inlineStr">
        <is>
          <t>SCA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37067-2023</t>
        </is>
      </c>
      <c r="B8982" s="1" t="n">
        <v>45154</v>
      </c>
      <c r="C8982" s="1" t="n">
        <v>45363</v>
      </c>
      <c r="D8982" t="inlineStr">
        <is>
          <t>JÄMTLANDS LÄN</t>
        </is>
      </c>
      <c r="E8982" t="inlineStr">
        <is>
          <t>BERG</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37019-2023</t>
        </is>
      </c>
      <c r="B8983" s="1" t="n">
        <v>45155</v>
      </c>
      <c r="C8983" s="1" t="n">
        <v>45363</v>
      </c>
      <c r="D8983" t="inlineStr">
        <is>
          <t>JÄMTLANDS LÄN</t>
        </is>
      </c>
      <c r="E8983" t="inlineStr">
        <is>
          <t>KROKOM</t>
        </is>
      </c>
      <c r="F8983" t="inlineStr">
        <is>
          <t>Kyrkan</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37146-2023</t>
        </is>
      </c>
      <c r="B8984" s="1" t="n">
        <v>45155</v>
      </c>
      <c r="C8984" s="1" t="n">
        <v>45363</v>
      </c>
      <c r="D8984" t="inlineStr">
        <is>
          <t>JÄMTLANDS LÄN</t>
        </is>
      </c>
      <c r="E8984" t="inlineStr">
        <is>
          <t>STRÖMSUND</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37261-2023</t>
        </is>
      </c>
      <c r="B8985" s="1" t="n">
        <v>45155</v>
      </c>
      <c r="C8985" s="1" t="n">
        <v>45363</v>
      </c>
      <c r="D8985" t="inlineStr">
        <is>
          <t>JÄMTLANDS LÄN</t>
        </is>
      </c>
      <c r="E8985" t="inlineStr">
        <is>
          <t>STRÖMSUND</t>
        </is>
      </c>
      <c r="F8985" t="inlineStr">
        <is>
          <t>SCA</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37265-2023</t>
        </is>
      </c>
      <c r="B8986" s="1" t="n">
        <v>45156</v>
      </c>
      <c r="C8986" s="1" t="n">
        <v>45363</v>
      </c>
      <c r="D8986" t="inlineStr">
        <is>
          <t>JÄMTLANDS LÄN</t>
        </is>
      </c>
      <c r="E8986" t="inlineStr">
        <is>
          <t>BRÄCKE</t>
        </is>
      </c>
      <c r="F8986" t="inlineStr">
        <is>
          <t>SCA</t>
        </is>
      </c>
      <c r="G8986" t="n">
        <v>9.300000000000001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37143-2023</t>
        </is>
      </c>
      <c r="B8987" s="1" t="n">
        <v>45155</v>
      </c>
      <c r="C8987" s="1" t="n">
        <v>45363</v>
      </c>
      <c r="D8987" t="inlineStr">
        <is>
          <t>JÄMTLANDS LÄN</t>
        </is>
      </c>
      <c r="E8987" t="inlineStr">
        <is>
          <t>STRÖMSUND</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37248-2023</t>
        </is>
      </c>
      <c r="B8988" s="1" t="n">
        <v>45156</v>
      </c>
      <c r="C8988" s="1" t="n">
        <v>45363</v>
      </c>
      <c r="D8988" t="inlineStr">
        <is>
          <t>JÄMTLANDS LÄN</t>
        </is>
      </c>
      <c r="E8988" t="inlineStr">
        <is>
          <t>BERG</t>
        </is>
      </c>
      <c r="F8988" t="inlineStr">
        <is>
          <t>SCA</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37260-2023</t>
        </is>
      </c>
      <c r="B8989" s="1" t="n">
        <v>45155</v>
      </c>
      <c r="C8989" s="1" t="n">
        <v>45363</v>
      </c>
      <c r="D8989" t="inlineStr">
        <is>
          <t>JÄMTLANDS LÄN</t>
        </is>
      </c>
      <c r="E8989" t="inlineStr">
        <is>
          <t>STRÖMSUND</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37264-2023</t>
        </is>
      </c>
      <c r="B8990" s="1" t="n">
        <v>45155</v>
      </c>
      <c r="C8990" s="1" t="n">
        <v>45363</v>
      </c>
      <c r="D8990" t="inlineStr">
        <is>
          <t>JÄMTLANDS LÄN</t>
        </is>
      </c>
      <c r="E8990" t="inlineStr">
        <is>
          <t>BRÄCKE</t>
        </is>
      </c>
      <c r="F8990" t="inlineStr">
        <is>
          <t>SCA</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37268-2023</t>
        </is>
      </c>
      <c r="B8991" s="1" t="n">
        <v>45156</v>
      </c>
      <c r="C8991" s="1" t="n">
        <v>45363</v>
      </c>
      <c r="D8991" t="inlineStr">
        <is>
          <t>JÄMTLANDS LÄN</t>
        </is>
      </c>
      <c r="E8991" t="inlineStr">
        <is>
          <t>BRÄCKE</t>
        </is>
      </c>
      <c r="F8991" t="inlineStr">
        <is>
          <t>SCA</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37238-2023</t>
        </is>
      </c>
      <c r="B8992" s="1" t="n">
        <v>45156</v>
      </c>
      <c r="C8992" s="1" t="n">
        <v>45363</v>
      </c>
      <c r="D8992" t="inlineStr">
        <is>
          <t>JÄMTLANDS LÄN</t>
        </is>
      </c>
      <c r="E8992" t="inlineStr">
        <is>
          <t>BRÄCKE</t>
        </is>
      </c>
      <c r="F8992" t="inlineStr">
        <is>
          <t>SCA</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37246-2023</t>
        </is>
      </c>
      <c r="B8993" s="1" t="n">
        <v>45155</v>
      </c>
      <c r="C8993" s="1" t="n">
        <v>45363</v>
      </c>
      <c r="D8993" t="inlineStr">
        <is>
          <t>JÄMTLANDS LÄN</t>
        </is>
      </c>
      <c r="E8993" t="inlineStr">
        <is>
          <t>BERG</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37239-2023</t>
        </is>
      </c>
      <c r="B8994" s="1" t="n">
        <v>45156</v>
      </c>
      <c r="C8994" s="1" t="n">
        <v>45363</v>
      </c>
      <c r="D8994" t="inlineStr">
        <is>
          <t>JÄMTLANDS LÄN</t>
        </is>
      </c>
      <c r="E8994" t="inlineStr">
        <is>
          <t>BRÄCKE</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37251-2023</t>
        </is>
      </c>
      <c r="B8995" s="1" t="n">
        <v>45156</v>
      </c>
      <c r="C8995" s="1" t="n">
        <v>45363</v>
      </c>
      <c r="D8995" t="inlineStr">
        <is>
          <t>JÄMTLANDS LÄN</t>
        </is>
      </c>
      <c r="E8995" t="inlineStr">
        <is>
          <t>RAGUNDA</t>
        </is>
      </c>
      <c r="F8995" t="inlineStr">
        <is>
          <t>SCA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37258-2023</t>
        </is>
      </c>
      <c r="B8996" s="1" t="n">
        <v>45156</v>
      </c>
      <c r="C8996" s="1" t="n">
        <v>45363</v>
      </c>
      <c r="D8996" t="inlineStr">
        <is>
          <t>JÄMTLANDS LÄN</t>
        </is>
      </c>
      <c r="E8996" t="inlineStr">
        <is>
          <t>STRÖMSUND</t>
        </is>
      </c>
      <c r="G8996" t="n">
        <v>5.6</v>
      </c>
      <c r="H8996" t="n">
        <v>0</v>
      </c>
      <c r="I8996" t="n">
        <v>0</v>
      </c>
      <c r="J8996" t="n">
        <v>0</v>
      </c>
      <c r="K8996" t="n">
        <v>0</v>
      </c>
      <c r="L8996" t="n">
        <v>0</v>
      </c>
      <c r="M8996" t="n">
        <v>0</v>
      </c>
      <c r="N8996" t="n">
        <v>0</v>
      </c>
      <c r="O8996" t="n">
        <v>0</v>
      </c>
      <c r="P8996" t="n">
        <v>0</v>
      </c>
      <c r="Q8996" t="n">
        <v>0</v>
      </c>
      <c r="R8996" s="2" t="inlineStr"/>
    </row>
    <row r="8997" ht="15" customHeight="1">
      <c r="A8997" t="inlineStr">
        <is>
          <t>A 37263-2023</t>
        </is>
      </c>
      <c r="B8997" s="1" t="n">
        <v>45156</v>
      </c>
      <c r="C8997" s="1" t="n">
        <v>45363</v>
      </c>
      <c r="D8997" t="inlineStr">
        <is>
          <t>JÄMTLANDS LÄN</t>
        </is>
      </c>
      <c r="E8997" t="inlineStr">
        <is>
          <t>BRÄCKE</t>
        </is>
      </c>
      <c r="F8997" t="inlineStr">
        <is>
          <t>SCA</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37267-2023</t>
        </is>
      </c>
      <c r="B8998" s="1" t="n">
        <v>45156</v>
      </c>
      <c r="C8998" s="1" t="n">
        <v>45363</v>
      </c>
      <c r="D8998" t="inlineStr">
        <is>
          <t>JÄMTLANDS LÄN</t>
        </is>
      </c>
      <c r="E8998" t="inlineStr">
        <is>
          <t>BRÄCKE</t>
        </is>
      </c>
      <c r="F8998" t="inlineStr">
        <is>
          <t>SCA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37315-2023</t>
        </is>
      </c>
      <c r="B8999" s="1" t="n">
        <v>45156</v>
      </c>
      <c r="C8999" s="1" t="n">
        <v>45363</v>
      </c>
      <c r="D8999" t="inlineStr">
        <is>
          <t>JÄMTLANDS LÄN</t>
        </is>
      </c>
      <c r="E8999" t="inlineStr">
        <is>
          <t>HÄRJEDALEN</t>
        </is>
      </c>
      <c r="F8999" t="inlineStr">
        <is>
          <t>Bergvik skog väst AB</t>
        </is>
      </c>
      <c r="G8999" t="n">
        <v>7.6</v>
      </c>
      <c r="H8999" t="n">
        <v>0</v>
      </c>
      <c r="I8999" t="n">
        <v>0</v>
      </c>
      <c r="J8999" t="n">
        <v>0</v>
      </c>
      <c r="K8999" t="n">
        <v>0</v>
      </c>
      <c r="L8999" t="n">
        <v>0</v>
      </c>
      <c r="M8999" t="n">
        <v>0</v>
      </c>
      <c r="N8999" t="n">
        <v>0</v>
      </c>
      <c r="O8999" t="n">
        <v>0</v>
      </c>
      <c r="P8999" t="n">
        <v>0</v>
      </c>
      <c r="Q8999" t="n">
        <v>0</v>
      </c>
      <c r="R8999" s="2" t="inlineStr"/>
    </row>
    <row r="9000" ht="15" customHeight="1">
      <c r="A9000" t="inlineStr">
        <is>
          <t>A 37345-2023</t>
        </is>
      </c>
      <c r="B9000" s="1" t="n">
        <v>45156</v>
      </c>
      <c r="C9000" s="1" t="n">
        <v>45363</v>
      </c>
      <c r="D9000" t="inlineStr">
        <is>
          <t>JÄMTLANDS LÄN</t>
        </is>
      </c>
      <c r="E9000" t="inlineStr">
        <is>
          <t>HÄRJEDALEN</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37365-2023</t>
        </is>
      </c>
      <c r="B9001" s="1" t="n">
        <v>45156</v>
      </c>
      <c r="C9001" s="1" t="n">
        <v>45363</v>
      </c>
      <c r="D9001" t="inlineStr">
        <is>
          <t>JÄMTLANDS LÄN</t>
        </is>
      </c>
      <c r="E9001" t="inlineStr">
        <is>
          <t>HÄRJEDALEN</t>
        </is>
      </c>
      <c r="F9001" t="inlineStr">
        <is>
          <t>Bergvik skog väst AB</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37363-2023</t>
        </is>
      </c>
      <c r="B9002" s="1" t="n">
        <v>45156</v>
      </c>
      <c r="C9002" s="1" t="n">
        <v>45363</v>
      </c>
      <c r="D9002" t="inlineStr">
        <is>
          <t>JÄMTLANDS LÄN</t>
        </is>
      </c>
      <c r="E9002" t="inlineStr">
        <is>
          <t>HÄRJEDALEN</t>
        </is>
      </c>
      <c r="F9002" t="inlineStr">
        <is>
          <t>Bergvik skog väst AB</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37480-2023</t>
        </is>
      </c>
      <c r="B9003" s="1" t="n">
        <v>45156</v>
      </c>
      <c r="C9003" s="1" t="n">
        <v>45363</v>
      </c>
      <c r="D9003" t="inlineStr">
        <is>
          <t>JÄMTLANDS LÄN</t>
        </is>
      </c>
      <c r="E9003" t="inlineStr">
        <is>
          <t>RAGUNDA</t>
        </is>
      </c>
      <c r="F9003" t="inlineStr">
        <is>
          <t>SCA</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37492-2023</t>
        </is>
      </c>
      <c r="B9004" s="1" t="n">
        <v>45156</v>
      </c>
      <c r="C9004" s="1" t="n">
        <v>45363</v>
      </c>
      <c r="D9004" t="inlineStr">
        <is>
          <t>JÄMTLANDS LÄN</t>
        </is>
      </c>
      <c r="E9004" t="inlineStr">
        <is>
          <t>BRÄCKE</t>
        </is>
      </c>
      <c r="F9004" t="inlineStr">
        <is>
          <t>SCA</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37472-2023</t>
        </is>
      </c>
      <c r="B9005" s="1" t="n">
        <v>45157</v>
      </c>
      <c r="C9005" s="1" t="n">
        <v>45363</v>
      </c>
      <c r="D9005" t="inlineStr">
        <is>
          <t>JÄMTLANDS LÄN</t>
        </is>
      </c>
      <c r="E9005" t="inlineStr">
        <is>
          <t>BRÄCKE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37469-2023</t>
        </is>
      </c>
      <c r="B9006" s="1" t="n">
        <v>45157</v>
      </c>
      <c r="C9006" s="1" t="n">
        <v>45363</v>
      </c>
      <c r="D9006" t="inlineStr">
        <is>
          <t>JÄMTLANDS LÄN</t>
        </is>
      </c>
      <c r="E9006" t="inlineStr">
        <is>
          <t>STRÖMSUND</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37490-2023</t>
        </is>
      </c>
      <c r="B9007" s="1" t="n">
        <v>45157</v>
      </c>
      <c r="C9007" s="1" t="n">
        <v>45363</v>
      </c>
      <c r="D9007" t="inlineStr">
        <is>
          <t>JÄMTLANDS LÄN</t>
        </is>
      </c>
      <c r="E9007" t="inlineStr">
        <is>
          <t>STRÖMSUND</t>
        </is>
      </c>
      <c r="F9007" t="inlineStr">
        <is>
          <t>SCA</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37479-2023</t>
        </is>
      </c>
      <c r="B9008" s="1" t="n">
        <v>45156</v>
      </c>
      <c r="C9008" s="1" t="n">
        <v>45363</v>
      </c>
      <c r="D9008" t="inlineStr">
        <is>
          <t>JÄMTLANDS LÄN</t>
        </is>
      </c>
      <c r="E9008" t="inlineStr">
        <is>
          <t>RAGUNDA</t>
        </is>
      </c>
      <c r="F9008" t="inlineStr">
        <is>
          <t>SCA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37504-2023</t>
        </is>
      </c>
      <c r="B9009" s="1" t="n">
        <v>45157</v>
      </c>
      <c r="C9009" s="1" t="n">
        <v>45363</v>
      </c>
      <c r="D9009" t="inlineStr">
        <is>
          <t>JÄMTLANDS LÄN</t>
        </is>
      </c>
      <c r="E9009" t="inlineStr">
        <is>
          <t>BRÄCKE</t>
        </is>
      </c>
      <c r="F9009" t="inlineStr">
        <is>
          <t>Sveaskog</t>
        </is>
      </c>
      <c r="G9009" t="n">
        <v>9.199999999999999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37521-2023</t>
        </is>
      </c>
      <c r="B9010" s="1" t="n">
        <v>45158</v>
      </c>
      <c r="C9010" s="1" t="n">
        <v>45363</v>
      </c>
      <c r="D9010" t="inlineStr">
        <is>
          <t>JÄMTLANDS LÄN</t>
        </is>
      </c>
      <c r="E9010" t="inlineStr">
        <is>
          <t>BERG</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37844-2023</t>
        </is>
      </c>
      <c r="B9011" s="1" t="n">
        <v>45158</v>
      </c>
      <c r="C9011" s="1" t="n">
        <v>45363</v>
      </c>
      <c r="D9011" t="inlineStr">
        <is>
          <t>JÄMTLANDS LÄN</t>
        </is>
      </c>
      <c r="E9011" t="inlineStr">
        <is>
          <t>KROKOM</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37536-2023</t>
        </is>
      </c>
      <c r="B9012" s="1" t="n">
        <v>45159</v>
      </c>
      <c r="C9012" s="1" t="n">
        <v>45363</v>
      </c>
      <c r="D9012" t="inlineStr">
        <is>
          <t>JÄMTLANDS LÄN</t>
        </is>
      </c>
      <c r="E9012" t="inlineStr">
        <is>
          <t>RAGUNDA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37544-2023</t>
        </is>
      </c>
      <c r="B9013" s="1" t="n">
        <v>45159</v>
      </c>
      <c r="C9013" s="1" t="n">
        <v>45363</v>
      </c>
      <c r="D9013" t="inlineStr">
        <is>
          <t>JÄMTLANDS LÄN</t>
        </is>
      </c>
      <c r="E9013" t="inlineStr">
        <is>
          <t>RAGUNDA</t>
        </is>
      </c>
      <c r="F9013" t="inlineStr">
        <is>
          <t>SCA</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37543-2023</t>
        </is>
      </c>
      <c r="B9014" s="1" t="n">
        <v>45159</v>
      </c>
      <c r="C9014" s="1" t="n">
        <v>45363</v>
      </c>
      <c r="D9014" t="inlineStr">
        <is>
          <t>JÄMTLANDS LÄN</t>
        </is>
      </c>
      <c r="E9014" t="inlineStr">
        <is>
          <t>RAGUNDA</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37638-2023</t>
        </is>
      </c>
      <c r="B9015" s="1" t="n">
        <v>45159</v>
      </c>
      <c r="C9015" s="1" t="n">
        <v>45363</v>
      </c>
      <c r="D9015" t="inlineStr">
        <is>
          <t>JÄMTLANDS LÄN</t>
        </is>
      </c>
      <c r="E9015" t="inlineStr">
        <is>
          <t>HÄRJEDALEN</t>
        </is>
      </c>
      <c r="F9015" t="inlineStr">
        <is>
          <t>Bergvik skog väst AB</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37764-2023</t>
        </is>
      </c>
      <c r="B9016" s="1" t="n">
        <v>45159</v>
      </c>
      <c r="C9016" s="1" t="n">
        <v>45363</v>
      </c>
      <c r="D9016" t="inlineStr">
        <is>
          <t>JÄMTLANDS LÄN</t>
        </is>
      </c>
      <c r="E9016" t="inlineStr">
        <is>
          <t>HÄRJEDALEN</t>
        </is>
      </c>
      <c r="F9016" t="inlineStr">
        <is>
          <t>Bergvik skog väst AB</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37795-2023</t>
        </is>
      </c>
      <c r="B9017" s="1" t="n">
        <v>45160</v>
      </c>
      <c r="C9017" s="1" t="n">
        <v>45363</v>
      </c>
      <c r="D9017" t="inlineStr">
        <is>
          <t>JÄMTLANDS LÄN</t>
        </is>
      </c>
      <c r="E9017" t="inlineStr">
        <is>
          <t>RAGUNDA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37803-2023</t>
        </is>
      </c>
      <c r="B9018" s="1" t="n">
        <v>45160</v>
      </c>
      <c r="C9018" s="1" t="n">
        <v>45363</v>
      </c>
      <c r="D9018" t="inlineStr">
        <is>
          <t>JÄMTLANDS LÄN</t>
        </is>
      </c>
      <c r="E9018" t="inlineStr">
        <is>
          <t>STRÖMSUND</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37715-2023</t>
        </is>
      </c>
      <c r="B9019" s="1" t="n">
        <v>45159</v>
      </c>
      <c r="C9019" s="1" t="n">
        <v>45363</v>
      </c>
      <c r="D9019" t="inlineStr">
        <is>
          <t>JÄMTLANDS LÄN</t>
        </is>
      </c>
      <c r="E9019" t="inlineStr">
        <is>
          <t>HÄRJEDALEN</t>
        </is>
      </c>
      <c r="G9019" t="n">
        <v>23.3</v>
      </c>
      <c r="H9019" t="n">
        <v>0</v>
      </c>
      <c r="I9019" t="n">
        <v>0</v>
      </c>
      <c r="J9019" t="n">
        <v>0</v>
      </c>
      <c r="K9019" t="n">
        <v>0</v>
      </c>
      <c r="L9019" t="n">
        <v>0</v>
      </c>
      <c r="M9019" t="n">
        <v>0</v>
      </c>
      <c r="N9019" t="n">
        <v>0</v>
      </c>
      <c r="O9019" t="n">
        <v>0</v>
      </c>
      <c r="P9019" t="n">
        <v>0</v>
      </c>
      <c r="Q9019" t="n">
        <v>0</v>
      </c>
      <c r="R9019" s="2" t="inlineStr"/>
    </row>
    <row r="9020" ht="15" customHeight="1">
      <c r="A9020" t="inlineStr">
        <is>
          <t>A 37719-2023</t>
        </is>
      </c>
      <c r="B9020" s="1" t="n">
        <v>45159</v>
      </c>
      <c r="C9020" s="1" t="n">
        <v>45363</v>
      </c>
      <c r="D9020" t="inlineStr">
        <is>
          <t>JÄMTLANDS LÄN</t>
        </is>
      </c>
      <c r="E9020" t="inlineStr">
        <is>
          <t>HÄRJEDALEN</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37729-2023</t>
        </is>
      </c>
      <c r="B9021" s="1" t="n">
        <v>45159</v>
      </c>
      <c r="C9021" s="1" t="n">
        <v>45363</v>
      </c>
      <c r="D9021" t="inlineStr">
        <is>
          <t>JÄMTLANDS LÄN</t>
        </is>
      </c>
      <c r="E9021" t="inlineStr">
        <is>
          <t>ÅRE</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37734-2023</t>
        </is>
      </c>
      <c r="B9022" s="1" t="n">
        <v>45159</v>
      </c>
      <c r="C9022" s="1" t="n">
        <v>45363</v>
      </c>
      <c r="D9022" t="inlineStr">
        <is>
          <t>JÄMTLANDS LÄN</t>
        </is>
      </c>
      <c r="E9022" t="inlineStr">
        <is>
          <t>ÅRE</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37739-2023</t>
        </is>
      </c>
      <c r="B9023" s="1" t="n">
        <v>45159</v>
      </c>
      <c r="C9023" s="1" t="n">
        <v>45363</v>
      </c>
      <c r="D9023" t="inlineStr">
        <is>
          <t>JÄMTLANDS LÄN</t>
        </is>
      </c>
      <c r="E9023" t="inlineStr">
        <is>
          <t>ÅRE</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37597-2023</t>
        </is>
      </c>
      <c r="B9024" s="1" t="n">
        <v>45159</v>
      </c>
      <c r="C9024" s="1" t="n">
        <v>45363</v>
      </c>
      <c r="D9024" t="inlineStr">
        <is>
          <t>JÄMTLANDS LÄN</t>
        </is>
      </c>
      <c r="E9024" t="inlineStr">
        <is>
          <t>ÖSTERSUND</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37645-2023</t>
        </is>
      </c>
      <c r="B9025" s="1" t="n">
        <v>45159</v>
      </c>
      <c r="C9025" s="1" t="n">
        <v>45363</v>
      </c>
      <c r="D9025" t="inlineStr">
        <is>
          <t>JÄMTLANDS LÄN</t>
        </is>
      </c>
      <c r="E9025" t="inlineStr">
        <is>
          <t>ÖSTERSUND</t>
        </is>
      </c>
      <c r="F9025" t="inlineStr">
        <is>
          <t>Övriga Aktiebolag</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37747-2023</t>
        </is>
      </c>
      <c r="B9026" s="1" t="n">
        <v>45159</v>
      </c>
      <c r="C9026" s="1" t="n">
        <v>45363</v>
      </c>
      <c r="D9026" t="inlineStr">
        <is>
          <t>JÄMTLANDS LÄN</t>
        </is>
      </c>
      <c r="E9026" t="inlineStr">
        <is>
          <t>HÄRJEDALEN</t>
        </is>
      </c>
      <c r="F9026" t="inlineStr">
        <is>
          <t>Bergvik skog väst AB</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37758-2023</t>
        </is>
      </c>
      <c r="B9027" s="1" t="n">
        <v>45159</v>
      </c>
      <c r="C9027" s="1" t="n">
        <v>45363</v>
      </c>
      <c r="D9027" t="inlineStr">
        <is>
          <t>JÄMTLANDS LÄN</t>
        </is>
      </c>
      <c r="E9027" t="inlineStr">
        <is>
          <t>ÅRE</t>
        </is>
      </c>
      <c r="G9027" t="n">
        <v>20.1</v>
      </c>
      <c r="H9027" t="n">
        <v>0</v>
      </c>
      <c r="I9027" t="n">
        <v>0</v>
      </c>
      <c r="J9027" t="n">
        <v>0</v>
      </c>
      <c r="K9027" t="n">
        <v>0</v>
      </c>
      <c r="L9027" t="n">
        <v>0</v>
      </c>
      <c r="M9027" t="n">
        <v>0</v>
      </c>
      <c r="N9027" t="n">
        <v>0</v>
      </c>
      <c r="O9027" t="n">
        <v>0</v>
      </c>
      <c r="P9027" t="n">
        <v>0</v>
      </c>
      <c r="Q9027" t="n">
        <v>0</v>
      </c>
      <c r="R9027" s="2" t="inlineStr"/>
    </row>
    <row r="9028" ht="15" customHeight="1">
      <c r="A9028" t="inlineStr">
        <is>
          <t>A 37805-2023</t>
        </is>
      </c>
      <c r="B9028" s="1" t="n">
        <v>45160</v>
      </c>
      <c r="C9028" s="1" t="n">
        <v>45363</v>
      </c>
      <c r="D9028" t="inlineStr">
        <is>
          <t>JÄMTLANDS LÄN</t>
        </is>
      </c>
      <c r="E9028" t="inlineStr">
        <is>
          <t>RAGUNDA</t>
        </is>
      </c>
      <c r="F9028" t="inlineStr">
        <is>
          <t>SCA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37762-2023</t>
        </is>
      </c>
      <c r="B9029" s="1" t="n">
        <v>45159</v>
      </c>
      <c r="C9029" s="1" t="n">
        <v>45363</v>
      </c>
      <c r="D9029" t="inlineStr">
        <is>
          <t>JÄMTLANDS LÄN</t>
        </is>
      </c>
      <c r="E9029" t="inlineStr">
        <is>
          <t>HÄRJEDALEN</t>
        </is>
      </c>
      <c r="F9029" t="inlineStr">
        <is>
          <t>Bergvik skog väst AB</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37806-2023</t>
        </is>
      </c>
      <c r="B9030" s="1" t="n">
        <v>45159</v>
      </c>
      <c r="C9030" s="1" t="n">
        <v>45363</v>
      </c>
      <c r="D9030" t="inlineStr">
        <is>
          <t>JÄMTLANDS LÄN</t>
        </is>
      </c>
      <c r="E9030" t="inlineStr">
        <is>
          <t>BRÄCKE</t>
        </is>
      </c>
      <c r="F9030" t="inlineStr">
        <is>
          <t>SCA</t>
        </is>
      </c>
      <c r="G9030" t="n">
        <v>19.2</v>
      </c>
      <c r="H9030" t="n">
        <v>0</v>
      </c>
      <c r="I9030" t="n">
        <v>0</v>
      </c>
      <c r="J9030" t="n">
        <v>0</v>
      </c>
      <c r="K9030" t="n">
        <v>0</v>
      </c>
      <c r="L9030" t="n">
        <v>0</v>
      </c>
      <c r="M9030" t="n">
        <v>0</v>
      </c>
      <c r="N9030" t="n">
        <v>0</v>
      </c>
      <c r="O9030" t="n">
        <v>0</v>
      </c>
      <c r="P9030" t="n">
        <v>0</v>
      </c>
      <c r="Q9030" t="n">
        <v>0</v>
      </c>
      <c r="R9030" s="2" t="inlineStr"/>
    </row>
    <row r="9031" ht="15" customHeight="1">
      <c r="A9031" t="inlineStr">
        <is>
          <t>A 37809-2023</t>
        </is>
      </c>
      <c r="B9031" s="1" t="n">
        <v>45160</v>
      </c>
      <c r="C9031" s="1" t="n">
        <v>45363</v>
      </c>
      <c r="D9031" t="inlineStr">
        <is>
          <t>JÄMTLANDS LÄN</t>
        </is>
      </c>
      <c r="E9031" t="inlineStr">
        <is>
          <t>STRÖMSUND</t>
        </is>
      </c>
      <c r="F9031" t="inlineStr">
        <is>
          <t>SCA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37804-2023</t>
        </is>
      </c>
      <c r="B9032" s="1" t="n">
        <v>45160</v>
      </c>
      <c r="C9032" s="1" t="n">
        <v>45363</v>
      </c>
      <c r="D9032" t="inlineStr">
        <is>
          <t>JÄMTLANDS LÄN</t>
        </is>
      </c>
      <c r="E9032" t="inlineStr">
        <is>
          <t>RAGUNDA</t>
        </is>
      </c>
      <c r="F9032" t="inlineStr">
        <is>
          <t>SCA</t>
        </is>
      </c>
      <c r="G9032" t="n">
        <v>14.3</v>
      </c>
      <c r="H9032" t="n">
        <v>0</v>
      </c>
      <c r="I9032" t="n">
        <v>0</v>
      </c>
      <c r="J9032" t="n">
        <v>0</v>
      </c>
      <c r="K9032" t="n">
        <v>0</v>
      </c>
      <c r="L9032" t="n">
        <v>0</v>
      </c>
      <c r="M9032" t="n">
        <v>0</v>
      </c>
      <c r="N9032" t="n">
        <v>0</v>
      </c>
      <c r="O9032" t="n">
        <v>0</v>
      </c>
      <c r="P9032" t="n">
        <v>0</v>
      </c>
      <c r="Q9032" t="n">
        <v>0</v>
      </c>
      <c r="R9032" s="2" t="inlineStr"/>
    </row>
    <row r="9033" ht="15" customHeight="1">
      <c r="A9033" t="inlineStr">
        <is>
          <t>A 37946-2023</t>
        </is>
      </c>
      <c r="B9033" s="1" t="n">
        <v>45159</v>
      </c>
      <c r="C9033" s="1" t="n">
        <v>45363</v>
      </c>
      <c r="D9033" t="inlineStr">
        <is>
          <t>JÄMTLANDS LÄN</t>
        </is>
      </c>
      <c r="E9033" t="inlineStr">
        <is>
          <t>KROKOM</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38087-2023</t>
        </is>
      </c>
      <c r="B9034" s="1" t="n">
        <v>45160</v>
      </c>
      <c r="C9034" s="1" t="n">
        <v>45363</v>
      </c>
      <c r="D9034" t="inlineStr">
        <is>
          <t>JÄMTLANDS LÄN</t>
        </is>
      </c>
      <c r="E9034" t="inlineStr">
        <is>
          <t>BRÄCKE</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38091-2023</t>
        </is>
      </c>
      <c r="B9035" s="1" t="n">
        <v>45160</v>
      </c>
      <c r="C9035" s="1" t="n">
        <v>45363</v>
      </c>
      <c r="D9035" t="inlineStr">
        <is>
          <t>JÄMTLANDS LÄN</t>
        </is>
      </c>
      <c r="E9035" t="inlineStr">
        <is>
          <t>BRÄCKE</t>
        </is>
      </c>
      <c r="F9035" t="inlineStr">
        <is>
          <t>SCA</t>
        </is>
      </c>
      <c r="G9035" t="n">
        <v>8.5</v>
      </c>
      <c r="H9035" t="n">
        <v>0</v>
      </c>
      <c r="I9035" t="n">
        <v>0</v>
      </c>
      <c r="J9035" t="n">
        <v>0</v>
      </c>
      <c r="K9035" t="n">
        <v>0</v>
      </c>
      <c r="L9035" t="n">
        <v>0</v>
      </c>
      <c r="M9035" t="n">
        <v>0</v>
      </c>
      <c r="N9035" t="n">
        <v>0</v>
      </c>
      <c r="O9035" t="n">
        <v>0</v>
      </c>
      <c r="P9035" t="n">
        <v>0</v>
      </c>
      <c r="Q9035" t="n">
        <v>0</v>
      </c>
      <c r="R9035" s="2" t="inlineStr"/>
    </row>
    <row r="9036" ht="15" customHeight="1">
      <c r="A9036" t="inlineStr">
        <is>
          <t>A 38043-2023</t>
        </is>
      </c>
      <c r="B9036" s="1" t="n">
        <v>45160</v>
      </c>
      <c r="C9036" s="1" t="n">
        <v>45363</v>
      </c>
      <c r="D9036" t="inlineStr">
        <is>
          <t>JÄMTLANDS LÄN</t>
        </is>
      </c>
      <c r="E9036" t="inlineStr">
        <is>
          <t>KROKOM</t>
        </is>
      </c>
      <c r="F9036" t="inlineStr">
        <is>
          <t>Övriga Aktiebolag</t>
        </is>
      </c>
      <c r="G9036" t="n">
        <v>10.4</v>
      </c>
      <c r="H9036" t="n">
        <v>0</v>
      </c>
      <c r="I9036" t="n">
        <v>0</v>
      </c>
      <c r="J9036" t="n">
        <v>0</v>
      </c>
      <c r="K9036" t="n">
        <v>0</v>
      </c>
      <c r="L9036" t="n">
        <v>0</v>
      </c>
      <c r="M9036" t="n">
        <v>0</v>
      </c>
      <c r="N9036" t="n">
        <v>0</v>
      </c>
      <c r="O9036" t="n">
        <v>0</v>
      </c>
      <c r="P9036" t="n">
        <v>0</v>
      </c>
      <c r="Q9036" t="n">
        <v>0</v>
      </c>
      <c r="R9036" s="2" t="inlineStr"/>
    </row>
    <row r="9037" ht="15" customHeight="1">
      <c r="A9037" t="inlineStr">
        <is>
          <t>A 37969-2023</t>
        </is>
      </c>
      <c r="B9037" s="1" t="n">
        <v>45160</v>
      </c>
      <c r="C9037" s="1" t="n">
        <v>45363</v>
      </c>
      <c r="D9037" t="inlineStr">
        <is>
          <t>JÄMTLANDS LÄN</t>
        </is>
      </c>
      <c r="E9037" t="inlineStr">
        <is>
          <t>BERG</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38418-2023</t>
        </is>
      </c>
      <c r="B9038" s="1" t="n">
        <v>45160</v>
      </c>
      <c r="C9038" s="1" t="n">
        <v>45363</v>
      </c>
      <c r="D9038" t="inlineStr">
        <is>
          <t>JÄMTLANDS LÄN</t>
        </is>
      </c>
      <c r="E9038" t="inlineStr">
        <is>
          <t>STRÖMSUND</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38359-2023</t>
        </is>
      </c>
      <c r="B9039" s="1" t="n">
        <v>45162</v>
      </c>
      <c r="C9039" s="1" t="n">
        <v>45363</v>
      </c>
      <c r="D9039" t="inlineStr">
        <is>
          <t>JÄMTLANDS LÄN</t>
        </is>
      </c>
      <c r="E9039" t="inlineStr">
        <is>
          <t>BRÄCKE</t>
        </is>
      </c>
      <c r="F9039" t="inlineStr">
        <is>
          <t>Naturvårdsverket</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38248-2023</t>
        </is>
      </c>
      <c r="B9040" s="1" t="n">
        <v>45161</v>
      </c>
      <c r="C9040" s="1" t="n">
        <v>45363</v>
      </c>
      <c r="D9040" t="inlineStr">
        <is>
          <t>JÄMTLANDS LÄN</t>
        </is>
      </c>
      <c r="E9040" t="inlineStr">
        <is>
          <t>STRÖMSUND</t>
        </is>
      </c>
      <c r="F9040" t="inlineStr">
        <is>
          <t>Holmen skog AB</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38335-2023</t>
        </is>
      </c>
      <c r="B9041" s="1" t="n">
        <v>45161</v>
      </c>
      <c r="C9041" s="1" t="n">
        <v>45363</v>
      </c>
      <c r="D9041" t="inlineStr">
        <is>
          <t>JÄMTLANDS LÄN</t>
        </is>
      </c>
      <c r="E9041" t="inlineStr">
        <is>
          <t>ÖSTERSUND</t>
        </is>
      </c>
      <c r="G9041" t="n">
        <v>15.1</v>
      </c>
      <c r="H9041" t="n">
        <v>0</v>
      </c>
      <c r="I9041" t="n">
        <v>0</v>
      </c>
      <c r="J9041" t="n">
        <v>0</v>
      </c>
      <c r="K9041" t="n">
        <v>0</v>
      </c>
      <c r="L9041" t="n">
        <v>0</v>
      </c>
      <c r="M9041" t="n">
        <v>0</v>
      </c>
      <c r="N9041" t="n">
        <v>0</v>
      </c>
      <c r="O9041" t="n">
        <v>0</v>
      </c>
      <c r="P9041" t="n">
        <v>0</v>
      </c>
      <c r="Q9041" t="n">
        <v>0</v>
      </c>
      <c r="R9041" s="2" t="inlineStr"/>
    </row>
    <row r="9042" ht="15" customHeight="1">
      <c r="A9042" t="inlineStr">
        <is>
          <t>A 38381-2023</t>
        </is>
      </c>
      <c r="B9042" s="1" t="n">
        <v>45161</v>
      </c>
      <c r="C9042" s="1" t="n">
        <v>45363</v>
      </c>
      <c r="D9042" t="inlineStr">
        <is>
          <t>JÄMTLANDS LÄN</t>
        </is>
      </c>
      <c r="E9042" t="inlineStr">
        <is>
          <t>BERG</t>
        </is>
      </c>
      <c r="F9042" t="inlineStr">
        <is>
          <t>SCA</t>
        </is>
      </c>
      <c r="G9042" t="n">
        <v>7.5</v>
      </c>
      <c r="H9042" t="n">
        <v>0</v>
      </c>
      <c r="I9042" t="n">
        <v>0</v>
      </c>
      <c r="J9042" t="n">
        <v>0</v>
      </c>
      <c r="K9042" t="n">
        <v>0</v>
      </c>
      <c r="L9042" t="n">
        <v>0</v>
      </c>
      <c r="M9042" t="n">
        <v>0</v>
      </c>
      <c r="N9042" t="n">
        <v>0</v>
      </c>
      <c r="O9042" t="n">
        <v>0</v>
      </c>
      <c r="P9042" t="n">
        <v>0</v>
      </c>
      <c r="Q9042" t="n">
        <v>0</v>
      </c>
      <c r="R9042" s="2" t="inlineStr"/>
    </row>
    <row r="9043" ht="15" customHeight="1">
      <c r="A9043" t="inlineStr">
        <is>
          <t>A 38374-2023</t>
        </is>
      </c>
      <c r="B9043" s="1" t="n">
        <v>45162</v>
      </c>
      <c r="C9043" s="1" t="n">
        <v>45363</v>
      </c>
      <c r="D9043" t="inlineStr">
        <is>
          <t>JÄMTLANDS LÄN</t>
        </is>
      </c>
      <c r="E9043" t="inlineStr">
        <is>
          <t>STRÖMSUND</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38533-2023</t>
        </is>
      </c>
      <c r="B9044" s="1" t="n">
        <v>45162</v>
      </c>
      <c r="C9044" s="1" t="n">
        <v>45363</v>
      </c>
      <c r="D9044" t="inlineStr">
        <is>
          <t>JÄMTLANDS LÄN</t>
        </is>
      </c>
      <c r="E9044" t="inlineStr">
        <is>
          <t>BRÄCKE</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38856-2023</t>
        </is>
      </c>
      <c r="B9045" s="1" t="n">
        <v>45162</v>
      </c>
      <c r="C9045" s="1" t="n">
        <v>45363</v>
      </c>
      <c r="D9045" t="inlineStr">
        <is>
          <t>JÄMTLANDS LÄN</t>
        </is>
      </c>
      <c r="E9045" t="inlineStr">
        <is>
          <t>BRÄCKE</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39004-2023</t>
        </is>
      </c>
      <c r="B9046" s="1" t="n">
        <v>45162</v>
      </c>
      <c r="C9046" s="1" t="n">
        <v>45363</v>
      </c>
      <c r="D9046" t="inlineStr">
        <is>
          <t>JÄMTLANDS LÄN</t>
        </is>
      </c>
      <c r="E9046" t="inlineStr">
        <is>
          <t>BRÄCKE</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38589-2023</t>
        </is>
      </c>
      <c r="B9047" s="1" t="n">
        <v>45162</v>
      </c>
      <c r="C9047" s="1" t="n">
        <v>45363</v>
      </c>
      <c r="D9047" t="inlineStr">
        <is>
          <t>JÄMTLANDS LÄN</t>
        </is>
      </c>
      <c r="E9047" t="inlineStr">
        <is>
          <t>KROKOM</t>
        </is>
      </c>
      <c r="F9047" t="inlineStr">
        <is>
          <t>Övriga Aktiebolag</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38841-2023</t>
        </is>
      </c>
      <c r="B9048" s="1" t="n">
        <v>45162</v>
      </c>
      <c r="C9048" s="1" t="n">
        <v>45363</v>
      </c>
      <c r="D9048" t="inlineStr">
        <is>
          <t>JÄMTLANDS LÄN</t>
        </is>
      </c>
      <c r="E9048" t="inlineStr">
        <is>
          <t>BRÄCKE</t>
        </is>
      </c>
      <c r="F9048" t="inlineStr">
        <is>
          <t>SCA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39007-2023</t>
        </is>
      </c>
      <c r="B9049" s="1" t="n">
        <v>45162</v>
      </c>
      <c r="C9049" s="1" t="n">
        <v>45363</v>
      </c>
      <c r="D9049" t="inlineStr">
        <is>
          <t>JÄMTLANDS LÄN</t>
        </is>
      </c>
      <c r="E9049" t="inlineStr">
        <is>
          <t>BRÄCKE</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38996-2023</t>
        </is>
      </c>
      <c r="B9050" s="1" t="n">
        <v>45162</v>
      </c>
      <c r="C9050" s="1" t="n">
        <v>45363</v>
      </c>
      <c r="D9050" t="inlineStr">
        <is>
          <t>JÄMTLANDS LÄN</t>
        </is>
      </c>
      <c r="E9050" t="inlineStr">
        <is>
          <t>BRÄCKE</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38688-2023</t>
        </is>
      </c>
      <c r="B9051" s="1" t="n">
        <v>45163</v>
      </c>
      <c r="C9051" s="1" t="n">
        <v>45363</v>
      </c>
      <c r="D9051" t="inlineStr">
        <is>
          <t>JÄMTLANDS LÄN</t>
        </is>
      </c>
      <c r="E9051" t="inlineStr">
        <is>
          <t>BRÄCKE</t>
        </is>
      </c>
      <c r="F9051" t="inlineStr">
        <is>
          <t>SCA</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38692-2023</t>
        </is>
      </c>
      <c r="B9052" s="1" t="n">
        <v>45163</v>
      </c>
      <c r="C9052" s="1" t="n">
        <v>45363</v>
      </c>
      <c r="D9052" t="inlineStr">
        <is>
          <t>JÄMTLANDS LÄN</t>
        </is>
      </c>
      <c r="E9052" t="inlineStr">
        <is>
          <t>BRÄCKE</t>
        </is>
      </c>
      <c r="F9052" t="inlineStr">
        <is>
          <t>SCA</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38683-2023</t>
        </is>
      </c>
      <c r="B9053" s="1" t="n">
        <v>45162</v>
      </c>
      <c r="C9053" s="1" t="n">
        <v>45363</v>
      </c>
      <c r="D9053" t="inlineStr">
        <is>
          <t>JÄMTLANDS LÄN</t>
        </is>
      </c>
      <c r="E9053" t="inlineStr">
        <is>
          <t>HÄRJEDALEN</t>
        </is>
      </c>
      <c r="F9053" t="inlineStr">
        <is>
          <t>SCA</t>
        </is>
      </c>
      <c r="G9053" t="n">
        <v>10.7</v>
      </c>
      <c r="H9053" t="n">
        <v>0</v>
      </c>
      <c r="I9053" t="n">
        <v>0</v>
      </c>
      <c r="J9053" t="n">
        <v>0</v>
      </c>
      <c r="K9053" t="n">
        <v>0</v>
      </c>
      <c r="L9053" t="n">
        <v>0</v>
      </c>
      <c r="M9053" t="n">
        <v>0</v>
      </c>
      <c r="N9053" t="n">
        <v>0</v>
      </c>
      <c r="O9053" t="n">
        <v>0</v>
      </c>
      <c r="P9053" t="n">
        <v>0</v>
      </c>
      <c r="Q9053" t="n">
        <v>0</v>
      </c>
      <c r="R9053" s="2" t="inlineStr"/>
    </row>
    <row r="9054" ht="15" customHeight="1">
      <c r="A9054" t="inlineStr">
        <is>
          <t>A 38675-2023</t>
        </is>
      </c>
      <c r="B9054" s="1" t="n">
        <v>45162</v>
      </c>
      <c r="C9054" s="1" t="n">
        <v>45363</v>
      </c>
      <c r="D9054" t="inlineStr">
        <is>
          <t>JÄMTLANDS LÄN</t>
        </is>
      </c>
      <c r="E9054" t="inlineStr">
        <is>
          <t>BRÄCKE</t>
        </is>
      </c>
      <c r="F9054" t="inlineStr">
        <is>
          <t>SCA</t>
        </is>
      </c>
      <c r="G9054" t="n">
        <v>12.6</v>
      </c>
      <c r="H9054" t="n">
        <v>0</v>
      </c>
      <c r="I9054" t="n">
        <v>0</v>
      </c>
      <c r="J9054" t="n">
        <v>0</v>
      </c>
      <c r="K9054" t="n">
        <v>0</v>
      </c>
      <c r="L9054" t="n">
        <v>0</v>
      </c>
      <c r="M9054" t="n">
        <v>0</v>
      </c>
      <c r="N9054" t="n">
        <v>0</v>
      </c>
      <c r="O9054" t="n">
        <v>0</v>
      </c>
      <c r="P9054" t="n">
        <v>0</v>
      </c>
      <c r="Q9054" t="n">
        <v>0</v>
      </c>
      <c r="R9054" s="2" t="inlineStr"/>
    </row>
    <row r="9055" ht="15" customHeight="1">
      <c r="A9055" t="inlineStr">
        <is>
          <t>A 38679-2023</t>
        </is>
      </c>
      <c r="B9055" s="1" t="n">
        <v>45163</v>
      </c>
      <c r="C9055" s="1" t="n">
        <v>45363</v>
      </c>
      <c r="D9055" t="inlineStr">
        <is>
          <t>JÄMTLANDS LÄN</t>
        </is>
      </c>
      <c r="E9055" t="inlineStr">
        <is>
          <t>BERG</t>
        </is>
      </c>
      <c r="F9055" t="inlineStr">
        <is>
          <t>SCA</t>
        </is>
      </c>
      <c r="G9055" t="n">
        <v>14.1</v>
      </c>
      <c r="H9055" t="n">
        <v>0</v>
      </c>
      <c r="I9055" t="n">
        <v>0</v>
      </c>
      <c r="J9055" t="n">
        <v>0</v>
      </c>
      <c r="K9055" t="n">
        <v>0</v>
      </c>
      <c r="L9055" t="n">
        <v>0</v>
      </c>
      <c r="M9055" t="n">
        <v>0</v>
      </c>
      <c r="N9055" t="n">
        <v>0</v>
      </c>
      <c r="O9055" t="n">
        <v>0</v>
      </c>
      <c r="P9055" t="n">
        <v>0</v>
      </c>
      <c r="Q9055" t="n">
        <v>0</v>
      </c>
      <c r="R9055" s="2" t="inlineStr"/>
    </row>
    <row r="9056" ht="15" customHeight="1">
      <c r="A9056" t="inlineStr">
        <is>
          <t>A 38691-2023</t>
        </is>
      </c>
      <c r="B9056" s="1" t="n">
        <v>45163</v>
      </c>
      <c r="C9056" s="1" t="n">
        <v>45363</v>
      </c>
      <c r="D9056" t="inlineStr">
        <is>
          <t>JÄMTLANDS LÄN</t>
        </is>
      </c>
      <c r="E9056" t="inlineStr">
        <is>
          <t>BRÄCKE</t>
        </is>
      </c>
      <c r="F9056" t="inlineStr">
        <is>
          <t>SCA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38642-2023</t>
        </is>
      </c>
      <c r="B9057" s="1" t="n">
        <v>45162</v>
      </c>
      <c r="C9057" s="1" t="n">
        <v>45363</v>
      </c>
      <c r="D9057" t="inlineStr">
        <is>
          <t>JÄMTLANDS LÄN</t>
        </is>
      </c>
      <c r="E9057" t="inlineStr">
        <is>
          <t>STRÖMSUND</t>
        </is>
      </c>
      <c r="F9057" t="inlineStr">
        <is>
          <t>Holmen skog AB</t>
        </is>
      </c>
      <c r="G9057" t="n">
        <v>12.6</v>
      </c>
      <c r="H9057" t="n">
        <v>0</v>
      </c>
      <c r="I9057" t="n">
        <v>0</v>
      </c>
      <c r="J9057" t="n">
        <v>0</v>
      </c>
      <c r="K9057" t="n">
        <v>0</v>
      </c>
      <c r="L9057" t="n">
        <v>0</v>
      </c>
      <c r="M9057" t="n">
        <v>0</v>
      </c>
      <c r="N9057" t="n">
        <v>0</v>
      </c>
      <c r="O9057" t="n">
        <v>0</v>
      </c>
      <c r="P9057" t="n">
        <v>0</v>
      </c>
      <c r="Q9057" t="n">
        <v>0</v>
      </c>
      <c r="R9057" s="2" t="inlineStr"/>
    </row>
    <row r="9058" ht="15" customHeight="1">
      <c r="A9058" t="inlineStr">
        <is>
          <t>A 38693-2023</t>
        </is>
      </c>
      <c r="B9058" s="1" t="n">
        <v>45162</v>
      </c>
      <c r="C9058" s="1" t="n">
        <v>45363</v>
      </c>
      <c r="D9058" t="inlineStr">
        <is>
          <t>JÄMTLANDS LÄN</t>
        </is>
      </c>
      <c r="E9058" t="inlineStr">
        <is>
          <t>BRÄCKE</t>
        </is>
      </c>
      <c r="F9058" t="inlineStr">
        <is>
          <t>SCA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38689-2023</t>
        </is>
      </c>
      <c r="B9059" s="1" t="n">
        <v>45162</v>
      </c>
      <c r="C9059" s="1" t="n">
        <v>45363</v>
      </c>
      <c r="D9059" t="inlineStr">
        <is>
          <t>JÄMTLANDS LÄN</t>
        </is>
      </c>
      <c r="E9059" t="inlineStr">
        <is>
          <t>BRÄCKE</t>
        </is>
      </c>
      <c r="F9059" t="inlineStr">
        <is>
          <t>SCA</t>
        </is>
      </c>
      <c r="G9059" t="n">
        <v>6.1</v>
      </c>
      <c r="H9059" t="n">
        <v>0</v>
      </c>
      <c r="I9059" t="n">
        <v>0</v>
      </c>
      <c r="J9059" t="n">
        <v>0</v>
      </c>
      <c r="K9059" t="n">
        <v>0</v>
      </c>
      <c r="L9059" t="n">
        <v>0</v>
      </c>
      <c r="M9059" t="n">
        <v>0</v>
      </c>
      <c r="N9059" t="n">
        <v>0</v>
      </c>
      <c r="O9059" t="n">
        <v>0</v>
      </c>
      <c r="P9059" t="n">
        <v>0</v>
      </c>
      <c r="Q9059" t="n">
        <v>0</v>
      </c>
      <c r="R9059" s="2" t="inlineStr"/>
    </row>
    <row r="9060" ht="15" customHeight="1">
      <c r="A9060" t="inlineStr">
        <is>
          <t>A 38678-2023</t>
        </is>
      </c>
      <c r="B9060" s="1" t="n">
        <v>45163</v>
      </c>
      <c r="C9060" s="1" t="n">
        <v>45363</v>
      </c>
      <c r="D9060" t="inlineStr">
        <is>
          <t>JÄMTLANDS LÄN</t>
        </is>
      </c>
      <c r="E9060" t="inlineStr">
        <is>
          <t>BERG</t>
        </is>
      </c>
      <c r="F9060" t="inlineStr">
        <is>
          <t>SCA</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38682-2023</t>
        </is>
      </c>
      <c r="B9061" s="1" t="n">
        <v>45162</v>
      </c>
      <c r="C9061" s="1" t="n">
        <v>45363</v>
      </c>
      <c r="D9061" t="inlineStr">
        <is>
          <t>JÄMTLANDS LÄN</t>
        </is>
      </c>
      <c r="E9061" t="inlineStr">
        <is>
          <t>BERG</t>
        </is>
      </c>
      <c r="F9061" t="inlineStr">
        <is>
          <t>SCA</t>
        </is>
      </c>
      <c r="G9061" t="n">
        <v>21.3</v>
      </c>
      <c r="H9061" t="n">
        <v>0</v>
      </c>
      <c r="I9061" t="n">
        <v>0</v>
      </c>
      <c r="J9061" t="n">
        <v>0</v>
      </c>
      <c r="K9061" t="n">
        <v>0</v>
      </c>
      <c r="L9061" t="n">
        <v>0</v>
      </c>
      <c r="M9061" t="n">
        <v>0</v>
      </c>
      <c r="N9061" t="n">
        <v>0</v>
      </c>
      <c r="O9061" t="n">
        <v>0</v>
      </c>
      <c r="P9061" t="n">
        <v>0</v>
      </c>
      <c r="Q9061" t="n">
        <v>0</v>
      </c>
      <c r="R9061" s="2" t="inlineStr"/>
    </row>
    <row r="9062" ht="15" customHeight="1">
      <c r="A9062" t="inlineStr">
        <is>
          <t>A 38686-2023</t>
        </is>
      </c>
      <c r="B9062" s="1" t="n">
        <v>45163</v>
      </c>
      <c r="C9062" s="1" t="n">
        <v>45363</v>
      </c>
      <c r="D9062" t="inlineStr">
        <is>
          <t>JÄMTLANDS LÄN</t>
        </is>
      </c>
      <c r="E9062" t="inlineStr">
        <is>
          <t>BERG</t>
        </is>
      </c>
      <c r="F9062" t="inlineStr">
        <is>
          <t>SCA</t>
        </is>
      </c>
      <c r="G9062" t="n">
        <v>7.2</v>
      </c>
      <c r="H9062" t="n">
        <v>0</v>
      </c>
      <c r="I9062" t="n">
        <v>0</v>
      </c>
      <c r="J9062" t="n">
        <v>0</v>
      </c>
      <c r="K9062" t="n">
        <v>0</v>
      </c>
      <c r="L9062" t="n">
        <v>0</v>
      </c>
      <c r="M9062" t="n">
        <v>0</v>
      </c>
      <c r="N9062" t="n">
        <v>0</v>
      </c>
      <c r="O9062" t="n">
        <v>0</v>
      </c>
      <c r="P9062" t="n">
        <v>0</v>
      </c>
      <c r="Q9062" t="n">
        <v>0</v>
      </c>
      <c r="R9062" s="2" t="inlineStr"/>
    </row>
    <row r="9063" ht="15" customHeight="1">
      <c r="A9063" t="inlineStr">
        <is>
          <t>A 38690-2023</t>
        </is>
      </c>
      <c r="B9063" s="1" t="n">
        <v>45163</v>
      </c>
      <c r="C9063" s="1" t="n">
        <v>45363</v>
      </c>
      <c r="D9063" t="inlineStr">
        <is>
          <t>JÄMTLANDS LÄN</t>
        </is>
      </c>
      <c r="E9063" t="inlineStr">
        <is>
          <t>BRÄCKE</t>
        </is>
      </c>
      <c r="F9063" t="inlineStr">
        <is>
          <t>SCA</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38842-2023</t>
        </is>
      </c>
      <c r="B9064" s="1" t="n">
        <v>45163</v>
      </c>
      <c r="C9064" s="1" t="n">
        <v>45363</v>
      </c>
      <c r="D9064" t="inlineStr">
        <is>
          <t>JÄMTLANDS LÄN</t>
        </is>
      </c>
      <c r="E9064" t="inlineStr">
        <is>
          <t>STRÖMSUND</t>
        </is>
      </c>
      <c r="F9064" t="inlineStr">
        <is>
          <t>Holmen skog AB</t>
        </is>
      </c>
      <c r="G9064" t="n">
        <v>11.4</v>
      </c>
      <c r="H9064" t="n">
        <v>0</v>
      </c>
      <c r="I9064" t="n">
        <v>0</v>
      </c>
      <c r="J9064" t="n">
        <v>0</v>
      </c>
      <c r="K9064" t="n">
        <v>0</v>
      </c>
      <c r="L9064" t="n">
        <v>0</v>
      </c>
      <c r="M9064" t="n">
        <v>0</v>
      </c>
      <c r="N9064" t="n">
        <v>0</v>
      </c>
      <c r="O9064" t="n">
        <v>0</v>
      </c>
      <c r="P9064" t="n">
        <v>0</v>
      </c>
      <c r="Q9064" t="n">
        <v>0</v>
      </c>
      <c r="R9064" s="2" t="inlineStr"/>
    </row>
    <row r="9065" ht="15" customHeight="1">
      <c r="A9065" t="inlineStr">
        <is>
          <t>A 39051-2023</t>
        </is>
      </c>
      <c r="B9065" s="1" t="n">
        <v>45163</v>
      </c>
      <c r="C9065" s="1" t="n">
        <v>45363</v>
      </c>
      <c r="D9065" t="inlineStr">
        <is>
          <t>JÄMTLANDS LÄN</t>
        </is>
      </c>
      <c r="E9065" t="inlineStr">
        <is>
          <t>STRÖMSUND</t>
        </is>
      </c>
      <c r="F9065" t="inlineStr">
        <is>
          <t>SCA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39063-2023</t>
        </is>
      </c>
      <c r="B9066" s="1" t="n">
        <v>45163</v>
      </c>
      <c r="C9066" s="1" t="n">
        <v>45363</v>
      </c>
      <c r="D9066" t="inlineStr">
        <is>
          <t>JÄMTLANDS LÄN</t>
        </is>
      </c>
      <c r="E9066" t="inlineStr">
        <is>
          <t>KROKOM</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39054-2023</t>
        </is>
      </c>
      <c r="B9067" s="1" t="n">
        <v>45164</v>
      </c>
      <c r="C9067" s="1" t="n">
        <v>45363</v>
      </c>
      <c r="D9067" t="inlineStr">
        <is>
          <t>JÄMTLANDS LÄN</t>
        </is>
      </c>
      <c r="E9067" t="inlineStr">
        <is>
          <t>STRÖMSUND</t>
        </is>
      </c>
      <c r="F9067" t="inlineStr">
        <is>
          <t>SCA</t>
        </is>
      </c>
      <c r="G9067" t="n">
        <v>6.3</v>
      </c>
      <c r="H9067" t="n">
        <v>0</v>
      </c>
      <c r="I9067" t="n">
        <v>0</v>
      </c>
      <c r="J9067" t="n">
        <v>0</v>
      </c>
      <c r="K9067" t="n">
        <v>0</v>
      </c>
      <c r="L9067" t="n">
        <v>0</v>
      </c>
      <c r="M9067" t="n">
        <v>0</v>
      </c>
      <c r="N9067" t="n">
        <v>0</v>
      </c>
      <c r="O9067" t="n">
        <v>0</v>
      </c>
      <c r="P9067" t="n">
        <v>0</v>
      </c>
      <c r="Q9067" t="n">
        <v>0</v>
      </c>
      <c r="R9067" s="2" t="inlineStr"/>
    </row>
    <row r="9068" ht="15" customHeight="1">
      <c r="A9068" t="inlineStr">
        <is>
          <t>A 39066-2023</t>
        </is>
      </c>
      <c r="B9068" s="1" t="n">
        <v>45164</v>
      </c>
      <c r="C9068" s="1" t="n">
        <v>45363</v>
      </c>
      <c r="D9068" t="inlineStr">
        <is>
          <t>JÄMTLANDS LÄN</t>
        </is>
      </c>
      <c r="E9068" t="inlineStr">
        <is>
          <t>STRÖMSUND</t>
        </is>
      </c>
      <c r="F9068" t="inlineStr">
        <is>
          <t>SCA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39070-2023</t>
        </is>
      </c>
      <c r="B9069" s="1" t="n">
        <v>45164</v>
      </c>
      <c r="C9069" s="1" t="n">
        <v>45363</v>
      </c>
      <c r="D9069" t="inlineStr">
        <is>
          <t>JÄMTLANDS LÄN</t>
        </is>
      </c>
      <c r="E9069" t="inlineStr">
        <is>
          <t>RAGUNDA</t>
        </is>
      </c>
      <c r="F9069" t="inlineStr">
        <is>
          <t>SCA</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39078-2023</t>
        </is>
      </c>
      <c r="B9070" s="1" t="n">
        <v>45164</v>
      </c>
      <c r="C9070" s="1" t="n">
        <v>45363</v>
      </c>
      <c r="D9070" t="inlineStr">
        <is>
          <t>JÄMTLANDS LÄN</t>
        </is>
      </c>
      <c r="E9070" t="inlineStr">
        <is>
          <t>KROKOM</t>
        </is>
      </c>
      <c r="G9070" t="n">
        <v>28.3</v>
      </c>
      <c r="H9070" t="n">
        <v>0</v>
      </c>
      <c r="I9070" t="n">
        <v>0</v>
      </c>
      <c r="J9070" t="n">
        <v>0</v>
      </c>
      <c r="K9070" t="n">
        <v>0</v>
      </c>
      <c r="L9070" t="n">
        <v>0</v>
      </c>
      <c r="M9070" t="n">
        <v>0</v>
      </c>
      <c r="N9070" t="n">
        <v>0</v>
      </c>
      <c r="O9070" t="n">
        <v>0</v>
      </c>
      <c r="P9070" t="n">
        <v>0</v>
      </c>
      <c r="Q9070" t="n">
        <v>0</v>
      </c>
      <c r="R9070" s="2" t="inlineStr"/>
    </row>
    <row r="9071" ht="15" customHeight="1">
      <c r="A9071" t="inlineStr">
        <is>
          <t>A 38698-2023</t>
        </is>
      </c>
      <c r="B9071" s="1" t="n">
        <v>45163</v>
      </c>
      <c r="C9071" s="1" t="n">
        <v>45363</v>
      </c>
      <c r="D9071" t="inlineStr">
        <is>
          <t>JÄMTLANDS LÄN</t>
        </is>
      </c>
      <c r="E9071" t="inlineStr">
        <is>
          <t>STRÖMSUND</t>
        </is>
      </c>
      <c r="F9071" t="inlineStr">
        <is>
          <t>Holmen skog AB</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38929-2023</t>
        </is>
      </c>
      <c r="B9072" s="1" t="n">
        <v>45163</v>
      </c>
      <c r="C9072" s="1" t="n">
        <v>45363</v>
      </c>
      <c r="D9072" t="inlineStr">
        <is>
          <t>JÄMTLANDS LÄN</t>
        </is>
      </c>
      <c r="E9072" t="inlineStr">
        <is>
          <t>HÄRJEDALEN</t>
        </is>
      </c>
      <c r="G9072" t="n">
        <v>23.1</v>
      </c>
      <c r="H9072" t="n">
        <v>0</v>
      </c>
      <c r="I9072" t="n">
        <v>0</v>
      </c>
      <c r="J9072" t="n">
        <v>0</v>
      </c>
      <c r="K9072" t="n">
        <v>0</v>
      </c>
      <c r="L9072" t="n">
        <v>0</v>
      </c>
      <c r="M9072" t="n">
        <v>0</v>
      </c>
      <c r="N9072" t="n">
        <v>0</v>
      </c>
      <c r="O9072" t="n">
        <v>0</v>
      </c>
      <c r="P9072" t="n">
        <v>0</v>
      </c>
      <c r="Q9072" t="n">
        <v>0</v>
      </c>
      <c r="R9072" s="2" t="inlineStr"/>
    </row>
    <row r="9073" ht="15" customHeight="1">
      <c r="A9073" t="inlineStr">
        <is>
          <t>A 39064-2023</t>
        </is>
      </c>
      <c r="B9073" s="1" t="n">
        <v>45163</v>
      </c>
      <c r="C9073" s="1" t="n">
        <v>45363</v>
      </c>
      <c r="D9073" t="inlineStr">
        <is>
          <t>JÄMTLANDS LÄN</t>
        </is>
      </c>
      <c r="E9073" t="inlineStr">
        <is>
          <t>STRÖMSUND</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39076-2023</t>
        </is>
      </c>
      <c r="B9074" s="1" t="n">
        <v>45163</v>
      </c>
      <c r="C9074" s="1" t="n">
        <v>45363</v>
      </c>
      <c r="D9074" t="inlineStr">
        <is>
          <t>JÄMTLANDS LÄN</t>
        </is>
      </c>
      <c r="E9074" t="inlineStr">
        <is>
          <t>RAGUNDA</t>
        </is>
      </c>
      <c r="F9074" t="inlineStr">
        <is>
          <t>SCA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39080-2023</t>
        </is>
      </c>
      <c r="B9075" s="1" t="n">
        <v>45164</v>
      </c>
      <c r="C9075" s="1" t="n">
        <v>45363</v>
      </c>
      <c r="D9075" t="inlineStr">
        <is>
          <t>JÄMTLANDS LÄN</t>
        </is>
      </c>
      <c r="E9075" t="inlineStr">
        <is>
          <t>STRÖMSUND</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38740-2023</t>
        </is>
      </c>
      <c r="B9076" s="1" t="n">
        <v>45163</v>
      </c>
      <c r="C9076" s="1" t="n">
        <v>45363</v>
      </c>
      <c r="D9076" t="inlineStr">
        <is>
          <t>JÄMTLANDS LÄN</t>
        </is>
      </c>
      <c r="E9076" t="inlineStr">
        <is>
          <t>STRÖMSUND</t>
        </is>
      </c>
      <c r="F9076" t="inlineStr">
        <is>
          <t>Holmen skog AB</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38713-2023</t>
        </is>
      </c>
      <c r="B9077" s="1" t="n">
        <v>45163</v>
      </c>
      <c r="C9077" s="1" t="n">
        <v>45363</v>
      </c>
      <c r="D9077" t="inlineStr">
        <is>
          <t>JÄMTLANDS LÄN</t>
        </is>
      </c>
      <c r="E9077" t="inlineStr">
        <is>
          <t>ÖSTERSUND</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39439-2023</t>
        </is>
      </c>
      <c r="B9078" s="1" t="n">
        <v>45163</v>
      </c>
      <c r="C9078" s="1" t="n">
        <v>45363</v>
      </c>
      <c r="D9078" t="inlineStr">
        <is>
          <t>JÄMTLANDS LÄN</t>
        </is>
      </c>
      <c r="E9078" t="inlineStr">
        <is>
          <t>BRÄCKE</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39127-2023</t>
        </is>
      </c>
      <c r="B9079" s="1" t="n">
        <v>45165</v>
      </c>
      <c r="C9079" s="1" t="n">
        <v>45363</v>
      </c>
      <c r="D9079" t="inlineStr">
        <is>
          <t>JÄMTLANDS LÄN</t>
        </is>
      </c>
      <c r="E9079" t="inlineStr">
        <is>
          <t>KROKOM</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39126-2023</t>
        </is>
      </c>
      <c r="B9080" s="1" t="n">
        <v>45165</v>
      </c>
      <c r="C9080" s="1" t="n">
        <v>45363</v>
      </c>
      <c r="D9080" t="inlineStr">
        <is>
          <t>JÄMTLANDS LÄN</t>
        </is>
      </c>
      <c r="E9080" t="inlineStr">
        <is>
          <t>KROKOM</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39144-2023</t>
        </is>
      </c>
      <c r="B9081" s="1" t="n">
        <v>45165</v>
      </c>
      <c r="C9081" s="1" t="n">
        <v>45363</v>
      </c>
      <c r="D9081" t="inlineStr">
        <is>
          <t>JÄMTLANDS LÄN</t>
        </is>
      </c>
      <c r="E9081" t="inlineStr">
        <is>
          <t>BERG</t>
        </is>
      </c>
      <c r="F9081" t="inlineStr">
        <is>
          <t>SCA</t>
        </is>
      </c>
      <c r="G9081" t="n">
        <v>31.9</v>
      </c>
      <c r="H9081" t="n">
        <v>0</v>
      </c>
      <c r="I9081" t="n">
        <v>0</v>
      </c>
      <c r="J9081" t="n">
        <v>0</v>
      </c>
      <c r="K9081" t="n">
        <v>0</v>
      </c>
      <c r="L9081" t="n">
        <v>0</v>
      </c>
      <c r="M9081" t="n">
        <v>0</v>
      </c>
      <c r="N9081" t="n">
        <v>0</v>
      </c>
      <c r="O9081" t="n">
        <v>0</v>
      </c>
      <c r="P9081" t="n">
        <v>0</v>
      </c>
      <c r="Q9081" t="n">
        <v>0</v>
      </c>
      <c r="R9081" s="2" t="inlineStr"/>
    </row>
    <row r="9082" ht="15" customHeight="1">
      <c r="A9082" t="inlineStr">
        <is>
          <t>A 39158-2023</t>
        </is>
      </c>
      <c r="B9082" s="1" t="n">
        <v>45166</v>
      </c>
      <c r="C9082" s="1" t="n">
        <v>45363</v>
      </c>
      <c r="D9082" t="inlineStr">
        <is>
          <t>JÄMTLANDS LÄN</t>
        </is>
      </c>
      <c r="E9082" t="inlineStr">
        <is>
          <t>HÄRJEDALEN</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39169-2023</t>
        </is>
      </c>
      <c r="B9083" s="1" t="n">
        <v>45166</v>
      </c>
      <c r="C9083" s="1" t="n">
        <v>45363</v>
      </c>
      <c r="D9083" t="inlineStr">
        <is>
          <t>JÄMTLANDS LÄN</t>
        </is>
      </c>
      <c r="E9083" t="inlineStr">
        <is>
          <t>KROKOM</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39355-2023</t>
        </is>
      </c>
      <c r="B9084" s="1" t="n">
        <v>45166</v>
      </c>
      <c r="C9084" s="1" t="n">
        <v>45363</v>
      </c>
      <c r="D9084" t="inlineStr">
        <is>
          <t>JÄMTLANDS LÄN</t>
        </is>
      </c>
      <c r="E9084" t="inlineStr">
        <is>
          <t>HÄRJEDALEN</t>
        </is>
      </c>
      <c r="G9084" t="n">
        <v>8</v>
      </c>
      <c r="H9084" t="n">
        <v>0</v>
      </c>
      <c r="I9084" t="n">
        <v>0</v>
      </c>
      <c r="J9084" t="n">
        <v>0</v>
      </c>
      <c r="K9084" t="n">
        <v>0</v>
      </c>
      <c r="L9084" t="n">
        <v>0</v>
      </c>
      <c r="M9084" t="n">
        <v>0</v>
      </c>
      <c r="N9084" t="n">
        <v>0</v>
      </c>
      <c r="O9084" t="n">
        <v>0</v>
      </c>
      <c r="P9084" t="n">
        <v>0</v>
      </c>
      <c r="Q9084" t="n">
        <v>0</v>
      </c>
      <c r="R9084" s="2" t="inlineStr"/>
    </row>
    <row r="9085" ht="15" customHeight="1">
      <c r="A9085" t="inlineStr">
        <is>
          <t>A 39478-2023</t>
        </is>
      </c>
      <c r="B9085" s="1" t="n">
        <v>45166</v>
      </c>
      <c r="C9085" s="1" t="n">
        <v>45363</v>
      </c>
      <c r="D9085" t="inlineStr">
        <is>
          <t>JÄMTLANDS LÄN</t>
        </is>
      </c>
      <c r="E9085" t="inlineStr">
        <is>
          <t>RAGUNDA</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39482-2023</t>
        </is>
      </c>
      <c r="B9086" s="1" t="n">
        <v>45167</v>
      </c>
      <c r="C9086" s="1" t="n">
        <v>45363</v>
      </c>
      <c r="D9086" t="inlineStr">
        <is>
          <t>JÄMTLANDS LÄN</t>
        </is>
      </c>
      <c r="E9086" t="inlineStr">
        <is>
          <t>RAGUNDA</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39487-2023</t>
        </is>
      </c>
      <c r="B9087" s="1" t="n">
        <v>45167</v>
      </c>
      <c r="C9087" s="1" t="n">
        <v>45363</v>
      </c>
      <c r="D9087" t="inlineStr">
        <is>
          <t>JÄMTLANDS LÄN</t>
        </is>
      </c>
      <c r="E9087" t="inlineStr">
        <is>
          <t>RAGUNDA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39480-2023</t>
        </is>
      </c>
      <c r="B9088" s="1" t="n">
        <v>45167</v>
      </c>
      <c r="C9088" s="1" t="n">
        <v>45363</v>
      </c>
      <c r="D9088" t="inlineStr">
        <is>
          <t>JÄMTLANDS LÄN</t>
        </is>
      </c>
      <c r="E9088" t="inlineStr">
        <is>
          <t>STRÖMSUND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39489-2023</t>
        </is>
      </c>
      <c r="B9089" s="1" t="n">
        <v>45166</v>
      </c>
      <c r="C9089" s="1" t="n">
        <v>45363</v>
      </c>
      <c r="D9089" t="inlineStr">
        <is>
          <t>JÄMTLANDS LÄN</t>
        </is>
      </c>
      <c r="E9089" t="inlineStr">
        <is>
          <t>RAGUNDA</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39494-2023</t>
        </is>
      </c>
      <c r="B9090" s="1" t="n">
        <v>45166</v>
      </c>
      <c r="C9090" s="1" t="n">
        <v>45363</v>
      </c>
      <c r="D9090" t="inlineStr">
        <is>
          <t>JÄMTLANDS LÄN</t>
        </is>
      </c>
      <c r="E9090" t="inlineStr">
        <is>
          <t>ÖSTERSUND</t>
        </is>
      </c>
      <c r="F9090" t="inlineStr">
        <is>
          <t>SCA</t>
        </is>
      </c>
      <c r="G9090" t="n">
        <v>8.1</v>
      </c>
      <c r="H9090" t="n">
        <v>0</v>
      </c>
      <c r="I9090" t="n">
        <v>0</v>
      </c>
      <c r="J9090" t="n">
        <v>0</v>
      </c>
      <c r="K9090" t="n">
        <v>0</v>
      </c>
      <c r="L9090" t="n">
        <v>0</v>
      </c>
      <c r="M9090" t="n">
        <v>0</v>
      </c>
      <c r="N9090" t="n">
        <v>0</v>
      </c>
      <c r="O9090" t="n">
        <v>0</v>
      </c>
      <c r="P9090" t="n">
        <v>0</v>
      </c>
      <c r="Q9090" t="n">
        <v>0</v>
      </c>
      <c r="R9090" s="2" t="inlineStr"/>
    </row>
    <row r="9091" ht="15" customHeight="1">
      <c r="A9091" t="inlineStr">
        <is>
          <t>A 39479-2023</t>
        </is>
      </c>
      <c r="B9091" s="1" t="n">
        <v>45167</v>
      </c>
      <c r="C9091" s="1" t="n">
        <v>45363</v>
      </c>
      <c r="D9091" t="inlineStr">
        <is>
          <t>JÄMTLANDS LÄN</t>
        </is>
      </c>
      <c r="E9091" t="inlineStr">
        <is>
          <t>STRÖMSUND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39488-2023</t>
        </is>
      </c>
      <c r="B9092" s="1" t="n">
        <v>45166</v>
      </c>
      <c r="C9092" s="1" t="n">
        <v>45363</v>
      </c>
      <c r="D9092" t="inlineStr">
        <is>
          <t>JÄMTLANDS LÄN</t>
        </is>
      </c>
      <c r="E9092" t="inlineStr">
        <is>
          <t>RAGUNDA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39493-2023</t>
        </is>
      </c>
      <c r="B9093" s="1" t="n">
        <v>45167</v>
      </c>
      <c r="C9093" s="1" t="n">
        <v>45363</v>
      </c>
      <c r="D9093" t="inlineStr">
        <is>
          <t>JÄMTLANDS LÄN</t>
        </is>
      </c>
      <c r="E9093" t="inlineStr">
        <is>
          <t>ÖSTERSUND</t>
        </is>
      </c>
      <c r="F9093" t="inlineStr">
        <is>
          <t>SCA</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39510-2023</t>
        </is>
      </c>
      <c r="B9094" s="1" t="n">
        <v>45166</v>
      </c>
      <c r="C9094" s="1" t="n">
        <v>45363</v>
      </c>
      <c r="D9094" t="inlineStr">
        <is>
          <t>JÄMTLANDS LÄN</t>
        </is>
      </c>
      <c r="E9094" t="inlineStr">
        <is>
          <t>BERG</t>
        </is>
      </c>
      <c r="F9094" t="inlineStr">
        <is>
          <t>SCA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39701-2023</t>
        </is>
      </c>
      <c r="B9095" s="1" t="n">
        <v>45166</v>
      </c>
      <c r="C9095" s="1" t="n">
        <v>45363</v>
      </c>
      <c r="D9095" t="inlineStr">
        <is>
          <t>JÄMTLANDS LÄN</t>
        </is>
      </c>
      <c r="E9095" t="inlineStr">
        <is>
          <t>KROKOM</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39509-2023</t>
        </is>
      </c>
      <c r="B9096" s="1" t="n">
        <v>45167</v>
      </c>
      <c r="C9096" s="1" t="n">
        <v>45363</v>
      </c>
      <c r="D9096" t="inlineStr">
        <is>
          <t>JÄMTLANDS LÄN</t>
        </is>
      </c>
      <c r="E9096" t="inlineStr">
        <is>
          <t>BRÄCKE</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39481-2023</t>
        </is>
      </c>
      <c r="B9097" s="1" t="n">
        <v>45167</v>
      </c>
      <c r="C9097" s="1" t="n">
        <v>45363</v>
      </c>
      <c r="D9097" t="inlineStr">
        <is>
          <t>JÄMTLANDS LÄN</t>
        </is>
      </c>
      <c r="E9097" t="inlineStr">
        <is>
          <t>RAGUNDA</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39490-2023</t>
        </is>
      </c>
      <c r="B9098" s="1" t="n">
        <v>45166</v>
      </c>
      <c r="C9098" s="1" t="n">
        <v>45363</v>
      </c>
      <c r="D9098" t="inlineStr">
        <is>
          <t>JÄMTLANDS LÄN</t>
        </is>
      </c>
      <c r="E9098" t="inlineStr">
        <is>
          <t>STRÖMSUND</t>
        </is>
      </c>
      <c r="F9098" t="inlineStr">
        <is>
          <t>SCA</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39614-2023</t>
        </is>
      </c>
      <c r="B9099" s="1" t="n">
        <v>45167</v>
      </c>
      <c r="C9099" s="1" t="n">
        <v>45363</v>
      </c>
      <c r="D9099" t="inlineStr">
        <is>
          <t>JÄMTLANDS LÄN</t>
        </is>
      </c>
      <c r="E9099" t="inlineStr">
        <is>
          <t>HÄRJEDALEN</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39647-2023</t>
        </is>
      </c>
      <c r="B9100" s="1" t="n">
        <v>45167</v>
      </c>
      <c r="C9100" s="1" t="n">
        <v>45363</v>
      </c>
      <c r="D9100" t="inlineStr">
        <is>
          <t>JÄMTLANDS LÄN</t>
        </is>
      </c>
      <c r="E9100" t="inlineStr">
        <is>
          <t>ÖSTERSUND</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39671-2023</t>
        </is>
      </c>
      <c r="B9101" s="1" t="n">
        <v>45167</v>
      </c>
      <c r="C9101" s="1" t="n">
        <v>45363</v>
      </c>
      <c r="D9101" t="inlineStr">
        <is>
          <t>JÄMTLANDS LÄN</t>
        </is>
      </c>
      <c r="E9101" t="inlineStr">
        <is>
          <t>STRÖMSUND</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39563-2023</t>
        </is>
      </c>
      <c r="B9102" s="1" t="n">
        <v>45167</v>
      </c>
      <c r="C9102" s="1" t="n">
        <v>45363</v>
      </c>
      <c r="D9102" t="inlineStr">
        <is>
          <t>JÄMTLANDS LÄN</t>
        </is>
      </c>
      <c r="E9102" t="inlineStr">
        <is>
          <t>KROKOM</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39612-2023</t>
        </is>
      </c>
      <c r="B9103" s="1" t="n">
        <v>45167</v>
      </c>
      <c r="C9103" s="1" t="n">
        <v>45363</v>
      </c>
      <c r="D9103" t="inlineStr">
        <is>
          <t>JÄMTLANDS LÄN</t>
        </is>
      </c>
      <c r="E9103" t="inlineStr">
        <is>
          <t>HÄRJEDALEN</t>
        </is>
      </c>
      <c r="F9103" t="inlineStr">
        <is>
          <t>Bergvik skog väst AB</t>
        </is>
      </c>
      <c r="G9103" t="n">
        <v>11.9</v>
      </c>
      <c r="H9103" t="n">
        <v>0</v>
      </c>
      <c r="I9103" t="n">
        <v>0</v>
      </c>
      <c r="J9103" t="n">
        <v>0</v>
      </c>
      <c r="K9103" t="n">
        <v>0</v>
      </c>
      <c r="L9103" t="n">
        <v>0</v>
      </c>
      <c r="M9103" t="n">
        <v>0</v>
      </c>
      <c r="N9103" t="n">
        <v>0</v>
      </c>
      <c r="O9103" t="n">
        <v>0</v>
      </c>
      <c r="P9103" t="n">
        <v>0</v>
      </c>
      <c r="Q9103" t="n">
        <v>0</v>
      </c>
      <c r="R9103" s="2" t="inlineStr"/>
    </row>
    <row r="9104" ht="15" customHeight="1">
      <c r="A9104" t="inlineStr">
        <is>
          <t>A 39652-2023</t>
        </is>
      </c>
      <c r="B9104" s="1" t="n">
        <v>45167</v>
      </c>
      <c r="C9104" s="1" t="n">
        <v>45363</v>
      </c>
      <c r="D9104" t="inlineStr">
        <is>
          <t>JÄMTLANDS LÄN</t>
        </is>
      </c>
      <c r="E9104" t="inlineStr">
        <is>
          <t>ÖSTERSUND</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39799-2023</t>
        </is>
      </c>
      <c r="B9105" s="1" t="n">
        <v>45168</v>
      </c>
      <c r="C9105" s="1" t="n">
        <v>45363</v>
      </c>
      <c r="D9105" t="inlineStr">
        <is>
          <t>JÄMTLANDS LÄN</t>
        </is>
      </c>
      <c r="E9105" t="inlineStr">
        <is>
          <t>STRÖMSUND</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39649-2023</t>
        </is>
      </c>
      <c r="B9106" s="1" t="n">
        <v>45167</v>
      </c>
      <c r="C9106" s="1" t="n">
        <v>45363</v>
      </c>
      <c r="D9106" t="inlineStr">
        <is>
          <t>JÄMTLANDS LÄN</t>
        </is>
      </c>
      <c r="E9106" t="inlineStr">
        <is>
          <t>HÄRJEDALEN</t>
        </is>
      </c>
      <c r="F9106" t="inlineStr">
        <is>
          <t>Bergvik skog väst AB</t>
        </is>
      </c>
      <c r="G9106" t="n">
        <v>23.6</v>
      </c>
      <c r="H9106" t="n">
        <v>0</v>
      </c>
      <c r="I9106" t="n">
        <v>0</v>
      </c>
      <c r="J9106" t="n">
        <v>0</v>
      </c>
      <c r="K9106" t="n">
        <v>0</v>
      </c>
      <c r="L9106" t="n">
        <v>0</v>
      </c>
      <c r="M9106" t="n">
        <v>0</v>
      </c>
      <c r="N9106" t="n">
        <v>0</v>
      </c>
      <c r="O9106" t="n">
        <v>0</v>
      </c>
      <c r="P9106" t="n">
        <v>0</v>
      </c>
      <c r="Q9106" t="n">
        <v>0</v>
      </c>
      <c r="R9106" s="2" t="inlineStr"/>
    </row>
    <row r="9107" ht="15" customHeight="1">
      <c r="A9107" t="inlineStr">
        <is>
          <t>A 39805-2023</t>
        </is>
      </c>
      <c r="B9107" s="1" t="n">
        <v>45168</v>
      </c>
      <c r="C9107" s="1" t="n">
        <v>45363</v>
      </c>
      <c r="D9107" t="inlineStr">
        <is>
          <t>JÄMTLANDS LÄN</t>
        </is>
      </c>
      <c r="E9107" t="inlineStr">
        <is>
          <t>ÖSTERSUND</t>
        </is>
      </c>
      <c r="G9107" t="n">
        <v>9.699999999999999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39817-2023</t>
        </is>
      </c>
      <c r="B9108" s="1" t="n">
        <v>45168</v>
      </c>
      <c r="C9108" s="1" t="n">
        <v>45363</v>
      </c>
      <c r="D9108" t="inlineStr">
        <is>
          <t>JÄMTLANDS LÄN</t>
        </is>
      </c>
      <c r="E9108" t="inlineStr">
        <is>
          <t>STRÖMSUND</t>
        </is>
      </c>
      <c r="F9108" t="inlineStr">
        <is>
          <t>SCA</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39792-2023</t>
        </is>
      </c>
      <c r="B9109" s="1" t="n">
        <v>45168</v>
      </c>
      <c r="C9109" s="1" t="n">
        <v>45363</v>
      </c>
      <c r="D9109" t="inlineStr">
        <is>
          <t>JÄMTLANDS LÄN</t>
        </is>
      </c>
      <c r="E9109" t="inlineStr">
        <is>
          <t>STRÖMSUND</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39800-2023</t>
        </is>
      </c>
      <c r="B9110" s="1" t="n">
        <v>45168</v>
      </c>
      <c r="C9110" s="1" t="n">
        <v>45363</v>
      </c>
      <c r="D9110" t="inlineStr">
        <is>
          <t>JÄMTLANDS LÄN</t>
        </is>
      </c>
      <c r="E9110" t="inlineStr">
        <is>
          <t>STRÖMSUND</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39820-2023</t>
        </is>
      </c>
      <c r="B9111" s="1" t="n">
        <v>45167</v>
      </c>
      <c r="C9111" s="1" t="n">
        <v>45363</v>
      </c>
      <c r="D9111" t="inlineStr">
        <is>
          <t>JÄMTLANDS LÄN</t>
        </is>
      </c>
      <c r="E9111" t="inlineStr">
        <is>
          <t>RAGUNDA</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39683-2023</t>
        </is>
      </c>
      <c r="B9112" s="1" t="n">
        <v>45167</v>
      </c>
      <c r="C9112" s="1" t="n">
        <v>45363</v>
      </c>
      <c r="D9112" t="inlineStr">
        <is>
          <t>JÄMTLANDS LÄN</t>
        </is>
      </c>
      <c r="E9112" t="inlineStr">
        <is>
          <t>KROKOM</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39806-2023</t>
        </is>
      </c>
      <c r="B9113" s="1" t="n">
        <v>45167</v>
      </c>
      <c r="C9113" s="1" t="n">
        <v>45363</v>
      </c>
      <c r="D9113" t="inlineStr">
        <is>
          <t>JÄMTLANDS LÄN</t>
        </is>
      </c>
      <c r="E9113" t="inlineStr">
        <is>
          <t>BERG</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39870-2023</t>
        </is>
      </c>
      <c r="B9114" s="1" t="n">
        <v>45168</v>
      </c>
      <c r="C9114" s="1" t="n">
        <v>45363</v>
      </c>
      <c r="D9114" t="inlineStr">
        <is>
          <t>JÄMTLANDS LÄN</t>
        </is>
      </c>
      <c r="E9114" t="inlineStr">
        <is>
          <t>STRÖMSUND</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39902-2023</t>
        </is>
      </c>
      <c r="B9115" s="1" t="n">
        <v>45168</v>
      </c>
      <c r="C9115" s="1" t="n">
        <v>45363</v>
      </c>
      <c r="D9115" t="inlineStr">
        <is>
          <t>JÄMTLANDS LÄN</t>
        </is>
      </c>
      <c r="E9115" t="inlineStr">
        <is>
          <t>KROKOM</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39922-2023</t>
        </is>
      </c>
      <c r="B9116" s="1" t="n">
        <v>45168</v>
      </c>
      <c r="C9116" s="1" t="n">
        <v>45363</v>
      </c>
      <c r="D9116" t="inlineStr">
        <is>
          <t>JÄMTLANDS LÄN</t>
        </is>
      </c>
      <c r="E9116" t="inlineStr">
        <is>
          <t>STRÖMSUND</t>
        </is>
      </c>
      <c r="G9116" t="n">
        <v>6.6</v>
      </c>
      <c r="H9116" t="n">
        <v>0</v>
      </c>
      <c r="I9116" t="n">
        <v>0</v>
      </c>
      <c r="J9116" t="n">
        <v>0</v>
      </c>
      <c r="K9116" t="n">
        <v>0</v>
      </c>
      <c r="L9116" t="n">
        <v>0</v>
      </c>
      <c r="M9116" t="n">
        <v>0</v>
      </c>
      <c r="N9116" t="n">
        <v>0</v>
      </c>
      <c r="O9116" t="n">
        <v>0</v>
      </c>
      <c r="P9116" t="n">
        <v>0</v>
      </c>
      <c r="Q9116" t="n">
        <v>0</v>
      </c>
      <c r="R9116" s="2" t="inlineStr"/>
    </row>
    <row r="9117" ht="15" customHeight="1">
      <c r="A9117" t="inlineStr">
        <is>
          <t>A 39946-2023</t>
        </is>
      </c>
      <c r="B9117" s="1" t="n">
        <v>45168</v>
      </c>
      <c r="C9117" s="1" t="n">
        <v>45363</v>
      </c>
      <c r="D9117" t="inlineStr">
        <is>
          <t>JÄMTLANDS LÄN</t>
        </is>
      </c>
      <c r="E9117" t="inlineStr">
        <is>
          <t>STRÖMSUND</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40096-2023</t>
        </is>
      </c>
      <c r="B9118" s="1" t="n">
        <v>45168</v>
      </c>
      <c r="C9118" s="1" t="n">
        <v>45363</v>
      </c>
      <c r="D9118" t="inlineStr">
        <is>
          <t>JÄMTLANDS LÄN</t>
        </is>
      </c>
      <c r="E9118" t="inlineStr">
        <is>
          <t>BRÄCKE</t>
        </is>
      </c>
      <c r="F9118" t="inlineStr">
        <is>
          <t>SCA</t>
        </is>
      </c>
      <c r="G9118" t="n">
        <v>28.9</v>
      </c>
      <c r="H9118" t="n">
        <v>0</v>
      </c>
      <c r="I9118" t="n">
        <v>0</v>
      </c>
      <c r="J9118" t="n">
        <v>0</v>
      </c>
      <c r="K9118" t="n">
        <v>0</v>
      </c>
      <c r="L9118" t="n">
        <v>0</v>
      </c>
      <c r="M9118" t="n">
        <v>0</v>
      </c>
      <c r="N9118" t="n">
        <v>0</v>
      </c>
      <c r="O9118" t="n">
        <v>0</v>
      </c>
      <c r="P9118" t="n">
        <v>0</v>
      </c>
      <c r="Q9118" t="n">
        <v>0</v>
      </c>
      <c r="R9118" s="2" t="inlineStr"/>
    </row>
    <row r="9119" ht="15" customHeight="1">
      <c r="A9119" t="inlineStr">
        <is>
          <t>A 40104-2023</t>
        </is>
      </c>
      <c r="B9119" s="1" t="n">
        <v>45169</v>
      </c>
      <c r="C9119" s="1" t="n">
        <v>45363</v>
      </c>
      <c r="D9119" t="inlineStr">
        <is>
          <t>JÄMTLANDS LÄN</t>
        </is>
      </c>
      <c r="E9119" t="inlineStr">
        <is>
          <t>STRÖMSUND</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40102-2023</t>
        </is>
      </c>
      <c r="B9120" s="1" t="n">
        <v>45169</v>
      </c>
      <c r="C9120" s="1" t="n">
        <v>45363</v>
      </c>
      <c r="D9120" t="inlineStr">
        <is>
          <t>JÄMTLANDS LÄN</t>
        </is>
      </c>
      <c r="E9120" t="inlineStr">
        <is>
          <t>STRÖMSUND</t>
        </is>
      </c>
      <c r="F9120" t="inlineStr">
        <is>
          <t>SCA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40110-2023</t>
        </is>
      </c>
      <c r="B9121" s="1" t="n">
        <v>45168</v>
      </c>
      <c r="C9121" s="1" t="n">
        <v>45363</v>
      </c>
      <c r="D9121" t="inlineStr">
        <is>
          <t>JÄMTLANDS LÄN</t>
        </is>
      </c>
      <c r="E9121" t="inlineStr">
        <is>
          <t>STRÖMSUND</t>
        </is>
      </c>
      <c r="F9121" t="inlineStr">
        <is>
          <t>SCA</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40114-2023</t>
        </is>
      </c>
      <c r="B9122" s="1" t="n">
        <v>45169</v>
      </c>
      <c r="C9122" s="1" t="n">
        <v>45363</v>
      </c>
      <c r="D9122" t="inlineStr">
        <is>
          <t>JÄMTLANDS LÄN</t>
        </is>
      </c>
      <c r="E9122" t="inlineStr">
        <is>
          <t>BRÄCKE</t>
        </is>
      </c>
      <c r="F9122" t="inlineStr">
        <is>
          <t>Naturvårdsverket</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40108-2023</t>
        </is>
      </c>
      <c r="B9123" s="1" t="n">
        <v>45169</v>
      </c>
      <c r="C9123" s="1" t="n">
        <v>45363</v>
      </c>
      <c r="D9123" t="inlineStr">
        <is>
          <t>JÄMTLANDS LÄN</t>
        </is>
      </c>
      <c r="E9123" t="inlineStr">
        <is>
          <t>BRÄCKE</t>
        </is>
      </c>
      <c r="F9123" t="inlineStr">
        <is>
          <t>SCA</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40094-2023</t>
        </is>
      </c>
      <c r="B9124" s="1" t="n">
        <v>45168</v>
      </c>
      <c r="C9124" s="1" t="n">
        <v>45363</v>
      </c>
      <c r="D9124" t="inlineStr">
        <is>
          <t>JÄMTLANDS LÄN</t>
        </is>
      </c>
      <c r="E9124" t="inlineStr">
        <is>
          <t>BRÄCKE</t>
        </is>
      </c>
      <c r="F9124" t="inlineStr">
        <is>
          <t>SCA</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40103-2023</t>
        </is>
      </c>
      <c r="B9125" s="1" t="n">
        <v>45169</v>
      </c>
      <c r="C9125" s="1" t="n">
        <v>45363</v>
      </c>
      <c r="D9125" t="inlineStr">
        <is>
          <t>JÄMTLANDS LÄN</t>
        </is>
      </c>
      <c r="E9125" t="inlineStr">
        <is>
          <t>STRÖMSUND</t>
        </is>
      </c>
      <c r="F9125" t="inlineStr">
        <is>
          <t>SCA</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39907-2023</t>
        </is>
      </c>
      <c r="B9126" s="1" t="n">
        <v>45168</v>
      </c>
      <c r="C9126" s="1" t="n">
        <v>45363</v>
      </c>
      <c r="D9126" t="inlineStr">
        <is>
          <t>JÄMTLANDS LÄN</t>
        </is>
      </c>
      <c r="E9126" t="inlineStr">
        <is>
          <t>BRÄCKE</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40101-2023</t>
        </is>
      </c>
      <c r="B9127" s="1" t="n">
        <v>45169</v>
      </c>
      <c r="C9127" s="1" t="n">
        <v>45363</v>
      </c>
      <c r="D9127" t="inlineStr">
        <is>
          <t>JÄMTLANDS LÄN</t>
        </is>
      </c>
      <c r="E9127" t="inlineStr">
        <is>
          <t>STRÖMSUND</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40105-2023</t>
        </is>
      </c>
      <c r="B9128" s="1" t="n">
        <v>45169</v>
      </c>
      <c r="C9128" s="1" t="n">
        <v>45363</v>
      </c>
      <c r="D9128" t="inlineStr">
        <is>
          <t>JÄMTLANDS LÄN</t>
        </is>
      </c>
      <c r="E9128" t="inlineStr">
        <is>
          <t>STRÖMSUND</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40109-2023</t>
        </is>
      </c>
      <c r="B9129" s="1" t="n">
        <v>45168</v>
      </c>
      <c r="C9129" s="1" t="n">
        <v>45363</v>
      </c>
      <c r="D9129" t="inlineStr">
        <is>
          <t>JÄMTLANDS LÄN</t>
        </is>
      </c>
      <c r="E9129" t="inlineStr">
        <is>
          <t>STRÖMSUND</t>
        </is>
      </c>
      <c r="F9129" t="inlineStr">
        <is>
          <t>SCA</t>
        </is>
      </c>
      <c r="G9129" t="n">
        <v>55.1</v>
      </c>
      <c r="H9129" t="n">
        <v>0</v>
      </c>
      <c r="I9129" t="n">
        <v>0</v>
      </c>
      <c r="J9129" t="n">
        <v>0</v>
      </c>
      <c r="K9129" t="n">
        <v>0</v>
      </c>
      <c r="L9129" t="n">
        <v>0</v>
      </c>
      <c r="M9129" t="n">
        <v>0</v>
      </c>
      <c r="N9129" t="n">
        <v>0</v>
      </c>
      <c r="O9129" t="n">
        <v>0</v>
      </c>
      <c r="P9129" t="n">
        <v>0</v>
      </c>
      <c r="Q9129" t="n">
        <v>0</v>
      </c>
      <c r="R9129" s="2" t="inlineStr"/>
    </row>
    <row r="9130" ht="15" customHeight="1">
      <c r="A9130" t="inlineStr">
        <is>
          <t>A 40364-2023</t>
        </is>
      </c>
      <c r="B9130" s="1" t="n">
        <v>45168</v>
      </c>
      <c r="C9130" s="1" t="n">
        <v>45363</v>
      </c>
      <c r="D9130" t="inlineStr">
        <is>
          <t>JÄMTLANDS LÄN</t>
        </is>
      </c>
      <c r="E9130" t="inlineStr">
        <is>
          <t>KROKOM</t>
        </is>
      </c>
      <c r="G9130" t="n">
        <v>9.199999999999999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40143-2023</t>
        </is>
      </c>
      <c r="B9131" s="1" t="n">
        <v>45169</v>
      </c>
      <c r="C9131" s="1" t="n">
        <v>45363</v>
      </c>
      <c r="D9131" t="inlineStr">
        <is>
          <t>JÄMTLANDS LÄN</t>
        </is>
      </c>
      <c r="E9131" t="inlineStr">
        <is>
          <t>ÅRE</t>
        </is>
      </c>
      <c r="G9131" t="n">
        <v>8</v>
      </c>
      <c r="H9131" t="n">
        <v>0</v>
      </c>
      <c r="I9131" t="n">
        <v>0</v>
      </c>
      <c r="J9131" t="n">
        <v>0</v>
      </c>
      <c r="K9131" t="n">
        <v>0</v>
      </c>
      <c r="L9131" t="n">
        <v>0</v>
      </c>
      <c r="M9131" t="n">
        <v>0</v>
      </c>
      <c r="N9131" t="n">
        <v>0</v>
      </c>
      <c r="O9131" t="n">
        <v>0</v>
      </c>
      <c r="P9131" t="n">
        <v>0</v>
      </c>
      <c r="Q9131" t="n">
        <v>0</v>
      </c>
      <c r="R9131" s="2" t="inlineStr"/>
    </row>
    <row r="9132" ht="15" customHeight="1">
      <c r="A9132" t="inlineStr">
        <is>
          <t>A 40215-2023</t>
        </is>
      </c>
      <c r="B9132" s="1" t="n">
        <v>45169</v>
      </c>
      <c r="C9132" s="1" t="n">
        <v>45363</v>
      </c>
      <c r="D9132" t="inlineStr">
        <is>
          <t>JÄMTLANDS LÄN</t>
        </is>
      </c>
      <c r="E9132" t="inlineStr">
        <is>
          <t>HÄRJEDALEN</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40323-2023</t>
        </is>
      </c>
      <c r="B9133" s="1" t="n">
        <v>45169</v>
      </c>
      <c r="C9133" s="1" t="n">
        <v>45363</v>
      </c>
      <c r="D9133" t="inlineStr">
        <is>
          <t>JÄMTLANDS LÄN</t>
        </is>
      </c>
      <c r="E9133" t="inlineStr">
        <is>
          <t>ÅRE</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40395-2023</t>
        </is>
      </c>
      <c r="B9134" s="1" t="n">
        <v>45170</v>
      </c>
      <c r="C9134" s="1" t="n">
        <v>45363</v>
      </c>
      <c r="D9134" t="inlineStr">
        <is>
          <t>JÄMTLANDS LÄN</t>
        </is>
      </c>
      <c r="E9134" t="inlineStr">
        <is>
          <t>STRÖMSUND</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40399-2023</t>
        </is>
      </c>
      <c r="B9135" s="1" t="n">
        <v>45170</v>
      </c>
      <c r="C9135" s="1" t="n">
        <v>45363</v>
      </c>
      <c r="D9135" t="inlineStr">
        <is>
          <t>JÄMTLANDS LÄN</t>
        </is>
      </c>
      <c r="E9135" t="inlineStr">
        <is>
          <t>STRÖMSUND</t>
        </is>
      </c>
      <c r="F9135" t="inlineStr">
        <is>
          <t>SCA</t>
        </is>
      </c>
      <c r="G9135" t="n">
        <v>7</v>
      </c>
      <c r="H9135" t="n">
        <v>0</v>
      </c>
      <c r="I9135" t="n">
        <v>0</v>
      </c>
      <c r="J9135" t="n">
        <v>0</v>
      </c>
      <c r="K9135" t="n">
        <v>0</v>
      </c>
      <c r="L9135" t="n">
        <v>0</v>
      </c>
      <c r="M9135" t="n">
        <v>0</v>
      </c>
      <c r="N9135" t="n">
        <v>0</v>
      </c>
      <c r="O9135" t="n">
        <v>0</v>
      </c>
      <c r="P9135" t="n">
        <v>0</v>
      </c>
      <c r="Q9135" t="n">
        <v>0</v>
      </c>
      <c r="R9135" s="2" t="inlineStr"/>
    </row>
    <row r="9136" ht="15" customHeight="1">
      <c r="A9136" t="inlineStr">
        <is>
          <t>A 40407-2023</t>
        </is>
      </c>
      <c r="B9136" s="1" t="n">
        <v>45170</v>
      </c>
      <c r="C9136" s="1" t="n">
        <v>45363</v>
      </c>
      <c r="D9136" t="inlineStr">
        <is>
          <t>JÄMTLANDS LÄN</t>
        </is>
      </c>
      <c r="E9136" t="inlineStr">
        <is>
          <t>STRÖMSUND</t>
        </is>
      </c>
      <c r="F9136" t="inlineStr">
        <is>
          <t>SCA</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40389-2023</t>
        </is>
      </c>
      <c r="B9137" s="1" t="n">
        <v>45170</v>
      </c>
      <c r="C9137" s="1" t="n">
        <v>45363</v>
      </c>
      <c r="D9137" t="inlineStr">
        <is>
          <t>JÄMTLANDS LÄN</t>
        </is>
      </c>
      <c r="E9137" t="inlineStr">
        <is>
          <t>BRÄCKE</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40394-2023</t>
        </is>
      </c>
      <c r="B9138" s="1" t="n">
        <v>45170</v>
      </c>
      <c r="C9138" s="1" t="n">
        <v>45363</v>
      </c>
      <c r="D9138" t="inlineStr">
        <is>
          <t>JÄMTLANDS LÄN</t>
        </is>
      </c>
      <c r="E9138" t="inlineStr">
        <is>
          <t>BRÄCKE</t>
        </is>
      </c>
      <c r="F9138" t="inlineStr">
        <is>
          <t>SCA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40398-2023</t>
        </is>
      </c>
      <c r="B9139" s="1" t="n">
        <v>45170</v>
      </c>
      <c r="C9139" s="1" t="n">
        <v>45363</v>
      </c>
      <c r="D9139" t="inlineStr">
        <is>
          <t>JÄMTLANDS LÄN</t>
        </is>
      </c>
      <c r="E9139" t="inlineStr">
        <is>
          <t>STRÖMSUND</t>
        </is>
      </c>
      <c r="F9139" t="inlineStr">
        <is>
          <t>SCA</t>
        </is>
      </c>
      <c r="G9139" t="n">
        <v>8.4</v>
      </c>
      <c r="H9139" t="n">
        <v>0</v>
      </c>
      <c r="I9139" t="n">
        <v>0</v>
      </c>
      <c r="J9139" t="n">
        <v>0</v>
      </c>
      <c r="K9139" t="n">
        <v>0</v>
      </c>
      <c r="L9139" t="n">
        <v>0</v>
      </c>
      <c r="M9139" t="n">
        <v>0</v>
      </c>
      <c r="N9139" t="n">
        <v>0</v>
      </c>
      <c r="O9139" t="n">
        <v>0</v>
      </c>
      <c r="P9139" t="n">
        <v>0</v>
      </c>
      <c r="Q9139" t="n">
        <v>0</v>
      </c>
      <c r="R9139" s="2" t="inlineStr"/>
    </row>
    <row r="9140" ht="15" customHeight="1">
      <c r="A9140" t="inlineStr">
        <is>
          <t>A 40217-2023</t>
        </is>
      </c>
      <c r="B9140" s="1" t="n">
        <v>45169</v>
      </c>
      <c r="C9140" s="1" t="n">
        <v>45363</v>
      </c>
      <c r="D9140" t="inlineStr">
        <is>
          <t>JÄMTLANDS LÄN</t>
        </is>
      </c>
      <c r="E9140" t="inlineStr">
        <is>
          <t>HÄRJEDALEN</t>
        </is>
      </c>
      <c r="G9140" t="n">
        <v>23.5</v>
      </c>
      <c r="H9140" t="n">
        <v>0</v>
      </c>
      <c r="I9140" t="n">
        <v>0</v>
      </c>
      <c r="J9140" t="n">
        <v>0</v>
      </c>
      <c r="K9140" t="n">
        <v>0</v>
      </c>
      <c r="L9140" t="n">
        <v>0</v>
      </c>
      <c r="M9140" t="n">
        <v>0</v>
      </c>
      <c r="N9140" t="n">
        <v>0</v>
      </c>
      <c r="O9140" t="n">
        <v>0</v>
      </c>
      <c r="P9140" t="n">
        <v>0</v>
      </c>
      <c r="Q9140" t="n">
        <v>0</v>
      </c>
      <c r="R9140" s="2" t="inlineStr"/>
    </row>
    <row r="9141" ht="15" customHeight="1">
      <c r="A9141" t="inlineStr">
        <is>
          <t>A 40415-2023</t>
        </is>
      </c>
      <c r="B9141" s="1" t="n">
        <v>45170</v>
      </c>
      <c r="C9141" s="1" t="n">
        <v>45363</v>
      </c>
      <c r="D9141" t="inlineStr">
        <is>
          <t>JÄMTLANDS LÄN</t>
        </is>
      </c>
      <c r="E9141" t="inlineStr">
        <is>
          <t>BERG</t>
        </is>
      </c>
      <c r="F9141" t="inlineStr">
        <is>
          <t>SCA</t>
        </is>
      </c>
      <c r="G9141" t="n">
        <v>10.2</v>
      </c>
      <c r="H9141" t="n">
        <v>0</v>
      </c>
      <c r="I9141" t="n">
        <v>0</v>
      </c>
      <c r="J9141" t="n">
        <v>0</v>
      </c>
      <c r="K9141" t="n">
        <v>0</v>
      </c>
      <c r="L9141" t="n">
        <v>0</v>
      </c>
      <c r="M9141" t="n">
        <v>0</v>
      </c>
      <c r="N9141" t="n">
        <v>0</v>
      </c>
      <c r="O9141" t="n">
        <v>0</v>
      </c>
      <c r="P9141" t="n">
        <v>0</v>
      </c>
      <c r="Q9141" t="n">
        <v>0</v>
      </c>
      <c r="R9141" s="2" t="inlineStr"/>
    </row>
    <row r="9142" ht="15" customHeight="1">
      <c r="A9142" t="inlineStr">
        <is>
          <t>A 40423-2023</t>
        </is>
      </c>
      <c r="B9142" s="1" t="n">
        <v>45169</v>
      </c>
      <c r="C9142" s="1" t="n">
        <v>45363</v>
      </c>
      <c r="D9142" t="inlineStr">
        <is>
          <t>JÄMTLANDS LÄN</t>
        </is>
      </c>
      <c r="E9142" t="inlineStr">
        <is>
          <t>ÖSTERSUND</t>
        </is>
      </c>
      <c r="F9142" t="inlineStr">
        <is>
          <t>SCA</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40440-2023</t>
        </is>
      </c>
      <c r="B9143" s="1" t="n">
        <v>45170</v>
      </c>
      <c r="C9143" s="1" t="n">
        <v>45363</v>
      </c>
      <c r="D9143" t="inlineStr">
        <is>
          <t>JÄMTLANDS LÄN</t>
        </is>
      </c>
      <c r="E9143" t="inlineStr">
        <is>
          <t>STRÖMSUND</t>
        </is>
      </c>
      <c r="F9143" t="inlineStr">
        <is>
          <t>SCA</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40427-2023</t>
        </is>
      </c>
      <c r="B9144" s="1" t="n">
        <v>45170</v>
      </c>
      <c r="C9144" s="1" t="n">
        <v>45363</v>
      </c>
      <c r="D9144" t="inlineStr">
        <is>
          <t>JÄMTLANDS LÄN</t>
        </is>
      </c>
      <c r="E9144" t="inlineStr">
        <is>
          <t>STRÖMSUND</t>
        </is>
      </c>
      <c r="F9144" t="inlineStr">
        <is>
          <t>SCA</t>
        </is>
      </c>
      <c r="G9144" t="n">
        <v>12.2</v>
      </c>
      <c r="H9144" t="n">
        <v>0</v>
      </c>
      <c r="I9144" t="n">
        <v>0</v>
      </c>
      <c r="J9144" t="n">
        <v>0</v>
      </c>
      <c r="K9144" t="n">
        <v>0</v>
      </c>
      <c r="L9144" t="n">
        <v>0</v>
      </c>
      <c r="M9144" t="n">
        <v>0</v>
      </c>
      <c r="N9144" t="n">
        <v>0</v>
      </c>
      <c r="O9144" t="n">
        <v>0</v>
      </c>
      <c r="P9144" t="n">
        <v>0</v>
      </c>
      <c r="Q9144" t="n">
        <v>0</v>
      </c>
      <c r="R9144" s="2" t="inlineStr"/>
    </row>
    <row r="9145" ht="15" customHeight="1">
      <c r="A9145" t="inlineStr">
        <is>
          <t>A 40402-2023</t>
        </is>
      </c>
      <c r="B9145" s="1" t="n">
        <v>45170</v>
      </c>
      <c r="C9145" s="1" t="n">
        <v>45363</v>
      </c>
      <c r="D9145" t="inlineStr">
        <is>
          <t>JÄMTLANDS LÄN</t>
        </is>
      </c>
      <c r="E9145" t="inlineStr">
        <is>
          <t>STRÖMSUND</t>
        </is>
      </c>
      <c r="F9145" t="inlineStr">
        <is>
          <t>SCA</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40410-2023</t>
        </is>
      </c>
      <c r="B9146" s="1" t="n">
        <v>45169</v>
      </c>
      <c r="C9146" s="1" t="n">
        <v>45363</v>
      </c>
      <c r="D9146" t="inlineStr">
        <is>
          <t>JÄMTLANDS LÄN</t>
        </is>
      </c>
      <c r="E9146" t="inlineStr">
        <is>
          <t>BRÄCKE</t>
        </is>
      </c>
      <c r="F9146" t="inlineStr">
        <is>
          <t>SCA</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40414-2023</t>
        </is>
      </c>
      <c r="B9147" s="1" t="n">
        <v>45169</v>
      </c>
      <c r="C9147" s="1" t="n">
        <v>45363</v>
      </c>
      <c r="D9147" t="inlineStr">
        <is>
          <t>JÄMTLANDS LÄN</t>
        </is>
      </c>
      <c r="E9147" t="inlineStr">
        <is>
          <t>BERG</t>
        </is>
      </c>
      <c r="F9147" t="inlineStr">
        <is>
          <t>SCA</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40422-2023</t>
        </is>
      </c>
      <c r="B9148" s="1" t="n">
        <v>45170</v>
      </c>
      <c r="C9148" s="1" t="n">
        <v>45363</v>
      </c>
      <c r="D9148" t="inlineStr">
        <is>
          <t>JÄMTLANDS LÄN</t>
        </is>
      </c>
      <c r="E9148" t="inlineStr">
        <is>
          <t>ÖSTERSUND</t>
        </is>
      </c>
      <c r="F9148" t="inlineStr">
        <is>
          <t>SCA</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40430-2023</t>
        </is>
      </c>
      <c r="B9149" s="1" t="n">
        <v>45169</v>
      </c>
      <c r="C9149" s="1" t="n">
        <v>45363</v>
      </c>
      <c r="D9149" t="inlineStr">
        <is>
          <t>JÄMTLANDS LÄN</t>
        </is>
      </c>
      <c r="E9149" t="inlineStr">
        <is>
          <t>BRÄCKE</t>
        </is>
      </c>
      <c r="F9149" t="inlineStr">
        <is>
          <t>SCA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40387-2023</t>
        </is>
      </c>
      <c r="B9150" s="1" t="n">
        <v>45170</v>
      </c>
      <c r="C9150" s="1" t="n">
        <v>45363</v>
      </c>
      <c r="D9150" t="inlineStr">
        <is>
          <t>JÄMTLANDS LÄN</t>
        </is>
      </c>
      <c r="E9150" t="inlineStr">
        <is>
          <t>BRÄCKE</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40396-2023</t>
        </is>
      </c>
      <c r="B9151" s="1" t="n">
        <v>45170</v>
      </c>
      <c r="C9151" s="1" t="n">
        <v>45363</v>
      </c>
      <c r="D9151" t="inlineStr">
        <is>
          <t>JÄMTLANDS LÄN</t>
        </is>
      </c>
      <c r="E9151" t="inlineStr">
        <is>
          <t>STRÖMSUND</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40439-2023</t>
        </is>
      </c>
      <c r="B9152" s="1" t="n">
        <v>45169</v>
      </c>
      <c r="C9152" s="1" t="n">
        <v>45363</v>
      </c>
      <c r="D9152" t="inlineStr">
        <is>
          <t>JÄMTLANDS LÄN</t>
        </is>
      </c>
      <c r="E9152" t="inlineStr">
        <is>
          <t>STRÖMSUND</t>
        </is>
      </c>
      <c r="F9152" t="inlineStr">
        <is>
          <t>SCA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40408-2023</t>
        </is>
      </c>
      <c r="B9153" s="1" t="n">
        <v>45170</v>
      </c>
      <c r="C9153" s="1" t="n">
        <v>45363</v>
      </c>
      <c r="D9153" t="inlineStr">
        <is>
          <t>JÄMTLANDS LÄN</t>
        </is>
      </c>
      <c r="E9153" t="inlineStr">
        <is>
          <t>STRÖMSUND</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40416-2023</t>
        </is>
      </c>
      <c r="B9154" s="1" t="n">
        <v>45169</v>
      </c>
      <c r="C9154" s="1" t="n">
        <v>45363</v>
      </c>
      <c r="D9154" t="inlineStr">
        <is>
          <t>JÄMTLANDS LÄN</t>
        </is>
      </c>
      <c r="E9154" t="inlineStr">
        <is>
          <t>BERG</t>
        </is>
      </c>
      <c r="F9154" t="inlineStr">
        <is>
          <t>SCA</t>
        </is>
      </c>
      <c r="G9154" t="n">
        <v>9.800000000000001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40424-2023</t>
        </is>
      </c>
      <c r="B9155" s="1" t="n">
        <v>45170</v>
      </c>
      <c r="C9155" s="1" t="n">
        <v>45363</v>
      </c>
      <c r="D9155" t="inlineStr">
        <is>
          <t>JÄMTLANDS LÄN</t>
        </is>
      </c>
      <c r="E9155" t="inlineStr">
        <is>
          <t>STRÖMSUND</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40441-2023</t>
        </is>
      </c>
      <c r="B9156" s="1" t="n">
        <v>45169</v>
      </c>
      <c r="C9156" s="1" t="n">
        <v>45363</v>
      </c>
      <c r="D9156" t="inlineStr">
        <is>
          <t>JÄMTLANDS LÄN</t>
        </is>
      </c>
      <c r="E9156" t="inlineStr">
        <is>
          <t>STRÖMSUND</t>
        </is>
      </c>
      <c r="F9156" t="inlineStr">
        <is>
          <t>SCA</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40397-2023</t>
        </is>
      </c>
      <c r="B9157" s="1" t="n">
        <v>45170</v>
      </c>
      <c r="C9157" s="1" t="n">
        <v>45363</v>
      </c>
      <c r="D9157" t="inlineStr">
        <is>
          <t>JÄMTLANDS LÄN</t>
        </is>
      </c>
      <c r="E9157" t="inlineStr">
        <is>
          <t>STRÖMSUND</t>
        </is>
      </c>
      <c r="F9157" t="inlineStr">
        <is>
          <t>SCA</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40405-2023</t>
        </is>
      </c>
      <c r="B9158" s="1" t="n">
        <v>45170</v>
      </c>
      <c r="C9158" s="1" t="n">
        <v>45363</v>
      </c>
      <c r="D9158" t="inlineStr">
        <is>
          <t>JÄMTLANDS LÄN</t>
        </is>
      </c>
      <c r="E9158" t="inlineStr">
        <is>
          <t>BRÄCKE</t>
        </is>
      </c>
      <c r="F9158" t="inlineStr">
        <is>
          <t>SCA</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40625-2023</t>
        </is>
      </c>
      <c r="B9159" s="1" t="n">
        <v>45169</v>
      </c>
      <c r="C9159" s="1" t="n">
        <v>45363</v>
      </c>
      <c r="D9159" t="inlineStr">
        <is>
          <t>JÄMTLANDS LÄN</t>
        </is>
      </c>
      <c r="E9159" t="inlineStr">
        <is>
          <t>STRÖMSUND</t>
        </is>
      </c>
      <c r="G9159" t="n">
        <v>12.9</v>
      </c>
      <c r="H9159" t="n">
        <v>0</v>
      </c>
      <c r="I9159" t="n">
        <v>0</v>
      </c>
      <c r="J9159" t="n">
        <v>0</v>
      </c>
      <c r="K9159" t="n">
        <v>0</v>
      </c>
      <c r="L9159" t="n">
        <v>0</v>
      </c>
      <c r="M9159" t="n">
        <v>0</v>
      </c>
      <c r="N9159" t="n">
        <v>0</v>
      </c>
      <c r="O9159" t="n">
        <v>0</v>
      </c>
      <c r="P9159" t="n">
        <v>0</v>
      </c>
      <c r="Q9159" t="n">
        <v>0</v>
      </c>
      <c r="R9159" s="2" t="inlineStr"/>
    </row>
    <row r="9160" ht="15" customHeight="1">
      <c r="A9160" t="inlineStr">
        <is>
          <t>A 40560-2023</t>
        </is>
      </c>
      <c r="B9160" s="1" t="n">
        <v>45170</v>
      </c>
      <c r="C9160" s="1" t="n">
        <v>45363</v>
      </c>
      <c r="D9160" t="inlineStr">
        <is>
          <t>JÄMTLANDS LÄN</t>
        </is>
      </c>
      <c r="E9160" t="inlineStr">
        <is>
          <t>HÄRJEDALEN</t>
        </is>
      </c>
      <c r="F9160" t="inlineStr">
        <is>
          <t>Holmen skog AB</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40569-2023</t>
        </is>
      </c>
      <c r="B9161" s="1" t="n">
        <v>45170</v>
      </c>
      <c r="C9161" s="1" t="n">
        <v>45363</v>
      </c>
      <c r="D9161" t="inlineStr">
        <is>
          <t>JÄMTLANDS LÄN</t>
        </is>
      </c>
      <c r="E9161" t="inlineStr">
        <is>
          <t>HÄRJEDALEN</t>
        </is>
      </c>
      <c r="F9161" t="inlineStr">
        <is>
          <t>Holmen skog AB</t>
        </is>
      </c>
      <c r="G9161" t="n">
        <v>9.199999999999999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40578-2023</t>
        </is>
      </c>
      <c r="B9162" s="1" t="n">
        <v>45170</v>
      </c>
      <c r="C9162" s="1" t="n">
        <v>45363</v>
      </c>
      <c r="D9162" t="inlineStr">
        <is>
          <t>JÄMTLANDS LÄN</t>
        </is>
      </c>
      <c r="E9162" t="inlineStr">
        <is>
          <t>HÄRJEDALEN</t>
        </is>
      </c>
      <c r="F9162" t="inlineStr">
        <is>
          <t>Holmen skog AB</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40664-2023</t>
        </is>
      </c>
      <c r="B9163" s="1" t="n">
        <v>45170</v>
      </c>
      <c r="C9163" s="1" t="n">
        <v>45363</v>
      </c>
      <c r="D9163" t="inlineStr">
        <is>
          <t>JÄMTLANDS LÄN</t>
        </is>
      </c>
      <c r="E9163" t="inlineStr">
        <is>
          <t>HÄRJEDALEN</t>
        </is>
      </c>
      <c r="G9163" t="n">
        <v>65.3</v>
      </c>
      <c r="H9163" t="n">
        <v>0</v>
      </c>
      <c r="I9163" t="n">
        <v>0</v>
      </c>
      <c r="J9163" t="n">
        <v>0</v>
      </c>
      <c r="K9163" t="n">
        <v>0</v>
      </c>
      <c r="L9163" t="n">
        <v>0</v>
      </c>
      <c r="M9163" t="n">
        <v>0</v>
      </c>
      <c r="N9163" t="n">
        <v>0</v>
      </c>
      <c r="O9163" t="n">
        <v>0</v>
      </c>
      <c r="P9163" t="n">
        <v>0</v>
      </c>
      <c r="Q9163" t="n">
        <v>0</v>
      </c>
      <c r="R9163" s="2" t="inlineStr"/>
    </row>
    <row r="9164" ht="15" customHeight="1">
      <c r="A9164" t="inlineStr">
        <is>
          <t>A 40567-2023</t>
        </is>
      </c>
      <c r="B9164" s="1" t="n">
        <v>45170</v>
      </c>
      <c r="C9164" s="1" t="n">
        <v>45363</v>
      </c>
      <c r="D9164" t="inlineStr">
        <is>
          <t>JÄMTLANDS LÄN</t>
        </is>
      </c>
      <c r="E9164" t="inlineStr">
        <is>
          <t>HÄRJEDALEN</t>
        </is>
      </c>
      <c r="F9164" t="inlineStr">
        <is>
          <t>Holmen skog AB</t>
        </is>
      </c>
      <c r="G9164" t="n">
        <v>19.4</v>
      </c>
      <c r="H9164" t="n">
        <v>0</v>
      </c>
      <c r="I9164" t="n">
        <v>0</v>
      </c>
      <c r="J9164" t="n">
        <v>0</v>
      </c>
      <c r="K9164" t="n">
        <v>0</v>
      </c>
      <c r="L9164" t="n">
        <v>0</v>
      </c>
      <c r="M9164" t="n">
        <v>0</v>
      </c>
      <c r="N9164" t="n">
        <v>0</v>
      </c>
      <c r="O9164" t="n">
        <v>0</v>
      </c>
      <c r="P9164" t="n">
        <v>0</v>
      </c>
      <c r="Q9164" t="n">
        <v>0</v>
      </c>
      <c r="R9164" s="2" t="inlineStr"/>
    </row>
    <row r="9165" ht="15" customHeight="1">
      <c r="A9165" t="inlineStr">
        <is>
          <t>A 40573-2023</t>
        </is>
      </c>
      <c r="B9165" s="1" t="n">
        <v>45170</v>
      </c>
      <c r="C9165" s="1" t="n">
        <v>45363</v>
      </c>
      <c r="D9165" t="inlineStr">
        <is>
          <t>JÄMTLANDS LÄN</t>
        </is>
      </c>
      <c r="E9165" t="inlineStr">
        <is>
          <t>HÄRJEDALEN</t>
        </is>
      </c>
      <c r="F9165" t="inlineStr">
        <is>
          <t>Holmen skog AB</t>
        </is>
      </c>
      <c r="G9165" t="n">
        <v>13.1</v>
      </c>
      <c r="H9165" t="n">
        <v>0</v>
      </c>
      <c r="I9165" t="n">
        <v>0</v>
      </c>
      <c r="J9165" t="n">
        <v>0</v>
      </c>
      <c r="K9165" t="n">
        <v>0</v>
      </c>
      <c r="L9165" t="n">
        <v>0</v>
      </c>
      <c r="M9165" t="n">
        <v>0</v>
      </c>
      <c r="N9165" t="n">
        <v>0</v>
      </c>
      <c r="O9165" t="n">
        <v>0</v>
      </c>
      <c r="P9165" t="n">
        <v>0</v>
      </c>
      <c r="Q9165" t="n">
        <v>0</v>
      </c>
      <c r="R9165" s="2" t="inlineStr"/>
    </row>
    <row r="9166" ht="15" customHeight="1">
      <c r="A9166" t="inlineStr">
        <is>
          <t>A 40761-2023</t>
        </is>
      </c>
      <c r="B9166" s="1" t="n">
        <v>45171</v>
      </c>
      <c r="C9166" s="1" t="n">
        <v>45363</v>
      </c>
      <c r="D9166" t="inlineStr">
        <is>
          <t>JÄMTLANDS LÄN</t>
        </is>
      </c>
      <c r="E9166" t="inlineStr">
        <is>
          <t>BRÄCKE</t>
        </is>
      </c>
      <c r="F9166" t="inlineStr">
        <is>
          <t>SCA</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40765-2023</t>
        </is>
      </c>
      <c r="B9167" s="1" t="n">
        <v>45170</v>
      </c>
      <c r="C9167" s="1" t="n">
        <v>45363</v>
      </c>
      <c r="D9167" t="inlineStr">
        <is>
          <t>JÄMTLANDS LÄN</t>
        </is>
      </c>
      <c r="E9167" t="inlineStr">
        <is>
          <t>BRÄCKE</t>
        </is>
      </c>
      <c r="F9167" t="inlineStr">
        <is>
          <t>SCA</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40797-2023</t>
        </is>
      </c>
      <c r="B9168" s="1" t="n">
        <v>45171</v>
      </c>
      <c r="C9168" s="1" t="n">
        <v>45363</v>
      </c>
      <c r="D9168" t="inlineStr">
        <is>
          <t>JÄMTLANDS LÄN</t>
        </is>
      </c>
      <c r="E9168" t="inlineStr">
        <is>
          <t>BERG</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40801-2023</t>
        </is>
      </c>
      <c r="B9169" s="1" t="n">
        <v>45170</v>
      </c>
      <c r="C9169" s="1" t="n">
        <v>45363</v>
      </c>
      <c r="D9169" t="inlineStr">
        <is>
          <t>JÄMTLANDS LÄN</t>
        </is>
      </c>
      <c r="E9169" t="inlineStr">
        <is>
          <t>RAGUNDA</t>
        </is>
      </c>
      <c r="F9169" t="inlineStr">
        <is>
          <t>SCA</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41091-2023</t>
        </is>
      </c>
      <c r="B9170" s="1" t="n">
        <v>45170</v>
      </c>
      <c r="C9170" s="1" t="n">
        <v>45363</v>
      </c>
      <c r="D9170" t="inlineStr">
        <is>
          <t>JÄMTLANDS LÄN</t>
        </is>
      </c>
      <c r="E9170" t="inlineStr">
        <is>
          <t>BERG</t>
        </is>
      </c>
      <c r="F9170" t="inlineStr">
        <is>
          <t>Kommuner</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41106-2023</t>
        </is>
      </c>
      <c r="B9171" s="1" t="n">
        <v>45170</v>
      </c>
      <c r="C9171" s="1" t="n">
        <v>45363</v>
      </c>
      <c r="D9171" t="inlineStr">
        <is>
          <t>JÄMTLANDS LÄN</t>
        </is>
      </c>
      <c r="E9171" t="inlineStr">
        <is>
          <t>BERG</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41098-2023</t>
        </is>
      </c>
      <c r="B9172" s="1" t="n">
        <v>45170</v>
      </c>
      <c r="C9172" s="1" t="n">
        <v>45363</v>
      </c>
      <c r="D9172" t="inlineStr">
        <is>
          <t>JÄMTLANDS LÄN</t>
        </is>
      </c>
      <c r="E9172" t="inlineStr">
        <is>
          <t>BERG</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41175-2023</t>
        </is>
      </c>
      <c r="B9173" s="1" t="n">
        <v>45170</v>
      </c>
      <c r="C9173" s="1" t="n">
        <v>45363</v>
      </c>
      <c r="D9173" t="inlineStr">
        <is>
          <t>JÄMTLANDS LÄN</t>
        </is>
      </c>
      <c r="E9173" t="inlineStr">
        <is>
          <t>BRÄCKE</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40775-2023</t>
        </is>
      </c>
      <c r="B9174" s="1" t="n">
        <v>45171</v>
      </c>
      <c r="C9174" s="1" t="n">
        <v>45363</v>
      </c>
      <c r="D9174" t="inlineStr">
        <is>
          <t>JÄMTLANDS LÄN</t>
        </is>
      </c>
      <c r="E9174" t="inlineStr">
        <is>
          <t>BRÄCKE</t>
        </is>
      </c>
      <c r="F9174" t="inlineStr">
        <is>
          <t>SCA</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40795-2023</t>
        </is>
      </c>
      <c r="B9175" s="1" t="n">
        <v>45171</v>
      </c>
      <c r="C9175" s="1" t="n">
        <v>45363</v>
      </c>
      <c r="D9175" t="inlineStr">
        <is>
          <t>JÄMTLANDS LÄN</t>
        </is>
      </c>
      <c r="E9175" t="inlineStr">
        <is>
          <t>BERG</t>
        </is>
      </c>
      <c r="F9175" t="inlineStr">
        <is>
          <t>SCA</t>
        </is>
      </c>
      <c r="G9175" t="n">
        <v>9.300000000000001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40799-2023</t>
        </is>
      </c>
      <c r="B9176" s="1" t="n">
        <v>45170</v>
      </c>
      <c r="C9176" s="1" t="n">
        <v>45363</v>
      </c>
      <c r="D9176" t="inlineStr">
        <is>
          <t>JÄMTLANDS LÄN</t>
        </is>
      </c>
      <c r="E9176" t="inlineStr">
        <is>
          <t>BERG</t>
        </is>
      </c>
      <c r="F9176" t="inlineStr">
        <is>
          <t>SCA</t>
        </is>
      </c>
      <c r="G9176" t="n">
        <v>17.2</v>
      </c>
      <c r="H9176" t="n">
        <v>0</v>
      </c>
      <c r="I9176" t="n">
        <v>0</v>
      </c>
      <c r="J9176" t="n">
        <v>0</v>
      </c>
      <c r="K9176" t="n">
        <v>0</v>
      </c>
      <c r="L9176" t="n">
        <v>0</v>
      </c>
      <c r="M9176" t="n">
        <v>0</v>
      </c>
      <c r="N9176" t="n">
        <v>0</v>
      </c>
      <c r="O9176" t="n">
        <v>0</v>
      </c>
      <c r="P9176" t="n">
        <v>0</v>
      </c>
      <c r="Q9176" t="n">
        <v>0</v>
      </c>
      <c r="R9176" s="2" t="inlineStr"/>
    </row>
    <row r="9177" ht="15" customHeight="1">
      <c r="A9177" t="inlineStr">
        <is>
          <t>A 41183-2023</t>
        </is>
      </c>
      <c r="B9177" s="1" t="n">
        <v>45170</v>
      </c>
      <c r="C9177" s="1" t="n">
        <v>45363</v>
      </c>
      <c r="D9177" t="inlineStr">
        <is>
          <t>JÄMTLANDS LÄN</t>
        </is>
      </c>
      <c r="E9177" t="inlineStr">
        <is>
          <t>BRÄCKE</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40792-2023</t>
        </is>
      </c>
      <c r="B9178" s="1" t="n">
        <v>45170</v>
      </c>
      <c r="C9178" s="1" t="n">
        <v>45363</v>
      </c>
      <c r="D9178" t="inlineStr">
        <is>
          <t>JÄMTLANDS LÄN</t>
        </is>
      </c>
      <c r="E9178" t="inlineStr">
        <is>
          <t>ÖSTERSUND</t>
        </is>
      </c>
      <c r="G9178" t="n">
        <v>22.4</v>
      </c>
      <c r="H9178" t="n">
        <v>0</v>
      </c>
      <c r="I9178" t="n">
        <v>0</v>
      </c>
      <c r="J9178" t="n">
        <v>0</v>
      </c>
      <c r="K9178" t="n">
        <v>0</v>
      </c>
      <c r="L9178" t="n">
        <v>0</v>
      </c>
      <c r="M9178" t="n">
        <v>0</v>
      </c>
      <c r="N9178" t="n">
        <v>0</v>
      </c>
      <c r="O9178" t="n">
        <v>0</v>
      </c>
      <c r="P9178" t="n">
        <v>0</v>
      </c>
      <c r="Q9178" t="n">
        <v>0</v>
      </c>
      <c r="R9178" s="2" t="inlineStr"/>
    </row>
    <row r="9179" ht="15" customHeight="1">
      <c r="A9179" t="inlineStr">
        <is>
          <t>A 40772-2023</t>
        </is>
      </c>
      <c r="B9179" s="1" t="n">
        <v>45171</v>
      </c>
      <c r="C9179" s="1" t="n">
        <v>45363</v>
      </c>
      <c r="D9179" t="inlineStr">
        <is>
          <t>JÄMTLANDS LÄN</t>
        </is>
      </c>
      <c r="E9179" t="inlineStr">
        <is>
          <t>ÖSTERSUND</t>
        </is>
      </c>
      <c r="F9179" t="inlineStr">
        <is>
          <t>SCA</t>
        </is>
      </c>
      <c r="G9179" t="n">
        <v>17.6</v>
      </c>
      <c r="H9179" t="n">
        <v>0</v>
      </c>
      <c r="I9179" t="n">
        <v>0</v>
      </c>
      <c r="J9179" t="n">
        <v>0</v>
      </c>
      <c r="K9179" t="n">
        <v>0</v>
      </c>
      <c r="L9179" t="n">
        <v>0</v>
      </c>
      <c r="M9179" t="n">
        <v>0</v>
      </c>
      <c r="N9179" t="n">
        <v>0</v>
      </c>
      <c r="O9179" t="n">
        <v>0</v>
      </c>
      <c r="P9179" t="n">
        <v>0</v>
      </c>
      <c r="Q9179" t="n">
        <v>0</v>
      </c>
      <c r="R9179" s="2" t="inlineStr"/>
    </row>
    <row r="9180" ht="15" customHeight="1">
      <c r="A9180" t="inlineStr">
        <is>
          <t>A 40796-2023</t>
        </is>
      </c>
      <c r="B9180" s="1" t="n">
        <v>45170</v>
      </c>
      <c r="C9180" s="1" t="n">
        <v>45363</v>
      </c>
      <c r="D9180" t="inlineStr">
        <is>
          <t>JÄMTLANDS LÄN</t>
        </is>
      </c>
      <c r="E9180" t="inlineStr">
        <is>
          <t>BERG</t>
        </is>
      </c>
      <c r="F9180" t="inlineStr">
        <is>
          <t>SCA</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40800-2023</t>
        </is>
      </c>
      <c r="B9181" s="1" t="n">
        <v>45171</v>
      </c>
      <c r="C9181" s="1" t="n">
        <v>45363</v>
      </c>
      <c r="D9181" t="inlineStr">
        <is>
          <t>JÄMTLANDS LÄN</t>
        </is>
      </c>
      <c r="E9181" t="inlineStr">
        <is>
          <t>RAGUNDA</t>
        </is>
      </c>
      <c r="F9181" t="inlineStr">
        <is>
          <t>SCA</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41105-2023</t>
        </is>
      </c>
      <c r="B9182" s="1" t="n">
        <v>45170</v>
      </c>
      <c r="C9182" s="1" t="n">
        <v>45363</v>
      </c>
      <c r="D9182" t="inlineStr">
        <is>
          <t>JÄMTLANDS LÄN</t>
        </is>
      </c>
      <c r="E9182" t="inlineStr">
        <is>
          <t>BERG</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41188-2023</t>
        </is>
      </c>
      <c r="B9183" s="1" t="n">
        <v>45170</v>
      </c>
      <c r="C9183" s="1" t="n">
        <v>45363</v>
      </c>
      <c r="D9183" t="inlineStr">
        <is>
          <t>JÄMTLANDS LÄN</t>
        </is>
      </c>
      <c r="E9183" t="inlineStr">
        <is>
          <t>BRÄCKE</t>
        </is>
      </c>
      <c r="F9183" t="inlineStr">
        <is>
          <t>Kommuner</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40824-2023</t>
        </is>
      </c>
      <c r="B9184" s="1" t="n">
        <v>45171</v>
      </c>
      <c r="C9184" s="1" t="n">
        <v>45363</v>
      </c>
      <c r="D9184" t="inlineStr">
        <is>
          <t>JÄMTLANDS LÄN</t>
        </is>
      </c>
      <c r="E9184" t="inlineStr">
        <is>
          <t>BERG</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40844-2023</t>
        </is>
      </c>
      <c r="B9185" s="1" t="n">
        <v>45173</v>
      </c>
      <c r="C9185" s="1" t="n">
        <v>45363</v>
      </c>
      <c r="D9185" t="inlineStr">
        <is>
          <t>JÄMTLANDS LÄN</t>
        </is>
      </c>
      <c r="E9185" t="inlineStr">
        <is>
          <t>BRÄCKE</t>
        </is>
      </c>
      <c r="F9185" t="inlineStr">
        <is>
          <t>SCA</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40900-2023</t>
        </is>
      </c>
      <c r="B9186" s="1" t="n">
        <v>45173</v>
      </c>
      <c r="C9186" s="1" t="n">
        <v>45363</v>
      </c>
      <c r="D9186" t="inlineStr">
        <is>
          <t>JÄMTLANDS LÄN</t>
        </is>
      </c>
      <c r="E9186" t="inlineStr">
        <is>
          <t>HÄRJEDALEN</t>
        </is>
      </c>
      <c r="F9186" t="inlineStr">
        <is>
          <t>Bergvik skog väst AB</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40904-2023</t>
        </is>
      </c>
      <c r="B9187" s="1" t="n">
        <v>45173</v>
      </c>
      <c r="C9187" s="1" t="n">
        <v>45363</v>
      </c>
      <c r="D9187" t="inlineStr">
        <is>
          <t>JÄMTLANDS LÄN</t>
        </is>
      </c>
      <c r="E9187" t="inlineStr">
        <is>
          <t>HÄRJEDALEN</t>
        </is>
      </c>
      <c r="F9187" t="inlineStr">
        <is>
          <t>Bergvik skog väst AB</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41058-2023</t>
        </is>
      </c>
      <c r="B9188" s="1" t="n">
        <v>45173</v>
      </c>
      <c r="C9188" s="1" t="n">
        <v>45363</v>
      </c>
      <c r="D9188" t="inlineStr">
        <is>
          <t>JÄMTLANDS LÄN</t>
        </is>
      </c>
      <c r="E9188" t="inlineStr">
        <is>
          <t>HÄRJEDALEN</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41090-2023</t>
        </is>
      </c>
      <c r="B9189" s="1" t="n">
        <v>45173</v>
      </c>
      <c r="C9189" s="1" t="n">
        <v>45363</v>
      </c>
      <c r="D9189" t="inlineStr">
        <is>
          <t>JÄMTLANDS LÄN</t>
        </is>
      </c>
      <c r="E9189" t="inlineStr">
        <is>
          <t>KROKOM</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41142-2023</t>
        </is>
      </c>
      <c r="B9190" s="1" t="n">
        <v>45173</v>
      </c>
      <c r="C9190" s="1" t="n">
        <v>45363</v>
      </c>
      <c r="D9190" t="inlineStr">
        <is>
          <t>JÄMTLANDS LÄN</t>
        </is>
      </c>
      <c r="E9190" t="inlineStr">
        <is>
          <t>KROKOM</t>
        </is>
      </c>
      <c r="F9190" t="inlineStr">
        <is>
          <t>SCA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41150-2023</t>
        </is>
      </c>
      <c r="B9191" s="1" t="n">
        <v>45174</v>
      </c>
      <c r="C9191" s="1" t="n">
        <v>45363</v>
      </c>
      <c r="D9191" t="inlineStr">
        <is>
          <t>JÄMTLANDS LÄN</t>
        </is>
      </c>
      <c r="E9191" t="inlineStr">
        <is>
          <t>STRÖMSUND</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41148-2023</t>
        </is>
      </c>
      <c r="B9192" s="1" t="n">
        <v>45173</v>
      </c>
      <c r="C9192" s="1" t="n">
        <v>45363</v>
      </c>
      <c r="D9192" t="inlineStr">
        <is>
          <t>JÄMTLANDS LÄN</t>
        </is>
      </c>
      <c r="E9192" t="inlineStr">
        <is>
          <t>BRÄCKE</t>
        </is>
      </c>
      <c r="F9192" t="inlineStr">
        <is>
          <t>SCA</t>
        </is>
      </c>
      <c r="G9192" t="n">
        <v>7.5</v>
      </c>
      <c r="H9192" t="n">
        <v>0</v>
      </c>
      <c r="I9192" t="n">
        <v>0</v>
      </c>
      <c r="J9192" t="n">
        <v>0</v>
      </c>
      <c r="K9192" t="n">
        <v>0</v>
      </c>
      <c r="L9192" t="n">
        <v>0</v>
      </c>
      <c r="M9192" t="n">
        <v>0</v>
      </c>
      <c r="N9192" t="n">
        <v>0</v>
      </c>
      <c r="O9192" t="n">
        <v>0</v>
      </c>
      <c r="P9192" t="n">
        <v>0</v>
      </c>
      <c r="Q9192" t="n">
        <v>0</v>
      </c>
      <c r="R9192" s="2" t="inlineStr"/>
    </row>
    <row r="9193" ht="15" customHeight="1">
      <c r="A9193" t="inlineStr">
        <is>
          <t>A 41543-2023</t>
        </is>
      </c>
      <c r="B9193" s="1" t="n">
        <v>45173</v>
      </c>
      <c r="C9193" s="1" t="n">
        <v>45363</v>
      </c>
      <c r="D9193" t="inlineStr">
        <is>
          <t>JÄMTLANDS LÄN</t>
        </is>
      </c>
      <c r="E9193" t="inlineStr">
        <is>
          <t>KROKOM</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41553-2023</t>
        </is>
      </c>
      <c r="B9194" s="1" t="n">
        <v>45173</v>
      </c>
      <c r="C9194" s="1" t="n">
        <v>45363</v>
      </c>
      <c r="D9194" t="inlineStr">
        <is>
          <t>JÄMTLANDS LÄN</t>
        </is>
      </c>
      <c r="E9194" t="inlineStr">
        <is>
          <t>KROKOM</t>
        </is>
      </c>
      <c r="G9194" t="n">
        <v>12.7</v>
      </c>
      <c r="H9194" t="n">
        <v>0</v>
      </c>
      <c r="I9194" t="n">
        <v>0</v>
      </c>
      <c r="J9194" t="n">
        <v>0</v>
      </c>
      <c r="K9194" t="n">
        <v>0</v>
      </c>
      <c r="L9194" t="n">
        <v>0</v>
      </c>
      <c r="M9194" t="n">
        <v>0</v>
      </c>
      <c r="N9194" t="n">
        <v>0</v>
      </c>
      <c r="O9194" t="n">
        <v>0</v>
      </c>
      <c r="P9194" t="n">
        <v>0</v>
      </c>
      <c r="Q9194" t="n">
        <v>0</v>
      </c>
      <c r="R9194" s="2" t="inlineStr"/>
    </row>
    <row r="9195" ht="15" customHeight="1">
      <c r="A9195" t="inlineStr">
        <is>
          <t>A 41536-2023</t>
        </is>
      </c>
      <c r="B9195" s="1" t="n">
        <v>45173</v>
      </c>
      <c r="C9195" s="1" t="n">
        <v>45363</v>
      </c>
      <c r="D9195" t="inlineStr">
        <is>
          <t>JÄMTLANDS LÄN</t>
        </is>
      </c>
      <c r="E9195" t="inlineStr">
        <is>
          <t>STRÖMSUND</t>
        </is>
      </c>
      <c r="G9195" t="n">
        <v>8.199999999999999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41094-2023</t>
        </is>
      </c>
      <c r="B9196" s="1" t="n">
        <v>45173</v>
      </c>
      <c r="C9196" s="1" t="n">
        <v>45363</v>
      </c>
      <c r="D9196" t="inlineStr">
        <is>
          <t>JÄMTLANDS LÄN</t>
        </is>
      </c>
      <c r="E9196" t="inlineStr">
        <is>
          <t>HÄRJEDALEN</t>
        </is>
      </c>
      <c r="F9196" t="inlineStr">
        <is>
          <t>Sveaskog</t>
        </is>
      </c>
      <c r="G9196" t="n">
        <v>0.2</v>
      </c>
      <c r="H9196" t="n">
        <v>0</v>
      </c>
      <c r="I9196" t="n">
        <v>0</v>
      </c>
      <c r="J9196" t="n">
        <v>0</v>
      </c>
      <c r="K9196" t="n">
        <v>0</v>
      </c>
      <c r="L9196" t="n">
        <v>0</v>
      </c>
      <c r="M9196" t="n">
        <v>0</v>
      </c>
      <c r="N9196" t="n">
        <v>0</v>
      </c>
      <c r="O9196" t="n">
        <v>0</v>
      </c>
      <c r="P9196" t="n">
        <v>0</v>
      </c>
      <c r="Q9196" t="n">
        <v>0</v>
      </c>
      <c r="R9196" s="2" t="inlineStr"/>
    </row>
    <row r="9197" ht="15" customHeight="1">
      <c r="A9197" t="inlineStr">
        <is>
          <t>A 41401-2023</t>
        </is>
      </c>
      <c r="B9197" s="1" t="n">
        <v>45174</v>
      </c>
      <c r="C9197" s="1" t="n">
        <v>45363</v>
      </c>
      <c r="D9197" t="inlineStr">
        <is>
          <t>JÄMTLANDS LÄN</t>
        </is>
      </c>
      <c r="E9197" t="inlineStr">
        <is>
          <t>BRÄCKE</t>
        </is>
      </c>
      <c r="F9197" t="inlineStr">
        <is>
          <t>SCA</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41413-2023</t>
        </is>
      </c>
      <c r="B9198" s="1" t="n">
        <v>45175</v>
      </c>
      <c r="C9198" s="1" t="n">
        <v>45363</v>
      </c>
      <c r="D9198" t="inlineStr">
        <is>
          <t>JÄMTLANDS LÄN</t>
        </is>
      </c>
      <c r="E9198" t="inlineStr">
        <is>
          <t>RAGUNDA</t>
        </is>
      </c>
      <c r="F9198" t="inlineStr">
        <is>
          <t>SCA</t>
        </is>
      </c>
      <c r="G9198" t="n">
        <v>40.6</v>
      </c>
      <c r="H9198" t="n">
        <v>0</v>
      </c>
      <c r="I9198" t="n">
        <v>0</v>
      </c>
      <c r="J9198" t="n">
        <v>0</v>
      </c>
      <c r="K9198" t="n">
        <v>0</v>
      </c>
      <c r="L9198" t="n">
        <v>0</v>
      </c>
      <c r="M9198" t="n">
        <v>0</v>
      </c>
      <c r="N9198" t="n">
        <v>0</v>
      </c>
      <c r="O9198" t="n">
        <v>0</v>
      </c>
      <c r="P9198" t="n">
        <v>0</v>
      </c>
      <c r="Q9198" t="n">
        <v>0</v>
      </c>
      <c r="R9198" s="2" t="inlineStr"/>
    </row>
    <row r="9199" ht="15" customHeight="1">
      <c r="A9199" t="inlineStr">
        <is>
          <t>A 41268-2023</t>
        </is>
      </c>
      <c r="B9199" s="1" t="n">
        <v>45174</v>
      </c>
      <c r="C9199" s="1" t="n">
        <v>45363</v>
      </c>
      <c r="D9199" t="inlineStr">
        <is>
          <t>JÄMTLANDS LÄN</t>
        </is>
      </c>
      <c r="E9199" t="inlineStr">
        <is>
          <t>STRÖMSUND</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41224-2023</t>
        </is>
      </c>
      <c r="B9200" s="1" t="n">
        <v>45174</v>
      </c>
      <c r="C9200" s="1" t="n">
        <v>45363</v>
      </c>
      <c r="D9200" t="inlineStr">
        <is>
          <t>JÄMTLANDS LÄN</t>
        </is>
      </c>
      <c r="E9200" t="inlineStr">
        <is>
          <t>ÖSTERSUND</t>
        </is>
      </c>
      <c r="G9200" t="n">
        <v>13.3</v>
      </c>
      <c r="H9200" t="n">
        <v>0</v>
      </c>
      <c r="I9200" t="n">
        <v>0</v>
      </c>
      <c r="J9200" t="n">
        <v>0</v>
      </c>
      <c r="K9200" t="n">
        <v>0</v>
      </c>
      <c r="L9200" t="n">
        <v>0</v>
      </c>
      <c r="M9200" t="n">
        <v>0</v>
      </c>
      <c r="N9200" t="n">
        <v>0</v>
      </c>
      <c r="O9200" t="n">
        <v>0</v>
      </c>
      <c r="P9200" t="n">
        <v>0</v>
      </c>
      <c r="Q9200" t="n">
        <v>0</v>
      </c>
      <c r="R9200" s="2" t="inlineStr"/>
    </row>
    <row r="9201" ht="15" customHeight="1">
      <c r="A9201" t="inlineStr">
        <is>
          <t>A 41402-2023</t>
        </is>
      </c>
      <c r="B9201" s="1" t="n">
        <v>45175</v>
      </c>
      <c r="C9201" s="1" t="n">
        <v>45363</v>
      </c>
      <c r="D9201" t="inlineStr">
        <is>
          <t>JÄMTLANDS LÄN</t>
        </is>
      </c>
      <c r="E9201" t="inlineStr">
        <is>
          <t>RAGUNDA</t>
        </is>
      </c>
      <c r="F9201" t="inlineStr">
        <is>
          <t>SCA</t>
        </is>
      </c>
      <c r="G9201" t="n">
        <v>6.3</v>
      </c>
      <c r="H9201" t="n">
        <v>0</v>
      </c>
      <c r="I9201" t="n">
        <v>0</v>
      </c>
      <c r="J9201" t="n">
        <v>0</v>
      </c>
      <c r="K9201" t="n">
        <v>0</v>
      </c>
      <c r="L9201" t="n">
        <v>0</v>
      </c>
      <c r="M9201" t="n">
        <v>0</v>
      </c>
      <c r="N9201" t="n">
        <v>0</v>
      </c>
      <c r="O9201" t="n">
        <v>0</v>
      </c>
      <c r="P9201" t="n">
        <v>0</v>
      </c>
      <c r="Q9201" t="n">
        <v>0</v>
      </c>
      <c r="R9201" s="2" t="inlineStr"/>
    </row>
    <row r="9202" ht="15" customHeight="1">
      <c r="A9202" t="inlineStr">
        <is>
          <t>A 41404-2023</t>
        </is>
      </c>
      <c r="B9202" s="1" t="n">
        <v>45174</v>
      </c>
      <c r="C9202" s="1" t="n">
        <v>45363</v>
      </c>
      <c r="D9202" t="inlineStr">
        <is>
          <t>JÄMTLANDS LÄN</t>
        </is>
      </c>
      <c r="E9202" t="inlineStr">
        <is>
          <t>KROKOM</t>
        </is>
      </c>
      <c r="G9202" t="n">
        <v>17.2</v>
      </c>
      <c r="H9202" t="n">
        <v>0</v>
      </c>
      <c r="I9202" t="n">
        <v>0</v>
      </c>
      <c r="J9202" t="n">
        <v>0</v>
      </c>
      <c r="K9202" t="n">
        <v>0</v>
      </c>
      <c r="L9202" t="n">
        <v>0</v>
      </c>
      <c r="M9202" t="n">
        <v>0</v>
      </c>
      <c r="N9202" t="n">
        <v>0</v>
      </c>
      <c r="O9202" t="n">
        <v>0</v>
      </c>
      <c r="P9202" t="n">
        <v>0</v>
      </c>
      <c r="Q9202" t="n">
        <v>0</v>
      </c>
      <c r="R9202" s="2" t="inlineStr"/>
    </row>
    <row r="9203" ht="15" customHeight="1">
      <c r="A9203" t="inlineStr">
        <is>
          <t>A 41412-2023</t>
        </is>
      </c>
      <c r="B9203" s="1" t="n">
        <v>45175</v>
      </c>
      <c r="C9203" s="1" t="n">
        <v>45363</v>
      </c>
      <c r="D9203" t="inlineStr">
        <is>
          <t>JÄMTLANDS LÄN</t>
        </is>
      </c>
      <c r="E9203" t="inlineStr">
        <is>
          <t>BRÄCKE</t>
        </is>
      </c>
      <c r="F9203" t="inlineStr">
        <is>
          <t>SCA</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41955-2023</t>
        </is>
      </c>
      <c r="B9204" s="1" t="n">
        <v>45174</v>
      </c>
      <c r="C9204" s="1" t="n">
        <v>45363</v>
      </c>
      <c r="D9204" t="inlineStr">
        <is>
          <t>JÄMTLANDS LÄN</t>
        </is>
      </c>
      <c r="E9204" t="inlineStr">
        <is>
          <t>HÄRJEDALEN</t>
        </is>
      </c>
      <c r="G9204" t="n">
        <v>60.4</v>
      </c>
      <c r="H9204" t="n">
        <v>0</v>
      </c>
      <c r="I9204" t="n">
        <v>0</v>
      </c>
      <c r="J9204" t="n">
        <v>0</v>
      </c>
      <c r="K9204" t="n">
        <v>0</v>
      </c>
      <c r="L9204" t="n">
        <v>0</v>
      </c>
      <c r="M9204" t="n">
        <v>0</v>
      </c>
      <c r="N9204" t="n">
        <v>0</v>
      </c>
      <c r="O9204" t="n">
        <v>0</v>
      </c>
      <c r="P9204" t="n">
        <v>0</v>
      </c>
      <c r="Q9204" t="n">
        <v>0</v>
      </c>
      <c r="R9204" s="2" t="inlineStr"/>
    </row>
    <row r="9205" ht="15" customHeight="1">
      <c r="A9205" t="inlineStr">
        <is>
          <t>A 41970-2023</t>
        </is>
      </c>
      <c r="B9205" s="1" t="n">
        <v>45174</v>
      </c>
      <c r="C9205" s="1" t="n">
        <v>45363</v>
      </c>
      <c r="D9205" t="inlineStr">
        <is>
          <t>JÄMTLANDS LÄN</t>
        </is>
      </c>
      <c r="E9205" t="inlineStr">
        <is>
          <t>STRÖMSUND</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41978-2023</t>
        </is>
      </c>
      <c r="B9206" s="1" t="n">
        <v>45174</v>
      </c>
      <c r="C9206" s="1" t="n">
        <v>45363</v>
      </c>
      <c r="D9206" t="inlineStr">
        <is>
          <t>JÄMTLANDS LÄN</t>
        </is>
      </c>
      <c r="E9206" t="inlineStr">
        <is>
          <t>STRÖMSUND</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41555-2023</t>
        </is>
      </c>
      <c r="B9207" s="1" t="n">
        <v>45175</v>
      </c>
      <c r="C9207" s="1" t="n">
        <v>45363</v>
      </c>
      <c r="D9207" t="inlineStr">
        <is>
          <t>JÄMTLANDS LÄN</t>
        </is>
      </c>
      <c r="E9207" t="inlineStr">
        <is>
          <t>HÄRJEDALEN</t>
        </is>
      </c>
      <c r="F9207" t="inlineStr">
        <is>
          <t>Bergvik skog väst AB</t>
        </is>
      </c>
      <c r="G9207" t="n">
        <v>10.2</v>
      </c>
      <c r="H9207" t="n">
        <v>0</v>
      </c>
      <c r="I9207" t="n">
        <v>0</v>
      </c>
      <c r="J9207" t="n">
        <v>0</v>
      </c>
      <c r="K9207" t="n">
        <v>0</v>
      </c>
      <c r="L9207" t="n">
        <v>0</v>
      </c>
      <c r="M9207" t="n">
        <v>0</v>
      </c>
      <c r="N9207" t="n">
        <v>0</v>
      </c>
      <c r="O9207" t="n">
        <v>0</v>
      </c>
      <c r="P9207" t="n">
        <v>0</v>
      </c>
      <c r="Q9207" t="n">
        <v>0</v>
      </c>
      <c r="R9207" s="2" t="inlineStr"/>
    </row>
    <row r="9208" ht="15" customHeight="1">
      <c r="A9208" t="inlineStr">
        <is>
          <t>A 42295-2023</t>
        </is>
      </c>
      <c r="B9208" s="1" t="n">
        <v>45175</v>
      </c>
      <c r="C9208" s="1" t="n">
        <v>45363</v>
      </c>
      <c r="D9208" t="inlineStr">
        <is>
          <t>JÄMTLANDS LÄN</t>
        </is>
      </c>
      <c r="E9208" t="inlineStr">
        <is>
          <t>RAGUNDA</t>
        </is>
      </c>
      <c r="F9208" t="inlineStr">
        <is>
          <t>Kommuner</t>
        </is>
      </c>
      <c r="G9208" t="n">
        <v>11.8</v>
      </c>
      <c r="H9208" t="n">
        <v>0</v>
      </c>
      <c r="I9208" t="n">
        <v>0</v>
      </c>
      <c r="J9208" t="n">
        <v>0</v>
      </c>
      <c r="K9208" t="n">
        <v>0</v>
      </c>
      <c r="L9208" t="n">
        <v>0</v>
      </c>
      <c r="M9208" t="n">
        <v>0</v>
      </c>
      <c r="N9208" t="n">
        <v>0</v>
      </c>
      <c r="O9208" t="n">
        <v>0</v>
      </c>
      <c r="P9208" t="n">
        <v>0</v>
      </c>
      <c r="Q9208" t="n">
        <v>0</v>
      </c>
      <c r="R9208" s="2" t="inlineStr"/>
    </row>
    <row r="9209" ht="15" customHeight="1">
      <c r="A9209" t="inlineStr">
        <is>
          <t>A 41649-2023</t>
        </is>
      </c>
      <c r="B9209" s="1" t="n">
        <v>45176</v>
      </c>
      <c r="C9209" s="1" t="n">
        <v>45363</v>
      </c>
      <c r="D9209" t="inlineStr">
        <is>
          <t>JÄMTLANDS LÄN</t>
        </is>
      </c>
      <c r="E9209" t="inlineStr">
        <is>
          <t>ÖSTERSUND</t>
        </is>
      </c>
      <c r="F9209" t="inlineStr">
        <is>
          <t>SCA</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41644-2023</t>
        </is>
      </c>
      <c r="B9210" s="1" t="n">
        <v>45175</v>
      </c>
      <c r="C9210" s="1" t="n">
        <v>45363</v>
      </c>
      <c r="D9210" t="inlineStr">
        <is>
          <t>JÄMTLANDS LÄN</t>
        </is>
      </c>
      <c r="E9210" t="inlineStr">
        <is>
          <t>STRÖMSUND</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41656-2023</t>
        </is>
      </c>
      <c r="B9211" s="1" t="n">
        <v>45175</v>
      </c>
      <c r="C9211" s="1" t="n">
        <v>45363</v>
      </c>
      <c r="D9211" t="inlineStr">
        <is>
          <t>JÄMTLANDS LÄN</t>
        </is>
      </c>
      <c r="E9211" t="inlineStr">
        <is>
          <t>RAGUNDA</t>
        </is>
      </c>
      <c r="F9211" t="inlineStr">
        <is>
          <t>SCA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41647-2023</t>
        </is>
      </c>
      <c r="B9212" s="1" t="n">
        <v>45176</v>
      </c>
      <c r="C9212" s="1" t="n">
        <v>45363</v>
      </c>
      <c r="D9212" t="inlineStr">
        <is>
          <t>JÄMTLANDS LÄN</t>
        </is>
      </c>
      <c r="E9212" t="inlineStr">
        <is>
          <t>BRÄCKE</t>
        </is>
      </c>
      <c r="F9212" t="inlineStr">
        <is>
          <t>SCA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41663-2023</t>
        </is>
      </c>
      <c r="B9213" s="1" t="n">
        <v>45176</v>
      </c>
      <c r="C9213" s="1" t="n">
        <v>45363</v>
      </c>
      <c r="D9213" t="inlineStr">
        <is>
          <t>JÄMTLANDS LÄN</t>
        </is>
      </c>
      <c r="E9213" t="inlineStr">
        <is>
          <t>BRÄCKE</t>
        </is>
      </c>
      <c r="F9213" t="inlineStr">
        <is>
          <t>SCA</t>
        </is>
      </c>
      <c r="G9213" t="n">
        <v>10.6</v>
      </c>
      <c r="H9213" t="n">
        <v>0</v>
      </c>
      <c r="I9213" t="n">
        <v>0</v>
      </c>
      <c r="J9213" t="n">
        <v>0</v>
      </c>
      <c r="K9213" t="n">
        <v>0</v>
      </c>
      <c r="L9213" t="n">
        <v>0</v>
      </c>
      <c r="M9213" t="n">
        <v>0</v>
      </c>
      <c r="N9213" t="n">
        <v>0</v>
      </c>
      <c r="O9213" t="n">
        <v>0</v>
      </c>
      <c r="P9213" t="n">
        <v>0</v>
      </c>
      <c r="Q9213" t="n">
        <v>0</v>
      </c>
      <c r="R9213" s="2" t="inlineStr"/>
    </row>
    <row r="9214" ht="15" customHeight="1">
      <c r="A9214" t="inlineStr">
        <is>
          <t>A 42103-2023</t>
        </is>
      </c>
      <c r="B9214" s="1" t="n">
        <v>45175</v>
      </c>
      <c r="C9214" s="1" t="n">
        <v>45363</v>
      </c>
      <c r="D9214" t="inlineStr">
        <is>
          <t>JÄMTLANDS LÄN</t>
        </is>
      </c>
      <c r="E9214" t="inlineStr">
        <is>
          <t>BRÄCKE</t>
        </is>
      </c>
      <c r="G9214" t="n">
        <v>13.8</v>
      </c>
      <c r="H9214" t="n">
        <v>0</v>
      </c>
      <c r="I9214" t="n">
        <v>0</v>
      </c>
      <c r="J9214" t="n">
        <v>0</v>
      </c>
      <c r="K9214" t="n">
        <v>0</v>
      </c>
      <c r="L9214" t="n">
        <v>0</v>
      </c>
      <c r="M9214" t="n">
        <v>0</v>
      </c>
      <c r="N9214" t="n">
        <v>0</v>
      </c>
      <c r="O9214" t="n">
        <v>0</v>
      </c>
      <c r="P9214" t="n">
        <v>0</v>
      </c>
      <c r="Q9214" t="n">
        <v>0</v>
      </c>
      <c r="R9214" s="2" t="inlineStr"/>
    </row>
    <row r="9215" ht="15" customHeight="1">
      <c r="A9215" t="inlineStr">
        <is>
          <t>A 41693-2023</t>
        </is>
      </c>
      <c r="B9215" s="1" t="n">
        <v>45176</v>
      </c>
      <c r="C9215" s="1" t="n">
        <v>45363</v>
      </c>
      <c r="D9215" t="inlineStr">
        <is>
          <t>JÄMTLANDS LÄN</t>
        </is>
      </c>
      <c r="E9215" t="inlineStr">
        <is>
          <t>RAGUNDA</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41769-2023</t>
        </is>
      </c>
      <c r="B9216" s="1" t="n">
        <v>45176</v>
      </c>
      <c r="C9216" s="1" t="n">
        <v>45363</v>
      </c>
      <c r="D9216" t="inlineStr">
        <is>
          <t>JÄMTLANDS LÄN</t>
        </is>
      </c>
      <c r="E9216" t="inlineStr">
        <is>
          <t>KROKOM</t>
        </is>
      </c>
      <c r="F9216" t="inlineStr">
        <is>
          <t>Övriga Aktiebolag</t>
        </is>
      </c>
      <c r="G9216" t="n">
        <v>10.2</v>
      </c>
      <c r="H9216" t="n">
        <v>0</v>
      </c>
      <c r="I9216" t="n">
        <v>0</v>
      </c>
      <c r="J9216" t="n">
        <v>0</v>
      </c>
      <c r="K9216" t="n">
        <v>0</v>
      </c>
      <c r="L9216" t="n">
        <v>0</v>
      </c>
      <c r="M9216" t="n">
        <v>0</v>
      </c>
      <c r="N9216" t="n">
        <v>0</v>
      </c>
      <c r="O9216" t="n">
        <v>0</v>
      </c>
      <c r="P9216" t="n">
        <v>0</v>
      </c>
      <c r="Q9216" t="n">
        <v>0</v>
      </c>
      <c r="R9216" s="2" t="inlineStr"/>
    </row>
    <row r="9217" ht="15" customHeight="1">
      <c r="A9217" t="inlineStr">
        <is>
          <t>A 41902-2023</t>
        </is>
      </c>
      <c r="B9217" s="1" t="n">
        <v>45176</v>
      </c>
      <c r="C9217" s="1" t="n">
        <v>45363</v>
      </c>
      <c r="D9217" t="inlineStr">
        <is>
          <t>JÄMTLANDS LÄN</t>
        </is>
      </c>
      <c r="E9217" t="inlineStr">
        <is>
          <t>STRÖMSUND</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41766-2023</t>
        </is>
      </c>
      <c r="B9218" s="1" t="n">
        <v>45176</v>
      </c>
      <c r="C9218" s="1" t="n">
        <v>45363</v>
      </c>
      <c r="D9218" t="inlineStr">
        <is>
          <t>JÄMTLANDS LÄN</t>
        </is>
      </c>
      <c r="E9218" t="inlineStr">
        <is>
          <t>RAGUNDA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41919-2023</t>
        </is>
      </c>
      <c r="B9219" s="1" t="n">
        <v>45177</v>
      </c>
      <c r="C9219" s="1" t="n">
        <v>45363</v>
      </c>
      <c r="D9219" t="inlineStr">
        <is>
          <t>JÄMTLANDS LÄN</t>
        </is>
      </c>
      <c r="E9219" t="inlineStr">
        <is>
          <t>ÖSTERSUND</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41923-2023</t>
        </is>
      </c>
      <c r="B9220" s="1" t="n">
        <v>45176</v>
      </c>
      <c r="C9220" s="1" t="n">
        <v>45363</v>
      </c>
      <c r="D9220" t="inlineStr">
        <is>
          <t>JÄMTLANDS LÄN</t>
        </is>
      </c>
      <c r="E9220" t="inlineStr">
        <is>
          <t>BRÄCKE</t>
        </is>
      </c>
      <c r="F9220" t="inlineStr">
        <is>
          <t>SCA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41927-2023</t>
        </is>
      </c>
      <c r="B9221" s="1" t="n">
        <v>45176</v>
      </c>
      <c r="C9221" s="1" t="n">
        <v>45363</v>
      </c>
      <c r="D9221" t="inlineStr">
        <is>
          <t>JÄMTLANDS LÄN</t>
        </is>
      </c>
      <c r="E9221" t="inlineStr">
        <is>
          <t>BERG</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41784-2023</t>
        </is>
      </c>
      <c r="B9222" s="1" t="n">
        <v>45176</v>
      </c>
      <c r="C9222" s="1" t="n">
        <v>45363</v>
      </c>
      <c r="D9222" t="inlineStr">
        <is>
          <t>JÄMTLANDS LÄN</t>
        </is>
      </c>
      <c r="E9222" t="inlineStr">
        <is>
          <t>KROKOM</t>
        </is>
      </c>
      <c r="F9222" t="inlineStr">
        <is>
          <t>Övriga Aktiebolag</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41905-2023</t>
        </is>
      </c>
      <c r="B9223" s="1" t="n">
        <v>45176</v>
      </c>
      <c r="C9223" s="1" t="n">
        <v>45363</v>
      </c>
      <c r="D9223" t="inlineStr">
        <is>
          <t>JÄMTLANDS LÄN</t>
        </is>
      </c>
      <c r="E9223" t="inlineStr">
        <is>
          <t>RAGUNDA</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41722-2023</t>
        </is>
      </c>
      <c r="B9224" s="1" t="n">
        <v>45176</v>
      </c>
      <c r="C9224" s="1" t="n">
        <v>45363</v>
      </c>
      <c r="D9224" t="inlineStr">
        <is>
          <t>JÄMTLANDS LÄN</t>
        </is>
      </c>
      <c r="E9224" t="inlineStr">
        <is>
          <t>BRÄCKE</t>
        </is>
      </c>
      <c r="G9224" t="n">
        <v>21.3</v>
      </c>
      <c r="H9224" t="n">
        <v>0</v>
      </c>
      <c r="I9224" t="n">
        <v>0</v>
      </c>
      <c r="J9224" t="n">
        <v>0</v>
      </c>
      <c r="K9224" t="n">
        <v>0</v>
      </c>
      <c r="L9224" t="n">
        <v>0</v>
      </c>
      <c r="M9224" t="n">
        <v>0</v>
      </c>
      <c r="N9224" t="n">
        <v>0</v>
      </c>
      <c r="O9224" t="n">
        <v>0</v>
      </c>
      <c r="P9224" t="n">
        <v>0</v>
      </c>
      <c r="Q9224" t="n">
        <v>0</v>
      </c>
      <c r="R9224" s="2" t="inlineStr"/>
    </row>
    <row r="9225" ht="15" customHeight="1">
      <c r="A9225" t="inlineStr">
        <is>
          <t>A 41918-2023</t>
        </is>
      </c>
      <c r="B9225" s="1" t="n">
        <v>45177</v>
      </c>
      <c r="C9225" s="1" t="n">
        <v>45363</v>
      </c>
      <c r="D9225" t="inlineStr">
        <is>
          <t>JÄMTLANDS LÄN</t>
        </is>
      </c>
      <c r="E9225" t="inlineStr">
        <is>
          <t>ÖSTERSUND</t>
        </is>
      </c>
      <c r="F9225" t="inlineStr">
        <is>
          <t>SCA</t>
        </is>
      </c>
      <c r="G9225" t="n">
        <v>10.5</v>
      </c>
      <c r="H9225" t="n">
        <v>0</v>
      </c>
      <c r="I9225" t="n">
        <v>0</v>
      </c>
      <c r="J9225" t="n">
        <v>0</v>
      </c>
      <c r="K9225" t="n">
        <v>0</v>
      </c>
      <c r="L9225" t="n">
        <v>0</v>
      </c>
      <c r="M9225" t="n">
        <v>0</v>
      </c>
      <c r="N9225" t="n">
        <v>0</v>
      </c>
      <c r="O9225" t="n">
        <v>0</v>
      </c>
      <c r="P9225" t="n">
        <v>0</v>
      </c>
      <c r="Q9225" t="n">
        <v>0</v>
      </c>
      <c r="R9225" s="2" t="inlineStr"/>
    </row>
    <row r="9226" ht="15" customHeight="1">
      <c r="A9226" t="inlineStr">
        <is>
          <t>A 41922-2023</t>
        </is>
      </c>
      <c r="B9226" s="1" t="n">
        <v>45176</v>
      </c>
      <c r="C9226" s="1" t="n">
        <v>45363</v>
      </c>
      <c r="D9226" t="inlineStr">
        <is>
          <t>JÄMTLANDS LÄN</t>
        </is>
      </c>
      <c r="E9226" t="inlineStr">
        <is>
          <t>BRÄCKE</t>
        </is>
      </c>
      <c r="F9226" t="inlineStr">
        <is>
          <t>SCA</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41926-2023</t>
        </is>
      </c>
      <c r="B9227" s="1" t="n">
        <v>45176</v>
      </c>
      <c r="C9227" s="1" t="n">
        <v>45363</v>
      </c>
      <c r="D9227" t="inlineStr">
        <is>
          <t>JÄMTLANDS LÄN</t>
        </is>
      </c>
      <c r="E9227" t="inlineStr">
        <is>
          <t>BERG</t>
        </is>
      </c>
      <c r="F9227" t="inlineStr">
        <is>
          <t>SCA</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41738-2023</t>
        </is>
      </c>
      <c r="B9228" s="1" t="n">
        <v>45176</v>
      </c>
      <c r="C9228" s="1" t="n">
        <v>45363</v>
      </c>
      <c r="D9228" t="inlineStr">
        <is>
          <t>JÄMTLANDS LÄN</t>
        </is>
      </c>
      <c r="E9228" t="inlineStr">
        <is>
          <t>BRÄCKE</t>
        </is>
      </c>
      <c r="G9228" t="n">
        <v>12.7</v>
      </c>
      <c r="H9228" t="n">
        <v>0</v>
      </c>
      <c r="I9228" t="n">
        <v>0</v>
      </c>
      <c r="J9228" t="n">
        <v>0</v>
      </c>
      <c r="K9228" t="n">
        <v>0</v>
      </c>
      <c r="L9228" t="n">
        <v>0</v>
      </c>
      <c r="M9228" t="n">
        <v>0</v>
      </c>
      <c r="N9228" t="n">
        <v>0</v>
      </c>
      <c r="O9228" t="n">
        <v>0</v>
      </c>
      <c r="P9228" t="n">
        <v>0</v>
      </c>
      <c r="Q9228" t="n">
        <v>0</v>
      </c>
      <c r="R9228" s="2" t="inlineStr"/>
    </row>
    <row r="9229" ht="15" customHeight="1">
      <c r="A9229" t="inlineStr">
        <is>
          <t>A 41900-2023</t>
        </is>
      </c>
      <c r="B9229" s="1" t="n">
        <v>45176</v>
      </c>
      <c r="C9229" s="1" t="n">
        <v>45363</v>
      </c>
      <c r="D9229" t="inlineStr">
        <is>
          <t>JÄMTLANDS LÄN</t>
        </is>
      </c>
      <c r="E9229" t="inlineStr">
        <is>
          <t>ÖSTERSUND</t>
        </is>
      </c>
      <c r="G9229" t="n">
        <v>24.4</v>
      </c>
      <c r="H9229" t="n">
        <v>0</v>
      </c>
      <c r="I9229" t="n">
        <v>0</v>
      </c>
      <c r="J9229" t="n">
        <v>0</v>
      </c>
      <c r="K9229" t="n">
        <v>0</v>
      </c>
      <c r="L9229" t="n">
        <v>0</v>
      </c>
      <c r="M9229" t="n">
        <v>0</v>
      </c>
      <c r="N9229" t="n">
        <v>0</v>
      </c>
      <c r="O9229" t="n">
        <v>0</v>
      </c>
      <c r="P9229" t="n">
        <v>0</v>
      </c>
      <c r="Q9229" t="n">
        <v>0</v>
      </c>
      <c r="R9229" s="2" t="inlineStr"/>
    </row>
    <row r="9230" ht="15" customHeight="1">
      <c r="A9230" t="inlineStr">
        <is>
          <t>A 41917-2023</t>
        </is>
      </c>
      <c r="B9230" s="1" t="n">
        <v>45177</v>
      </c>
      <c r="C9230" s="1" t="n">
        <v>45363</v>
      </c>
      <c r="D9230" t="inlineStr">
        <is>
          <t>JÄMTLANDS LÄN</t>
        </is>
      </c>
      <c r="E9230" t="inlineStr">
        <is>
          <t>STRÖMSUND</t>
        </is>
      </c>
      <c r="F9230" t="inlineStr">
        <is>
          <t>SCA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41921-2023</t>
        </is>
      </c>
      <c r="B9231" s="1" t="n">
        <v>45177</v>
      </c>
      <c r="C9231" s="1" t="n">
        <v>45363</v>
      </c>
      <c r="D9231" t="inlineStr">
        <is>
          <t>JÄMTLANDS LÄN</t>
        </is>
      </c>
      <c r="E9231" t="inlineStr">
        <is>
          <t>STRÖMSUND</t>
        </is>
      </c>
      <c r="F9231" t="inlineStr">
        <is>
          <t>SCA</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41925-2023</t>
        </is>
      </c>
      <c r="B9232" s="1" t="n">
        <v>45176</v>
      </c>
      <c r="C9232" s="1" t="n">
        <v>45363</v>
      </c>
      <c r="D9232" t="inlineStr">
        <is>
          <t>JÄMTLANDS LÄN</t>
        </is>
      </c>
      <c r="E9232" t="inlineStr">
        <is>
          <t>BERG</t>
        </is>
      </c>
      <c r="F9232" t="inlineStr">
        <is>
          <t>SCA</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41903-2023</t>
        </is>
      </c>
      <c r="B9233" s="1" t="n">
        <v>45176</v>
      </c>
      <c r="C9233" s="1" t="n">
        <v>45363</v>
      </c>
      <c r="D9233" t="inlineStr">
        <is>
          <t>JÄMTLANDS LÄN</t>
        </is>
      </c>
      <c r="E9233" t="inlineStr">
        <is>
          <t>STRÖMSUND</t>
        </is>
      </c>
      <c r="G9233" t="n">
        <v>6.7</v>
      </c>
      <c r="H9233" t="n">
        <v>0</v>
      </c>
      <c r="I9233" t="n">
        <v>0</v>
      </c>
      <c r="J9233" t="n">
        <v>0</v>
      </c>
      <c r="K9233" t="n">
        <v>0</v>
      </c>
      <c r="L9233" t="n">
        <v>0</v>
      </c>
      <c r="M9233" t="n">
        <v>0</v>
      </c>
      <c r="N9233" t="n">
        <v>0</v>
      </c>
      <c r="O9233" t="n">
        <v>0</v>
      </c>
      <c r="P9233" t="n">
        <v>0</v>
      </c>
      <c r="Q9233" t="n">
        <v>0</v>
      </c>
      <c r="R9233" s="2" t="inlineStr"/>
    </row>
    <row r="9234" ht="15" customHeight="1">
      <c r="A9234" t="inlineStr">
        <is>
          <t>A 41916-2023</t>
        </is>
      </c>
      <c r="B9234" s="1" t="n">
        <v>45177</v>
      </c>
      <c r="C9234" s="1" t="n">
        <v>45363</v>
      </c>
      <c r="D9234" t="inlineStr">
        <is>
          <t>JÄMTLANDS LÄN</t>
        </is>
      </c>
      <c r="E9234" t="inlineStr">
        <is>
          <t>STRÖMSUND</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41920-2023</t>
        </is>
      </c>
      <c r="B9235" s="1" t="n">
        <v>45176</v>
      </c>
      <c r="C9235" s="1" t="n">
        <v>45363</v>
      </c>
      <c r="D9235" t="inlineStr">
        <is>
          <t>JÄMTLANDS LÄN</t>
        </is>
      </c>
      <c r="E9235" t="inlineStr">
        <is>
          <t>BERG</t>
        </is>
      </c>
      <c r="F9235" t="inlineStr">
        <is>
          <t>SCA</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41939-2023</t>
        </is>
      </c>
      <c r="B9236" s="1" t="n">
        <v>45177</v>
      </c>
      <c r="C9236" s="1" t="n">
        <v>45363</v>
      </c>
      <c r="D9236" t="inlineStr">
        <is>
          <t>JÄMTLANDS LÄN</t>
        </is>
      </c>
      <c r="E9236" t="inlineStr">
        <is>
          <t>STRÖMSUND</t>
        </is>
      </c>
      <c r="F9236" t="inlineStr">
        <is>
          <t>SCA</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41936-2023</t>
        </is>
      </c>
      <c r="B9237" s="1" t="n">
        <v>45177</v>
      </c>
      <c r="C9237" s="1" t="n">
        <v>45363</v>
      </c>
      <c r="D9237" t="inlineStr">
        <is>
          <t>JÄMTLANDS LÄN</t>
        </is>
      </c>
      <c r="E9237" t="inlineStr">
        <is>
          <t>BRÄCKE</t>
        </is>
      </c>
      <c r="F9237" t="inlineStr">
        <is>
          <t>SCA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41940-2023</t>
        </is>
      </c>
      <c r="B9238" s="1" t="n">
        <v>45176</v>
      </c>
      <c r="C9238" s="1" t="n">
        <v>45363</v>
      </c>
      <c r="D9238" t="inlineStr">
        <is>
          <t>JÄMTLANDS LÄN</t>
        </is>
      </c>
      <c r="E9238" t="inlineStr">
        <is>
          <t>STRÖMSUND</t>
        </is>
      </c>
      <c r="F9238" t="inlineStr">
        <is>
          <t>SCA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42146-2023</t>
        </is>
      </c>
      <c r="B9239" s="1" t="n">
        <v>45178</v>
      </c>
      <c r="C9239" s="1" t="n">
        <v>45363</v>
      </c>
      <c r="D9239" t="inlineStr">
        <is>
          <t>JÄMTLANDS LÄN</t>
        </is>
      </c>
      <c r="E9239" t="inlineStr">
        <is>
          <t>HÄRJEDALEN</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42154-2023</t>
        </is>
      </c>
      <c r="B9240" s="1" t="n">
        <v>45177</v>
      </c>
      <c r="C9240" s="1" t="n">
        <v>45363</v>
      </c>
      <c r="D9240" t="inlineStr">
        <is>
          <t>JÄMTLANDS LÄN</t>
        </is>
      </c>
      <c r="E9240" t="inlineStr">
        <is>
          <t>KROKOM</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42143-2023</t>
        </is>
      </c>
      <c r="B9241" s="1" t="n">
        <v>45178</v>
      </c>
      <c r="C9241" s="1" t="n">
        <v>45363</v>
      </c>
      <c r="D9241" t="inlineStr">
        <is>
          <t>JÄMTLANDS LÄN</t>
        </is>
      </c>
      <c r="E9241" t="inlineStr">
        <is>
          <t>HÄRJEDALEN</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42151-2023</t>
        </is>
      </c>
      <c r="B9242" s="1" t="n">
        <v>45178</v>
      </c>
      <c r="C9242" s="1" t="n">
        <v>45363</v>
      </c>
      <c r="D9242" t="inlineStr">
        <is>
          <t>JÄMTLANDS LÄN</t>
        </is>
      </c>
      <c r="E9242" t="inlineStr">
        <is>
          <t>ÖSTERSUND</t>
        </is>
      </c>
      <c r="F9242" t="inlineStr">
        <is>
          <t>SCA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42155-2023</t>
        </is>
      </c>
      <c r="B9243" s="1" t="n">
        <v>45177</v>
      </c>
      <c r="C9243" s="1" t="n">
        <v>45363</v>
      </c>
      <c r="D9243" t="inlineStr">
        <is>
          <t>JÄMTLANDS LÄN</t>
        </is>
      </c>
      <c r="E9243" t="inlineStr">
        <is>
          <t>KROKOM</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42159-2023</t>
        </is>
      </c>
      <c r="B9244" s="1" t="n">
        <v>45177</v>
      </c>
      <c r="C9244" s="1" t="n">
        <v>45363</v>
      </c>
      <c r="D9244" t="inlineStr">
        <is>
          <t>JÄMTLANDS LÄN</t>
        </is>
      </c>
      <c r="E9244" t="inlineStr">
        <is>
          <t>BRÄCKE</t>
        </is>
      </c>
      <c r="F9244" t="inlineStr">
        <is>
          <t>SCA</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42149-2023</t>
        </is>
      </c>
      <c r="B9245" s="1" t="n">
        <v>45177</v>
      </c>
      <c r="C9245" s="1" t="n">
        <v>45363</v>
      </c>
      <c r="D9245" t="inlineStr">
        <is>
          <t>JÄMTLANDS LÄN</t>
        </is>
      </c>
      <c r="E9245" t="inlineStr">
        <is>
          <t>RAGUNDA</t>
        </is>
      </c>
      <c r="F9245" t="inlineStr">
        <is>
          <t>SCA</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42929-2023</t>
        </is>
      </c>
      <c r="B9246" s="1" t="n">
        <v>45177</v>
      </c>
      <c r="C9246" s="1" t="n">
        <v>45363</v>
      </c>
      <c r="D9246" t="inlineStr">
        <is>
          <t>JÄMTLANDS LÄN</t>
        </is>
      </c>
      <c r="E9246" t="inlineStr">
        <is>
          <t>BERG</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42284-2023</t>
        </is>
      </c>
      <c r="B9247" s="1" t="n">
        <v>45180</v>
      </c>
      <c r="C9247" s="1" t="n">
        <v>45363</v>
      </c>
      <c r="D9247" t="inlineStr">
        <is>
          <t>JÄMTLANDS LÄN</t>
        </is>
      </c>
      <c r="E9247" t="inlineStr">
        <is>
          <t>STRÖMSUND</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42372-2023</t>
        </is>
      </c>
      <c r="B9248" s="1" t="n">
        <v>45180</v>
      </c>
      <c r="C9248" s="1" t="n">
        <v>45363</v>
      </c>
      <c r="D9248" t="inlineStr">
        <is>
          <t>JÄMTLANDS LÄN</t>
        </is>
      </c>
      <c r="E9248" t="inlineStr">
        <is>
          <t>KROKOM</t>
        </is>
      </c>
      <c r="F9248" t="inlineStr">
        <is>
          <t>Övriga Aktiebolag</t>
        </is>
      </c>
      <c r="G9248" t="n">
        <v>0.2</v>
      </c>
      <c r="H9248" t="n">
        <v>0</v>
      </c>
      <c r="I9248" t="n">
        <v>0</v>
      </c>
      <c r="J9248" t="n">
        <v>0</v>
      </c>
      <c r="K9248" t="n">
        <v>0</v>
      </c>
      <c r="L9248" t="n">
        <v>0</v>
      </c>
      <c r="M9248" t="n">
        <v>0</v>
      </c>
      <c r="N9248" t="n">
        <v>0</v>
      </c>
      <c r="O9248" t="n">
        <v>0</v>
      </c>
      <c r="P9248" t="n">
        <v>0</v>
      </c>
      <c r="Q9248" t="n">
        <v>0</v>
      </c>
      <c r="R9248" s="2" t="inlineStr"/>
    </row>
    <row r="9249" ht="15" customHeight="1">
      <c r="A9249" t="inlineStr">
        <is>
          <t>A 42422-2023</t>
        </is>
      </c>
      <c r="B9249" s="1" t="n">
        <v>45180</v>
      </c>
      <c r="C9249" s="1" t="n">
        <v>45363</v>
      </c>
      <c r="D9249" t="inlineStr">
        <is>
          <t>JÄMTLANDS LÄN</t>
        </is>
      </c>
      <c r="E9249" t="inlineStr">
        <is>
          <t>KROKOM</t>
        </is>
      </c>
      <c r="F9249" t="inlineStr">
        <is>
          <t>Övriga Aktiebolag</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42502-2023</t>
        </is>
      </c>
      <c r="B9250" s="1" t="n">
        <v>45181</v>
      </c>
      <c r="C9250" s="1" t="n">
        <v>45363</v>
      </c>
      <c r="D9250" t="inlineStr">
        <is>
          <t>JÄMTLANDS LÄN</t>
        </is>
      </c>
      <c r="E9250" t="inlineStr">
        <is>
          <t>STRÖMSUND</t>
        </is>
      </c>
      <c r="F9250" t="inlineStr">
        <is>
          <t>SCA</t>
        </is>
      </c>
      <c r="G9250" t="n">
        <v>6.4</v>
      </c>
      <c r="H9250" t="n">
        <v>0</v>
      </c>
      <c r="I9250" t="n">
        <v>0</v>
      </c>
      <c r="J9250" t="n">
        <v>0</v>
      </c>
      <c r="K9250" t="n">
        <v>0</v>
      </c>
      <c r="L9250" t="n">
        <v>0</v>
      </c>
      <c r="M9250" t="n">
        <v>0</v>
      </c>
      <c r="N9250" t="n">
        <v>0</v>
      </c>
      <c r="O9250" t="n">
        <v>0</v>
      </c>
      <c r="P9250" t="n">
        <v>0</v>
      </c>
      <c r="Q9250" t="n">
        <v>0</v>
      </c>
      <c r="R9250" s="2" t="inlineStr"/>
    </row>
    <row r="9251" ht="15" customHeight="1">
      <c r="A9251" t="inlineStr">
        <is>
          <t>A 42287-2023</t>
        </is>
      </c>
      <c r="B9251" s="1" t="n">
        <v>45180</v>
      </c>
      <c r="C9251" s="1" t="n">
        <v>45363</v>
      </c>
      <c r="D9251" t="inlineStr">
        <is>
          <t>JÄMTLANDS LÄN</t>
        </is>
      </c>
      <c r="E9251" t="inlineStr">
        <is>
          <t>STRÖMSUND</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42291-2023</t>
        </is>
      </c>
      <c r="B9252" s="1" t="n">
        <v>45180</v>
      </c>
      <c r="C9252" s="1" t="n">
        <v>45363</v>
      </c>
      <c r="D9252" t="inlineStr">
        <is>
          <t>JÄMTLANDS LÄN</t>
        </is>
      </c>
      <c r="E9252" t="inlineStr">
        <is>
          <t>STRÖMSUND</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42369-2023</t>
        </is>
      </c>
      <c r="B9253" s="1" t="n">
        <v>45180</v>
      </c>
      <c r="C9253" s="1" t="n">
        <v>45363</v>
      </c>
      <c r="D9253" t="inlineStr">
        <is>
          <t>JÄMTLANDS LÄN</t>
        </is>
      </c>
      <c r="E9253" t="inlineStr">
        <is>
          <t>KROKOM</t>
        </is>
      </c>
      <c r="F9253" t="inlineStr">
        <is>
          <t>Övriga Aktiebolag</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42428-2023</t>
        </is>
      </c>
      <c r="B9254" s="1" t="n">
        <v>45180</v>
      </c>
      <c r="C9254" s="1" t="n">
        <v>45363</v>
      </c>
      <c r="D9254" t="inlineStr">
        <is>
          <t>JÄMTLANDS LÄN</t>
        </is>
      </c>
      <c r="E9254" t="inlineStr">
        <is>
          <t>STRÖMSUND</t>
        </is>
      </c>
      <c r="F9254" t="inlineStr">
        <is>
          <t>Holmen skog AB</t>
        </is>
      </c>
      <c r="G9254" t="n">
        <v>15.6</v>
      </c>
      <c r="H9254" t="n">
        <v>0</v>
      </c>
      <c r="I9254" t="n">
        <v>0</v>
      </c>
      <c r="J9254" t="n">
        <v>0</v>
      </c>
      <c r="K9254" t="n">
        <v>0</v>
      </c>
      <c r="L9254" t="n">
        <v>0</v>
      </c>
      <c r="M9254" t="n">
        <v>0</v>
      </c>
      <c r="N9254" t="n">
        <v>0</v>
      </c>
      <c r="O9254" t="n">
        <v>0</v>
      </c>
      <c r="P9254" t="n">
        <v>0</v>
      </c>
      <c r="Q9254" t="n">
        <v>0</v>
      </c>
      <c r="R9254" s="2" t="inlineStr"/>
    </row>
    <row r="9255" ht="15" customHeight="1">
      <c r="A9255" t="inlineStr">
        <is>
          <t>A 42437-2023</t>
        </is>
      </c>
      <c r="B9255" s="1" t="n">
        <v>45180</v>
      </c>
      <c r="C9255" s="1" t="n">
        <v>45363</v>
      </c>
      <c r="D9255" t="inlineStr">
        <is>
          <t>JÄMTLANDS LÄN</t>
        </is>
      </c>
      <c r="E9255" t="inlineStr">
        <is>
          <t>KROKOM</t>
        </is>
      </c>
      <c r="F9255" t="inlineStr">
        <is>
          <t>Övriga Aktiebolag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42417-2023</t>
        </is>
      </c>
      <c r="B9256" s="1" t="n">
        <v>45180</v>
      </c>
      <c r="C9256" s="1" t="n">
        <v>45363</v>
      </c>
      <c r="D9256" t="inlineStr">
        <is>
          <t>JÄMTLANDS LÄN</t>
        </is>
      </c>
      <c r="E9256" t="inlineStr">
        <is>
          <t>KROKOM</t>
        </is>
      </c>
      <c r="F9256" t="inlineStr">
        <is>
          <t>Övriga Aktiebolag</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42439-2023</t>
        </is>
      </c>
      <c r="B9257" s="1" t="n">
        <v>45180</v>
      </c>
      <c r="C9257" s="1" t="n">
        <v>45363</v>
      </c>
      <c r="D9257" t="inlineStr">
        <is>
          <t>JÄMTLANDS LÄN</t>
        </is>
      </c>
      <c r="E9257" t="inlineStr">
        <is>
          <t>KROKOM</t>
        </is>
      </c>
      <c r="F9257" t="inlineStr">
        <is>
          <t>Övriga Aktiebolag</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42448-2023</t>
        </is>
      </c>
      <c r="B9258" s="1" t="n">
        <v>45180</v>
      </c>
      <c r="C9258" s="1" t="n">
        <v>45363</v>
      </c>
      <c r="D9258" t="inlineStr">
        <is>
          <t>JÄMTLANDS LÄN</t>
        </is>
      </c>
      <c r="E9258" t="inlineStr">
        <is>
          <t>STRÖMSUND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42510-2023</t>
        </is>
      </c>
      <c r="B9259" s="1" t="n">
        <v>45181</v>
      </c>
      <c r="C9259" s="1" t="n">
        <v>45363</v>
      </c>
      <c r="D9259" t="inlineStr">
        <is>
          <t>JÄMTLANDS LÄN</t>
        </is>
      </c>
      <c r="E9259" t="inlineStr">
        <is>
          <t>RAGUNDA</t>
        </is>
      </c>
      <c r="F9259" t="inlineStr">
        <is>
          <t>SCA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42509-2023</t>
        </is>
      </c>
      <c r="B9260" s="1" t="n">
        <v>45180</v>
      </c>
      <c r="C9260" s="1" t="n">
        <v>45363</v>
      </c>
      <c r="D9260" t="inlineStr">
        <is>
          <t>JÄMTLANDS LÄN</t>
        </is>
      </c>
      <c r="E9260" t="inlineStr">
        <is>
          <t>RAGUNDA</t>
        </is>
      </c>
      <c r="F9260" t="inlineStr">
        <is>
          <t>SCA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43192-2023</t>
        </is>
      </c>
      <c r="B9261" s="1" t="n">
        <v>45180</v>
      </c>
      <c r="C9261" s="1" t="n">
        <v>45363</v>
      </c>
      <c r="D9261" t="inlineStr">
        <is>
          <t>JÄMTLANDS LÄN</t>
        </is>
      </c>
      <c r="E9261" t="inlineStr">
        <is>
          <t>HÄRJEDALEN</t>
        </is>
      </c>
      <c r="F9261" t="inlineStr">
        <is>
          <t>Övriga Aktiebolag</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42424-2023</t>
        </is>
      </c>
      <c r="B9262" s="1" t="n">
        <v>45180</v>
      </c>
      <c r="C9262" s="1" t="n">
        <v>45363</v>
      </c>
      <c r="D9262" t="inlineStr">
        <is>
          <t>JÄMTLANDS LÄN</t>
        </is>
      </c>
      <c r="E9262" t="inlineStr">
        <is>
          <t>KROKOM</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43211-2023</t>
        </is>
      </c>
      <c r="B9263" s="1" t="n">
        <v>45180</v>
      </c>
      <c r="C9263" s="1" t="n">
        <v>45363</v>
      </c>
      <c r="D9263" t="inlineStr">
        <is>
          <t>JÄMTLANDS LÄN</t>
        </is>
      </c>
      <c r="E9263" t="inlineStr">
        <is>
          <t>HÄRJEDALEN</t>
        </is>
      </c>
      <c r="F9263" t="inlineStr">
        <is>
          <t>Övriga Aktiebolag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42500-2023</t>
        </is>
      </c>
      <c r="B9264" s="1" t="n">
        <v>45181</v>
      </c>
      <c r="C9264" s="1" t="n">
        <v>45363</v>
      </c>
      <c r="D9264" t="inlineStr">
        <is>
          <t>JÄMTLANDS LÄN</t>
        </is>
      </c>
      <c r="E9264" t="inlineStr">
        <is>
          <t>BRÄCKE</t>
        </is>
      </c>
      <c r="F9264" t="inlineStr">
        <is>
          <t>SCA</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42504-2023</t>
        </is>
      </c>
      <c r="B9265" s="1" t="n">
        <v>45181</v>
      </c>
      <c r="C9265" s="1" t="n">
        <v>45363</v>
      </c>
      <c r="D9265" t="inlineStr">
        <is>
          <t>JÄMTLANDS LÄN</t>
        </is>
      </c>
      <c r="E9265" t="inlineStr">
        <is>
          <t>BERG</t>
        </is>
      </c>
      <c r="F9265" t="inlineStr">
        <is>
          <t>SCA</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42508-2023</t>
        </is>
      </c>
      <c r="B9266" s="1" t="n">
        <v>45181</v>
      </c>
      <c r="C9266" s="1" t="n">
        <v>45363</v>
      </c>
      <c r="D9266" t="inlineStr">
        <is>
          <t>JÄMTLANDS LÄN</t>
        </is>
      </c>
      <c r="E9266" t="inlineStr">
        <is>
          <t>RAGUNDA</t>
        </is>
      </c>
      <c r="F9266" t="inlineStr">
        <is>
          <t>SCA</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43180-2023</t>
        </is>
      </c>
      <c r="B9267" s="1" t="n">
        <v>45180</v>
      </c>
      <c r="C9267" s="1" t="n">
        <v>45363</v>
      </c>
      <c r="D9267" t="inlineStr">
        <is>
          <t>JÄMTLANDS LÄN</t>
        </is>
      </c>
      <c r="E9267" t="inlineStr">
        <is>
          <t>BRÄCKE</t>
        </is>
      </c>
      <c r="F9267" t="inlineStr">
        <is>
          <t>SCA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43557-2023</t>
        </is>
      </c>
      <c r="B9268" s="1" t="n">
        <v>45181</v>
      </c>
      <c r="C9268" s="1" t="n">
        <v>45363</v>
      </c>
      <c r="D9268" t="inlineStr">
        <is>
          <t>JÄMTLANDS LÄN</t>
        </is>
      </c>
      <c r="E9268" t="inlineStr">
        <is>
          <t>ÖSTERSUND</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43551-2023</t>
        </is>
      </c>
      <c r="B9269" s="1" t="n">
        <v>45181</v>
      </c>
      <c r="C9269" s="1" t="n">
        <v>45363</v>
      </c>
      <c r="D9269" t="inlineStr">
        <is>
          <t>JÄMTLANDS LÄN</t>
        </is>
      </c>
      <c r="E9269" t="inlineStr">
        <is>
          <t>BRÄCKE</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43565-2023</t>
        </is>
      </c>
      <c r="B9270" s="1" t="n">
        <v>45181</v>
      </c>
      <c r="C9270" s="1" t="n">
        <v>45363</v>
      </c>
      <c r="D9270" t="inlineStr">
        <is>
          <t>JÄMTLANDS LÄN</t>
        </is>
      </c>
      <c r="E9270" t="inlineStr">
        <is>
          <t>STRÖMSUND</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43591-2023</t>
        </is>
      </c>
      <c r="B9271" s="1" t="n">
        <v>45181</v>
      </c>
      <c r="C9271" s="1" t="n">
        <v>45363</v>
      </c>
      <c r="D9271" t="inlineStr">
        <is>
          <t>JÄMTLANDS LÄN</t>
        </is>
      </c>
      <c r="E9271" t="inlineStr">
        <is>
          <t>BRÄCKE</t>
        </is>
      </c>
      <c r="F9271" t="inlineStr">
        <is>
          <t>SCA</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43607-2023</t>
        </is>
      </c>
      <c r="B9272" s="1" t="n">
        <v>45181</v>
      </c>
      <c r="C9272" s="1" t="n">
        <v>45363</v>
      </c>
      <c r="D9272" t="inlineStr">
        <is>
          <t>JÄMTLANDS LÄN</t>
        </is>
      </c>
      <c r="E9272" t="inlineStr">
        <is>
          <t>RAGUNDA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43558-2023</t>
        </is>
      </c>
      <c r="B9273" s="1" t="n">
        <v>45181</v>
      </c>
      <c r="C9273" s="1" t="n">
        <v>45363</v>
      </c>
      <c r="D9273" t="inlineStr">
        <is>
          <t>JÄMTLANDS LÄN</t>
        </is>
      </c>
      <c r="E9273" t="inlineStr">
        <is>
          <t>STRÖMSUND</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43596-2023</t>
        </is>
      </c>
      <c r="B9274" s="1" t="n">
        <v>45181</v>
      </c>
      <c r="C9274" s="1" t="n">
        <v>45363</v>
      </c>
      <c r="D9274" t="inlineStr">
        <is>
          <t>JÄMTLANDS LÄN</t>
        </is>
      </c>
      <c r="E9274" t="inlineStr">
        <is>
          <t>BRÄCKE</t>
        </is>
      </c>
      <c r="F9274" t="inlineStr">
        <is>
          <t>SCA</t>
        </is>
      </c>
      <c r="G9274" t="n">
        <v>8.6</v>
      </c>
      <c r="H9274" t="n">
        <v>0</v>
      </c>
      <c r="I9274" t="n">
        <v>0</v>
      </c>
      <c r="J9274" t="n">
        <v>0</v>
      </c>
      <c r="K9274" t="n">
        <v>0</v>
      </c>
      <c r="L9274" t="n">
        <v>0</v>
      </c>
      <c r="M9274" t="n">
        <v>0</v>
      </c>
      <c r="N9274" t="n">
        <v>0</v>
      </c>
      <c r="O9274" t="n">
        <v>0</v>
      </c>
      <c r="P9274" t="n">
        <v>0</v>
      </c>
      <c r="Q9274" t="n">
        <v>0</v>
      </c>
      <c r="R9274" s="2" t="inlineStr"/>
    </row>
    <row r="9275" ht="15" customHeight="1">
      <c r="A9275" t="inlineStr">
        <is>
          <t>A 42672-2023</t>
        </is>
      </c>
      <c r="B9275" s="1" t="n">
        <v>45181</v>
      </c>
      <c r="C9275" s="1" t="n">
        <v>45363</v>
      </c>
      <c r="D9275" t="inlineStr">
        <is>
          <t>JÄMTLANDS LÄN</t>
        </is>
      </c>
      <c r="E9275" t="inlineStr">
        <is>
          <t>BERG</t>
        </is>
      </c>
      <c r="F9275" t="inlineStr">
        <is>
          <t>Kommuner</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42664-2023</t>
        </is>
      </c>
      <c r="B9276" s="1" t="n">
        <v>45181</v>
      </c>
      <c r="C9276" s="1" t="n">
        <v>45363</v>
      </c>
      <c r="D9276" t="inlineStr">
        <is>
          <t>JÄMTLANDS LÄN</t>
        </is>
      </c>
      <c r="E9276" t="inlineStr">
        <is>
          <t>ÖSTERSUND</t>
        </is>
      </c>
      <c r="F9276" t="inlineStr">
        <is>
          <t>Övriga Aktiebolag</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42679-2023</t>
        </is>
      </c>
      <c r="B9277" s="1" t="n">
        <v>45181</v>
      </c>
      <c r="C9277" s="1" t="n">
        <v>45363</v>
      </c>
      <c r="D9277" t="inlineStr">
        <is>
          <t>JÄMTLANDS LÄN</t>
        </is>
      </c>
      <c r="E9277" t="inlineStr">
        <is>
          <t>ÖSTERSUND</t>
        </is>
      </c>
      <c r="F9277" t="inlineStr">
        <is>
          <t>Övriga Aktiebolag</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42720-2023</t>
        </is>
      </c>
      <c r="B9278" s="1" t="n">
        <v>45181</v>
      </c>
      <c r="C9278" s="1" t="n">
        <v>45363</v>
      </c>
      <c r="D9278" t="inlineStr">
        <is>
          <t>JÄMTLANDS LÄN</t>
        </is>
      </c>
      <c r="E9278" t="inlineStr">
        <is>
          <t>HÄRJEDALEN</t>
        </is>
      </c>
      <c r="F9278" t="inlineStr">
        <is>
          <t>Sveaskog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42626-2023</t>
        </is>
      </c>
      <c r="B9279" s="1" t="n">
        <v>45181</v>
      </c>
      <c r="C9279" s="1" t="n">
        <v>45363</v>
      </c>
      <c r="D9279" t="inlineStr">
        <is>
          <t>JÄMTLANDS LÄN</t>
        </is>
      </c>
      <c r="E9279" t="inlineStr">
        <is>
          <t>ÅRE</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42676-2023</t>
        </is>
      </c>
      <c r="B9280" s="1" t="n">
        <v>45181</v>
      </c>
      <c r="C9280" s="1" t="n">
        <v>45363</v>
      </c>
      <c r="D9280" t="inlineStr">
        <is>
          <t>JÄMTLANDS LÄN</t>
        </is>
      </c>
      <c r="E9280" t="inlineStr">
        <is>
          <t>BERG</t>
        </is>
      </c>
      <c r="F9280" t="inlineStr">
        <is>
          <t>Kommuner</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42966-2023</t>
        </is>
      </c>
      <c r="B9281" s="1" t="n">
        <v>45182</v>
      </c>
      <c r="C9281" s="1" t="n">
        <v>45363</v>
      </c>
      <c r="D9281" t="inlineStr">
        <is>
          <t>JÄMTLANDS LÄN</t>
        </is>
      </c>
      <c r="E9281" t="inlineStr">
        <is>
          <t>STRÖMSUND</t>
        </is>
      </c>
      <c r="G9281" t="n">
        <v>8.1</v>
      </c>
      <c r="H9281" t="n">
        <v>0</v>
      </c>
      <c r="I9281" t="n">
        <v>0</v>
      </c>
      <c r="J9281" t="n">
        <v>0</v>
      </c>
      <c r="K9281" t="n">
        <v>0</v>
      </c>
      <c r="L9281" t="n">
        <v>0</v>
      </c>
      <c r="M9281" t="n">
        <v>0</v>
      </c>
      <c r="N9281" t="n">
        <v>0</v>
      </c>
      <c r="O9281" t="n">
        <v>0</v>
      </c>
      <c r="P9281" t="n">
        <v>0</v>
      </c>
      <c r="Q9281" t="n">
        <v>0</v>
      </c>
      <c r="R9281" s="2" t="inlineStr"/>
    </row>
    <row r="9282" ht="15" customHeight="1">
      <c r="A9282" t="inlineStr">
        <is>
          <t>A 42870-2023</t>
        </is>
      </c>
      <c r="B9282" s="1" t="n">
        <v>45182</v>
      </c>
      <c r="C9282" s="1" t="n">
        <v>45363</v>
      </c>
      <c r="D9282" t="inlineStr">
        <is>
          <t>JÄMTLANDS LÄN</t>
        </is>
      </c>
      <c r="E9282" t="inlineStr">
        <is>
          <t>BERG</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42827-2023</t>
        </is>
      </c>
      <c r="B9283" s="1" t="n">
        <v>45182</v>
      </c>
      <c r="C9283" s="1" t="n">
        <v>45363</v>
      </c>
      <c r="D9283" t="inlineStr">
        <is>
          <t>JÄMTLANDS LÄN</t>
        </is>
      </c>
      <c r="E9283" t="inlineStr">
        <is>
          <t>BERG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43102-2023</t>
        </is>
      </c>
      <c r="B9284" s="1" t="n">
        <v>45182</v>
      </c>
      <c r="C9284" s="1" t="n">
        <v>45363</v>
      </c>
      <c r="D9284" t="inlineStr">
        <is>
          <t>JÄMTLANDS LÄN</t>
        </is>
      </c>
      <c r="E9284" t="inlineStr">
        <is>
          <t>RAGUNDA</t>
        </is>
      </c>
      <c r="F9284" t="inlineStr">
        <is>
          <t>SCA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42828-2023</t>
        </is>
      </c>
      <c r="B9285" s="1" t="n">
        <v>45182</v>
      </c>
      <c r="C9285" s="1" t="n">
        <v>45363</v>
      </c>
      <c r="D9285" t="inlineStr">
        <is>
          <t>JÄMTLANDS LÄN</t>
        </is>
      </c>
      <c r="E9285" t="inlineStr">
        <is>
          <t>KROKOM</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42964-2023</t>
        </is>
      </c>
      <c r="B9286" s="1" t="n">
        <v>45182</v>
      </c>
      <c r="C9286" s="1" t="n">
        <v>45363</v>
      </c>
      <c r="D9286" t="inlineStr">
        <is>
          <t>JÄMTLANDS LÄN</t>
        </is>
      </c>
      <c r="E9286" t="inlineStr">
        <is>
          <t>STRÖMSUND</t>
        </is>
      </c>
      <c r="G9286" t="n">
        <v>7.5</v>
      </c>
      <c r="H9286" t="n">
        <v>0</v>
      </c>
      <c r="I9286" t="n">
        <v>0</v>
      </c>
      <c r="J9286" t="n">
        <v>0</v>
      </c>
      <c r="K9286" t="n">
        <v>0</v>
      </c>
      <c r="L9286" t="n">
        <v>0</v>
      </c>
      <c r="M9286" t="n">
        <v>0</v>
      </c>
      <c r="N9286" t="n">
        <v>0</v>
      </c>
      <c r="O9286" t="n">
        <v>0</v>
      </c>
      <c r="P9286" t="n">
        <v>0</v>
      </c>
      <c r="Q9286" t="n">
        <v>0</v>
      </c>
      <c r="R9286" s="2" t="inlineStr"/>
    </row>
    <row r="9287" ht="15" customHeight="1">
      <c r="A9287" t="inlineStr">
        <is>
          <t>A 42859-2023</t>
        </is>
      </c>
      <c r="B9287" s="1" t="n">
        <v>45182</v>
      </c>
      <c r="C9287" s="1" t="n">
        <v>45363</v>
      </c>
      <c r="D9287" t="inlineStr">
        <is>
          <t>JÄMTLANDS LÄN</t>
        </is>
      </c>
      <c r="E9287" t="inlineStr">
        <is>
          <t>BERG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42864-2023</t>
        </is>
      </c>
      <c r="B9288" s="1" t="n">
        <v>45182</v>
      </c>
      <c r="C9288" s="1" t="n">
        <v>45363</v>
      </c>
      <c r="D9288" t="inlineStr">
        <is>
          <t>JÄMTLANDS LÄN</t>
        </is>
      </c>
      <c r="E9288" t="inlineStr">
        <is>
          <t>BERG</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43103-2023</t>
        </is>
      </c>
      <c r="B9289" s="1" t="n">
        <v>45183</v>
      </c>
      <c r="C9289" s="1" t="n">
        <v>45363</v>
      </c>
      <c r="D9289" t="inlineStr">
        <is>
          <t>JÄMTLANDS LÄN</t>
        </is>
      </c>
      <c r="E9289" t="inlineStr">
        <is>
          <t>ÅRE</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43122-2023</t>
        </is>
      </c>
      <c r="B9290" s="1" t="n">
        <v>45183</v>
      </c>
      <c r="C9290" s="1" t="n">
        <v>45363</v>
      </c>
      <c r="D9290" t="inlineStr">
        <is>
          <t>JÄMTLANDS LÄN</t>
        </is>
      </c>
      <c r="E9290" t="inlineStr">
        <is>
          <t>RAGUNDA</t>
        </is>
      </c>
      <c r="F9290" t="inlineStr">
        <is>
          <t>SCA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43123-2023</t>
        </is>
      </c>
      <c r="B9291" s="1" t="n">
        <v>45182</v>
      </c>
      <c r="C9291" s="1" t="n">
        <v>45363</v>
      </c>
      <c r="D9291" t="inlineStr">
        <is>
          <t>JÄMTLANDS LÄN</t>
        </is>
      </c>
      <c r="E9291" t="inlineStr">
        <is>
          <t>BRÄCKE</t>
        </is>
      </c>
      <c r="F9291" t="inlineStr">
        <is>
          <t>Naturvårdsverket</t>
        </is>
      </c>
      <c r="G9291" t="n">
        <v>9.9</v>
      </c>
      <c r="H9291" t="n">
        <v>0</v>
      </c>
      <c r="I9291" t="n">
        <v>0</v>
      </c>
      <c r="J9291" t="n">
        <v>0</v>
      </c>
      <c r="K9291" t="n">
        <v>0</v>
      </c>
      <c r="L9291" t="n">
        <v>0</v>
      </c>
      <c r="M9291" t="n">
        <v>0</v>
      </c>
      <c r="N9291" t="n">
        <v>0</v>
      </c>
      <c r="O9291" t="n">
        <v>0</v>
      </c>
      <c r="P9291" t="n">
        <v>0</v>
      </c>
      <c r="Q9291" t="n">
        <v>0</v>
      </c>
      <c r="R9291" s="2" t="inlineStr"/>
    </row>
    <row r="9292" ht="15" customHeight="1">
      <c r="A9292" t="inlineStr">
        <is>
          <t>A 43108-2023</t>
        </is>
      </c>
      <c r="B9292" s="1" t="n">
        <v>45183</v>
      </c>
      <c r="C9292" s="1" t="n">
        <v>45363</v>
      </c>
      <c r="D9292" t="inlineStr">
        <is>
          <t>JÄMTLANDS LÄN</t>
        </is>
      </c>
      <c r="E9292" t="inlineStr">
        <is>
          <t>BRÄCKE</t>
        </is>
      </c>
      <c r="F9292" t="inlineStr">
        <is>
          <t>SCA</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43112-2023</t>
        </is>
      </c>
      <c r="B9293" s="1" t="n">
        <v>45183</v>
      </c>
      <c r="C9293" s="1" t="n">
        <v>45363</v>
      </c>
      <c r="D9293" t="inlineStr">
        <is>
          <t>JÄMTLANDS LÄN</t>
        </is>
      </c>
      <c r="E9293" t="inlineStr">
        <is>
          <t>STRÖMSUND</t>
        </is>
      </c>
      <c r="F9293" t="inlineStr">
        <is>
          <t>SCA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42816-2023</t>
        </is>
      </c>
      <c r="B9294" s="1" t="n">
        <v>45182</v>
      </c>
      <c r="C9294" s="1" t="n">
        <v>45363</v>
      </c>
      <c r="D9294" t="inlineStr">
        <is>
          <t>JÄMTLANDS LÄN</t>
        </is>
      </c>
      <c r="E9294" t="inlineStr">
        <is>
          <t>KROKOM</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42825-2023</t>
        </is>
      </c>
      <c r="B9295" s="1" t="n">
        <v>45182</v>
      </c>
      <c r="C9295" s="1" t="n">
        <v>45363</v>
      </c>
      <c r="D9295" t="inlineStr">
        <is>
          <t>JÄMTLANDS LÄN</t>
        </is>
      </c>
      <c r="E9295" t="inlineStr">
        <is>
          <t>KROKOM</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42840-2023</t>
        </is>
      </c>
      <c r="B9296" s="1" t="n">
        <v>45182</v>
      </c>
      <c r="C9296" s="1" t="n">
        <v>45363</v>
      </c>
      <c r="D9296" t="inlineStr">
        <is>
          <t>JÄMTLANDS LÄN</t>
        </is>
      </c>
      <c r="E9296" t="inlineStr">
        <is>
          <t>BERG</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43740-2023</t>
        </is>
      </c>
      <c r="B9297" s="1" t="n">
        <v>45182</v>
      </c>
      <c r="C9297" s="1" t="n">
        <v>45363</v>
      </c>
      <c r="D9297" t="inlineStr">
        <is>
          <t>JÄMTLANDS LÄN</t>
        </is>
      </c>
      <c r="E9297" t="inlineStr">
        <is>
          <t>ÖSTERSUND</t>
        </is>
      </c>
      <c r="G9297" t="n">
        <v>10.2</v>
      </c>
      <c r="H9297" t="n">
        <v>0</v>
      </c>
      <c r="I9297" t="n">
        <v>0</v>
      </c>
      <c r="J9297" t="n">
        <v>0</v>
      </c>
      <c r="K9297" t="n">
        <v>0</v>
      </c>
      <c r="L9297" t="n">
        <v>0</v>
      </c>
      <c r="M9297" t="n">
        <v>0</v>
      </c>
      <c r="N9297" t="n">
        <v>0</v>
      </c>
      <c r="O9297" t="n">
        <v>0</v>
      </c>
      <c r="P9297" t="n">
        <v>0</v>
      </c>
      <c r="Q9297" t="n">
        <v>0</v>
      </c>
      <c r="R9297" s="2" t="inlineStr"/>
    </row>
    <row r="9298" ht="15" customHeight="1">
      <c r="A9298" t="inlineStr">
        <is>
          <t>A 43906-2023</t>
        </is>
      </c>
      <c r="B9298" s="1" t="n">
        <v>45182</v>
      </c>
      <c r="C9298" s="1" t="n">
        <v>45363</v>
      </c>
      <c r="D9298" t="inlineStr">
        <is>
          <t>JÄMTLANDS LÄN</t>
        </is>
      </c>
      <c r="E9298" t="inlineStr">
        <is>
          <t>BRÄCKE</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43135-2023</t>
        </is>
      </c>
      <c r="B9299" s="1" t="n">
        <v>45183</v>
      </c>
      <c r="C9299" s="1" t="n">
        <v>45363</v>
      </c>
      <c r="D9299" t="inlineStr">
        <is>
          <t>JÄMTLANDS LÄN</t>
        </is>
      </c>
      <c r="E9299" t="inlineStr">
        <is>
          <t>ÖSTERSUND</t>
        </is>
      </c>
      <c r="F9299" t="inlineStr">
        <is>
          <t>SCA</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43132-2023</t>
        </is>
      </c>
      <c r="B9300" s="1" t="n">
        <v>45182</v>
      </c>
      <c r="C9300" s="1" t="n">
        <v>45363</v>
      </c>
      <c r="D9300" t="inlineStr">
        <is>
          <t>JÄMTLANDS LÄN</t>
        </is>
      </c>
      <c r="E9300" t="inlineStr">
        <is>
          <t>RAGUNDA</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43762-2023</t>
        </is>
      </c>
      <c r="B9301" s="1" t="n">
        <v>45182</v>
      </c>
      <c r="C9301" s="1" t="n">
        <v>45363</v>
      </c>
      <c r="D9301" t="inlineStr">
        <is>
          <t>JÄMTLANDS LÄN</t>
        </is>
      </c>
      <c r="E9301" t="inlineStr">
        <is>
          <t>BERG</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43910-2023</t>
        </is>
      </c>
      <c r="B9302" s="1" t="n">
        <v>45182</v>
      </c>
      <c r="C9302" s="1" t="n">
        <v>45363</v>
      </c>
      <c r="D9302" t="inlineStr">
        <is>
          <t>JÄMTLANDS LÄN</t>
        </is>
      </c>
      <c r="E9302" t="inlineStr">
        <is>
          <t>BRÄCKE</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43093-2023</t>
        </is>
      </c>
      <c r="B9303" s="1" t="n">
        <v>45182</v>
      </c>
      <c r="C9303" s="1" t="n">
        <v>45363</v>
      </c>
      <c r="D9303" t="inlineStr">
        <is>
          <t>JÄMTLANDS LÄN</t>
        </is>
      </c>
      <c r="E9303" t="inlineStr">
        <is>
          <t>BRÄCKE</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43869-2023</t>
        </is>
      </c>
      <c r="B9304" s="1" t="n">
        <v>45182</v>
      </c>
      <c r="C9304" s="1" t="n">
        <v>45363</v>
      </c>
      <c r="D9304" t="inlineStr">
        <is>
          <t>JÄMTLANDS LÄN</t>
        </is>
      </c>
      <c r="E9304" t="inlineStr">
        <is>
          <t>BRÄCKE</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43926-2023</t>
        </is>
      </c>
      <c r="B9305" s="1" t="n">
        <v>45182</v>
      </c>
      <c r="C9305" s="1" t="n">
        <v>45363</v>
      </c>
      <c r="D9305" t="inlineStr">
        <is>
          <t>JÄMTLANDS LÄN</t>
        </is>
      </c>
      <c r="E9305" t="inlineStr">
        <is>
          <t>RAGUNDA</t>
        </is>
      </c>
      <c r="F9305" t="inlineStr">
        <is>
          <t>Kommuner</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43252-2023</t>
        </is>
      </c>
      <c r="B9306" s="1" t="n">
        <v>45183</v>
      </c>
      <c r="C9306" s="1" t="n">
        <v>45363</v>
      </c>
      <c r="D9306" t="inlineStr">
        <is>
          <t>JÄMTLANDS LÄN</t>
        </is>
      </c>
      <c r="E9306" t="inlineStr">
        <is>
          <t>ÖSTERSUND</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43403-2023</t>
        </is>
      </c>
      <c r="B9307" s="1" t="n">
        <v>45183</v>
      </c>
      <c r="C9307" s="1" t="n">
        <v>45363</v>
      </c>
      <c r="D9307" t="inlineStr">
        <is>
          <t>JÄMTLANDS LÄN</t>
        </is>
      </c>
      <c r="E9307" t="inlineStr">
        <is>
          <t>BERG</t>
        </is>
      </c>
      <c r="F9307" t="inlineStr">
        <is>
          <t>SCA</t>
        </is>
      </c>
      <c r="G9307" t="n">
        <v>0.1</v>
      </c>
      <c r="H9307" t="n">
        <v>0</v>
      </c>
      <c r="I9307" t="n">
        <v>0</v>
      </c>
      <c r="J9307" t="n">
        <v>0</v>
      </c>
      <c r="K9307" t="n">
        <v>0</v>
      </c>
      <c r="L9307" t="n">
        <v>0</v>
      </c>
      <c r="M9307" t="n">
        <v>0</v>
      </c>
      <c r="N9307" t="n">
        <v>0</v>
      </c>
      <c r="O9307" t="n">
        <v>0</v>
      </c>
      <c r="P9307" t="n">
        <v>0</v>
      </c>
      <c r="Q9307" t="n">
        <v>0</v>
      </c>
      <c r="R9307" s="2" t="inlineStr"/>
    </row>
    <row r="9308" ht="15" customHeight="1">
      <c r="A9308" t="inlineStr">
        <is>
          <t>A 43405-2023</t>
        </is>
      </c>
      <c r="B9308" s="1" t="n">
        <v>45184</v>
      </c>
      <c r="C9308" s="1" t="n">
        <v>45363</v>
      </c>
      <c r="D9308" t="inlineStr">
        <is>
          <t>JÄMTLANDS LÄN</t>
        </is>
      </c>
      <c r="E9308" t="inlineStr">
        <is>
          <t>RAGUNDA</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43409-2023</t>
        </is>
      </c>
      <c r="B9309" s="1" t="n">
        <v>45184</v>
      </c>
      <c r="C9309" s="1" t="n">
        <v>45363</v>
      </c>
      <c r="D9309" t="inlineStr">
        <is>
          <t>JÄMTLANDS LÄN</t>
        </is>
      </c>
      <c r="E9309" t="inlineStr">
        <is>
          <t>RAGUNDA</t>
        </is>
      </c>
      <c r="F9309" t="inlineStr">
        <is>
          <t>SCA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43421-2023</t>
        </is>
      </c>
      <c r="B9310" s="1" t="n">
        <v>45184</v>
      </c>
      <c r="C9310" s="1" t="n">
        <v>45363</v>
      </c>
      <c r="D9310" t="inlineStr">
        <is>
          <t>JÄMTLANDS LÄN</t>
        </is>
      </c>
      <c r="E9310" t="inlineStr">
        <is>
          <t>STRÖMSUND</t>
        </is>
      </c>
      <c r="F9310" t="inlineStr">
        <is>
          <t>SCA</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43292-2023</t>
        </is>
      </c>
      <c r="B9311" s="1" t="n">
        <v>45183</v>
      </c>
      <c r="C9311" s="1" t="n">
        <v>45363</v>
      </c>
      <c r="D9311" t="inlineStr">
        <is>
          <t>JÄMTLANDS LÄN</t>
        </is>
      </c>
      <c r="E9311" t="inlineStr">
        <is>
          <t>BRÄCKE</t>
        </is>
      </c>
      <c r="F9311" t="inlineStr">
        <is>
          <t>Kyrkan</t>
        </is>
      </c>
      <c r="G9311" t="n">
        <v>8.4</v>
      </c>
      <c r="H9311" t="n">
        <v>0</v>
      </c>
      <c r="I9311" t="n">
        <v>0</v>
      </c>
      <c r="J9311" t="n">
        <v>0</v>
      </c>
      <c r="K9311" t="n">
        <v>0</v>
      </c>
      <c r="L9311" t="n">
        <v>0</v>
      </c>
      <c r="M9311" t="n">
        <v>0</v>
      </c>
      <c r="N9311" t="n">
        <v>0</v>
      </c>
      <c r="O9311" t="n">
        <v>0</v>
      </c>
      <c r="P9311" t="n">
        <v>0</v>
      </c>
      <c r="Q9311" t="n">
        <v>0</v>
      </c>
      <c r="R9311" s="2" t="inlineStr"/>
    </row>
    <row r="9312" ht="15" customHeight="1">
      <c r="A9312" t="inlineStr">
        <is>
          <t>A 43410-2023</t>
        </is>
      </c>
      <c r="B9312" s="1" t="n">
        <v>45184</v>
      </c>
      <c r="C9312" s="1" t="n">
        <v>45363</v>
      </c>
      <c r="D9312" t="inlineStr">
        <is>
          <t>JÄMTLANDS LÄN</t>
        </is>
      </c>
      <c r="E9312" t="inlineStr">
        <is>
          <t>BERG</t>
        </is>
      </c>
      <c r="F9312" t="inlineStr">
        <is>
          <t>SCA</t>
        </is>
      </c>
      <c r="G9312" t="n">
        <v>24.9</v>
      </c>
      <c r="H9312" t="n">
        <v>0</v>
      </c>
      <c r="I9312" t="n">
        <v>0</v>
      </c>
      <c r="J9312" t="n">
        <v>0</v>
      </c>
      <c r="K9312" t="n">
        <v>0</v>
      </c>
      <c r="L9312" t="n">
        <v>0</v>
      </c>
      <c r="M9312" t="n">
        <v>0</v>
      </c>
      <c r="N9312" t="n">
        <v>0</v>
      </c>
      <c r="O9312" t="n">
        <v>0</v>
      </c>
      <c r="P9312" t="n">
        <v>0</v>
      </c>
      <c r="Q9312" t="n">
        <v>0</v>
      </c>
      <c r="R9312" s="2" t="inlineStr"/>
    </row>
    <row r="9313" ht="15" customHeight="1">
      <c r="A9313" t="inlineStr">
        <is>
          <t>A 43446-2023</t>
        </is>
      </c>
      <c r="B9313" s="1" t="n">
        <v>45184</v>
      </c>
      <c r="C9313" s="1" t="n">
        <v>45363</v>
      </c>
      <c r="D9313" t="inlineStr">
        <is>
          <t>JÄMTLANDS LÄN</t>
        </is>
      </c>
      <c r="E9313" t="inlineStr">
        <is>
          <t>ÅRE</t>
        </is>
      </c>
      <c r="F9313" t="inlineStr">
        <is>
          <t>Övriga Aktiebolag</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43449-2023</t>
        </is>
      </c>
      <c r="B9314" s="1" t="n">
        <v>45184</v>
      </c>
      <c r="C9314" s="1" t="n">
        <v>45363</v>
      </c>
      <c r="D9314" t="inlineStr">
        <is>
          <t>JÄMTLANDS LÄN</t>
        </is>
      </c>
      <c r="E9314" t="inlineStr">
        <is>
          <t>ÅRE</t>
        </is>
      </c>
      <c r="F9314" t="inlineStr">
        <is>
          <t>Övriga Aktiebolag</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43456-2023</t>
        </is>
      </c>
      <c r="B9315" s="1" t="n">
        <v>45184</v>
      </c>
      <c r="C9315" s="1" t="n">
        <v>45363</v>
      </c>
      <c r="D9315" t="inlineStr">
        <is>
          <t>JÄMTLANDS LÄN</t>
        </is>
      </c>
      <c r="E9315" t="inlineStr">
        <is>
          <t>ÅRE</t>
        </is>
      </c>
      <c r="F9315" t="inlineStr">
        <is>
          <t>Övriga Aktiebolag</t>
        </is>
      </c>
      <c r="G9315" t="n">
        <v>8.9</v>
      </c>
      <c r="H9315" t="n">
        <v>0</v>
      </c>
      <c r="I9315" t="n">
        <v>0</v>
      </c>
      <c r="J9315" t="n">
        <v>0</v>
      </c>
      <c r="K9315" t="n">
        <v>0</v>
      </c>
      <c r="L9315" t="n">
        <v>0</v>
      </c>
      <c r="M9315" t="n">
        <v>0</v>
      </c>
      <c r="N9315" t="n">
        <v>0</v>
      </c>
      <c r="O9315" t="n">
        <v>0</v>
      </c>
      <c r="P9315" t="n">
        <v>0</v>
      </c>
      <c r="Q9315" t="n">
        <v>0</v>
      </c>
      <c r="R9315" s="2" t="inlineStr"/>
    </row>
    <row r="9316" ht="15" customHeight="1">
      <c r="A9316" t="inlineStr">
        <is>
          <t>A 43503-2023</t>
        </is>
      </c>
      <c r="B9316" s="1" t="n">
        <v>45184</v>
      </c>
      <c r="C9316" s="1" t="n">
        <v>45363</v>
      </c>
      <c r="D9316" t="inlineStr">
        <is>
          <t>JÄMTLANDS LÄN</t>
        </is>
      </c>
      <c r="E9316" t="inlineStr">
        <is>
          <t>HÄRJEDALEN</t>
        </is>
      </c>
      <c r="F9316" t="inlineStr">
        <is>
          <t>Bergvik skog väst AB</t>
        </is>
      </c>
      <c r="G9316" t="n">
        <v>7.7</v>
      </c>
      <c r="H9316" t="n">
        <v>0</v>
      </c>
      <c r="I9316" t="n">
        <v>0</v>
      </c>
      <c r="J9316" t="n">
        <v>0</v>
      </c>
      <c r="K9316" t="n">
        <v>0</v>
      </c>
      <c r="L9316" t="n">
        <v>0</v>
      </c>
      <c r="M9316" t="n">
        <v>0</v>
      </c>
      <c r="N9316" t="n">
        <v>0</v>
      </c>
      <c r="O9316" t="n">
        <v>0</v>
      </c>
      <c r="P9316" t="n">
        <v>0</v>
      </c>
      <c r="Q9316" t="n">
        <v>0</v>
      </c>
      <c r="R9316" s="2" t="inlineStr"/>
    </row>
    <row r="9317" ht="15" customHeight="1">
      <c r="A9317" t="inlineStr">
        <is>
          <t>A 44642-2023</t>
        </is>
      </c>
      <c r="B9317" s="1" t="n">
        <v>45184</v>
      </c>
      <c r="C9317" s="1" t="n">
        <v>45363</v>
      </c>
      <c r="D9317" t="inlineStr">
        <is>
          <t>JÄMTLANDS LÄN</t>
        </is>
      </c>
      <c r="E9317" t="inlineStr">
        <is>
          <t>STRÖMSUND</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44630-2023</t>
        </is>
      </c>
      <c r="B9318" s="1" t="n">
        <v>45184</v>
      </c>
      <c r="C9318" s="1" t="n">
        <v>45363</v>
      </c>
      <c r="D9318" t="inlineStr">
        <is>
          <t>JÄMTLANDS LÄN</t>
        </is>
      </c>
      <c r="E9318" t="inlineStr">
        <is>
          <t>RAGUNDA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44751-2023</t>
        </is>
      </c>
      <c r="B9319" s="1" t="n">
        <v>45184</v>
      </c>
      <c r="C9319" s="1" t="n">
        <v>45363</v>
      </c>
      <c r="D9319" t="inlineStr">
        <is>
          <t>JÄMTLANDS LÄN</t>
        </is>
      </c>
      <c r="E9319" t="inlineStr">
        <is>
          <t>KROKOM</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43481-2023</t>
        </is>
      </c>
      <c r="B9320" s="1" t="n">
        <v>45184</v>
      </c>
      <c r="C9320" s="1" t="n">
        <v>45363</v>
      </c>
      <c r="D9320" t="inlineStr">
        <is>
          <t>JÄMTLANDS LÄN</t>
        </is>
      </c>
      <c r="E9320" t="inlineStr">
        <is>
          <t>HÄRJEDALEN</t>
        </is>
      </c>
      <c r="F9320" t="inlineStr">
        <is>
          <t>Bergvik skog väst AB</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44512-2023</t>
        </is>
      </c>
      <c r="B9321" s="1" t="n">
        <v>45184</v>
      </c>
      <c r="C9321" s="1" t="n">
        <v>45363</v>
      </c>
      <c r="D9321" t="inlineStr">
        <is>
          <t>JÄMTLANDS LÄN</t>
        </is>
      </c>
      <c r="E9321" t="inlineStr">
        <is>
          <t>ÅRE</t>
        </is>
      </c>
      <c r="G9321" t="n">
        <v>12.5</v>
      </c>
      <c r="H9321" t="n">
        <v>0</v>
      </c>
      <c r="I9321" t="n">
        <v>0</v>
      </c>
      <c r="J9321" t="n">
        <v>0</v>
      </c>
      <c r="K9321" t="n">
        <v>0</v>
      </c>
      <c r="L9321" t="n">
        <v>0</v>
      </c>
      <c r="M9321" t="n">
        <v>0</v>
      </c>
      <c r="N9321" t="n">
        <v>0</v>
      </c>
      <c r="O9321" t="n">
        <v>0</v>
      </c>
      <c r="P9321" t="n">
        <v>0</v>
      </c>
      <c r="Q9321" t="n">
        <v>0</v>
      </c>
      <c r="R9321" s="2" t="inlineStr"/>
    </row>
    <row r="9322" ht="15" customHeight="1">
      <c r="A9322" t="inlineStr">
        <is>
          <t>A 43870-2023</t>
        </is>
      </c>
      <c r="B9322" s="1" t="n">
        <v>45187</v>
      </c>
      <c r="C9322" s="1" t="n">
        <v>45363</v>
      </c>
      <c r="D9322" t="inlineStr">
        <is>
          <t>JÄMTLANDS LÄN</t>
        </is>
      </c>
      <c r="E9322" t="inlineStr">
        <is>
          <t>HÄRJEDALEN</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43804-2023</t>
        </is>
      </c>
      <c r="B9323" s="1" t="n">
        <v>45187</v>
      </c>
      <c r="C9323" s="1" t="n">
        <v>45363</v>
      </c>
      <c r="D9323" t="inlineStr">
        <is>
          <t>JÄMTLANDS LÄN</t>
        </is>
      </c>
      <c r="E9323" t="inlineStr">
        <is>
          <t>HÄRJEDALEN</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43947-2023</t>
        </is>
      </c>
      <c r="B9324" s="1" t="n">
        <v>45188</v>
      </c>
      <c r="C9324" s="1" t="n">
        <v>45363</v>
      </c>
      <c r="D9324" t="inlineStr">
        <is>
          <t>JÄMTLANDS LÄN</t>
        </is>
      </c>
      <c r="E9324" t="inlineStr">
        <is>
          <t>STRÖMSUND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43955-2023</t>
        </is>
      </c>
      <c r="B9325" s="1" t="n">
        <v>45188</v>
      </c>
      <c r="C9325" s="1" t="n">
        <v>45363</v>
      </c>
      <c r="D9325" t="inlineStr">
        <is>
          <t>JÄMTLANDS LÄN</t>
        </is>
      </c>
      <c r="E9325" t="inlineStr">
        <is>
          <t>STRÖMSUND</t>
        </is>
      </c>
      <c r="F9325" t="inlineStr">
        <is>
          <t>SCA</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43744-2023</t>
        </is>
      </c>
      <c r="B9326" s="1" t="n">
        <v>45187</v>
      </c>
      <c r="C9326" s="1" t="n">
        <v>45363</v>
      </c>
      <c r="D9326" t="inlineStr">
        <is>
          <t>JÄMTLANDS LÄN</t>
        </is>
      </c>
      <c r="E9326" t="inlineStr">
        <is>
          <t>BERG</t>
        </is>
      </c>
      <c r="F9326" t="inlineStr">
        <is>
          <t>Kyrkan</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43811-2023</t>
        </is>
      </c>
      <c r="B9327" s="1" t="n">
        <v>45187</v>
      </c>
      <c r="C9327" s="1" t="n">
        <v>45363</v>
      </c>
      <c r="D9327" t="inlineStr">
        <is>
          <t>JÄMTLANDS LÄN</t>
        </is>
      </c>
      <c r="E9327" t="inlineStr">
        <is>
          <t>HÄRJEDALEN</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43820-2023</t>
        </is>
      </c>
      <c r="B9328" s="1" t="n">
        <v>45187</v>
      </c>
      <c r="C9328" s="1" t="n">
        <v>45363</v>
      </c>
      <c r="D9328" t="inlineStr">
        <is>
          <t>JÄMTLANDS LÄN</t>
        </is>
      </c>
      <c r="E9328" t="inlineStr">
        <is>
          <t>HÄRJEDALEN</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43953-2023</t>
        </is>
      </c>
      <c r="B9329" s="1" t="n">
        <v>45187</v>
      </c>
      <c r="C9329" s="1" t="n">
        <v>45363</v>
      </c>
      <c r="D9329" t="inlineStr">
        <is>
          <t>JÄMTLANDS LÄN</t>
        </is>
      </c>
      <c r="E9329" t="inlineStr">
        <is>
          <t>STRÖMSUND</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43957-2023</t>
        </is>
      </c>
      <c r="B9330" s="1" t="n">
        <v>45187</v>
      </c>
      <c r="C9330" s="1" t="n">
        <v>45363</v>
      </c>
      <c r="D9330" t="inlineStr">
        <is>
          <t>JÄMTLANDS LÄN</t>
        </is>
      </c>
      <c r="E9330" t="inlineStr">
        <is>
          <t>BRÄCKE</t>
        </is>
      </c>
      <c r="F9330" t="inlineStr">
        <is>
          <t>SCA</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43956-2023</t>
        </is>
      </c>
      <c r="B9331" s="1" t="n">
        <v>45188</v>
      </c>
      <c r="C9331" s="1" t="n">
        <v>45363</v>
      </c>
      <c r="D9331" t="inlineStr">
        <is>
          <t>JÄMTLANDS LÄN</t>
        </is>
      </c>
      <c r="E9331" t="inlineStr">
        <is>
          <t>STRÖMSUND</t>
        </is>
      </c>
      <c r="F9331" t="inlineStr">
        <is>
          <t>SCA</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43969-2023</t>
        </is>
      </c>
      <c r="B9332" s="1" t="n">
        <v>45187</v>
      </c>
      <c r="C9332" s="1" t="n">
        <v>45363</v>
      </c>
      <c r="D9332" t="inlineStr">
        <is>
          <t>JÄMTLANDS LÄN</t>
        </is>
      </c>
      <c r="E9332" t="inlineStr">
        <is>
          <t>BRÄCKE</t>
        </is>
      </c>
      <c r="F9332" t="inlineStr">
        <is>
          <t>SCA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43976-2023</t>
        </is>
      </c>
      <c r="B9333" s="1" t="n">
        <v>45187</v>
      </c>
      <c r="C9333" s="1" t="n">
        <v>45363</v>
      </c>
      <c r="D9333" t="inlineStr">
        <is>
          <t>JÄMTLANDS LÄN</t>
        </is>
      </c>
      <c r="E9333" t="inlineStr">
        <is>
          <t>STRÖMSUND</t>
        </is>
      </c>
      <c r="F9333" t="inlineStr">
        <is>
          <t>SCA</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43989-2023</t>
        </is>
      </c>
      <c r="B9334" s="1" t="n">
        <v>45187</v>
      </c>
      <c r="C9334" s="1" t="n">
        <v>45363</v>
      </c>
      <c r="D9334" t="inlineStr">
        <is>
          <t>JÄMTLANDS LÄN</t>
        </is>
      </c>
      <c r="E9334" t="inlineStr">
        <is>
          <t>BRÄCKE</t>
        </is>
      </c>
      <c r="F9334" t="inlineStr">
        <is>
          <t>SCA</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43977-2023</t>
        </is>
      </c>
      <c r="B9335" s="1" t="n">
        <v>45187</v>
      </c>
      <c r="C9335" s="1" t="n">
        <v>45363</v>
      </c>
      <c r="D9335" t="inlineStr">
        <is>
          <t>JÄMTLANDS LÄN</t>
        </is>
      </c>
      <c r="E9335" t="inlineStr">
        <is>
          <t>BRÄCKE</t>
        </is>
      </c>
      <c r="F9335" t="inlineStr">
        <is>
          <t>SCA</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43991-2023</t>
        </is>
      </c>
      <c r="B9336" s="1" t="n">
        <v>45187</v>
      </c>
      <c r="C9336" s="1" t="n">
        <v>45363</v>
      </c>
      <c r="D9336" t="inlineStr">
        <is>
          <t>JÄMTLANDS LÄN</t>
        </is>
      </c>
      <c r="E9336" t="inlineStr">
        <is>
          <t>BERG</t>
        </is>
      </c>
      <c r="F9336" t="inlineStr">
        <is>
          <t>SCA</t>
        </is>
      </c>
      <c r="G9336" t="n">
        <v>17.3</v>
      </c>
      <c r="H9336" t="n">
        <v>0</v>
      </c>
      <c r="I9336" t="n">
        <v>0</v>
      </c>
      <c r="J9336" t="n">
        <v>0</v>
      </c>
      <c r="K9336" t="n">
        <v>0</v>
      </c>
      <c r="L9336" t="n">
        <v>0</v>
      </c>
      <c r="M9336" t="n">
        <v>0</v>
      </c>
      <c r="N9336" t="n">
        <v>0</v>
      </c>
      <c r="O9336" t="n">
        <v>0</v>
      </c>
      <c r="P9336" t="n">
        <v>0</v>
      </c>
      <c r="Q9336" t="n">
        <v>0</v>
      </c>
      <c r="R9336" s="2" t="inlineStr"/>
    </row>
    <row r="9337" ht="15" customHeight="1">
      <c r="A9337" t="inlineStr">
        <is>
          <t>A 44937-2023</t>
        </is>
      </c>
      <c r="B9337" s="1" t="n">
        <v>45187</v>
      </c>
      <c r="C9337" s="1" t="n">
        <v>45363</v>
      </c>
      <c r="D9337" t="inlineStr">
        <is>
          <t>JÄMTLANDS LÄN</t>
        </is>
      </c>
      <c r="E9337" t="inlineStr">
        <is>
          <t>BERG</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45242-2023</t>
        </is>
      </c>
      <c r="B9338" s="1" t="n">
        <v>45187</v>
      </c>
      <c r="C9338" s="1" t="n">
        <v>45363</v>
      </c>
      <c r="D9338" t="inlineStr">
        <is>
          <t>JÄMTLANDS LÄN</t>
        </is>
      </c>
      <c r="E9338" t="inlineStr">
        <is>
          <t>ÅRE</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43971-2023</t>
        </is>
      </c>
      <c r="B9339" s="1" t="n">
        <v>45188</v>
      </c>
      <c r="C9339" s="1" t="n">
        <v>45363</v>
      </c>
      <c r="D9339" t="inlineStr">
        <is>
          <t>JÄMTLANDS LÄN</t>
        </is>
      </c>
      <c r="E9339" t="inlineStr">
        <is>
          <t>BRÄCKE</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44881-2023</t>
        </is>
      </c>
      <c r="B9340" s="1" t="n">
        <v>45187</v>
      </c>
      <c r="C9340" s="1" t="n">
        <v>45363</v>
      </c>
      <c r="D9340" t="inlineStr">
        <is>
          <t>JÄMTLANDS LÄN</t>
        </is>
      </c>
      <c r="E9340" t="inlineStr">
        <is>
          <t>RAGUNDA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45257-2023</t>
        </is>
      </c>
      <c r="B9341" s="1" t="n">
        <v>45187</v>
      </c>
      <c r="C9341" s="1" t="n">
        <v>45363</v>
      </c>
      <c r="D9341" t="inlineStr">
        <is>
          <t>JÄMTLANDS LÄN</t>
        </is>
      </c>
      <c r="E9341" t="inlineStr">
        <is>
          <t>RAGUNDA</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43958-2023</t>
        </is>
      </c>
      <c r="B9342" s="1" t="n">
        <v>45187</v>
      </c>
      <c r="C9342" s="1" t="n">
        <v>45363</v>
      </c>
      <c r="D9342" t="inlineStr">
        <is>
          <t>JÄMTLANDS LÄN</t>
        </is>
      </c>
      <c r="E9342" t="inlineStr">
        <is>
          <t>BRÄCKE</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43982-2023</t>
        </is>
      </c>
      <c r="B9343" s="1" t="n">
        <v>45187</v>
      </c>
      <c r="C9343" s="1" t="n">
        <v>45363</v>
      </c>
      <c r="D9343" t="inlineStr">
        <is>
          <t>JÄMTLANDS LÄN</t>
        </is>
      </c>
      <c r="E9343" t="inlineStr">
        <is>
          <t>BRÄCKE</t>
        </is>
      </c>
      <c r="F9343" t="inlineStr">
        <is>
          <t>SCA</t>
        </is>
      </c>
      <c r="G9343" t="n">
        <v>25.6</v>
      </c>
      <c r="H9343" t="n">
        <v>0</v>
      </c>
      <c r="I9343" t="n">
        <v>0</v>
      </c>
      <c r="J9343" t="n">
        <v>0</v>
      </c>
      <c r="K9343" t="n">
        <v>0</v>
      </c>
      <c r="L9343" t="n">
        <v>0</v>
      </c>
      <c r="M9343" t="n">
        <v>0</v>
      </c>
      <c r="N9343" t="n">
        <v>0</v>
      </c>
      <c r="O9343" t="n">
        <v>0</v>
      </c>
      <c r="P9343" t="n">
        <v>0</v>
      </c>
      <c r="Q9343" t="n">
        <v>0</v>
      </c>
      <c r="R9343" s="2" t="inlineStr"/>
    </row>
    <row r="9344" ht="15" customHeight="1">
      <c r="A9344" t="inlineStr">
        <is>
          <t>A 43970-2023</t>
        </is>
      </c>
      <c r="B9344" s="1" t="n">
        <v>45187</v>
      </c>
      <c r="C9344" s="1" t="n">
        <v>45363</v>
      </c>
      <c r="D9344" t="inlineStr">
        <is>
          <t>JÄMTLANDS LÄN</t>
        </is>
      </c>
      <c r="E9344" t="inlineStr">
        <is>
          <t>BRÄCKE</t>
        </is>
      </c>
      <c r="F9344" t="inlineStr">
        <is>
          <t>SCA</t>
        </is>
      </c>
      <c r="G9344" t="n">
        <v>9.4</v>
      </c>
      <c r="H9344" t="n">
        <v>0</v>
      </c>
      <c r="I9344" t="n">
        <v>0</v>
      </c>
      <c r="J9344" t="n">
        <v>0</v>
      </c>
      <c r="K9344" t="n">
        <v>0</v>
      </c>
      <c r="L9344" t="n">
        <v>0</v>
      </c>
      <c r="M9344" t="n">
        <v>0</v>
      </c>
      <c r="N9344" t="n">
        <v>0</v>
      </c>
      <c r="O9344" t="n">
        <v>0</v>
      </c>
      <c r="P9344" t="n">
        <v>0</v>
      </c>
      <c r="Q9344" t="n">
        <v>0</v>
      </c>
      <c r="R9344" s="2" t="inlineStr"/>
    </row>
    <row r="9345" ht="15" customHeight="1">
      <c r="A9345" t="inlineStr">
        <is>
          <t>A 45253-2023</t>
        </is>
      </c>
      <c r="B9345" s="1" t="n">
        <v>45187</v>
      </c>
      <c r="C9345" s="1" t="n">
        <v>45363</v>
      </c>
      <c r="D9345" t="inlineStr">
        <is>
          <t>JÄMTLANDS LÄN</t>
        </is>
      </c>
      <c r="E9345" t="inlineStr">
        <is>
          <t>RAGUNDA</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44102-2023</t>
        </is>
      </c>
      <c r="B9346" s="1" t="n">
        <v>45188</v>
      </c>
      <c r="C9346" s="1" t="n">
        <v>45363</v>
      </c>
      <c r="D9346" t="inlineStr">
        <is>
          <t>JÄMTLANDS LÄN</t>
        </is>
      </c>
      <c r="E9346" t="inlineStr">
        <is>
          <t>HÄRJEDALEN</t>
        </is>
      </c>
      <c r="F9346" t="inlineStr">
        <is>
          <t>Bergvik skog väst AB</t>
        </is>
      </c>
      <c r="G9346" t="n">
        <v>11.6</v>
      </c>
      <c r="H9346" t="n">
        <v>0</v>
      </c>
      <c r="I9346" t="n">
        <v>0</v>
      </c>
      <c r="J9346" t="n">
        <v>0</v>
      </c>
      <c r="K9346" t="n">
        <v>0</v>
      </c>
      <c r="L9346" t="n">
        <v>0</v>
      </c>
      <c r="M9346" t="n">
        <v>0</v>
      </c>
      <c r="N9346" t="n">
        <v>0</v>
      </c>
      <c r="O9346" t="n">
        <v>0</v>
      </c>
      <c r="P9346" t="n">
        <v>0</v>
      </c>
      <c r="Q9346" t="n">
        <v>0</v>
      </c>
      <c r="R9346" s="2" t="inlineStr"/>
    </row>
    <row r="9347" ht="15" customHeight="1">
      <c r="A9347" t="inlineStr">
        <is>
          <t>A 44324-2023</t>
        </is>
      </c>
      <c r="B9347" s="1" t="n">
        <v>45188</v>
      </c>
      <c r="C9347" s="1" t="n">
        <v>45363</v>
      </c>
      <c r="D9347" t="inlineStr">
        <is>
          <t>JÄMTLANDS LÄN</t>
        </is>
      </c>
      <c r="E9347" t="inlineStr">
        <is>
          <t>BRÄCKE</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44309-2023</t>
        </is>
      </c>
      <c r="B9348" s="1" t="n">
        <v>45188</v>
      </c>
      <c r="C9348" s="1" t="n">
        <v>45363</v>
      </c>
      <c r="D9348" t="inlineStr">
        <is>
          <t>JÄMTLANDS LÄN</t>
        </is>
      </c>
      <c r="E9348" t="inlineStr">
        <is>
          <t>BERG</t>
        </is>
      </c>
      <c r="F9348" t="inlineStr">
        <is>
          <t>Sveaskog</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44314-2023</t>
        </is>
      </c>
      <c r="B9349" s="1" t="n">
        <v>45188</v>
      </c>
      <c r="C9349" s="1" t="n">
        <v>45363</v>
      </c>
      <c r="D9349" t="inlineStr">
        <is>
          <t>JÄMTLANDS LÄN</t>
        </is>
      </c>
      <c r="E9349" t="inlineStr">
        <is>
          <t>BERG</t>
        </is>
      </c>
      <c r="F9349" t="inlineStr">
        <is>
          <t>Sveaskog</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44318-2023</t>
        </is>
      </c>
      <c r="B9350" s="1" t="n">
        <v>45188</v>
      </c>
      <c r="C9350" s="1" t="n">
        <v>45363</v>
      </c>
      <c r="D9350" t="inlineStr">
        <is>
          <t>JÄMTLANDS LÄN</t>
        </is>
      </c>
      <c r="E9350" t="inlineStr">
        <is>
          <t>BRÄCKE</t>
        </is>
      </c>
      <c r="F9350" t="inlineStr">
        <is>
          <t>Sveaskog</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44321-2023</t>
        </is>
      </c>
      <c r="B9351" s="1" t="n">
        <v>45188</v>
      </c>
      <c r="C9351" s="1" t="n">
        <v>45363</v>
      </c>
      <c r="D9351" t="inlineStr">
        <is>
          <t>JÄMTLANDS LÄN</t>
        </is>
      </c>
      <c r="E9351" t="inlineStr">
        <is>
          <t>BRÄCKE</t>
        </is>
      </c>
      <c r="F9351" t="inlineStr">
        <is>
          <t>Sveaskog</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44328-2023</t>
        </is>
      </c>
      <c r="B9352" s="1" t="n">
        <v>45188</v>
      </c>
      <c r="C9352" s="1" t="n">
        <v>45363</v>
      </c>
      <c r="D9352" t="inlineStr">
        <is>
          <t>JÄMTLANDS LÄN</t>
        </is>
      </c>
      <c r="E9352" t="inlineStr">
        <is>
          <t>BRÄCKE</t>
        </is>
      </c>
      <c r="F9352" t="inlineStr">
        <is>
          <t>Sveaskog</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44327-2023</t>
        </is>
      </c>
      <c r="B9353" s="1" t="n">
        <v>45188</v>
      </c>
      <c r="C9353" s="1" t="n">
        <v>45363</v>
      </c>
      <c r="D9353" t="inlineStr">
        <is>
          <t>JÄMTLANDS LÄN</t>
        </is>
      </c>
      <c r="E9353" t="inlineStr">
        <is>
          <t>ÖSTERSUND</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44359-2023</t>
        </is>
      </c>
      <c r="B9354" s="1" t="n">
        <v>45188</v>
      </c>
      <c r="C9354" s="1" t="n">
        <v>45363</v>
      </c>
      <c r="D9354" t="inlineStr">
        <is>
          <t>JÄMTLANDS LÄN</t>
        </is>
      </c>
      <c r="E9354" t="inlineStr">
        <is>
          <t>ÖSTERSUND</t>
        </is>
      </c>
      <c r="G9354" t="n">
        <v>8.1</v>
      </c>
      <c r="H9354" t="n">
        <v>0</v>
      </c>
      <c r="I9354" t="n">
        <v>0</v>
      </c>
      <c r="J9354" t="n">
        <v>0</v>
      </c>
      <c r="K9354" t="n">
        <v>0</v>
      </c>
      <c r="L9354" t="n">
        <v>0</v>
      </c>
      <c r="M9354" t="n">
        <v>0</v>
      </c>
      <c r="N9354" t="n">
        <v>0</v>
      </c>
      <c r="O9354" t="n">
        <v>0</v>
      </c>
      <c r="P9354" t="n">
        <v>0</v>
      </c>
      <c r="Q9354" t="n">
        <v>0</v>
      </c>
      <c r="R9354" s="2" t="inlineStr"/>
    </row>
    <row r="9355" ht="15" customHeight="1">
      <c r="A9355" t="inlineStr">
        <is>
          <t>A 44357-2023</t>
        </is>
      </c>
      <c r="B9355" s="1" t="n">
        <v>45188</v>
      </c>
      <c r="C9355" s="1" t="n">
        <v>45363</v>
      </c>
      <c r="D9355" t="inlineStr">
        <is>
          <t>JÄMTLANDS LÄN</t>
        </is>
      </c>
      <c r="E9355" t="inlineStr">
        <is>
          <t>BRÄCKE</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44381-2023</t>
        </is>
      </c>
      <c r="B9356" s="1" t="n">
        <v>45188</v>
      </c>
      <c r="C9356" s="1" t="n">
        <v>45363</v>
      </c>
      <c r="D9356" t="inlineStr">
        <is>
          <t>JÄMTLANDS LÄN</t>
        </is>
      </c>
      <c r="E9356" t="inlineStr">
        <is>
          <t>BRÄCKE</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44385-2023</t>
        </is>
      </c>
      <c r="B9357" s="1" t="n">
        <v>45189</v>
      </c>
      <c r="C9357" s="1" t="n">
        <v>45363</v>
      </c>
      <c r="D9357" t="inlineStr">
        <is>
          <t>JÄMTLANDS LÄN</t>
        </is>
      </c>
      <c r="E9357" t="inlineStr">
        <is>
          <t>STRÖMSUND</t>
        </is>
      </c>
      <c r="F9357" t="inlineStr">
        <is>
          <t>SCA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44384-2023</t>
        </is>
      </c>
      <c r="B9358" s="1" t="n">
        <v>45189</v>
      </c>
      <c r="C9358" s="1" t="n">
        <v>45363</v>
      </c>
      <c r="D9358" t="inlineStr">
        <is>
          <t>JÄMTLANDS LÄN</t>
        </is>
      </c>
      <c r="E9358" t="inlineStr">
        <is>
          <t>STRÖMSUND</t>
        </is>
      </c>
      <c r="F9358" t="inlineStr">
        <is>
          <t>SCA</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44400-2023</t>
        </is>
      </c>
      <c r="B9359" s="1" t="n">
        <v>45189</v>
      </c>
      <c r="C9359" s="1" t="n">
        <v>45363</v>
      </c>
      <c r="D9359" t="inlineStr">
        <is>
          <t>JÄMTLANDS LÄN</t>
        </is>
      </c>
      <c r="E9359" t="inlineStr">
        <is>
          <t>BRÄCKE</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44270-2023</t>
        </is>
      </c>
      <c r="B9360" s="1" t="n">
        <v>45188</v>
      </c>
      <c r="C9360" s="1" t="n">
        <v>45363</v>
      </c>
      <c r="D9360" t="inlineStr">
        <is>
          <t>JÄMTLANDS LÄN</t>
        </is>
      </c>
      <c r="E9360" t="inlineStr">
        <is>
          <t>HÄRJEDALEN</t>
        </is>
      </c>
      <c r="G9360" t="n">
        <v>15.6</v>
      </c>
      <c r="H9360" t="n">
        <v>0</v>
      </c>
      <c r="I9360" t="n">
        <v>0</v>
      </c>
      <c r="J9360" t="n">
        <v>0</v>
      </c>
      <c r="K9360" t="n">
        <v>0</v>
      </c>
      <c r="L9360" t="n">
        <v>0</v>
      </c>
      <c r="M9360" t="n">
        <v>0</v>
      </c>
      <c r="N9360" t="n">
        <v>0</v>
      </c>
      <c r="O9360" t="n">
        <v>0</v>
      </c>
      <c r="P9360" t="n">
        <v>0</v>
      </c>
      <c r="Q9360" t="n">
        <v>0</v>
      </c>
      <c r="R9360" s="2" t="inlineStr"/>
    </row>
    <row r="9361" ht="15" customHeight="1">
      <c r="A9361" t="inlineStr">
        <is>
          <t>A 45640-2023</t>
        </is>
      </c>
      <c r="B9361" s="1" t="n">
        <v>45188</v>
      </c>
      <c r="C9361" s="1" t="n">
        <v>45363</v>
      </c>
      <c r="D9361" t="inlineStr">
        <is>
          <t>JÄMTLANDS LÄN</t>
        </is>
      </c>
      <c r="E9361" t="inlineStr">
        <is>
          <t>HÄRJEDALEN</t>
        </is>
      </c>
      <c r="F9361" t="inlineStr">
        <is>
          <t>Bergvik skog väst AB</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44313-2023</t>
        </is>
      </c>
      <c r="B9362" s="1" t="n">
        <v>45188</v>
      </c>
      <c r="C9362" s="1" t="n">
        <v>45363</v>
      </c>
      <c r="D9362" t="inlineStr">
        <is>
          <t>JÄMTLANDS LÄN</t>
        </is>
      </c>
      <c r="E9362" t="inlineStr">
        <is>
          <t>BERG</t>
        </is>
      </c>
      <c r="F9362" t="inlineStr">
        <is>
          <t>Sveaskog</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44399-2023</t>
        </is>
      </c>
      <c r="B9363" s="1" t="n">
        <v>45189</v>
      </c>
      <c r="C9363" s="1" t="n">
        <v>45363</v>
      </c>
      <c r="D9363" t="inlineStr">
        <is>
          <t>JÄMTLANDS LÄN</t>
        </is>
      </c>
      <c r="E9363" t="inlineStr">
        <is>
          <t>BRÄCKE</t>
        </is>
      </c>
      <c r="F9363" t="inlineStr">
        <is>
          <t>SCA</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44403-2023</t>
        </is>
      </c>
      <c r="B9364" s="1" t="n">
        <v>45189</v>
      </c>
      <c r="C9364" s="1" t="n">
        <v>45363</v>
      </c>
      <c r="D9364" t="inlineStr">
        <is>
          <t>JÄMTLANDS LÄN</t>
        </is>
      </c>
      <c r="E9364" t="inlineStr">
        <is>
          <t>BRÄCKE</t>
        </is>
      </c>
      <c r="F9364" t="inlineStr">
        <is>
          <t>SCA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44411-2023</t>
        </is>
      </c>
      <c r="B9365" s="1" t="n">
        <v>45189</v>
      </c>
      <c r="C9365" s="1" t="n">
        <v>45363</v>
      </c>
      <c r="D9365" t="inlineStr">
        <is>
          <t>JÄMTLANDS LÄN</t>
        </is>
      </c>
      <c r="E9365" t="inlineStr">
        <is>
          <t>STRÖMSUND</t>
        </is>
      </c>
      <c r="F9365" t="inlineStr">
        <is>
          <t>SCA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44358-2023</t>
        </is>
      </c>
      <c r="B9366" s="1" t="n">
        <v>45188</v>
      </c>
      <c r="C9366" s="1" t="n">
        <v>45363</v>
      </c>
      <c r="D9366" t="inlineStr">
        <is>
          <t>JÄMTLANDS LÄN</t>
        </is>
      </c>
      <c r="E9366" t="inlineStr">
        <is>
          <t>BRÄCKE</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44390-2023</t>
        </is>
      </c>
      <c r="B9367" s="1" t="n">
        <v>45189</v>
      </c>
      <c r="C9367" s="1" t="n">
        <v>45363</v>
      </c>
      <c r="D9367" t="inlineStr">
        <is>
          <t>JÄMTLANDS LÄN</t>
        </is>
      </c>
      <c r="E9367" t="inlineStr">
        <is>
          <t>STRÖMSUND</t>
        </is>
      </c>
      <c r="F9367" t="inlineStr">
        <is>
          <t>SCA</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44402-2023</t>
        </is>
      </c>
      <c r="B9368" s="1" t="n">
        <v>45188</v>
      </c>
      <c r="C9368" s="1" t="n">
        <v>45363</v>
      </c>
      <c r="D9368" t="inlineStr">
        <is>
          <t>JÄMTLANDS LÄN</t>
        </is>
      </c>
      <c r="E9368" t="inlineStr">
        <is>
          <t>STRÖMSUND</t>
        </is>
      </c>
      <c r="F9368" t="inlineStr">
        <is>
          <t>SCA</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44594-2023</t>
        </is>
      </c>
      <c r="B9369" s="1" t="n">
        <v>45189</v>
      </c>
      <c r="C9369" s="1" t="n">
        <v>45363</v>
      </c>
      <c r="D9369" t="inlineStr">
        <is>
          <t>JÄMTLANDS LÄN</t>
        </is>
      </c>
      <c r="E9369" t="inlineStr">
        <is>
          <t>KROKOM</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44693-2023</t>
        </is>
      </c>
      <c r="B9370" s="1" t="n">
        <v>45190</v>
      </c>
      <c r="C9370" s="1" t="n">
        <v>45363</v>
      </c>
      <c r="D9370" t="inlineStr">
        <is>
          <t>JÄMTLANDS LÄN</t>
        </is>
      </c>
      <c r="E9370" t="inlineStr">
        <is>
          <t>BRÄCKE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44694-2023</t>
        </is>
      </c>
      <c r="B9371" s="1" t="n">
        <v>45190</v>
      </c>
      <c r="C9371" s="1" t="n">
        <v>45363</v>
      </c>
      <c r="D9371" t="inlineStr">
        <is>
          <t>JÄMTLANDS LÄN</t>
        </is>
      </c>
      <c r="E9371" t="inlineStr">
        <is>
          <t>BRÄCKE</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45928-2023</t>
        </is>
      </c>
      <c r="B9372" s="1" t="n">
        <v>45189</v>
      </c>
      <c r="C9372" s="1" t="n">
        <v>45363</v>
      </c>
      <c r="D9372" t="inlineStr">
        <is>
          <t>JÄMTLANDS LÄN</t>
        </is>
      </c>
      <c r="E9372" t="inlineStr">
        <is>
          <t>STRÖMSUND</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44453-2023</t>
        </is>
      </c>
      <c r="B9373" s="1" t="n">
        <v>45189</v>
      </c>
      <c r="C9373" s="1" t="n">
        <v>45363</v>
      </c>
      <c r="D9373" t="inlineStr">
        <is>
          <t>JÄMTLANDS LÄN</t>
        </is>
      </c>
      <c r="E9373" t="inlineStr">
        <is>
          <t>KROKOM</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45993-2023</t>
        </is>
      </c>
      <c r="B9374" s="1" t="n">
        <v>45189</v>
      </c>
      <c r="C9374" s="1" t="n">
        <v>45363</v>
      </c>
      <c r="D9374" t="inlineStr">
        <is>
          <t>JÄMTLANDS LÄN</t>
        </is>
      </c>
      <c r="E9374" t="inlineStr">
        <is>
          <t>BERG</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45980-2023</t>
        </is>
      </c>
      <c r="B9375" s="1" t="n">
        <v>45189</v>
      </c>
      <c r="C9375" s="1" t="n">
        <v>45363</v>
      </c>
      <c r="D9375" t="inlineStr">
        <is>
          <t>JÄMTLANDS LÄN</t>
        </is>
      </c>
      <c r="E9375" t="inlineStr">
        <is>
          <t>ÖSTERSUND</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44719-2023</t>
        </is>
      </c>
      <c r="B9376" s="1" t="n">
        <v>45190</v>
      </c>
      <c r="C9376" s="1" t="n">
        <v>45363</v>
      </c>
      <c r="D9376" t="inlineStr">
        <is>
          <t>JÄMTLANDS LÄN</t>
        </is>
      </c>
      <c r="E9376" t="inlineStr">
        <is>
          <t>ÖSTERSUND</t>
        </is>
      </c>
      <c r="G9376" t="n">
        <v>17.5</v>
      </c>
      <c r="H9376" t="n">
        <v>0</v>
      </c>
      <c r="I9376" t="n">
        <v>0</v>
      </c>
      <c r="J9376" t="n">
        <v>0</v>
      </c>
      <c r="K9376" t="n">
        <v>0</v>
      </c>
      <c r="L9376" t="n">
        <v>0</v>
      </c>
      <c r="M9376" t="n">
        <v>0</v>
      </c>
      <c r="N9376" t="n">
        <v>0</v>
      </c>
      <c r="O9376" t="n">
        <v>0</v>
      </c>
      <c r="P9376" t="n">
        <v>0</v>
      </c>
      <c r="Q9376" t="n">
        <v>0</v>
      </c>
      <c r="R9376" s="2" t="inlineStr"/>
    </row>
    <row r="9377" ht="15" customHeight="1">
      <c r="A9377" t="inlineStr">
        <is>
          <t>A 44798-2023</t>
        </is>
      </c>
      <c r="B9377" s="1" t="n">
        <v>45190</v>
      </c>
      <c r="C9377" s="1" t="n">
        <v>45363</v>
      </c>
      <c r="D9377" t="inlineStr">
        <is>
          <t>JÄMTLANDS LÄN</t>
        </is>
      </c>
      <c r="E9377" t="inlineStr">
        <is>
          <t>ÖSTERSUND</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44889-2023</t>
        </is>
      </c>
      <c r="B9378" s="1" t="n">
        <v>45190</v>
      </c>
      <c r="C9378" s="1" t="n">
        <v>45363</v>
      </c>
      <c r="D9378" t="inlineStr">
        <is>
          <t>JÄMTLANDS LÄN</t>
        </is>
      </c>
      <c r="E9378" t="inlineStr">
        <is>
          <t>ÅRE</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44987-2023</t>
        </is>
      </c>
      <c r="B9379" s="1" t="n">
        <v>45191</v>
      </c>
      <c r="C9379" s="1" t="n">
        <v>45363</v>
      </c>
      <c r="D9379" t="inlineStr">
        <is>
          <t>JÄMTLANDS LÄN</t>
        </is>
      </c>
      <c r="E9379" t="inlineStr">
        <is>
          <t>RAGUNDA</t>
        </is>
      </c>
      <c r="F9379" t="inlineStr">
        <is>
          <t>SCA</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44995-2023</t>
        </is>
      </c>
      <c r="B9380" s="1" t="n">
        <v>45191</v>
      </c>
      <c r="C9380" s="1" t="n">
        <v>45363</v>
      </c>
      <c r="D9380" t="inlineStr">
        <is>
          <t>JÄMTLANDS LÄN</t>
        </is>
      </c>
      <c r="E9380" t="inlineStr">
        <is>
          <t>STRÖMSUND</t>
        </is>
      </c>
      <c r="F9380" t="inlineStr">
        <is>
          <t>SCA</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44999-2023</t>
        </is>
      </c>
      <c r="B9381" s="1" t="n">
        <v>45191</v>
      </c>
      <c r="C9381" s="1" t="n">
        <v>45363</v>
      </c>
      <c r="D9381" t="inlineStr">
        <is>
          <t>JÄMTLANDS LÄN</t>
        </is>
      </c>
      <c r="E9381" t="inlineStr">
        <is>
          <t>RAGUNDA</t>
        </is>
      </c>
      <c r="F9381" t="inlineStr">
        <is>
          <t>SCA</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45019-2023</t>
        </is>
      </c>
      <c r="B9382" s="1" t="n">
        <v>45191</v>
      </c>
      <c r="C9382" s="1" t="n">
        <v>45363</v>
      </c>
      <c r="D9382" t="inlineStr">
        <is>
          <t>JÄMTLANDS LÄN</t>
        </is>
      </c>
      <c r="E9382" t="inlineStr">
        <is>
          <t>BRÄCKE</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44980-2023</t>
        </is>
      </c>
      <c r="B9383" s="1" t="n">
        <v>45190</v>
      </c>
      <c r="C9383" s="1" t="n">
        <v>45363</v>
      </c>
      <c r="D9383" t="inlineStr">
        <is>
          <t>JÄMTLANDS LÄN</t>
        </is>
      </c>
      <c r="E9383" t="inlineStr">
        <is>
          <t>RAGUNDA</t>
        </is>
      </c>
      <c r="F9383" t="inlineStr">
        <is>
          <t>SCA</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44988-2023</t>
        </is>
      </c>
      <c r="B9384" s="1" t="n">
        <v>45190</v>
      </c>
      <c r="C9384" s="1" t="n">
        <v>45363</v>
      </c>
      <c r="D9384" t="inlineStr">
        <is>
          <t>JÄMTLANDS LÄN</t>
        </is>
      </c>
      <c r="E9384" t="inlineStr">
        <is>
          <t>RAGUNDA</t>
        </is>
      </c>
      <c r="F9384" t="inlineStr">
        <is>
          <t>SCA</t>
        </is>
      </c>
      <c r="G9384" t="n">
        <v>7.1</v>
      </c>
      <c r="H9384" t="n">
        <v>0</v>
      </c>
      <c r="I9384" t="n">
        <v>0</v>
      </c>
      <c r="J9384" t="n">
        <v>0</v>
      </c>
      <c r="K9384" t="n">
        <v>0</v>
      </c>
      <c r="L9384" t="n">
        <v>0</v>
      </c>
      <c r="M9384" t="n">
        <v>0</v>
      </c>
      <c r="N9384" t="n">
        <v>0</v>
      </c>
      <c r="O9384" t="n">
        <v>0</v>
      </c>
      <c r="P9384" t="n">
        <v>0</v>
      </c>
      <c r="Q9384" t="n">
        <v>0</v>
      </c>
      <c r="R9384" s="2" t="inlineStr"/>
    </row>
    <row r="9385" ht="15" customHeight="1">
      <c r="A9385" t="inlineStr">
        <is>
          <t>A 44996-2023</t>
        </is>
      </c>
      <c r="B9385" s="1" t="n">
        <v>45191</v>
      </c>
      <c r="C9385" s="1" t="n">
        <v>45363</v>
      </c>
      <c r="D9385" t="inlineStr">
        <is>
          <t>JÄMTLANDS LÄN</t>
        </is>
      </c>
      <c r="E9385" t="inlineStr">
        <is>
          <t>RAGUNDA</t>
        </is>
      </c>
      <c r="F9385" t="inlineStr">
        <is>
          <t>SCA</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45008-2023</t>
        </is>
      </c>
      <c r="B9386" s="1" t="n">
        <v>45191</v>
      </c>
      <c r="C9386" s="1" t="n">
        <v>45363</v>
      </c>
      <c r="D9386" t="inlineStr">
        <is>
          <t>JÄMTLANDS LÄN</t>
        </is>
      </c>
      <c r="E9386" t="inlineStr">
        <is>
          <t>RAGUNDA</t>
        </is>
      </c>
      <c r="F9386" t="inlineStr">
        <is>
          <t>SCA</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45020-2023</t>
        </is>
      </c>
      <c r="B9387" s="1" t="n">
        <v>45191</v>
      </c>
      <c r="C9387" s="1" t="n">
        <v>45363</v>
      </c>
      <c r="D9387" t="inlineStr">
        <is>
          <t>JÄMTLANDS LÄN</t>
        </is>
      </c>
      <c r="E9387" t="inlineStr">
        <is>
          <t>RAGUNDA</t>
        </is>
      </c>
      <c r="F9387" t="inlineStr">
        <is>
          <t>SCA</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45002-2023</t>
        </is>
      </c>
      <c r="B9388" s="1" t="n">
        <v>45191</v>
      </c>
      <c r="C9388" s="1" t="n">
        <v>45363</v>
      </c>
      <c r="D9388" t="inlineStr">
        <is>
          <t>JÄMTLANDS LÄN</t>
        </is>
      </c>
      <c r="E9388" t="inlineStr">
        <is>
          <t>BRÄCKE</t>
        </is>
      </c>
      <c r="F9388" t="inlineStr">
        <is>
          <t>SCA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45010-2023</t>
        </is>
      </c>
      <c r="B9389" s="1" t="n">
        <v>45191</v>
      </c>
      <c r="C9389" s="1" t="n">
        <v>45363</v>
      </c>
      <c r="D9389" t="inlineStr">
        <is>
          <t>JÄMTLANDS LÄN</t>
        </is>
      </c>
      <c r="E9389" t="inlineStr">
        <is>
          <t>BRÄCKE</t>
        </is>
      </c>
      <c r="F9389" t="inlineStr">
        <is>
          <t>SCA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44813-2023</t>
        </is>
      </c>
      <c r="B9390" s="1" t="n">
        <v>45190</v>
      </c>
      <c r="C9390" s="1" t="n">
        <v>45363</v>
      </c>
      <c r="D9390" t="inlineStr">
        <is>
          <t>JÄMTLANDS LÄN</t>
        </is>
      </c>
      <c r="E9390" t="inlineStr">
        <is>
          <t>STRÖMSUND</t>
        </is>
      </c>
      <c r="F9390" t="inlineStr">
        <is>
          <t>Holmen skog AB</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44898-2023</t>
        </is>
      </c>
      <c r="B9391" s="1" t="n">
        <v>45190</v>
      </c>
      <c r="C9391" s="1" t="n">
        <v>45363</v>
      </c>
      <c r="D9391" t="inlineStr">
        <is>
          <t>JÄMTLANDS LÄN</t>
        </is>
      </c>
      <c r="E9391" t="inlineStr">
        <is>
          <t>ÅRE</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44969-2023</t>
        </is>
      </c>
      <c r="B9392" s="1" t="n">
        <v>45191</v>
      </c>
      <c r="C9392" s="1" t="n">
        <v>45363</v>
      </c>
      <c r="D9392" t="inlineStr">
        <is>
          <t>JÄMTLANDS LÄN</t>
        </is>
      </c>
      <c r="E9392" t="inlineStr">
        <is>
          <t>STRÖMSUND</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44989-2023</t>
        </is>
      </c>
      <c r="B9393" s="1" t="n">
        <v>45190</v>
      </c>
      <c r="C9393" s="1" t="n">
        <v>45363</v>
      </c>
      <c r="D9393" t="inlineStr">
        <is>
          <t>JÄMTLANDS LÄN</t>
        </is>
      </c>
      <c r="E9393" t="inlineStr">
        <is>
          <t>BRÄCKE</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44997-2023</t>
        </is>
      </c>
      <c r="B9394" s="1" t="n">
        <v>45191</v>
      </c>
      <c r="C9394" s="1" t="n">
        <v>45363</v>
      </c>
      <c r="D9394" t="inlineStr">
        <is>
          <t>JÄMTLANDS LÄN</t>
        </is>
      </c>
      <c r="E9394" t="inlineStr">
        <is>
          <t>RAGUNDA</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45005-2023</t>
        </is>
      </c>
      <c r="B9395" s="1" t="n">
        <v>45190</v>
      </c>
      <c r="C9395" s="1" t="n">
        <v>45363</v>
      </c>
      <c r="D9395" t="inlineStr">
        <is>
          <t>JÄMTLANDS LÄN</t>
        </is>
      </c>
      <c r="E9395" t="inlineStr">
        <is>
          <t>BRÄCKE</t>
        </is>
      </c>
      <c r="F9395" t="inlineStr">
        <is>
          <t>SCA</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45009-2023</t>
        </is>
      </c>
      <c r="B9396" s="1" t="n">
        <v>45191</v>
      </c>
      <c r="C9396" s="1" t="n">
        <v>45363</v>
      </c>
      <c r="D9396" t="inlineStr">
        <is>
          <t>JÄMTLANDS LÄN</t>
        </is>
      </c>
      <c r="E9396" t="inlineStr">
        <is>
          <t>BRÄCKE</t>
        </is>
      </c>
      <c r="F9396" t="inlineStr">
        <is>
          <t>SCA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45013-2023</t>
        </is>
      </c>
      <c r="B9397" s="1" t="n">
        <v>45191</v>
      </c>
      <c r="C9397" s="1" t="n">
        <v>45363</v>
      </c>
      <c r="D9397" t="inlineStr">
        <is>
          <t>JÄMTLANDS LÄN</t>
        </is>
      </c>
      <c r="E9397" t="inlineStr">
        <is>
          <t>BRÄCKE</t>
        </is>
      </c>
      <c r="F9397" t="inlineStr">
        <is>
          <t>SCA</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45028-2023</t>
        </is>
      </c>
      <c r="B9398" s="1" t="n">
        <v>45190</v>
      </c>
      <c r="C9398" s="1" t="n">
        <v>45363</v>
      </c>
      <c r="D9398" t="inlineStr">
        <is>
          <t>JÄMTLANDS LÄN</t>
        </is>
      </c>
      <c r="E9398" t="inlineStr">
        <is>
          <t>BRÄCKE</t>
        </is>
      </c>
      <c r="F9398" t="inlineStr">
        <is>
          <t>SCA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46061-2023</t>
        </is>
      </c>
      <c r="B9399" s="1" t="n">
        <v>45190</v>
      </c>
      <c r="C9399" s="1" t="n">
        <v>45363</v>
      </c>
      <c r="D9399" t="inlineStr">
        <is>
          <t>JÄMTLANDS LÄN</t>
        </is>
      </c>
      <c r="E9399" t="inlineStr">
        <is>
          <t>KROKOM</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45029-2023</t>
        </is>
      </c>
      <c r="B9400" s="1" t="n">
        <v>45191</v>
      </c>
      <c r="C9400" s="1" t="n">
        <v>45363</v>
      </c>
      <c r="D9400" t="inlineStr">
        <is>
          <t>JÄMTLANDS LÄN</t>
        </is>
      </c>
      <c r="E9400" t="inlineStr">
        <is>
          <t>BRÄCKE</t>
        </is>
      </c>
      <c r="F9400" t="inlineStr">
        <is>
          <t>SCA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46046-2023</t>
        </is>
      </c>
      <c r="B9401" s="1" t="n">
        <v>45190</v>
      </c>
      <c r="C9401" s="1" t="n">
        <v>45363</v>
      </c>
      <c r="D9401" t="inlineStr">
        <is>
          <t>JÄMTLANDS LÄN</t>
        </is>
      </c>
      <c r="E9401" t="inlineStr">
        <is>
          <t>KROKOM</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45179-2023</t>
        </is>
      </c>
      <c r="B9402" s="1" t="n">
        <v>45191</v>
      </c>
      <c r="C9402" s="1" t="n">
        <v>45363</v>
      </c>
      <c r="D9402" t="inlineStr">
        <is>
          <t>JÄMTLANDS LÄN</t>
        </is>
      </c>
      <c r="E9402" t="inlineStr">
        <is>
          <t>HÄRJEDALEN</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45091-2023</t>
        </is>
      </c>
      <c r="B9403" s="1" t="n">
        <v>45191</v>
      </c>
      <c r="C9403" s="1" t="n">
        <v>45363</v>
      </c>
      <c r="D9403" t="inlineStr">
        <is>
          <t>JÄMTLANDS LÄN</t>
        </is>
      </c>
      <c r="E9403" t="inlineStr">
        <is>
          <t>STRÖMSUND</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45143-2023</t>
        </is>
      </c>
      <c r="B9404" s="1" t="n">
        <v>45191</v>
      </c>
      <c r="C9404" s="1" t="n">
        <v>45363</v>
      </c>
      <c r="D9404" t="inlineStr">
        <is>
          <t>JÄMTLANDS LÄN</t>
        </is>
      </c>
      <c r="E9404" t="inlineStr">
        <is>
          <t>HÄRJEDALEN</t>
        </is>
      </c>
      <c r="G9404" t="n">
        <v>24.8</v>
      </c>
      <c r="H9404" t="n">
        <v>0</v>
      </c>
      <c r="I9404" t="n">
        <v>0</v>
      </c>
      <c r="J9404" t="n">
        <v>0</v>
      </c>
      <c r="K9404" t="n">
        <v>0</v>
      </c>
      <c r="L9404" t="n">
        <v>0</v>
      </c>
      <c r="M9404" t="n">
        <v>0</v>
      </c>
      <c r="N9404" t="n">
        <v>0</v>
      </c>
      <c r="O9404" t="n">
        <v>0</v>
      </c>
      <c r="P9404" t="n">
        <v>0</v>
      </c>
      <c r="Q9404" t="n">
        <v>0</v>
      </c>
      <c r="R9404" s="2" t="inlineStr"/>
    </row>
    <row r="9405" ht="15" customHeight="1">
      <c r="A9405" t="inlineStr">
        <is>
          <t>A 45329-2023</t>
        </is>
      </c>
      <c r="B9405" s="1" t="n">
        <v>45192</v>
      </c>
      <c r="C9405" s="1" t="n">
        <v>45363</v>
      </c>
      <c r="D9405" t="inlineStr">
        <is>
          <t>JÄMTLANDS LÄN</t>
        </is>
      </c>
      <c r="E9405" t="inlineStr">
        <is>
          <t>STRÖMSUND</t>
        </is>
      </c>
      <c r="F9405" t="inlineStr">
        <is>
          <t>SCA</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45337-2023</t>
        </is>
      </c>
      <c r="B9406" s="1" t="n">
        <v>45191</v>
      </c>
      <c r="C9406" s="1" t="n">
        <v>45363</v>
      </c>
      <c r="D9406" t="inlineStr">
        <is>
          <t>JÄMTLANDS LÄN</t>
        </is>
      </c>
      <c r="E9406" t="inlineStr">
        <is>
          <t>BRÄCKE</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45341-2023</t>
        </is>
      </c>
      <c r="B9407" s="1" t="n">
        <v>45192</v>
      </c>
      <c r="C9407" s="1" t="n">
        <v>45363</v>
      </c>
      <c r="D9407" t="inlineStr">
        <is>
          <t>JÄMTLANDS LÄN</t>
        </is>
      </c>
      <c r="E9407" t="inlineStr">
        <is>
          <t>STRÖMSUND</t>
        </is>
      </c>
      <c r="F9407" t="inlineStr">
        <is>
          <t>SCA</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45345-2023</t>
        </is>
      </c>
      <c r="B9408" s="1" t="n">
        <v>45192</v>
      </c>
      <c r="C9408" s="1" t="n">
        <v>45363</v>
      </c>
      <c r="D9408" t="inlineStr">
        <is>
          <t>JÄMTLANDS LÄN</t>
        </is>
      </c>
      <c r="E9408" t="inlineStr">
        <is>
          <t>BRÄCKE</t>
        </is>
      </c>
      <c r="F9408" t="inlineStr">
        <is>
          <t>SCA</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45336-2023</t>
        </is>
      </c>
      <c r="B9409" s="1" t="n">
        <v>45192</v>
      </c>
      <c r="C9409" s="1" t="n">
        <v>45363</v>
      </c>
      <c r="D9409" t="inlineStr">
        <is>
          <t>JÄMTLANDS LÄN</t>
        </is>
      </c>
      <c r="E9409" t="inlineStr">
        <is>
          <t>RAGUNDA</t>
        </is>
      </c>
      <c r="F9409" t="inlineStr">
        <is>
          <t>SCA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45340-2023</t>
        </is>
      </c>
      <c r="B9410" s="1" t="n">
        <v>45192</v>
      </c>
      <c r="C9410" s="1" t="n">
        <v>45363</v>
      </c>
      <c r="D9410" t="inlineStr">
        <is>
          <t>JÄMTLANDS LÄN</t>
        </is>
      </c>
      <c r="E9410" t="inlineStr">
        <is>
          <t>STRÖMSUND</t>
        </is>
      </c>
      <c r="F9410" t="inlineStr">
        <is>
          <t>SCA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45344-2023</t>
        </is>
      </c>
      <c r="B9411" s="1" t="n">
        <v>45191</v>
      </c>
      <c r="C9411" s="1" t="n">
        <v>45363</v>
      </c>
      <c r="D9411" t="inlineStr">
        <is>
          <t>JÄMTLANDS LÄN</t>
        </is>
      </c>
      <c r="E9411" t="inlineStr">
        <is>
          <t>BRÄCKE</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45274-2023</t>
        </is>
      </c>
      <c r="B9412" s="1" t="n">
        <v>45191</v>
      </c>
      <c r="C9412" s="1" t="n">
        <v>45363</v>
      </c>
      <c r="D9412" t="inlineStr">
        <is>
          <t>JÄMTLANDS LÄN</t>
        </is>
      </c>
      <c r="E9412" t="inlineStr">
        <is>
          <t>HÄRJEDALEN</t>
        </is>
      </c>
      <c r="G9412" t="n">
        <v>8.4</v>
      </c>
      <c r="H9412" t="n">
        <v>0</v>
      </c>
      <c r="I9412" t="n">
        <v>0</v>
      </c>
      <c r="J9412" t="n">
        <v>0</v>
      </c>
      <c r="K9412" t="n">
        <v>0</v>
      </c>
      <c r="L9412" t="n">
        <v>0</v>
      </c>
      <c r="M9412" t="n">
        <v>0</v>
      </c>
      <c r="N9412" t="n">
        <v>0</v>
      </c>
      <c r="O9412" t="n">
        <v>0</v>
      </c>
      <c r="P9412" t="n">
        <v>0</v>
      </c>
      <c r="Q9412" t="n">
        <v>0</v>
      </c>
      <c r="R9412" s="2" t="inlineStr"/>
    </row>
    <row r="9413" ht="15" customHeight="1">
      <c r="A9413" t="inlineStr">
        <is>
          <t>A 45315-2023</t>
        </is>
      </c>
      <c r="B9413" s="1" t="n">
        <v>45191</v>
      </c>
      <c r="C9413" s="1" t="n">
        <v>45363</v>
      </c>
      <c r="D9413" t="inlineStr">
        <is>
          <t>JÄMTLANDS LÄN</t>
        </is>
      </c>
      <c r="E9413" t="inlineStr">
        <is>
          <t>STRÖMSUND</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45335-2023</t>
        </is>
      </c>
      <c r="B9414" s="1" t="n">
        <v>45191</v>
      </c>
      <c r="C9414" s="1" t="n">
        <v>45363</v>
      </c>
      <c r="D9414" t="inlineStr">
        <is>
          <t>JÄMTLANDS LÄN</t>
        </is>
      </c>
      <c r="E9414" t="inlineStr">
        <is>
          <t>RAGUNDA</t>
        </is>
      </c>
      <c r="F9414" t="inlineStr">
        <is>
          <t>SCA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45339-2023</t>
        </is>
      </c>
      <c r="B9415" s="1" t="n">
        <v>45192</v>
      </c>
      <c r="C9415" s="1" t="n">
        <v>45363</v>
      </c>
      <c r="D9415" t="inlineStr">
        <is>
          <t>JÄMTLANDS LÄN</t>
        </is>
      </c>
      <c r="E9415" t="inlineStr">
        <is>
          <t>STRÖMSUND</t>
        </is>
      </c>
      <c r="F9415" t="inlineStr">
        <is>
          <t>SCA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45347-2023</t>
        </is>
      </c>
      <c r="B9416" s="1" t="n">
        <v>45191</v>
      </c>
      <c r="C9416" s="1" t="n">
        <v>45363</v>
      </c>
      <c r="D9416" t="inlineStr">
        <is>
          <t>JÄMTLANDS LÄN</t>
        </is>
      </c>
      <c r="E9416" t="inlineStr">
        <is>
          <t>BERG</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45334-2023</t>
        </is>
      </c>
      <c r="B9417" s="1" t="n">
        <v>45192</v>
      </c>
      <c r="C9417" s="1" t="n">
        <v>45363</v>
      </c>
      <c r="D9417" t="inlineStr">
        <is>
          <t>JÄMTLANDS LÄN</t>
        </is>
      </c>
      <c r="E9417" t="inlineStr">
        <is>
          <t>BRÄCKE</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45338-2023</t>
        </is>
      </c>
      <c r="B9418" s="1" t="n">
        <v>45192</v>
      </c>
      <c r="C9418" s="1" t="n">
        <v>45363</v>
      </c>
      <c r="D9418" t="inlineStr">
        <is>
          <t>JÄMTLANDS LÄN</t>
        </is>
      </c>
      <c r="E9418" t="inlineStr">
        <is>
          <t>RAGUNDA</t>
        </is>
      </c>
      <c r="F9418" t="inlineStr">
        <is>
          <t>SCA</t>
        </is>
      </c>
      <c r="G9418" t="n">
        <v>23.4</v>
      </c>
      <c r="H9418" t="n">
        <v>0</v>
      </c>
      <c r="I9418" t="n">
        <v>0</v>
      </c>
      <c r="J9418" t="n">
        <v>0</v>
      </c>
      <c r="K9418" t="n">
        <v>0</v>
      </c>
      <c r="L9418" t="n">
        <v>0</v>
      </c>
      <c r="M9418" t="n">
        <v>0</v>
      </c>
      <c r="N9418" t="n">
        <v>0</v>
      </c>
      <c r="O9418" t="n">
        <v>0</v>
      </c>
      <c r="P9418" t="n">
        <v>0</v>
      </c>
      <c r="Q9418" t="n">
        <v>0</v>
      </c>
      <c r="R9418" s="2" t="inlineStr"/>
    </row>
    <row r="9419" ht="15" customHeight="1">
      <c r="A9419" t="inlineStr">
        <is>
          <t>A 45342-2023</t>
        </is>
      </c>
      <c r="B9419" s="1" t="n">
        <v>45192</v>
      </c>
      <c r="C9419" s="1" t="n">
        <v>45363</v>
      </c>
      <c r="D9419" t="inlineStr">
        <is>
          <t>JÄMTLANDS LÄN</t>
        </is>
      </c>
      <c r="E9419" t="inlineStr">
        <is>
          <t>BRÄCKE</t>
        </is>
      </c>
      <c r="F9419" t="inlineStr">
        <is>
          <t>SCA</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45346-2023</t>
        </is>
      </c>
      <c r="B9420" s="1" t="n">
        <v>45191</v>
      </c>
      <c r="C9420" s="1" t="n">
        <v>45363</v>
      </c>
      <c r="D9420" t="inlineStr">
        <is>
          <t>JÄMTLANDS LÄN</t>
        </is>
      </c>
      <c r="E9420" t="inlineStr">
        <is>
          <t>BERG</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45366-2023</t>
        </is>
      </c>
      <c r="B9421" s="1" t="n">
        <v>45192</v>
      </c>
      <c r="C9421" s="1" t="n">
        <v>45363</v>
      </c>
      <c r="D9421" t="inlineStr">
        <is>
          <t>JÄMTLANDS LÄN</t>
        </is>
      </c>
      <c r="E9421" t="inlineStr">
        <is>
          <t>STRÖMSUND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45370-2023</t>
        </is>
      </c>
      <c r="B9422" s="1" t="n">
        <v>45193</v>
      </c>
      <c r="C9422" s="1" t="n">
        <v>45363</v>
      </c>
      <c r="D9422" t="inlineStr">
        <is>
          <t>JÄMTLANDS LÄN</t>
        </is>
      </c>
      <c r="E9422" t="inlineStr">
        <is>
          <t>BRÄCKE</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45369-2023</t>
        </is>
      </c>
      <c r="B9423" s="1" t="n">
        <v>45193</v>
      </c>
      <c r="C9423" s="1" t="n">
        <v>45363</v>
      </c>
      <c r="D9423" t="inlineStr">
        <is>
          <t>JÄMTLANDS LÄN</t>
        </is>
      </c>
      <c r="E9423" t="inlineStr">
        <is>
          <t>BRÄCKE</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45455-2023</t>
        </is>
      </c>
      <c r="B9424" s="1" t="n">
        <v>45194</v>
      </c>
      <c r="C9424" s="1" t="n">
        <v>45363</v>
      </c>
      <c r="D9424" t="inlineStr">
        <is>
          <t>JÄMTLANDS LÄN</t>
        </is>
      </c>
      <c r="E9424" t="inlineStr">
        <is>
          <t>KROKOM</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45485-2023</t>
        </is>
      </c>
      <c r="B9425" s="1" t="n">
        <v>45194</v>
      </c>
      <c r="C9425" s="1" t="n">
        <v>45363</v>
      </c>
      <c r="D9425" t="inlineStr">
        <is>
          <t>JÄMTLANDS LÄN</t>
        </is>
      </c>
      <c r="E9425" t="inlineStr">
        <is>
          <t>STRÖMSUND</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45497-2023</t>
        </is>
      </c>
      <c r="B9426" s="1" t="n">
        <v>45194</v>
      </c>
      <c r="C9426" s="1" t="n">
        <v>45363</v>
      </c>
      <c r="D9426" t="inlineStr">
        <is>
          <t>JÄMTLANDS LÄN</t>
        </is>
      </c>
      <c r="E9426" t="inlineStr">
        <is>
          <t>STRÖMSUND</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45491-2023</t>
        </is>
      </c>
      <c r="B9427" s="1" t="n">
        <v>45194</v>
      </c>
      <c r="C9427" s="1" t="n">
        <v>45363</v>
      </c>
      <c r="D9427" t="inlineStr">
        <is>
          <t>JÄMTLANDS LÄN</t>
        </is>
      </c>
      <c r="E9427" t="inlineStr">
        <is>
          <t>HÄRJEDALEN</t>
        </is>
      </c>
      <c r="G9427" t="n">
        <v>7.1</v>
      </c>
      <c r="H9427" t="n">
        <v>0</v>
      </c>
      <c r="I9427" t="n">
        <v>0</v>
      </c>
      <c r="J9427" t="n">
        <v>0</v>
      </c>
      <c r="K9427" t="n">
        <v>0</v>
      </c>
      <c r="L9427" t="n">
        <v>0</v>
      </c>
      <c r="M9427" t="n">
        <v>0</v>
      </c>
      <c r="N9427" t="n">
        <v>0</v>
      </c>
      <c r="O9427" t="n">
        <v>0</v>
      </c>
      <c r="P9427" t="n">
        <v>0</v>
      </c>
      <c r="Q9427" t="n">
        <v>0</v>
      </c>
      <c r="R9427" s="2" t="inlineStr"/>
    </row>
    <row r="9428" ht="15" customHeight="1">
      <c r="A9428" t="inlineStr">
        <is>
          <t>A 45495-2023</t>
        </is>
      </c>
      <c r="B9428" s="1" t="n">
        <v>45194</v>
      </c>
      <c r="C9428" s="1" t="n">
        <v>45363</v>
      </c>
      <c r="D9428" t="inlineStr">
        <is>
          <t>JÄMTLANDS LÄN</t>
        </is>
      </c>
      <c r="E9428" t="inlineStr">
        <is>
          <t>HÄRJEDALEN</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45566-2023</t>
        </is>
      </c>
      <c r="B9429" s="1" t="n">
        <v>45194</v>
      </c>
      <c r="C9429" s="1" t="n">
        <v>45363</v>
      </c>
      <c r="D9429" t="inlineStr">
        <is>
          <t>JÄMTLANDS LÄN</t>
        </is>
      </c>
      <c r="E9429" t="inlineStr">
        <is>
          <t>STRÖMSUND</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45613-2023</t>
        </is>
      </c>
      <c r="B9430" s="1" t="n">
        <v>45194</v>
      </c>
      <c r="C9430" s="1" t="n">
        <v>45363</v>
      </c>
      <c r="D9430" t="inlineStr">
        <is>
          <t>JÄMTLANDS LÄN</t>
        </is>
      </c>
      <c r="E9430" t="inlineStr">
        <is>
          <t>HÄRJEDALEN</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45636-2023</t>
        </is>
      </c>
      <c r="B9431" s="1" t="n">
        <v>45194</v>
      </c>
      <c r="C9431" s="1" t="n">
        <v>45363</v>
      </c>
      <c r="D9431" t="inlineStr">
        <is>
          <t>JÄMTLANDS LÄN</t>
        </is>
      </c>
      <c r="E9431" t="inlineStr">
        <is>
          <t>HÄRJEDALEN</t>
        </is>
      </c>
      <c r="F9431" t="inlineStr">
        <is>
          <t>Bergvik skog väst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45506-2023</t>
        </is>
      </c>
      <c r="B9432" s="1" t="n">
        <v>45194</v>
      </c>
      <c r="C9432" s="1" t="n">
        <v>45363</v>
      </c>
      <c r="D9432" t="inlineStr">
        <is>
          <t>JÄMTLANDS LÄN</t>
        </is>
      </c>
      <c r="E9432" t="inlineStr">
        <is>
          <t>STRÖMSUND</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45584-2023</t>
        </is>
      </c>
      <c r="B9433" s="1" t="n">
        <v>45194</v>
      </c>
      <c r="C9433" s="1" t="n">
        <v>45363</v>
      </c>
      <c r="D9433" t="inlineStr">
        <is>
          <t>JÄMTLANDS LÄN</t>
        </is>
      </c>
      <c r="E9433" t="inlineStr">
        <is>
          <t>STRÖMSUND</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45494-2023</t>
        </is>
      </c>
      <c r="B9434" s="1" t="n">
        <v>45194</v>
      </c>
      <c r="C9434" s="1" t="n">
        <v>45363</v>
      </c>
      <c r="D9434" t="inlineStr">
        <is>
          <t>JÄMTLANDS LÄN</t>
        </is>
      </c>
      <c r="E9434" t="inlineStr">
        <is>
          <t>KROKOM</t>
        </is>
      </c>
      <c r="G9434" t="n">
        <v>12.7</v>
      </c>
      <c r="H9434" t="n">
        <v>0</v>
      </c>
      <c r="I9434" t="n">
        <v>0</v>
      </c>
      <c r="J9434" t="n">
        <v>0</v>
      </c>
      <c r="K9434" t="n">
        <v>0</v>
      </c>
      <c r="L9434" t="n">
        <v>0</v>
      </c>
      <c r="M9434" t="n">
        <v>0</v>
      </c>
      <c r="N9434" t="n">
        <v>0</v>
      </c>
      <c r="O9434" t="n">
        <v>0</v>
      </c>
      <c r="P9434" t="n">
        <v>0</v>
      </c>
      <c r="Q9434" t="n">
        <v>0</v>
      </c>
      <c r="R9434" s="2" t="inlineStr"/>
    </row>
    <row r="9435" ht="15" customHeight="1">
      <c r="A9435" t="inlineStr">
        <is>
          <t>A 45502-2023</t>
        </is>
      </c>
      <c r="B9435" s="1" t="n">
        <v>45194</v>
      </c>
      <c r="C9435" s="1" t="n">
        <v>45363</v>
      </c>
      <c r="D9435" t="inlineStr">
        <is>
          <t>JÄMTLANDS LÄN</t>
        </is>
      </c>
      <c r="E9435" t="inlineStr">
        <is>
          <t>STRÖMSUND</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45577-2023</t>
        </is>
      </c>
      <c r="B9436" s="1" t="n">
        <v>45194</v>
      </c>
      <c r="C9436" s="1" t="n">
        <v>45363</v>
      </c>
      <c r="D9436" t="inlineStr">
        <is>
          <t>JÄMTLANDS LÄN</t>
        </is>
      </c>
      <c r="E9436" t="inlineStr">
        <is>
          <t>BRÄCKE</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45616-2023</t>
        </is>
      </c>
      <c r="B9437" s="1" t="n">
        <v>45194</v>
      </c>
      <c r="C9437" s="1" t="n">
        <v>45363</v>
      </c>
      <c r="D9437" t="inlineStr">
        <is>
          <t>JÄMTLANDS LÄN</t>
        </is>
      </c>
      <c r="E9437" t="inlineStr">
        <is>
          <t>HÄRJEDALEN</t>
        </is>
      </c>
      <c r="G9437" t="n">
        <v>10.3</v>
      </c>
      <c r="H9437" t="n">
        <v>0</v>
      </c>
      <c r="I9437" t="n">
        <v>0</v>
      </c>
      <c r="J9437" t="n">
        <v>0</v>
      </c>
      <c r="K9437" t="n">
        <v>0</v>
      </c>
      <c r="L9437" t="n">
        <v>0</v>
      </c>
      <c r="M9437" t="n">
        <v>0</v>
      </c>
      <c r="N9437" t="n">
        <v>0</v>
      </c>
      <c r="O9437" t="n">
        <v>0</v>
      </c>
      <c r="P9437" t="n">
        <v>0</v>
      </c>
      <c r="Q9437" t="n">
        <v>0</v>
      </c>
      <c r="R9437" s="2" t="inlineStr"/>
    </row>
    <row r="9438" ht="15" customHeight="1">
      <c r="A9438" t="inlineStr">
        <is>
          <t>A 46676-2023</t>
        </is>
      </c>
      <c r="B9438" s="1" t="n">
        <v>45194</v>
      </c>
      <c r="C9438" s="1" t="n">
        <v>45363</v>
      </c>
      <c r="D9438" t="inlineStr">
        <is>
          <t>JÄMTLANDS LÄN</t>
        </is>
      </c>
      <c r="E9438" t="inlineStr">
        <is>
          <t>KROKOM</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45684-2023</t>
        </is>
      </c>
      <c r="B9439" s="1" t="n">
        <v>45195</v>
      </c>
      <c r="C9439" s="1" t="n">
        <v>45363</v>
      </c>
      <c r="D9439" t="inlineStr">
        <is>
          <t>JÄMTLANDS LÄN</t>
        </is>
      </c>
      <c r="E9439" t="inlineStr">
        <is>
          <t>HÄRJEDALEN</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45716-2023</t>
        </is>
      </c>
      <c r="B9440" s="1" t="n">
        <v>45195</v>
      </c>
      <c r="C9440" s="1" t="n">
        <v>45363</v>
      </c>
      <c r="D9440" t="inlineStr">
        <is>
          <t>JÄMTLANDS LÄN</t>
        </is>
      </c>
      <c r="E9440" t="inlineStr">
        <is>
          <t>HÄRJEDALEN</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45720-2023</t>
        </is>
      </c>
      <c r="B9441" s="1" t="n">
        <v>45195</v>
      </c>
      <c r="C9441" s="1" t="n">
        <v>45363</v>
      </c>
      <c r="D9441" t="inlineStr">
        <is>
          <t>JÄMTLANDS LÄN</t>
        </is>
      </c>
      <c r="E9441" t="inlineStr">
        <is>
          <t>HÄRJEDALEN</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45747-2023</t>
        </is>
      </c>
      <c r="B9442" s="1" t="n">
        <v>45195</v>
      </c>
      <c r="C9442" s="1" t="n">
        <v>45363</v>
      </c>
      <c r="D9442" t="inlineStr">
        <is>
          <t>JÄMTLANDS LÄN</t>
        </is>
      </c>
      <c r="E9442" t="inlineStr">
        <is>
          <t>HÄRJEDALEN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45786-2023</t>
        </is>
      </c>
      <c r="B9443" s="1" t="n">
        <v>45195</v>
      </c>
      <c r="C9443" s="1" t="n">
        <v>45363</v>
      </c>
      <c r="D9443" t="inlineStr">
        <is>
          <t>JÄMTLANDS LÄN</t>
        </is>
      </c>
      <c r="E9443" t="inlineStr">
        <is>
          <t>KROKOM</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45809-2023</t>
        </is>
      </c>
      <c r="B9444" s="1" t="n">
        <v>45195</v>
      </c>
      <c r="C9444" s="1" t="n">
        <v>45363</v>
      </c>
      <c r="D9444" t="inlineStr">
        <is>
          <t>JÄMTLANDS LÄN</t>
        </is>
      </c>
      <c r="E9444" t="inlineStr">
        <is>
          <t>STRÖMSUND</t>
        </is>
      </c>
      <c r="G9444" t="n">
        <v>12.3</v>
      </c>
      <c r="H9444" t="n">
        <v>0</v>
      </c>
      <c r="I9444" t="n">
        <v>0</v>
      </c>
      <c r="J9444" t="n">
        <v>0</v>
      </c>
      <c r="K9444" t="n">
        <v>0</v>
      </c>
      <c r="L9444" t="n">
        <v>0</v>
      </c>
      <c r="M9444" t="n">
        <v>0</v>
      </c>
      <c r="N9444" t="n">
        <v>0</v>
      </c>
      <c r="O9444" t="n">
        <v>0</v>
      </c>
      <c r="P9444" t="n">
        <v>0</v>
      </c>
      <c r="Q9444" t="n">
        <v>0</v>
      </c>
      <c r="R9444" s="2" t="inlineStr"/>
    </row>
    <row r="9445" ht="15" customHeight="1">
      <c r="A9445" t="inlineStr">
        <is>
          <t>A 45937-2023</t>
        </is>
      </c>
      <c r="B9445" s="1" t="n">
        <v>45196</v>
      </c>
      <c r="C9445" s="1" t="n">
        <v>45363</v>
      </c>
      <c r="D9445" t="inlineStr">
        <is>
          <t>JÄMTLANDS LÄN</t>
        </is>
      </c>
      <c r="E9445" t="inlineStr">
        <is>
          <t>BRÄCKE</t>
        </is>
      </c>
      <c r="F9445" t="inlineStr">
        <is>
          <t>SCA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45953-2023</t>
        </is>
      </c>
      <c r="B9446" s="1" t="n">
        <v>45196</v>
      </c>
      <c r="C9446" s="1" t="n">
        <v>45363</v>
      </c>
      <c r="D9446" t="inlineStr">
        <is>
          <t>JÄMTLANDS LÄN</t>
        </is>
      </c>
      <c r="E9446" t="inlineStr">
        <is>
          <t>RAGUNDA</t>
        </is>
      </c>
      <c r="F9446" t="inlineStr">
        <is>
          <t>SCA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45938-2023</t>
        </is>
      </c>
      <c r="B9447" s="1" t="n">
        <v>45196</v>
      </c>
      <c r="C9447" s="1" t="n">
        <v>45363</v>
      </c>
      <c r="D9447" t="inlineStr">
        <is>
          <t>JÄMTLANDS LÄN</t>
        </is>
      </c>
      <c r="E9447" t="inlineStr">
        <is>
          <t>STRÖMSUND</t>
        </is>
      </c>
      <c r="F9447" t="inlineStr">
        <is>
          <t>SCA</t>
        </is>
      </c>
      <c r="G9447" t="n">
        <v>7.2</v>
      </c>
      <c r="H9447" t="n">
        <v>0</v>
      </c>
      <c r="I9447" t="n">
        <v>0</v>
      </c>
      <c r="J9447" t="n">
        <v>0</v>
      </c>
      <c r="K9447" t="n">
        <v>0</v>
      </c>
      <c r="L9447" t="n">
        <v>0</v>
      </c>
      <c r="M9447" t="n">
        <v>0</v>
      </c>
      <c r="N9447" t="n">
        <v>0</v>
      </c>
      <c r="O9447" t="n">
        <v>0</v>
      </c>
      <c r="P9447" t="n">
        <v>0</v>
      </c>
      <c r="Q9447" t="n">
        <v>0</v>
      </c>
      <c r="R9447" s="2" t="inlineStr"/>
    </row>
    <row r="9448" ht="15" customHeight="1">
      <c r="A9448" t="inlineStr">
        <is>
          <t>A 45950-2023</t>
        </is>
      </c>
      <c r="B9448" s="1" t="n">
        <v>45195</v>
      </c>
      <c r="C9448" s="1" t="n">
        <v>45363</v>
      </c>
      <c r="D9448" t="inlineStr">
        <is>
          <t>JÄMTLANDS LÄN</t>
        </is>
      </c>
      <c r="E9448" t="inlineStr">
        <is>
          <t>BRÄCKE</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45974-2023</t>
        </is>
      </c>
      <c r="B9449" s="1" t="n">
        <v>45196</v>
      </c>
      <c r="C9449" s="1" t="n">
        <v>45363</v>
      </c>
      <c r="D9449" t="inlineStr">
        <is>
          <t>JÄMTLANDS LÄN</t>
        </is>
      </c>
      <c r="E9449" t="inlineStr">
        <is>
          <t>RAGUNDA</t>
        </is>
      </c>
      <c r="F9449" t="inlineStr">
        <is>
          <t>SCA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46788-2023</t>
        </is>
      </c>
      <c r="B9450" s="1" t="n">
        <v>45195</v>
      </c>
      <c r="C9450" s="1" t="n">
        <v>45363</v>
      </c>
      <c r="D9450" t="inlineStr">
        <is>
          <t>JÄMTLANDS LÄN</t>
        </is>
      </c>
      <c r="E9450" t="inlineStr">
        <is>
          <t>STRÖMSUND</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45954-2023</t>
        </is>
      </c>
      <c r="B9451" s="1" t="n">
        <v>45196</v>
      </c>
      <c r="C9451" s="1" t="n">
        <v>45363</v>
      </c>
      <c r="D9451" t="inlineStr">
        <is>
          <t>JÄMTLANDS LÄN</t>
        </is>
      </c>
      <c r="E9451" t="inlineStr">
        <is>
          <t>RAGUNDA</t>
        </is>
      </c>
      <c r="F9451" t="inlineStr">
        <is>
          <t>SCA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45963-2023</t>
        </is>
      </c>
      <c r="B9452" s="1" t="n">
        <v>45196</v>
      </c>
      <c r="C9452" s="1" t="n">
        <v>45363</v>
      </c>
      <c r="D9452" t="inlineStr">
        <is>
          <t>JÄMTLANDS LÄN</t>
        </is>
      </c>
      <c r="E9452" t="inlineStr">
        <is>
          <t>BRÄCKE</t>
        </is>
      </c>
      <c r="F9452" t="inlineStr">
        <is>
          <t>SCA</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45975-2023</t>
        </is>
      </c>
      <c r="B9453" s="1" t="n">
        <v>45196</v>
      </c>
      <c r="C9453" s="1" t="n">
        <v>45363</v>
      </c>
      <c r="D9453" t="inlineStr">
        <is>
          <t>JÄMTLANDS LÄN</t>
        </is>
      </c>
      <c r="E9453" t="inlineStr">
        <is>
          <t>STRÖMSUND</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46789-2023</t>
        </is>
      </c>
      <c r="B9454" s="1" t="n">
        <v>45195</v>
      </c>
      <c r="C9454" s="1" t="n">
        <v>45363</v>
      </c>
      <c r="D9454" t="inlineStr">
        <is>
          <t>JÄMTLANDS LÄN</t>
        </is>
      </c>
      <c r="E9454" t="inlineStr">
        <is>
          <t>STRÖMSUND</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46939-2023</t>
        </is>
      </c>
      <c r="B9455" s="1" t="n">
        <v>45195</v>
      </c>
      <c r="C9455" s="1" t="n">
        <v>45363</v>
      </c>
      <c r="D9455" t="inlineStr">
        <is>
          <t>JÄMTLANDS LÄN</t>
        </is>
      </c>
      <c r="E9455" t="inlineStr">
        <is>
          <t>BRÄCKE</t>
        </is>
      </c>
      <c r="G9455" t="n">
        <v>13.4</v>
      </c>
      <c r="H9455" t="n">
        <v>0</v>
      </c>
      <c r="I9455" t="n">
        <v>0</v>
      </c>
      <c r="J9455" t="n">
        <v>0</v>
      </c>
      <c r="K9455" t="n">
        <v>0</v>
      </c>
      <c r="L9455" t="n">
        <v>0</v>
      </c>
      <c r="M9455" t="n">
        <v>0</v>
      </c>
      <c r="N9455" t="n">
        <v>0</v>
      </c>
      <c r="O9455" t="n">
        <v>0</v>
      </c>
      <c r="P9455" t="n">
        <v>0</v>
      </c>
      <c r="Q9455" t="n">
        <v>0</v>
      </c>
      <c r="R9455" s="2" t="inlineStr"/>
    </row>
    <row r="9456" ht="15" customHeight="1">
      <c r="A9456" t="inlineStr">
        <is>
          <t>A 45822-2023</t>
        </is>
      </c>
      <c r="B9456" s="1" t="n">
        <v>45195</v>
      </c>
      <c r="C9456" s="1" t="n">
        <v>45363</v>
      </c>
      <c r="D9456" t="inlineStr">
        <is>
          <t>JÄMTLANDS LÄN</t>
        </is>
      </c>
      <c r="E9456" t="inlineStr">
        <is>
          <t>KROKOM</t>
        </is>
      </c>
      <c r="F9456" t="inlineStr">
        <is>
          <t>Övriga Aktiebolag</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45864-2023</t>
        </is>
      </c>
      <c r="B9457" s="1" t="n">
        <v>45195</v>
      </c>
      <c r="C9457" s="1" t="n">
        <v>45363</v>
      </c>
      <c r="D9457" t="inlineStr">
        <is>
          <t>JÄMTLANDS LÄN</t>
        </is>
      </c>
      <c r="E9457" t="inlineStr">
        <is>
          <t>HÄRJEDALEN</t>
        </is>
      </c>
      <c r="G9457" t="n">
        <v>8.199999999999999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45936-2023</t>
        </is>
      </c>
      <c r="B9458" s="1" t="n">
        <v>45196</v>
      </c>
      <c r="C9458" s="1" t="n">
        <v>45363</v>
      </c>
      <c r="D9458" t="inlineStr">
        <is>
          <t>JÄMTLANDS LÄN</t>
        </is>
      </c>
      <c r="E9458" t="inlineStr">
        <is>
          <t>BRÄCKE</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45952-2023</t>
        </is>
      </c>
      <c r="B9459" s="1" t="n">
        <v>45195</v>
      </c>
      <c r="C9459" s="1" t="n">
        <v>45363</v>
      </c>
      <c r="D9459" t="inlineStr">
        <is>
          <t>JÄMTLANDS LÄN</t>
        </is>
      </c>
      <c r="E9459" t="inlineStr">
        <is>
          <t>RAGUNDA</t>
        </is>
      </c>
      <c r="F9459" t="inlineStr">
        <is>
          <t>SCA</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46776-2023</t>
        </is>
      </c>
      <c r="B9460" s="1" t="n">
        <v>45195</v>
      </c>
      <c r="C9460" s="1" t="n">
        <v>45363</v>
      </c>
      <c r="D9460" t="inlineStr">
        <is>
          <t>JÄMTLANDS LÄN</t>
        </is>
      </c>
      <c r="E9460" t="inlineStr">
        <is>
          <t>STRÖMSUND</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46794-2023</t>
        </is>
      </c>
      <c r="B9461" s="1" t="n">
        <v>45195</v>
      </c>
      <c r="C9461" s="1" t="n">
        <v>45363</v>
      </c>
      <c r="D9461" t="inlineStr">
        <is>
          <t>JÄMTLANDS LÄN</t>
        </is>
      </c>
      <c r="E9461" t="inlineStr">
        <is>
          <t>STRÖMSUND</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46952-2023</t>
        </is>
      </c>
      <c r="B9462" s="1" t="n">
        <v>45195</v>
      </c>
      <c r="C9462" s="1" t="n">
        <v>45363</v>
      </c>
      <c r="D9462" t="inlineStr">
        <is>
          <t>JÄMTLANDS LÄN</t>
        </is>
      </c>
      <c r="E9462" t="inlineStr">
        <is>
          <t>BRÄCKE</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45827-2023</t>
        </is>
      </c>
      <c r="B9463" s="1" t="n">
        <v>45195</v>
      </c>
      <c r="C9463" s="1" t="n">
        <v>45363</v>
      </c>
      <c r="D9463" t="inlineStr">
        <is>
          <t>JÄMTLANDS LÄN</t>
        </is>
      </c>
      <c r="E9463" t="inlineStr">
        <is>
          <t>KROKOM</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45843-2023</t>
        </is>
      </c>
      <c r="B9464" s="1" t="n">
        <v>45195</v>
      </c>
      <c r="C9464" s="1" t="n">
        <v>45363</v>
      </c>
      <c r="D9464" t="inlineStr">
        <is>
          <t>JÄMTLANDS LÄN</t>
        </is>
      </c>
      <c r="E9464" t="inlineStr">
        <is>
          <t>HÄRJEDALEN</t>
        </is>
      </c>
      <c r="G9464" t="n">
        <v>19.5</v>
      </c>
      <c r="H9464" t="n">
        <v>0</v>
      </c>
      <c r="I9464" t="n">
        <v>0</v>
      </c>
      <c r="J9464" t="n">
        <v>0</v>
      </c>
      <c r="K9464" t="n">
        <v>0</v>
      </c>
      <c r="L9464" t="n">
        <v>0</v>
      </c>
      <c r="M9464" t="n">
        <v>0</v>
      </c>
      <c r="N9464" t="n">
        <v>0</v>
      </c>
      <c r="O9464" t="n">
        <v>0</v>
      </c>
      <c r="P9464" t="n">
        <v>0</v>
      </c>
      <c r="Q9464" t="n">
        <v>0</v>
      </c>
      <c r="R9464" s="2" t="inlineStr"/>
    </row>
    <row r="9465" ht="15" customHeight="1">
      <c r="A9465" t="inlineStr">
        <is>
          <t>A 45951-2023</t>
        </is>
      </c>
      <c r="B9465" s="1" t="n">
        <v>45196</v>
      </c>
      <c r="C9465" s="1" t="n">
        <v>45363</v>
      </c>
      <c r="D9465" t="inlineStr">
        <is>
          <t>JÄMTLANDS LÄN</t>
        </is>
      </c>
      <c r="E9465" t="inlineStr">
        <is>
          <t>BRÄCKE</t>
        </is>
      </c>
      <c r="F9465" t="inlineStr">
        <is>
          <t>SCA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45955-2023</t>
        </is>
      </c>
      <c r="B9466" s="1" t="n">
        <v>45196</v>
      </c>
      <c r="C9466" s="1" t="n">
        <v>45363</v>
      </c>
      <c r="D9466" t="inlineStr">
        <is>
          <t>JÄMTLANDS LÄN</t>
        </is>
      </c>
      <c r="E9466" t="inlineStr">
        <is>
          <t>RAGUNDA</t>
        </is>
      </c>
      <c r="F9466" t="inlineStr">
        <is>
          <t>SCA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46793-2023</t>
        </is>
      </c>
      <c r="B9467" s="1" t="n">
        <v>45195</v>
      </c>
      <c r="C9467" s="1" t="n">
        <v>45363</v>
      </c>
      <c r="D9467" t="inlineStr">
        <is>
          <t>JÄMTLANDS LÄN</t>
        </is>
      </c>
      <c r="E9467" t="inlineStr">
        <is>
          <t>STRÖMSUND</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45999-2023</t>
        </is>
      </c>
      <c r="B9468" s="1" t="n">
        <v>45196</v>
      </c>
      <c r="C9468" s="1" t="n">
        <v>45363</v>
      </c>
      <c r="D9468" t="inlineStr">
        <is>
          <t>JÄMTLANDS LÄN</t>
        </is>
      </c>
      <c r="E9468" t="inlineStr">
        <is>
          <t>HÄRJEDALEN</t>
        </is>
      </c>
      <c r="F9468" t="inlineStr">
        <is>
          <t>Bergvik skog väst AB</t>
        </is>
      </c>
      <c r="G9468" t="n">
        <v>11.4</v>
      </c>
      <c r="H9468" t="n">
        <v>0</v>
      </c>
      <c r="I9468" t="n">
        <v>0</v>
      </c>
      <c r="J9468" t="n">
        <v>0</v>
      </c>
      <c r="K9468" t="n">
        <v>0</v>
      </c>
      <c r="L9468" t="n">
        <v>0</v>
      </c>
      <c r="M9468" t="n">
        <v>0</v>
      </c>
      <c r="N9468" t="n">
        <v>0</v>
      </c>
      <c r="O9468" t="n">
        <v>0</v>
      </c>
      <c r="P9468" t="n">
        <v>0</v>
      </c>
      <c r="Q9468" t="n">
        <v>0</v>
      </c>
      <c r="R9468" s="2" t="inlineStr"/>
    </row>
    <row r="9469" ht="15" customHeight="1">
      <c r="A9469" t="inlineStr">
        <is>
          <t>A 46258-2023</t>
        </is>
      </c>
      <c r="B9469" s="1" t="n">
        <v>45197</v>
      </c>
      <c r="C9469" s="1" t="n">
        <v>45363</v>
      </c>
      <c r="D9469" t="inlineStr">
        <is>
          <t>JÄMTLANDS LÄN</t>
        </is>
      </c>
      <c r="E9469" t="inlineStr">
        <is>
          <t>STRÖMSUND</t>
        </is>
      </c>
      <c r="F9469" t="inlineStr">
        <is>
          <t>SCA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46270-2023</t>
        </is>
      </c>
      <c r="B9470" s="1" t="n">
        <v>45196</v>
      </c>
      <c r="C9470" s="1" t="n">
        <v>45363</v>
      </c>
      <c r="D9470" t="inlineStr">
        <is>
          <t>JÄMTLANDS LÄN</t>
        </is>
      </c>
      <c r="E9470" t="inlineStr">
        <is>
          <t>BERG</t>
        </is>
      </c>
      <c r="F9470" t="inlineStr">
        <is>
          <t>SCA</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46274-2023</t>
        </is>
      </c>
      <c r="B9471" s="1" t="n">
        <v>45197</v>
      </c>
      <c r="C9471" s="1" t="n">
        <v>45363</v>
      </c>
      <c r="D9471" t="inlineStr">
        <is>
          <t>JÄMTLANDS LÄN</t>
        </is>
      </c>
      <c r="E9471" t="inlineStr">
        <is>
          <t>BRÄCKE</t>
        </is>
      </c>
      <c r="F9471" t="inlineStr">
        <is>
          <t>Naturvårdsverket</t>
        </is>
      </c>
      <c r="G9471" t="n">
        <v>70.3</v>
      </c>
      <c r="H9471" t="n">
        <v>0</v>
      </c>
      <c r="I9471" t="n">
        <v>0</v>
      </c>
      <c r="J9471" t="n">
        <v>0</v>
      </c>
      <c r="K9471" t="n">
        <v>0</v>
      </c>
      <c r="L9471" t="n">
        <v>0</v>
      </c>
      <c r="M9471" t="n">
        <v>0</v>
      </c>
      <c r="N9471" t="n">
        <v>0</v>
      </c>
      <c r="O9471" t="n">
        <v>0</v>
      </c>
      <c r="P9471" t="n">
        <v>0</v>
      </c>
      <c r="Q9471" t="n">
        <v>0</v>
      </c>
      <c r="R9471" s="2" t="inlineStr"/>
    </row>
    <row r="9472" ht="15" customHeight="1">
      <c r="A9472" t="inlineStr">
        <is>
          <t>A 46257-2023</t>
        </is>
      </c>
      <c r="B9472" s="1" t="n">
        <v>45197</v>
      </c>
      <c r="C9472" s="1" t="n">
        <v>45363</v>
      </c>
      <c r="D9472" t="inlineStr">
        <is>
          <t>JÄMTLANDS LÄN</t>
        </is>
      </c>
      <c r="E9472" t="inlineStr">
        <is>
          <t>BRÄCKE</t>
        </is>
      </c>
      <c r="F9472" t="inlineStr">
        <is>
          <t>SCA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46265-2023</t>
        </is>
      </c>
      <c r="B9473" s="1" t="n">
        <v>45196</v>
      </c>
      <c r="C9473" s="1" t="n">
        <v>45363</v>
      </c>
      <c r="D9473" t="inlineStr">
        <is>
          <t>JÄMTLANDS LÄN</t>
        </is>
      </c>
      <c r="E9473" t="inlineStr">
        <is>
          <t>STRÖMSUND</t>
        </is>
      </c>
      <c r="F9473" t="inlineStr">
        <is>
          <t>SCA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46269-2023</t>
        </is>
      </c>
      <c r="B9474" s="1" t="n">
        <v>45196</v>
      </c>
      <c r="C9474" s="1" t="n">
        <v>45363</v>
      </c>
      <c r="D9474" t="inlineStr">
        <is>
          <t>JÄMTLANDS LÄN</t>
        </is>
      </c>
      <c r="E9474" t="inlineStr">
        <is>
          <t>BERG</t>
        </is>
      </c>
      <c r="F9474" t="inlineStr">
        <is>
          <t>SCA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46273-2023</t>
        </is>
      </c>
      <c r="B9475" s="1" t="n">
        <v>45197</v>
      </c>
      <c r="C9475" s="1" t="n">
        <v>45363</v>
      </c>
      <c r="D9475" t="inlineStr">
        <is>
          <t>JÄMTLANDS LÄN</t>
        </is>
      </c>
      <c r="E9475" t="inlineStr">
        <is>
          <t>BRÄCKE</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46259-2023</t>
        </is>
      </c>
      <c r="B9476" s="1" t="n">
        <v>45197</v>
      </c>
      <c r="C9476" s="1" t="n">
        <v>45363</v>
      </c>
      <c r="D9476" t="inlineStr">
        <is>
          <t>JÄMTLANDS LÄN</t>
        </is>
      </c>
      <c r="E9476" t="inlineStr">
        <is>
          <t>STRÖMSUND</t>
        </is>
      </c>
      <c r="F9476" t="inlineStr">
        <is>
          <t>SCA</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46263-2023</t>
        </is>
      </c>
      <c r="B9477" s="1" t="n">
        <v>45196</v>
      </c>
      <c r="C9477" s="1" t="n">
        <v>45363</v>
      </c>
      <c r="D9477" t="inlineStr">
        <is>
          <t>JÄMTLANDS LÄN</t>
        </is>
      </c>
      <c r="E9477" t="inlineStr">
        <is>
          <t>BRÄCKE</t>
        </is>
      </c>
      <c r="F9477" t="inlineStr">
        <is>
          <t>SCA</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46275-2023</t>
        </is>
      </c>
      <c r="B9478" s="1" t="n">
        <v>45196</v>
      </c>
      <c r="C9478" s="1" t="n">
        <v>45363</v>
      </c>
      <c r="D9478" t="inlineStr">
        <is>
          <t>JÄMTLANDS LÄN</t>
        </is>
      </c>
      <c r="E9478" t="inlineStr">
        <is>
          <t>BERG</t>
        </is>
      </c>
      <c r="F9478" t="inlineStr">
        <is>
          <t>SCA</t>
        </is>
      </c>
      <c r="G9478" t="n">
        <v>17.6</v>
      </c>
      <c r="H9478" t="n">
        <v>0</v>
      </c>
      <c r="I9478" t="n">
        <v>0</v>
      </c>
      <c r="J9478" t="n">
        <v>0</v>
      </c>
      <c r="K9478" t="n">
        <v>0</v>
      </c>
      <c r="L9478" t="n">
        <v>0</v>
      </c>
      <c r="M9478" t="n">
        <v>0</v>
      </c>
      <c r="N9478" t="n">
        <v>0</v>
      </c>
      <c r="O9478" t="n">
        <v>0</v>
      </c>
      <c r="P9478" t="n">
        <v>0</v>
      </c>
      <c r="Q9478" t="n">
        <v>0</v>
      </c>
      <c r="R9478" s="2" t="inlineStr"/>
    </row>
    <row r="9479" ht="15" customHeight="1">
      <c r="A9479" t="inlineStr">
        <is>
          <t>A 47319-2023</t>
        </is>
      </c>
      <c r="B9479" s="1" t="n">
        <v>45196</v>
      </c>
      <c r="C9479" s="1" t="n">
        <v>45363</v>
      </c>
      <c r="D9479" t="inlineStr">
        <is>
          <t>JÄMTLANDS LÄN</t>
        </is>
      </c>
      <c r="E9479" t="inlineStr">
        <is>
          <t>RAGUNDA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47340-2023</t>
        </is>
      </c>
      <c r="B9480" s="1" t="n">
        <v>45196</v>
      </c>
      <c r="C9480" s="1" t="n">
        <v>45363</v>
      </c>
      <c r="D9480" t="inlineStr">
        <is>
          <t>JÄMTLANDS LÄN</t>
        </is>
      </c>
      <c r="E9480" t="inlineStr">
        <is>
          <t>BERG</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46268-2023</t>
        </is>
      </c>
      <c r="B9481" s="1" t="n">
        <v>45196</v>
      </c>
      <c r="C9481" s="1" t="n">
        <v>45363</v>
      </c>
      <c r="D9481" t="inlineStr">
        <is>
          <t>JÄMTLANDS LÄN</t>
        </is>
      </c>
      <c r="E9481" t="inlineStr">
        <is>
          <t>BERG</t>
        </is>
      </c>
      <c r="F9481" t="inlineStr">
        <is>
          <t>SCA</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47337-2023</t>
        </is>
      </c>
      <c r="B9482" s="1" t="n">
        <v>45196</v>
      </c>
      <c r="C9482" s="1" t="n">
        <v>45363</v>
      </c>
      <c r="D9482" t="inlineStr">
        <is>
          <t>JÄMTLANDS LÄN</t>
        </is>
      </c>
      <c r="E9482" t="inlineStr">
        <is>
          <t>BERG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46365-2023</t>
        </is>
      </c>
      <c r="B9483" s="1" t="n">
        <v>45197</v>
      </c>
      <c r="C9483" s="1" t="n">
        <v>45363</v>
      </c>
      <c r="D9483" t="inlineStr">
        <is>
          <t>JÄMTLANDS LÄN</t>
        </is>
      </c>
      <c r="E9483" t="inlineStr">
        <is>
          <t>STRÖMSUND</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46383-2023</t>
        </is>
      </c>
      <c r="B9484" s="1" t="n">
        <v>45197</v>
      </c>
      <c r="C9484" s="1" t="n">
        <v>45363</v>
      </c>
      <c r="D9484" t="inlineStr">
        <is>
          <t>JÄMTLANDS LÄN</t>
        </is>
      </c>
      <c r="E9484" t="inlineStr">
        <is>
          <t>HÄRJEDALEN</t>
        </is>
      </c>
      <c r="G9484" t="n">
        <v>7.6</v>
      </c>
      <c r="H9484" t="n">
        <v>0</v>
      </c>
      <c r="I9484" t="n">
        <v>0</v>
      </c>
      <c r="J9484" t="n">
        <v>0</v>
      </c>
      <c r="K9484" t="n">
        <v>0</v>
      </c>
      <c r="L9484" t="n">
        <v>0</v>
      </c>
      <c r="M9484" t="n">
        <v>0</v>
      </c>
      <c r="N9484" t="n">
        <v>0</v>
      </c>
      <c r="O9484" t="n">
        <v>0</v>
      </c>
      <c r="P9484" t="n">
        <v>0</v>
      </c>
      <c r="Q9484" t="n">
        <v>0</v>
      </c>
      <c r="R9484" s="2" t="inlineStr"/>
    </row>
    <row r="9485" ht="15" customHeight="1">
      <c r="A9485" t="inlineStr">
        <is>
          <t>A 46536-2023</t>
        </is>
      </c>
      <c r="B9485" s="1" t="n">
        <v>45198</v>
      </c>
      <c r="C9485" s="1" t="n">
        <v>45363</v>
      </c>
      <c r="D9485" t="inlineStr">
        <is>
          <t>JÄMTLANDS LÄN</t>
        </is>
      </c>
      <c r="E9485" t="inlineStr">
        <is>
          <t>RAGUNDA</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46545-2023</t>
        </is>
      </c>
      <c r="B9486" s="1" t="n">
        <v>45198</v>
      </c>
      <c r="C9486" s="1" t="n">
        <v>45363</v>
      </c>
      <c r="D9486" t="inlineStr">
        <is>
          <t>JÄMTLANDS LÄN</t>
        </is>
      </c>
      <c r="E9486" t="inlineStr">
        <is>
          <t>STRÖMSUND</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46549-2023</t>
        </is>
      </c>
      <c r="B9487" s="1" t="n">
        <v>45198</v>
      </c>
      <c r="C9487" s="1" t="n">
        <v>45363</v>
      </c>
      <c r="D9487" t="inlineStr">
        <is>
          <t>JÄMTLANDS LÄN</t>
        </is>
      </c>
      <c r="E9487" t="inlineStr">
        <is>
          <t>RAGUNDA</t>
        </is>
      </c>
      <c r="F9487" t="inlineStr">
        <is>
          <t>SCA</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46394-2023</t>
        </is>
      </c>
      <c r="B9488" s="1" t="n">
        <v>45197</v>
      </c>
      <c r="C9488" s="1" t="n">
        <v>45363</v>
      </c>
      <c r="D9488" t="inlineStr">
        <is>
          <t>JÄMTLANDS LÄN</t>
        </is>
      </c>
      <c r="E9488" t="inlineStr">
        <is>
          <t>HÄRJEDALEN</t>
        </is>
      </c>
      <c r="F9488" t="inlineStr">
        <is>
          <t>Bergvik skog väst AB</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46537-2023</t>
        </is>
      </c>
      <c r="B9489" s="1" t="n">
        <v>45197</v>
      </c>
      <c r="C9489" s="1" t="n">
        <v>45363</v>
      </c>
      <c r="D9489" t="inlineStr">
        <is>
          <t>JÄMTLANDS LÄN</t>
        </is>
      </c>
      <c r="E9489" t="inlineStr">
        <is>
          <t>RAGUNDA</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46546-2023</t>
        </is>
      </c>
      <c r="B9490" s="1" t="n">
        <v>45198</v>
      </c>
      <c r="C9490" s="1" t="n">
        <v>45363</v>
      </c>
      <c r="D9490" t="inlineStr">
        <is>
          <t>JÄMTLANDS LÄN</t>
        </is>
      </c>
      <c r="E9490" t="inlineStr">
        <is>
          <t>RAGUNDA</t>
        </is>
      </c>
      <c r="F9490" t="inlineStr">
        <is>
          <t>SCA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46375-2023</t>
        </is>
      </c>
      <c r="B9491" s="1" t="n">
        <v>45197</v>
      </c>
      <c r="C9491" s="1" t="n">
        <v>45363</v>
      </c>
      <c r="D9491" t="inlineStr">
        <is>
          <t>JÄMTLANDS LÄN</t>
        </is>
      </c>
      <c r="E9491" t="inlineStr">
        <is>
          <t>ÖSTERSUND</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46510-2023</t>
        </is>
      </c>
      <c r="B9492" s="1" t="n">
        <v>45197</v>
      </c>
      <c r="C9492" s="1" t="n">
        <v>45363</v>
      </c>
      <c r="D9492" t="inlineStr">
        <is>
          <t>JÄMTLANDS LÄN</t>
        </is>
      </c>
      <c r="E9492" t="inlineStr">
        <is>
          <t>ÅRE</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46556-2023</t>
        </is>
      </c>
      <c r="B9493" s="1" t="n">
        <v>45198</v>
      </c>
      <c r="C9493" s="1" t="n">
        <v>45363</v>
      </c>
      <c r="D9493" t="inlineStr">
        <is>
          <t>JÄMTLANDS LÄN</t>
        </is>
      </c>
      <c r="E9493" t="inlineStr">
        <is>
          <t>STRÖMSUND</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46557-2023</t>
        </is>
      </c>
      <c r="B9494" s="1" t="n">
        <v>45197</v>
      </c>
      <c r="C9494" s="1" t="n">
        <v>45363</v>
      </c>
      <c r="D9494" t="inlineStr">
        <is>
          <t>JÄMTLANDS LÄN</t>
        </is>
      </c>
      <c r="E9494" t="inlineStr">
        <is>
          <t>STRÖMSUND</t>
        </is>
      </c>
      <c r="F9494" t="inlineStr">
        <is>
          <t>SCA</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46551-2023</t>
        </is>
      </c>
      <c r="B9495" s="1" t="n">
        <v>45198</v>
      </c>
      <c r="C9495" s="1" t="n">
        <v>45363</v>
      </c>
      <c r="D9495" t="inlineStr">
        <is>
          <t>JÄMTLANDS LÄN</t>
        </is>
      </c>
      <c r="E9495" t="inlineStr">
        <is>
          <t>BRÄCKE</t>
        </is>
      </c>
      <c r="F9495" t="inlineStr">
        <is>
          <t>SCA</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47444-2023</t>
        </is>
      </c>
      <c r="B9496" s="1" t="n">
        <v>45197</v>
      </c>
      <c r="C9496" s="1" t="n">
        <v>45363</v>
      </c>
      <c r="D9496" t="inlineStr">
        <is>
          <t>JÄMTLANDS LÄN</t>
        </is>
      </c>
      <c r="E9496" t="inlineStr">
        <is>
          <t>RAGUNDA</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46592-2023</t>
        </is>
      </c>
      <c r="B9497" s="1" t="n">
        <v>45198</v>
      </c>
      <c r="C9497" s="1" t="n">
        <v>45363</v>
      </c>
      <c r="D9497" t="inlineStr">
        <is>
          <t>JÄMTLANDS LÄN</t>
        </is>
      </c>
      <c r="E9497" t="inlineStr">
        <is>
          <t>KROKOM</t>
        </is>
      </c>
      <c r="F9497" t="inlineStr">
        <is>
          <t>Övriga Aktiebolag</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46626-2023</t>
        </is>
      </c>
      <c r="B9498" s="1" t="n">
        <v>45198</v>
      </c>
      <c r="C9498" s="1" t="n">
        <v>45363</v>
      </c>
      <c r="D9498" t="inlineStr">
        <is>
          <t>JÄMTLANDS LÄN</t>
        </is>
      </c>
      <c r="E9498" t="inlineStr">
        <is>
          <t>KROKOM</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46636-2023</t>
        </is>
      </c>
      <c r="B9499" s="1" t="n">
        <v>45198</v>
      </c>
      <c r="C9499" s="1" t="n">
        <v>45363</v>
      </c>
      <c r="D9499" t="inlineStr">
        <is>
          <t>JÄMTLANDS LÄN</t>
        </is>
      </c>
      <c r="E9499" t="inlineStr">
        <is>
          <t>KROKOM</t>
        </is>
      </c>
      <c r="F9499" t="inlineStr">
        <is>
          <t>Övriga Aktiebolag</t>
        </is>
      </c>
      <c r="G9499" t="n">
        <v>8.300000000000001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46632-2023</t>
        </is>
      </c>
      <c r="B9500" s="1" t="n">
        <v>45198</v>
      </c>
      <c r="C9500" s="1" t="n">
        <v>45363</v>
      </c>
      <c r="D9500" t="inlineStr">
        <is>
          <t>JÄMTLANDS LÄN</t>
        </is>
      </c>
      <c r="E9500" t="inlineStr">
        <is>
          <t>KROKOM</t>
        </is>
      </c>
      <c r="F9500" t="inlineStr">
        <is>
          <t>Övriga Aktiebolag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46807-2023</t>
        </is>
      </c>
      <c r="B9501" s="1" t="n">
        <v>45199</v>
      </c>
      <c r="C9501" s="1" t="n">
        <v>45363</v>
      </c>
      <c r="D9501" t="inlineStr">
        <is>
          <t>JÄMTLANDS LÄN</t>
        </is>
      </c>
      <c r="E9501" t="inlineStr">
        <is>
          <t>STRÖMSUND</t>
        </is>
      </c>
      <c r="F9501" t="inlineStr">
        <is>
          <t>SCA</t>
        </is>
      </c>
      <c r="G9501" t="n">
        <v>6.6</v>
      </c>
      <c r="H9501" t="n">
        <v>0</v>
      </c>
      <c r="I9501" t="n">
        <v>0</v>
      </c>
      <c r="J9501" t="n">
        <v>0</v>
      </c>
      <c r="K9501" t="n">
        <v>0</v>
      </c>
      <c r="L9501" t="n">
        <v>0</v>
      </c>
      <c r="M9501" t="n">
        <v>0</v>
      </c>
      <c r="N9501" t="n">
        <v>0</v>
      </c>
      <c r="O9501" t="n">
        <v>0</v>
      </c>
      <c r="P9501" t="n">
        <v>0</v>
      </c>
      <c r="Q9501" t="n">
        <v>0</v>
      </c>
      <c r="R9501" s="2" t="inlineStr"/>
    </row>
    <row r="9502" ht="15" customHeight="1">
      <c r="A9502" t="inlineStr">
        <is>
          <t>A 46811-2023</t>
        </is>
      </c>
      <c r="B9502" s="1" t="n">
        <v>45199</v>
      </c>
      <c r="C9502" s="1" t="n">
        <v>45363</v>
      </c>
      <c r="D9502" t="inlineStr">
        <is>
          <t>JÄMTLANDS LÄN</t>
        </is>
      </c>
      <c r="E9502" t="inlineStr">
        <is>
          <t>STRÖMSUND</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46797-2023</t>
        </is>
      </c>
      <c r="B9503" s="1" t="n">
        <v>45198</v>
      </c>
      <c r="C9503" s="1" t="n">
        <v>45363</v>
      </c>
      <c r="D9503" t="inlineStr">
        <is>
          <t>JÄMTLANDS LÄN</t>
        </is>
      </c>
      <c r="E9503" t="inlineStr">
        <is>
          <t>BERG</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46812-2023</t>
        </is>
      </c>
      <c r="B9504" s="1" t="n">
        <v>45198</v>
      </c>
      <c r="C9504" s="1" t="n">
        <v>45363</v>
      </c>
      <c r="D9504" t="inlineStr">
        <is>
          <t>JÄMTLANDS LÄN</t>
        </is>
      </c>
      <c r="E9504" t="inlineStr">
        <is>
          <t>BRÄCKE</t>
        </is>
      </c>
      <c r="F9504" t="inlineStr">
        <is>
          <t>SCA</t>
        </is>
      </c>
      <c r="G9504" t="n">
        <v>17.5</v>
      </c>
      <c r="H9504" t="n">
        <v>0</v>
      </c>
      <c r="I9504" t="n">
        <v>0</v>
      </c>
      <c r="J9504" t="n">
        <v>0</v>
      </c>
      <c r="K9504" t="n">
        <v>0</v>
      </c>
      <c r="L9504" t="n">
        <v>0</v>
      </c>
      <c r="M9504" t="n">
        <v>0</v>
      </c>
      <c r="N9504" t="n">
        <v>0</v>
      </c>
      <c r="O9504" t="n">
        <v>0</v>
      </c>
      <c r="P9504" t="n">
        <v>0</v>
      </c>
      <c r="Q9504" t="n">
        <v>0</v>
      </c>
      <c r="R9504" s="2" t="inlineStr"/>
    </row>
    <row r="9505" ht="15" customHeight="1">
      <c r="A9505" t="inlineStr">
        <is>
          <t>A 46816-2023</t>
        </is>
      </c>
      <c r="B9505" s="1" t="n">
        <v>45198</v>
      </c>
      <c r="C9505" s="1" t="n">
        <v>45363</v>
      </c>
      <c r="D9505" t="inlineStr">
        <is>
          <t>JÄMTLANDS LÄN</t>
        </is>
      </c>
      <c r="E9505" t="inlineStr">
        <is>
          <t>BERG</t>
        </is>
      </c>
      <c r="F9505" t="inlineStr">
        <is>
          <t>SCA</t>
        </is>
      </c>
      <c r="G9505" t="n">
        <v>66.2</v>
      </c>
      <c r="H9505" t="n">
        <v>0</v>
      </c>
      <c r="I9505" t="n">
        <v>0</v>
      </c>
      <c r="J9505" t="n">
        <v>0</v>
      </c>
      <c r="K9505" t="n">
        <v>0</v>
      </c>
      <c r="L9505" t="n">
        <v>0</v>
      </c>
      <c r="M9505" t="n">
        <v>0</v>
      </c>
      <c r="N9505" t="n">
        <v>0</v>
      </c>
      <c r="O9505" t="n">
        <v>0</v>
      </c>
      <c r="P9505" t="n">
        <v>0</v>
      </c>
      <c r="Q9505" t="n">
        <v>0</v>
      </c>
      <c r="R9505" s="2" t="inlineStr"/>
    </row>
    <row r="9506" ht="15" customHeight="1">
      <c r="A9506" t="inlineStr">
        <is>
          <t>A 46633-2023</t>
        </is>
      </c>
      <c r="B9506" s="1" t="n">
        <v>45198</v>
      </c>
      <c r="C9506" s="1" t="n">
        <v>45363</v>
      </c>
      <c r="D9506" t="inlineStr">
        <is>
          <t>JÄMTLANDS LÄN</t>
        </is>
      </c>
      <c r="E9506" t="inlineStr">
        <is>
          <t>HÄRJEDALEN</t>
        </is>
      </c>
      <c r="F9506" t="inlineStr">
        <is>
          <t>Bergvik skog väst AB</t>
        </is>
      </c>
      <c r="G9506" t="n">
        <v>13.3</v>
      </c>
      <c r="H9506" t="n">
        <v>0</v>
      </c>
      <c r="I9506" t="n">
        <v>0</v>
      </c>
      <c r="J9506" t="n">
        <v>0</v>
      </c>
      <c r="K9506" t="n">
        <v>0</v>
      </c>
      <c r="L9506" t="n">
        <v>0</v>
      </c>
      <c r="M9506" t="n">
        <v>0</v>
      </c>
      <c r="N9506" t="n">
        <v>0</v>
      </c>
      <c r="O9506" t="n">
        <v>0</v>
      </c>
      <c r="P9506" t="n">
        <v>0</v>
      </c>
      <c r="Q9506" t="n">
        <v>0</v>
      </c>
      <c r="R9506" s="2" t="inlineStr"/>
    </row>
    <row r="9507" ht="15" customHeight="1">
      <c r="A9507" t="inlineStr">
        <is>
          <t>A 46763-2023</t>
        </is>
      </c>
      <c r="B9507" s="1" t="n">
        <v>45198</v>
      </c>
      <c r="C9507" s="1" t="n">
        <v>45363</v>
      </c>
      <c r="D9507" t="inlineStr">
        <is>
          <t>JÄMTLANDS LÄN</t>
        </is>
      </c>
      <c r="E9507" t="inlineStr">
        <is>
          <t>ÖSTERSUND</t>
        </is>
      </c>
      <c r="F9507" t="inlineStr">
        <is>
          <t>Sveaskog</t>
        </is>
      </c>
      <c r="G9507" t="n">
        <v>13.3</v>
      </c>
      <c r="H9507" t="n">
        <v>0</v>
      </c>
      <c r="I9507" t="n">
        <v>0</v>
      </c>
      <c r="J9507" t="n">
        <v>0</v>
      </c>
      <c r="K9507" t="n">
        <v>0</v>
      </c>
      <c r="L9507" t="n">
        <v>0</v>
      </c>
      <c r="M9507" t="n">
        <v>0</v>
      </c>
      <c r="N9507" t="n">
        <v>0</v>
      </c>
      <c r="O9507" t="n">
        <v>0</v>
      </c>
      <c r="P9507" t="n">
        <v>0</v>
      </c>
      <c r="Q9507" t="n">
        <v>0</v>
      </c>
      <c r="R9507" s="2" t="inlineStr"/>
    </row>
    <row r="9508" ht="15" customHeight="1">
      <c r="A9508" t="inlineStr">
        <is>
          <t>A 46798-2023</t>
        </is>
      </c>
      <c r="B9508" s="1" t="n">
        <v>45198</v>
      </c>
      <c r="C9508" s="1" t="n">
        <v>45363</v>
      </c>
      <c r="D9508" t="inlineStr">
        <is>
          <t>JÄMTLANDS LÄN</t>
        </is>
      </c>
      <c r="E9508" t="inlineStr">
        <is>
          <t>BRÄCKE</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46805-2023</t>
        </is>
      </c>
      <c r="B9509" s="1" t="n">
        <v>45198</v>
      </c>
      <c r="C9509" s="1" t="n">
        <v>45363</v>
      </c>
      <c r="D9509" t="inlineStr">
        <is>
          <t>JÄMTLANDS LÄN</t>
        </is>
      </c>
      <c r="E9509" t="inlineStr">
        <is>
          <t>BRÄCKE</t>
        </is>
      </c>
      <c r="F9509" t="inlineStr">
        <is>
          <t>SCA</t>
        </is>
      </c>
      <c r="G9509" t="n">
        <v>9.4</v>
      </c>
      <c r="H9509" t="n">
        <v>0</v>
      </c>
      <c r="I9509" t="n">
        <v>0</v>
      </c>
      <c r="J9509" t="n">
        <v>0</v>
      </c>
      <c r="K9509" t="n">
        <v>0</v>
      </c>
      <c r="L9509" t="n">
        <v>0</v>
      </c>
      <c r="M9509" t="n">
        <v>0</v>
      </c>
      <c r="N9509" t="n">
        <v>0</v>
      </c>
      <c r="O9509" t="n">
        <v>0</v>
      </c>
      <c r="P9509" t="n">
        <v>0</v>
      </c>
      <c r="Q9509" t="n">
        <v>0</v>
      </c>
      <c r="R9509" s="2" t="inlineStr"/>
    </row>
    <row r="9510" ht="15" customHeight="1">
      <c r="A9510" t="inlineStr">
        <is>
          <t>A 46809-2023</t>
        </is>
      </c>
      <c r="B9510" s="1" t="n">
        <v>45199</v>
      </c>
      <c r="C9510" s="1" t="n">
        <v>45363</v>
      </c>
      <c r="D9510" t="inlineStr">
        <is>
          <t>JÄMTLANDS LÄN</t>
        </is>
      </c>
      <c r="E9510" t="inlineStr">
        <is>
          <t>BRÄCKE</t>
        </is>
      </c>
      <c r="F9510" t="inlineStr">
        <is>
          <t>SCA</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46813-2023</t>
        </is>
      </c>
      <c r="B9511" s="1" t="n">
        <v>45199</v>
      </c>
      <c r="C9511" s="1" t="n">
        <v>45363</v>
      </c>
      <c r="D9511" t="inlineStr">
        <is>
          <t>JÄMTLANDS LÄN</t>
        </is>
      </c>
      <c r="E9511" t="inlineStr">
        <is>
          <t>STRÖMSUND</t>
        </is>
      </c>
      <c r="F9511" t="inlineStr">
        <is>
          <t>SCA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46817-2023</t>
        </is>
      </c>
      <c r="B9512" s="1" t="n">
        <v>45199</v>
      </c>
      <c r="C9512" s="1" t="n">
        <v>45363</v>
      </c>
      <c r="D9512" t="inlineStr">
        <is>
          <t>JÄMTLANDS LÄN</t>
        </is>
      </c>
      <c r="E9512" t="inlineStr">
        <is>
          <t>RAGUNDA</t>
        </is>
      </c>
      <c r="F9512" t="inlineStr">
        <is>
          <t>SCA</t>
        </is>
      </c>
      <c r="G9512" t="n">
        <v>7.9</v>
      </c>
      <c r="H9512" t="n">
        <v>0</v>
      </c>
      <c r="I9512" t="n">
        <v>0</v>
      </c>
      <c r="J9512" t="n">
        <v>0</v>
      </c>
      <c r="K9512" t="n">
        <v>0</v>
      </c>
      <c r="L9512" t="n">
        <v>0</v>
      </c>
      <c r="M9512" t="n">
        <v>0</v>
      </c>
      <c r="N9512" t="n">
        <v>0</v>
      </c>
      <c r="O9512" t="n">
        <v>0</v>
      </c>
      <c r="P9512" t="n">
        <v>0</v>
      </c>
      <c r="Q9512" t="n">
        <v>0</v>
      </c>
      <c r="R9512" s="2" t="inlineStr"/>
    </row>
    <row r="9513" ht="15" customHeight="1">
      <c r="A9513" t="inlineStr">
        <is>
          <t>A 46748-2023</t>
        </is>
      </c>
      <c r="B9513" s="1" t="n">
        <v>45198</v>
      </c>
      <c r="C9513" s="1" t="n">
        <v>45363</v>
      </c>
      <c r="D9513" t="inlineStr">
        <is>
          <t>JÄMTLANDS LÄN</t>
        </is>
      </c>
      <c r="E9513" t="inlineStr">
        <is>
          <t>ÖSTERSUND</t>
        </is>
      </c>
      <c r="F9513" t="inlineStr">
        <is>
          <t>Sveaskog</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46770-2023</t>
        </is>
      </c>
      <c r="B9514" s="1" t="n">
        <v>45198</v>
      </c>
      <c r="C9514" s="1" t="n">
        <v>45363</v>
      </c>
      <c r="D9514" t="inlineStr">
        <is>
          <t>JÄMTLANDS LÄN</t>
        </is>
      </c>
      <c r="E9514" t="inlineStr">
        <is>
          <t>STRÖMSUND</t>
        </is>
      </c>
      <c r="F9514" t="inlineStr">
        <is>
          <t>Sveaskog</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46774-2023</t>
        </is>
      </c>
      <c r="B9515" s="1" t="n">
        <v>45198</v>
      </c>
      <c r="C9515" s="1" t="n">
        <v>45363</v>
      </c>
      <c r="D9515" t="inlineStr">
        <is>
          <t>JÄMTLANDS LÄN</t>
        </is>
      </c>
      <c r="E9515" t="inlineStr">
        <is>
          <t>STRÖMSUND</t>
        </is>
      </c>
      <c r="F9515" t="inlineStr">
        <is>
          <t>Sveaskog</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46820-2023</t>
        </is>
      </c>
      <c r="B9516" s="1" t="n">
        <v>45199</v>
      </c>
      <c r="C9516" s="1" t="n">
        <v>45363</v>
      </c>
      <c r="D9516" t="inlineStr">
        <is>
          <t>JÄMTLANDS LÄN</t>
        </is>
      </c>
      <c r="E9516" t="inlineStr">
        <is>
          <t>KROKOM</t>
        </is>
      </c>
      <c r="F9516" t="inlineStr">
        <is>
          <t>SCA</t>
        </is>
      </c>
      <c r="G9516" t="n">
        <v>60.6</v>
      </c>
      <c r="H9516" t="n">
        <v>0</v>
      </c>
      <c r="I9516" t="n">
        <v>0</v>
      </c>
      <c r="J9516" t="n">
        <v>0</v>
      </c>
      <c r="K9516" t="n">
        <v>0</v>
      </c>
      <c r="L9516" t="n">
        <v>0</v>
      </c>
      <c r="M9516" t="n">
        <v>0</v>
      </c>
      <c r="N9516" t="n">
        <v>0</v>
      </c>
      <c r="O9516" t="n">
        <v>0</v>
      </c>
      <c r="P9516" t="n">
        <v>0</v>
      </c>
      <c r="Q9516" t="n">
        <v>0</v>
      </c>
      <c r="R9516" s="2" t="inlineStr"/>
    </row>
    <row r="9517" ht="15" customHeight="1">
      <c r="A9517" t="inlineStr">
        <is>
          <t>A 46799-2023</t>
        </is>
      </c>
      <c r="B9517" s="1" t="n">
        <v>45198</v>
      </c>
      <c r="C9517" s="1" t="n">
        <v>45363</v>
      </c>
      <c r="D9517" t="inlineStr">
        <is>
          <t>JÄMTLANDS LÄN</t>
        </is>
      </c>
      <c r="E9517" t="inlineStr">
        <is>
          <t>BRÄCKE</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46806-2023</t>
        </is>
      </c>
      <c r="B9518" s="1" t="n">
        <v>45199</v>
      </c>
      <c r="C9518" s="1" t="n">
        <v>45363</v>
      </c>
      <c r="D9518" t="inlineStr">
        <is>
          <t>JÄMTLANDS LÄN</t>
        </is>
      </c>
      <c r="E9518" t="inlineStr">
        <is>
          <t>RAGUNDA</t>
        </is>
      </c>
      <c r="F9518" t="inlineStr">
        <is>
          <t>SCA</t>
        </is>
      </c>
      <c r="G9518" t="n">
        <v>39.8</v>
      </c>
      <c r="H9518" t="n">
        <v>0</v>
      </c>
      <c r="I9518" t="n">
        <v>0</v>
      </c>
      <c r="J9518" t="n">
        <v>0</v>
      </c>
      <c r="K9518" t="n">
        <v>0</v>
      </c>
      <c r="L9518" t="n">
        <v>0</v>
      </c>
      <c r="M9518" t="n">
        <v>0</v>
      </c>
      <c r="N9518" t="n">
        <v>0</v>
      </c>
      <c r="O9518" t="n">
        <v>0</v>
      </c>
      <c r="P9518" t="n">
        <v>0</v>
      </c>
      <c r="Q9518" t="n">
        <v>0</v>
      </c>
      <c r="R9518" s="2" t="inlineStr"/>
    </row>
    <row r="9519" ht="15" customHeight="1">
      <c r="A9519" t="inlineStr">
        <is>
          <t>A 46810-2023</t>
        </is>
      </c>
      <c r="B9519" s="1" t="n">
        <v>45199</v>
      </c>
      <c r="C9519" s="1" t="n">
        <v>45363</v>
      </c>
      <c r="D9519" t="inlineStr">
        <is>
          <t>JÄMTLANDS LÄN</t>
        </is>
      </c>
      <c r="E9519" t="inlineStr">
        <is>
          <t>BRÄCKE</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46832-2023</t>
        </is>
      </c>
      <c r="B9520" s="1" t="n">
        <v>45199</v>
      </c>
      <c r="C9520" s="1" t="n">
        <v>45363</v>
      </c>
      <c r="D9520" t="inlineStr">
        <is>
          <t>JÄMTLANDS LÄN</t>
        </is>
      </c>
      <c r="E9520" t="inlineStr">
        <is>
          <t>KROKOM</t>
        </is>
      </c>
      <c r="F9520" t="inlineStr">
        <is>
          <t>Övriga Aktiebolag</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46841-2023</t>
        </is>
      </c>
      <c r="B9521" s="1" t="n">
        <v>45199</v>
      </c>
      <c r="C9521" s="1" t="n">
        <v>45363</v>
      </c>
      <c r="D9521" t="inlineStr">
        <is>
          <t>JÄMTLANDS LÄN</t>
        </is>
      </c>
      <c r="E9521" t="inlineStr">
        <is>
          <t>KROKOM</t>
        </is>
      </c>
      <c r="F9521" t="inlineStr">
        <is>
          <t>Övriga Aktiebolag</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46859-2023</t>
        </is>
      </c>
      <c r="B9522" s="1" t="n">
        <v>45200</v>
      </c>
      <c r="C9522" s="1" t="n">
        <v>45363</v>
      </c>
      <c r="D9522" t="inlineStr">
        <is>
          <t>JÄMTLANDS LÄN</t>
        </is>
      </c>
      <c r="E9522" t="inlineStr">
        <is>
          <t>BERG</t>
        </is>
      </c>
      <c r="F9522" t="inlineStr">
        <is>
          <t>SCA</t>
        </is>
      </c>
      <c r="G9522" t="n">
        <v>9.699999999999999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46858-2023</t>
        </is>
      </c>
      <c r="B9523" s="1" t="n">
        <v>45200</v>
      </c>
      <c r="C9523" s="1" t="n">
        <v>45363</v>
      </c>
      <c r="D9523" t="inlineStr">
        <is>
          <t>JÄMTLANDS LÄN</t>
        </is>
      </c>
      <c r="E9523" t="inlineStr">
        <is>
          <t>BERG</t>
        </is>
      </c>
      <c r="F9523" t="inlineStr">
        <is>
          <t>SCA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48219-2023</t>
        </is>
      </c>
      <c r="B9524" s="1" t="n">
        <v>45200</v>
      </c>
      <c r="C9524" s="1" t="n">
        <v>45363</v>
      </c>
      <c r="D9524" t="inlineStr">
        <is>
          <t>JÄMTLANDS LÄN</t>
        </is>
      </c>
      <c r="E9524" t="inlineStr">
        <is>
          <t>KROKOM</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46860-2023</t>
        </is>
      </c>
      <c r="B9525" s="1" t="n">
        <v>45200</v>
      </c>
      <c r="C9525" s="1" t="n">
        <v>45363</v>
      </c>
      <c r="D9525" t="inlineStr">
        <is>
          <t>JÄMTLANDS LÄN</t>
        </is>
      </c>
      <c r="E9525" t="inlineStr">
        <is>
          <t>BRÄCKE</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46872-2023</t>
        </is>
      </c>
      <c r="B9526" s="1" t="n">
        <v>45200</v>
      </c>
      <c r="C9526" s="1" t="n">
        <v>45363</v>
      </c>
      <c r="D9526" t="inlineStr">
        <is>
          <t>JÄMTLANDS LÄN</t>
        </is>
      </c>
      <c r="E9526" t="inlineStr">
        <is>
          <t>BERG</t>
        </is>
      </c>
      <c r="F9526" t="inlineStr">
        <is>
          <t>Naturvårdsverket</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46874-2023</t>
        </is>
      </c>
      <c r="B9527" s="1" t="n">
        <v>45200</v>
      </c>
      <c r="C9527" s="1" t="n">
        <v>45363</v>
      </c>
      <c r="D9527" t="inlineStr">
        <is>
          <t>JÄMTLANDS LÄN</t>
        </is>
      </c>
      <c r="E9527" t="inlineStr">
        <is>
          <t>BERG</t>
        </is>
      </c>
      <c r="F9527" t="inlineStr">
        <is>
          <t>Naturvårdsverket</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47151-2023</t>
        </is>
      </c>
      <c r="B9528" s="1" t="n">
        <v>45201</v>
      </c>
      <c r="C9528" s="1" t="n">
        <v>45363</v>
      </c>
      <c r="D9528" t="inlineStr">
        <is>
          <t>JÄMTLANDS LÄN</t>
        </is>
      </c>
      <c r="E9528" t="inlineStr">
        <is>
          <t>STRÖMSUND</t>
        </is>
      </c>
      <c r="F9528" t="inlineStr">
        <is>
          <t>Holmen skog AB</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47163-2023</t>
        </is>
      </c>
      <c r="B9529" s="1" t="n">
        <v>45202</v>
      </c>
      <c r="C9529" s="1" t="n">
        <v>45363</v>
      </c>
      <c r="D9529" t="inlineStr">
        <is>
          <t>JÄMTLANDS LÄN</t>
        </is>
      </c>
      <c r="E9529" t="inlineStr">
        <is>
          <t>BRÄCKE</t>
        </is>
      </c>
      <c r="F9529" t="inlineStr">
        <is>
          <t>SCA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47183-2023</t>
        </is>
      </c>
      <c r="B9530" s="1" t="n">
        <v>45201</v>
      </c>
      <c r="C9530" s="1" t="n">
        <v>45363</v>
      </c>
      <c r="D9530" t="inlineStr">
        <is>
          <t>JÄMTLANDS LÄN</t>
        </is>
      </c>
      <c r="E9530" t="inlineStr">
        <is>
          <t>BRÄCKE</t>
        </is>
      </c>
      <c r="F9530" t="inlineStr">
        <is>
          <t>SCA</t>
        </is>
      </c>
      <c r="G9530" t="n">
        <v>1.2</v>
      </c>
      <c r="H9530" t="n">
        <v>0</v>
      </c>
      <c r="I9530" t="n">
        <v>0</v>
      </c>
      <c r="J9530" t="n">
        <v>0</v>
      </c>
      <c r="K9530" t="n">
        <v>0</v>
      </c>
      <c r="L9530" t="n">
        <v>0</v>
      </c>
      <c r="M9530" t="n">
        <v>0</v>
      </c>
      <c r="N9530" t="n">
        <v>0</v>
      </c>
      <c r="O9530" t="n">
        <v>0</v>
      </c>
      <c r="P9530" t="n">
        <v>0</v>
      </c>
      <c r="Q9530" t="n">
        <v>0</v>
      </c>
      <c r="R9530" s="2" t="inlineStr"/>
      <c r="U9530">
        <f>HYPERLINK("https://klasma.github.io/Logging_2305/knärot/A 47183-2023 karta knärot.png", "A 47183-2023")</f>
        <v/>
      </c>
      <c r="V9530">
        <f>HYPERLINK("https://klasma.github.io/Logging_2305/klagomål/A 47183-2023 FSC-klagomål.docx", "A 47183-2023")</f>
        <v/>
      </c>
      <c r="W9530">
        <f>HYPERLINK("https://klasma.github.io/Logging_2305/klagomålsmail/A 47183-2023 FSC-klagomål mail.docx", "A 47183-2023")</f>
        <v/>
      </c>
      <c r="X9530">
        <f>HYPERLINK("https://klasma.github.io/Logging_2305/tillsyn/A 47183-2023 tillsynsbegäran.docx", "A 47183-2023")</f>
        <v/>
      </c>
      <c r="Y9530">
        <f>HYPERLINK("https://klasma.github.io/Logging_2305/tillsynsmail/A 47183-2023 tillsynsbegäran mail.docx", "A 47183-2023")</f>
        <v/>
      </c>
    </row>
    <row r="9531" ht="15" customHeight="1">
      <c r="A9531" t="inlineStr">
        <is>
          <t>A 47178-2023</t>
        </is>
      </c>
      <c r="B9531" s="1" t="n">
        <v>45201</v>
      </c>
      <c r="C9531" s="1" t="n">
        <v>45363</v>
      </c>
      <c r="D9531" t="inlineStr">
        <is>
          <t>JÄMTLANDS LÄN</t>
        </is>
      </c>
      <c r="E9531" t="inlineStr">
        <is>
          <t>STRÖMSUND</t>
        </is>
      </c>
      <c r="F9531" t="inlineStr">
        <is>
          <t>SCA</t>
        </is>
      </c>
      <c r="G9531" t="n">
        <v>8.199999999999999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47182-2023</t>
        </is>
      </c>
      <c r="B9532" s="1" t="n">
        <v>45202</v>
      </c>
      <c r="C9532" s="1" t="n">
        <v>45363</v>
      </c>
      <c r="D9532" t="inlineStr">
        <is>
          <t>JÄMTLANDS LÄN</t>
        </is>
      </c>
      <c r="E9532" t="inlineStr">
        <is>
          <t>STRÖMSUND</t>
        </is>
      </c>
      <c r="F9532" t="inlineStr">
        <is>
          <t>SCA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47116-2023</t>
        </is>
      </c>
      <c r="B9533" s="1" t="n">
        <v>45201</v>
      </c>
      <c r="C9533" s="1" t="n">
        <v>45363</v>
      </c>
      <c r="D9533" t="inlineStr">
        <is>
          <t>JÄMTLANDS LÄN</t>
        </is>
      </c>
      <c r="E9533" t="inlineStr">
        <is>
          <t>STRÖMSUND</t>
        </is>
      </c>
      <c r="F9533" t="inlineStr">
        <is>
          <t>Holmen skog AB</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47186-2023</t>
        </is>
      </c>
      <c r="B9534" s="1" t="n">
        <v>45201</v>
      </c>
      <c r="C9534" s="1" t="n">
        <v>45363</v>
      </c>
      <c r="D9534" t="inlineStr">
        <is>
          <t>JÄMTLANDS LÄN</t>
        </is>
      </c>
      <c r="E9534" t="inlineStr">
        <is>
          <t>BRÄCKE</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47168-2023</t>
        </is>
      </c>
      <c r="B9535" s="1" t="n">
        <v>45201</v>
      </c>
      <c r="C9535" s="1" t="n">
        <v>45363</v>
      </c>
      <c r="D9535" t="inlineStr">
        <is>
          <t>JÄMTLANDS LÄN</t>
        </is>
      </c>
      <c r="E9535" t="inlineStr">
        <is>
          <t>RAGUNDA</t>
        </is>
      </c>
      <c r="F9535" t="inlineStr">
        <is>
          <t>SCA</t>
        </is>
      </c>
      <c r="G9535" t="n">
        <v>15.6</v>
      </c>
      <c r="H9535" t="n">
        <v>0</v>
      </c>
      <c r="I9535" t="n">
        <v>0</v>
      </c>
      <c r="J9535" t="n">
        <v>0</v>
      </c>
      <c r="K9535" t="n">
        <v>0</v>
      </c>
      <c r="L9535" t="n">
        <v>0</v>
      </c>
      <c r="M9535" t="n">
        <v>0</v>
      </c>
      <c r="N9535" t="n">
        <v>0</v>
      </c>
      <c r="O9535" t="n">
        <v>0</v>
      </c>
      <c r="P9535" t="n">
        <v>0</v>
      </c>
      <c r="Q9535" t="n">
        <v>0</v>
      </c>
      <c r="R9535" s="2" t="inlineStr"/>
    </row>
    <row r="9536" ht="15" customHeight="1">
      <c r="A9536" t="inlineStr">
        <is>
          <t>A 47176-2023</t>
        </is>
      </c>
      <c r="B9536" s="1" t="n">
        <v>45202</v>
      </c>
      <c r="C9536" s="1" t="n">
        <v>45363</v>
      </c>
      <c r="D9536" t="inlineStr">
        <is>
          <t>JÄMTLANDS LÄN</t>
        </is>
      </c>
      <c r="E9536" t="inlineStr">
        <is>
          <t>BERG</t>
        </is>
      </c>
      <c r="F9536" t="inlineStr">
        <is>
          <t>SCA</t>
        </is>
      </c>
      <c r="G9536" t="n">
        <v>32.3</v>
      </c>
      <c r="H9536" t="n">
        <v>0</v>
      </c>
      <c r="I9536" t="n">
        <v>0</v>
      </c>
      <c r="J9536" t="n">
        <v>0</v>
      </c>
      <c r="K9536" t="n">
        <v>0</v>
      </c>
      <c r="L9536" t="n">
        <v>0</v>
      </c>
      <c r="M9536" t="n">
        <v>0</v>
      </c>
      <c r="N9536" t="n">
        <v>0</v>
      </c>
      <c r="O9536" t="n">
        <v>0</v>
      </c>
      <c r="P9536" t="n">
        <v>0</v>
      </c>
      <c r="Q9536" t="n">
        <v>0</v>
      </c>
      <c r="R9536" s="2" t="inlineStr"/>
    </row>
    <row r="9537" ht="15" customHeight="1">
      <c r="A9537" t="inlineStr">
        <is>
          <t>A 46977-2023</t>
        </is>
      </c>
      <c r="B9537" s="1" t="n">
        <v>45201</v>
      </c>
      <c r="C9537" s="1" t="n">
        <v>45363</v>
      </c>
      <c r="D9537" t="inlineStr">
        <is>
          <t>JÄMTLANDS LÄN</t>
        </is>
      </c>
      <c r="E9537" t="inlineStr">
        <is>
          <t>HÄRJEDALEN</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46993-2023</t>
        </is>
      </c>
      <c r="B9538" s="1" t="n">
        <v>45201</v>
      </c>
      <c r="C9538" s="1" t="n">
        <v>45363</v>
      </c>
      <c r="D9538" t="inlineStr">
        <is>
          <t>JÄMTLANDS LÄN</t>
        </is>
      </c>
      <c r="E9538" t="inlineStr">
        <is>
          <t>HÄRJEDALEN</t>
        </is>
      </c>
      <c r="G9538" t="n">
        <v>13.5</v>
      </c>
      <c r="H9538" t="n">
        <v>0</v>
      </c>
      <c r="I9538" t="n">
        <v>0</v>
      </c>
      <c r="J9538" t="n">
        <v>0</v>
      </c>
      <c r="K9538" t="n">
        <v>0</v>
      </c>
      <c r="L9538" t="n">
        <v>0</v>
      </c>
      <c r="M9538" t="n">
        <v>0</v>
      </c>
      <c r="N9538" t="n">
        <v>0</v>
      </c>
      <c r="O9538" t="n">
        <v>0</v>
      </c>
      <c r="P9538" t="n">
        <v>0</v>
      </c>
      <c r="Q9538" t="n">
        <v>0</v>
      </c>
      <c r="R9538" s="2" t="inlineStr"/>
    </row>
    <row r="9539" ht="15" customHeight="1">
      <c r="A9539" t="inlineStr">
        <is>
          <t>A 47073-2023</t>
        </is>
      </c>
      <c r="B9539" s="1" t="n">
        <v>45201</v>
      </c>
      <c r="C9539" s="1" t="n">
        <v>45363</v>
      </c>
      <c r="D9539" t="inlineStr">
        <is>
          <t>JÄMTLANDS LÄN</t>
        </is>
      </c>
      <c r="E9539" t="inlineStr">
        <is>
          <t>KROKOM</t>
        </is>
      </c>
      <c r="G9539" t="n">
        <v>15.1</v>
      </c>
      <c r="H9539" t="n">
        <v>0</v>
      </c>
      <c r="I9539" t="n">
        <v>0</v>
      </c>
      <c r="J9539" t="n">
        <v>0</v>
      </c>
      <c r="K9539" t="n">
        <v>0</v>
      </c>
      <c r="L9539" t="n">
        <v>0</v>
      </c>
      <c r="M9539" t="n">
        <v>0</v>
      </c>
      <c r="N9539" t="n">
        <v>0</v>
      </c>
      <c r="O9539" t="n">
        <v>0</v>
      </c>
      <c r="P9539" t="n">
        <v>0</v>
      </c>
      <c r="Q9539" t="n">
        <v>0</v>
      </c>
      <c r="R9539" s="2" t="inlineStr"/>
    </row>
    <row r="9540" ht="15" customHeight="1">
      <c r="A9540" t="inlineStr">
        <is>
          <t>A 47169-2023</t>
        </is>
      </c>
      <c r="B9540" s="1" t="n">
        <v>45202</v>
      </c>
      <c r="C9540" s="1" t="n">
        <v>45363</v>
      </c>
      <c r="D9540" t="inlineStr">
        <is>
          <t>JÄMTLANDS LÄN</t>
        </is>
      </c>
      <c r="E9540" t="inlineStr">
        <is>
          <t>BRÄCKE</t>
        </is>
      </c>
      <c r="F9540" t="inlineStr">
        <is>
          <t>SCA</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47173-2023</t>
        </is>
      </c>
      <c r="B9541" s="1" t="n">
        <v>45202</v>
      </c>
      <c r="C9541" s="1" t="n">
        <v>45363</v>
      </c>
      <c r="D9541" t="inlineStr">
        <is>
          <t>JÄMTLANDS LÄN</t>
        </is>
      </c>
      <c r="E9541" t="inlineStr">
        <is>
          <t>RAGUNDA</t>
        </is>
      </c>
      <c r="F9541" t="inlineStr">
        <is>
          <t>SCA</t>
        </is>
      </c>
      <c r="G9541" t="n">
        <v>21.5</v>
      </c>
      <c r="H9541" t="n">
        <v>0</v>
      </c>
      <c r="I9541" t="n">
        <v>0</v>
      </c>
      <c r="J9541" t="n">
        <v>0</v>
      </c>
      <c r="K9541" t="n">
        <v>0</v>
      </c>
      <c r="L9541" t="n">
        <v>0</v>
      </c>
      <c r="M9541" t="n">
        <v>0</v>
      </c>
      <c r="N9541" t="n">
        <v>0</v>
      </c>
      <c r="O9541" t="n">
        <v>0</v>
      </c>
      <c r="P9541" t="n">
        <v>0</v>
      </c>
      <c r="Q9541" t="n">
        <v>0</v>
      </c>
      <c r="R9541" s="2" t="inlineStr"/>
    </row>
    <row r="9542" ht="15" customHeight="1">
      <c r="A9542" t="inlineStr">
        <is>
          <t>A 47086-2023</t>
        </is>
      </c>
      <c r="B9542" s="1" t="n">
        <v>45201</v>
      </c>
      <c r="C9542" s="1" t="n">
        <v>45363</v>
      </c>
      <c r="D9542" t="inlineStr">
        <is>
          <t>JÄMTLANDS LÄN</t>
        </is>
      </c>
      <c r="E9542" t="inlineStr">
        <is>
          <t>ÖSTERSUND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47095-2023</t>
        </is>
      </c>
      <c r="B9543" s="1" t="n">
        <v>45201</v>
      </c>
      <c r="C9543" s="1" t="n">
        <v>45363</v>
      </c>
      <c r="D9543" t="inlineStr">
        <is>
          <t>JÄMTLANDS LÄN</t>
        </is>
      </c>
      <c r="E9543" t="inlineStr">
        <is>
          <t>HÄRJEDALEN</t>
        </is>
      </c>
      <c r="G9543" t="n">
        <v>8.1</v>
      </c>
      <c r="H9543" t="n">
        <v>0</v>
      </c>
      <c r="I9543" t="n">
        <v>0</v>
      </c>
      <c r="J9543" t="n">
        <v>0</v>
      </c>
      <c r="K9543" t="n">
        <v>0</v>
      </c>
      <c r="L9543" t="n">
        <v>0</v>
      </c>
      <c r="M9543" t="n">
        <v>0</v>
      </c>
      <c r="N9543" t="n">
        <v>0</v>
      </c>
      <c r="O9543" t="n">
        <v>0</v>
      </c>
      <c r="P9543" t="n">
        <v>0</v>
      </c>
      <c r="Q9543" t="n">
        <v>0</v>
      </c>
      <c r="R9543" s="2" t="inlineStr"/>
    </row>
    <row r="9544" ht="15" customHeight="1">
      <c r="A9544" t="inlineStr">
        <is>
          <t>A 48161-2023</t>
        </is>
      </c>
      <c r="B9544" s="1" t="n">
        <v>45201</v>
      </c>
      <c r="C9544" s="1" t="n">
        <v>45363</v>
      </c>
      <c r="D9544" t="inlineStr">
        <is>
          <t>JÄMTLANDS LÄN</t>
        </is>
      </c>
      <c r="E9544" t="inlineStr">
        <is>
          <t>KROKOM</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48349-2023</t>
        </is>
      </c>
      <c r="B9545" s="1" t="n">
        <v>45201</v>
      </c>
      <c r="C9545" s="1" t="n">
        <v>45363</v>
      </c>
      <c r="D9545" t="inlineStr">
        <is>
          <t>JÄMTLANDS LÄN</t>
        </is>
      </c>
      <c r="E9545" t="inlineStr">
        <is>
          <t>BRÄCKE</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48328-2023</t>
        </is>
      </c>
      <c r="B9546" s="1" t="n">
        <v>45201</v>
      </c>
      <c r="C9546" s="1" t="n">
        <v>45363</v>
      </c>
      <c r="D9546" t="inlineStr">
        <is>
          <t>JÄMTLANDS LÄN</t>
        </is>
      </c>
      <c r="E9546" t="inlineStr">
        <is>
          <t>STRÖMSUND</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48390-2023</t>
        </is>
      </c>
      <c r="B9547" s="1" t="n">
        <v>45201</v>
      </c>
      <c r="C9547" s="1" t="n">
        <v>45363</v>
      </c>
      <c r="D9547" t="inlineStr">
        <is>
          <t>JÄMTLANDS LÄN</t>
        </is>
      </c>
      <c r="E9547" t="inlineStr">
        <is>
          <t>BRÄCKE</t>
        </is>
      </c>
      <c r="F9547" t="inlineStr">
        <is>
          <t>SCA</t>
        </is>
      </c>
      <c r="G9547" t="n">
        <v>6.9</v>
      </c>
      <c r="H9547" t="n">
        <v>0</v>
      </c>
      <c r="I9547" t="n">
        <v>0</v>
      </c>
      <c r="J9547" t="n">
        <v>0</v>
      </c>
      <c r="K9547" t="n">
        <v>0</v>
      </c>
      <c r="L9547" t="n">
        <v>0</v>
      </c>
      <c r="M9547" t="n">
        <v>0</v>
      </c>
      <c r="N9547" t="n">
        <v>0</v>
      </c>
      <c r="O9547" t="n">
        <v>0</v>
      </c>
      <c r="P9547" t="n">
        <v>0</v>
      </c>
      <c r="Q9547" t="n">
        <v>0</v>
      </c>
      <c r="R9547" s="2" t="inlineStr"/>
    </row>
    <row r="9548" ht="15" customHeight="1">
      <c r="A9548" t="inlineStr">
        <is>
          <t>A 47252-2023</t>
        </is>
      </c>
      <c r="B9548" s="1" t="n">
        <v>45202</v>
      </c>
      <c r="C9548" s="1" t="n">
        <v>45363</v>
      </c>
      <c r="D9548" t="inlineStr">
        <is>
          <t>JÄMTLANDS LÄN</t>
        </is>
      </c>
      <c r="E9548" t="inlineStr">
        <is>
          <t>ÖSTERSUND</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47289-2023</t>
        </is>
      </c>
      <c r="B9549" s="1" t="n">
        <v>45202</v>
      </c>
      <c r="C9549" s="1" t="n">
        <v>45363</v>
      </c>
      <c r="D9549" t="inlineStr">
        <is>
          <t>JÄMTLANDS LÄN</t>
        </is>
      </c>
      <c r="E9549" t="inlineStr">
        <is>
          <t>BERG</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47365-2023</t>
        </is>
      </c>
      <c r="B9550" s="1" t="n">
        <v>45202</v>
      </c>
      <c r="C9550" s="1" t="n">
        <v>45363</v>
      </c>
      <c r="D9550" t="inlineStr">
        <is>
          <t>JÄMTLANDS LÄN</t>
        </is>
      </c>
      <c r="E9550" t="inlineStr">
        <is>
          <t>BRÄCKE</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47244-2023</t>
        </is>
      </c>
      <c r="B9551" s="1" t="n">
        <v>45202</v>
      </c>
      <c r="C9551" s="1" t="n">
        <v>45363</v>
      </c>
      <c r="D9551" t="inlineStr">
        <is>
          <t>JÄMTLANDS LÄN</t>
        </is>
      </c>
      <c r="E9551" t="inlineStr">
        <is>
          <t>HÄRJEDALEN</t>
        </is>
      </c>
      <c r="F9551" t="inlineStr">
        <is>
          <t>Holmen skog AB</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47304-2023</t>
        </is>
      </c>
      <c r="B9552" s="1" t="n">
        <v>45202</v>
      </c>
      <c r="C9552" s="1" t="n">
        <v>45363</v>
      </c>
      <c r="D9552" t="inlineStr">
        <is>
          <t>JÄMTLANDS LÄN</t>
        </is>
      </c>
      <c r="E9552" t="inlineStr">
        <is>
          <t>BERG</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47486-2023</t>
        </is>
      </c>
      <c r="B9553" s="1" t="n">
        <v>45203</v>
      </c>
      <c r="C9553" s="1" t="n">
        <v>45363</v>
      </c>
      <c r="D9553" t="inlineStr">
        <is>
          <t>JÄMTLANDS LÄN</t>
        </is>
      </c>
      <c r="E9553" t="inlineStr">
        <is>
          <t>BRÄCKE</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48663-2023</t>
        </is>
      </c>
      <c r="B9554" s="1" t="n">
        <v>45202</v>
      </c>
      <c r="C9554" s="1" t="n">
        <v>45363</v>
      </c>
      <c r="D9554" t="inlineStr">
        <is>
          <t>JÄMTLANDS LÄN</t>
        </is>
      </c>
      <c r="E9554" t="inlineStr">
        <is>
          <t>BERG</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47500-2023</t>
        </is>
      </c>
      <c r="B9555" s="1" t="n">
        <v>45203</v>
      </c>
      <c r="C9555" s="1" t="n">
        <v>45363</v>
      </c>
      <c r="D9555" t="inlineStr">
        <is>
          <t>JÄMTLANDS LÄN</t>
        </is>
      </c>
      <c r="E9555" t="inlineStr">
        <is>
          <t>BRÄCKE</t>
        </is>
      </c>
      <c r="F9555" t="inlineStr">
        <is>
          <t>SCA</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48649-2023</t>
        </is>
      </c>
      <c r="B9556" s="1" t="n">
        <v>45202</v>
      </c>
      <c r="C9556" s="1" t="n">
        <v>45363</v>
      </c>
      <c r="D9556" t="inlineStr">
        <is>
          <t>JÄMTLANDS LÄN</t>
        </is>
      </c>
      <c r="E9556" t="inlineStr">
        <is>
          <t>BERG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47487-2023</t>
        </is>
      </c>
      <c r="B9557" s="1" t="n">
        <v>45203</v>
      </c>
      <c r="C9557" s="1" t="n">
        <v>45363</v>
      </c>
      <c r="D9557" t="inlineStr">
        <is>
          <t>JÄMTLANDS LÄN</t>
        </is>
      </c>
      <c r="E9557" t="inlineStr">
        <is>
          <t>BRÄCKE</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47491-2023</t>
        </is>
      </c>
      <c r="B9558" s="1" t="n">
        <v>45203</v>
      </c>
      <c r="C9558" s="1" t="n">
        <v>45363</v>
      </c>
      <c r="D9558" t="inlineStr">
        <is>
          <t>JÄMTLANDS LÄN</t>
        </is>
      </c>
      <c r="E9558" t="inlineStr">
        <is>
          <t>STRÖMSUND</t>
        </is>
      </c>
      <c r="F9558" t="inlineStr">
        <is>
          <t>SCA</t>
        </is>
      </c>
      <c r="G9558" t="n">
        <v>12.6</v>
      </c>
      <c r="H9558" t="n">
        <v>0</v>
      </c>
      <c r="I9558" t="n">
        <v>0</v>
      </c>
      <c r="J9558" t="n">
        <v>0</v>
      </c>
      <c r="K9558" t="n">
        <v>0</v>
      </c>
      <c r="L9558" t="n">
        <v>0</v>
      </c>
      <c r="M9558" t="n">
        <v>0</v>
      </c>
      <c r="N9558" t="n">
        <v>0</v>
      </c>
      <c r="O9558" t="n">
        <v>0</v>
      </c>
      <c r="P9558" t="n">
        <v>0</v>
      </c>
      <c r="Q9558" t="n">
        <v>0</v>
      </c>
      <c r="R9558" s="2" t="inlineStr"/>
    </row>
    <row r="9559" ht="15" customHeight="1">
      <c r="A9559" t="inlineStr">
        <is>
          <t>A 48671-2023</t>
        </is>
      </c>
      <c r="B9559" s="1" t="n">
        <v>45202</v>
      </c>
      <c r="C9559" s="1" t="n">
        <v>45363</v>
      </c>
      <c r="D9559" t="inlineStr">
        <is>
          <t>JÄMTLANDS LÄN</t>
        </is>
      </c>
      <c r="E9559" t="inlineStr">
        <is>
          <t>BERG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47546-2023</t>
        </is>
      </c>
      <c r="B9560" s="1" t="n">
        <v>45203</v>
      </c>
      <c r="C9560" s="1" t="n">
        <v>45363</v>
      </c>
      <c r="D9560" t="inlineStr">
        <is>
          <t>JÄMTLANDS LÄN</t>
        </is>
      </c>
      <c r="E9560" t="inlineStr">
        <is>
          <t>HÄRJEDALEN</t>
        </is>
      </c>
      <c r="F9560" t="inlineStr">
        <is>
          <t>Bergvik skog väst AB</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47726-2023</t>
        </is>
      </c>
      <c r="B9561" s="1" t="n">
        <v>45203</v>
      </c>
      <c r="C9561" s="1" t="n">
        <v>45363</v>
      </c>
      <c r="D9561" t="inlineStr">
        <is>
          <t>JÄMTLANDS LÄN</t>
        </is>
      </c>
      <c r="E9561" t="inlineStr">
        <is>
          <t>KROKOM</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47625-2023</t>
        </is>
      </c>
      <c r="B9562" s="1" t="n">
        <v>45203</v>
      </c>
      <c r="C9562" s="1" t="n">
        <v>45363</v>
      </c>
      <c r="D9562" t="inlineStr">
        <is>
          <t>JÄMTLANDS LÄN</t>
        </is>
      </c>
      <c r="E9562" t="inlineStr">
        <is>
          <t>KROKOM</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47587-2023</t>
        </is>
      </c>
      <c r="B9563" s="1" t="n">
        <v>45203</v>
      </c>
      <c r="C9563" s="1" t="n">
        <v>45363</v>
      </c>
      <c r="D9563" t="inlineStr">
        <is>
          <t>JÄMTLANDS LÄN</t>
        </is>
      </c>
      <c r="E9563" t="inlineStr">
        <is>
          <t>KROKOM</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47606-2023</t>
        </is>
      </c>
      <c r="B9564" s="1" t="n">
        <v>45203</v>
      </c>
      <c r="C9564" s="1" t="n">
        <v>45363</v>
      </c>
      <c r="D9564" t="inlineStr">
        <is>
          <t>JÄMTLANDS LÄN</t>
        </is>
      </c>
      <c r="E9564" t="inlineStr">
        <is>
          <t>KROKOM</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47623-2023</t>
        </is>
      </c>
      <c r="B9565" s="1" t="n">
        <v>45203</v>
      </c>
      <c r="C9565" s="1" t="n">
        <v>45363</v>
      </c>
      <c r="D9565" t="inlineStr">
        <is>
          <t>JÄMTLANDS LÄN</t>
        </is>
      </c>
      <c r="E9565" t="inlineStr">
        <is>
          <t>KROKOM</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47705-2023</t>
        </is>
      </c>
      <c r="B9566" s="1" t="n">
        <v>45203</v>
      </c>
      <c r="C9566" s="1" t="n">
        <v>45363</v>
      </c>
      <c r="D9566" t="inlineStr">
        <is>
          <t>JÄMTLANDS LÄN</t>
        </is>
      </c>
      <c r="E9566" t="inlineStr">
        <is>
          <t>HÄRJEDALEN</t>
        </is>
      </c>
      <c r="F9566" t="inlineStr">
        <is>
          <t>Bergvik skog väst AB</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47727-2023</t>
        </is>
      </c>
      <c r="B9567" s="1" t="n">
        <v>45203</v>
      </c>
      <c r="C9567" s="1" t="n">
        <v>45363</v>
      </c>
      <c r="D9567" t="inlineStr">
        <is>
          <t>JÄMTLANDS LÄN</t>
        </is>
      </c>
      <c r="E9567" t="inlineStr">
        <is>
          <t>ÖSTERSUND</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47510-2023</t>
        </is>
      </c>
      <c r="B9568" s="1" t="n">
        <v>45203</v>
      </c>
      <c r="C9568" s="1" t="n">
        <v>45363</v>
      </c>
      <c r="D9568" t="inlineStr">
        <is>
          <t>JÄMTLANDS LÄN</t>
        </is>
      </c>
      <c r="E9568" t="inlineStr">
        <is>
          <t>HÄRJEDALEN</t>
        </is>
      </c>
      <c r="G9568" t="n">
        <v>10.6</v>
      </c>
      <c r="H9568" t="n">
        <v>0</v>
      </c>
      <c r="I9568" t="n">
        <v>0</v>
      </c>
      <c r="J9568" t="n">
        <v>0</v>
      </c>
      <c r="K9568" t="n">
        <v>0</v>
      </c>
      <c r="L9568" t="n">
        <v>0</v>
      </c>
      <c r="M9568" t="n">
        <v>0</v>
      </c>
      <c r="N9568" t="n">
        <v>0</v>
      </c>
      <c r="O9568" t="n">
        <v>0</v>
      </c>
      <c r="P9568" t="n">
        <v>0</v>
      </c>
      <c r="Q9568" t="n">
        <v>0</v>
      </c>
      <c r="R9568" s="2" t="inlineStr"/>
    </row>
    <row r="9569" ht="15" customHeight="1">
      <c r="A9569" t="inlineStr">
        <is>
          <t>A 47596-2023</t>
        </is>
      </c>
      <c r="B9569" s="1" t="n">
        <v>45203</v>
      </c>
      <c r="C9569" s="1" t="n">
        <v>45363</v>
      </c>
      <c r="D9569" t="inlineStr">
        <is>
          <t>JÄMTLANDS LÄN</t>
        </is>
      </c>
      <c r="E9569" t="inlineStr">
        <is>
          <t>KROKOM</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47626-2023</t>
        </is>
      </c>
      <c r="B9570" s="1" t="n">
        <v>45203</v>
      </c>
      <c r="C9570" s="1" t="n">
        <v>45363</v>
      </c>
      <c r="D9570" t="inlineStr">
        <is>
          <t>JÄMTLANDS LÄN</t>
        </is>
      </c>
      <c r="E9570" t="inlineStr">
        <is>
          <t>BERG</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47635-2023</t>
        </is>
      </c>
      <c r="B9571" s="1" t="n">
        <v>45203</v>
      </c>
      <c r="C9571" s="1" t="n">
        <v>45363</v>
      </c>
      <c r="D9571" t="inlineStr">
        <is>
          <t>JÄMTLANDS LÄN</t>
        </is>
      </c>
      <c r="E9571" t="inlineStr">
        <is>
          <t>KROKOM</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47698-2023</t>
        </is>
      </c>
      <c r="B9572" s="1" t="n">
        <v>45203</v>
      </c>
      <c r="C9572" s="1" t="n">
        <v>45363</v>
      </c>
      <c r="D9572" t="inlineStr">
        <is>
          <t>JÄMTLANDS LÄN</t>
        </is>
      </c>
      <c r="E9572" t="inlineStr">
        <is>
          <t>ÅRE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47795-2023</t>
        </is>
      </c>
      <c r="B9573" s="1" t="n">
        <v>45204</v>
      </c>
      <c r="C9573" s="1" t="n">
        <v>45363</v>
      </c>
      <c r="D9573" t="inlineStr">
        <is>
          <t>JÄMTLANDS LÄN</t>
        </is>
      </c>
      <c r="E9573" t="inlineStr">
        <is>
          <t>HÄRJEDALEN</t>
        </is>
      </c>
      <c r="G9573" t="n">
        <v>5.7</v>
      </c>
      <c r="H9573" t="n">
        <v>0</v>
      </c>
      <c r="I9573" t="n">
        <v>0</v>
      </c>
      <c r="J9573" t="n">
        <v>0</v>
      </c>
      <c r="K9573" t="n">
        <v>0</v>
      </c>
      <c r="L9573" t="n">
        <v>0</v>
      </c>
      <c r="M9573" t="n">
        <v>0</v>
      </c>
      <c r="N9573" t="n">
        <v>0</v>
      </c>
      <c r="O9573" t="n">
        <v>0</v>
      </c>
      <c r="P9573" t="n">
        <v>0</v>
      </c>
      <c r="Q9573" t="n">
        <v>0</v>
      </c>
      <c r="R9573" s="2" t="inlineStr"/>
    </row>
    <row r="9574" ht="15" customHeight="1">
      <c r="A9574" t="inlineStr">
        <is>
          <t>A 47788-2023</t>
        </is>
      </c>
      <c r="B9574" s="1" t="n">
        <v>45204</v>
      </c>
      <c r="C9574" s="1" t="n">
        <v>45363</v>
      </c>
      <c r="D9574" t="inlineStr">
        <is>
          <t>JÄMTLANDS LÄN</t>
        </is>
      </c>
      <c r="E9574" t="inlineStr">
        <is>
          <t>BRÄCKE</t>
        </is>
      </c>
      <c r="F9574" t="inlineStr">
        <is>
          <t>SCA</t>
        </is>
      </c>
      <c r="G9574" t="n">
        <v>22.4</v>
      </c>
      <c r="H9574" t="n">
        <v>0</v>
      </c>
      <c r="I9574" t="n">
        <v>0</v>
      </c>
      <c r="J9574" t="n">
        <v>0</v>
      </c>
      <c r="K9574" t="n">
        <v>0</v>
      </c>
      <c r="L9574" t="n">
        <v>0</v>
      </c>
      <c r="M9574" t="n">
        <v>0</v>
      </c>
      <c r="N9574" t="n">
        <v>0</v>
      </c>
      <c r="O9574" t="n">
        <v>0</v>
      </c>
      <c r="P9574" t="n">
        <v>0</v>
      </c>
      <c r="Q9574" t="n">
        <v>0</v>
      </c>
      <c r="R9574" s="2" t="inlineStr"/>
    </row>
    <row r="9575" ht="15" customHeight="1">
      <c r="A9575" t="inlineStr">
        <is>
          <t>A 48669-2023</t>
        </is>
      </c>
      <c r="B9575" s="1" t="n">
        <v>45203</v>
      </c>
      <c r="C9575" s="1" t="n">
        <v>45363</v>
      </c>
      <c r="D9575" t="inlineStr">
        <is>
          <t>JÄMTLANDS LÄN</t>
        </is>
      </c>
      <c r="E9575" t="inlineStr">
        <is>
          <t>HÄRJEDALEN</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47843-2023</t>
        </is>
      </c>
      <c r="B9576" s="1" t="n">
        <v>45204</v>
      </c>
      <c r="C9576" s="1" t="n">
        <v>45363</v>
      </c>
      <c r="D9576" t="inlineStr">
        <is>
          <t>JÄMTLANDS LÄN</t>
        </is>
      </c>
      <c r="E9576" t="inlineStr">
        <is>
          <t>STRÖMSUND</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47838-2023</t>
        </is>
      </c>
      <c r="B9577" s="1" t="n">
        <v>45204</v>
      </c>
      <c r="C9577" s="1" t="n">
        <v>45363</v>
      </c>
      <c r="D9577" t="inlineStr">
        <is>
          <t>JÄMTLANDS LÄN</t>
        </is>
      </c>
      <c r="E9577" t="inlineStr">
        <is>
          <t>KROKOM</t>
        </is>
      </c>
      <c r="G9577" t="n">
        <v>11.8</v>
      </c>
      <c r="H9577" t="n">
        <v>0</v>
      </c>
      <c r="I9577" t="n">
        <v>0</v>
      </c>
      <c r="J9577" t="n">
        <v>0</v>
      </c>
      <c r="K9577" t="n">
        <v>0</v>
      </c>
      <c r="L9577" t="n">
        <v>0</v>
      </c>
      <c r="M9577" t="n">
        <v>0</v>
      </c>
      <c r="N9577" t="n">
        <v>0</v>
      </c>
      <c r="O9577" t="n">
        <v>0</v>
      </c>
      <c r="P9577" t="n">
        <v>0</v>
      </c>
      <c r="Q9577" t="n">
        <v>0</v>
      </c>
      <c r="R9577" s="2" t="inlineStr"/>
    </row>
    <row r="9578" ht="15" customHeight="1">
      <c r="A9578" t="inlineStr">
        <is>
          <t>A 47850-2023</t>
        </is>
      </c>
      <c r="B9578" s="1" t="n">
        <v>45204</v>
      </c>
      <c r="C9578" s="1" t="n">
        <v>45363</v>
      </c>
      <c r="D9578" t="inlineStr">
        <is>
          <t>JÄMTLANDS LÄN</t>
        </is>
      </c>
      <c r="E9578" t="inlineStr">
        <is>
          <t>KROKOM</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47955-2023</t>
        </is>
      </c>
      <c r="B9579" s="1" t="n">
        <v>45204</v>
      </c>
      <c r="C9579" s="1" t="n">
        <v>45363</v>
      </c>
      <c r="D9579" t="inlineStr">
        <is>
          <t>JÄMTLANDS LÄN</t>
        </is>
      </c>
      <c r="E9579" t="inlineStr">
        <is>
          <t>HÄRJEDALEN</t>
        </is>
      </c>
      <c r="F9579" t="inlineStr">
        <is>
          <t>Bergvik skog väst AB</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48038-2023</t>
        </is>
      </c>
      <c r="B9580" s="1" t="n">
        <v>45204</v>
      </c>
      <c r="C9580" s="1" t="n">
        <v>45363</v>
      </c>
      <c r="D9580" t="inlineStr">
        <is>
          <t>JÄMTLANDS LÄN</t>
        </is>
      </c>
      <c r="E9580" t="inlineStr">
        <is>
          <t>STRÖMSUND</t>
        </is>
      </c>
      <c r="F9580" t="inlineStr">
        <is>
          <t>Holmen skog AB</t>
        </is>
      </c>
      <c r="G9580" t="n">
        <v>6.1</v>
      </c>
      <c r="H9580" t="n">
        <v>0</v>
      </c>
      <c r="I9580" t="n">
        <v>0</v>
      </c>
      <c r="J9580" t="n">
        <v>0</v>
      </c>
      <c r="K9580" t="n">
        <v>0</v>
      </c>
      <c r="L9580" t="n">
        <v>0</v>
      </c>
      <c r="M9580" t="n">
        <v>0</v>
      </c>
      <c r="N9580" t="n">
        <v>0</v>
      </c>
      <c r="O9580" t="n">
        <v>0</v>
      </c>
      <c r="P9580" t="n">
        <v>0</v>
      </c>
      <c r="Q9580" t="n">
        <v>0</v>
      </c>
      <c r="R9580" s="2" t="inlineStr"/>
    </row>
    <row r="9581" ht="15" customHeight="1">
      <c r="A9581" t="inlineStr">
        <is>
          <t>A 48042-2023</t>
        </is>
      </c>
      <c r="B9581" s="1" t="n">
        <v>45204</v>
      </c>
      <c r="C9581" s="1" t="n">
        <v>45363</v>
      </c>
      <c r="D9581" t="inlineStr">
        <is>
          <t>JÄMTLANDS LÄN</t>
        </is>
      </c>
      <c r="E9581" t="inlineStr">
        <is>
          <t>STRÖMSUND</t>
        </is>
      </c>
      <c r="F9581" t="inlineStr">
        <is>
          <t>Holmen skog AB</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48051-2023</t>
        </is>
      </c>
      <c r="B9582" s="1" t="n">
        <v>45204</v>
      </c>
      <c r="C9582" s="1" t="n">
        <v>45363</v>
      </c>
      <c r="D9582" t="inlineStr">
        <is>
          <t>JÄMTLANDS LÄN</t>
        </is>
      </c>
      <c r="E9582" t="inlineStr">
        <is>
          <t>HÄRJEDALEN</t>
        </is>
      </c>
      <c r="G9582" t="n">
        <v>9.699999999999999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48071-2023</t>
        </is>
      </c>
      <c r="B9583" s="1" t="n">
        <v>45205</v>
      </c>
      <c r="C9583" s="1" t="n">
        <v>45363</v>
      </c>
      <c r="D9583" t="inlineStr">
        <is>
          <t>JÄMTLANDS LÄN</t>
        </is>
      </c>
      <c r="E9583" t="inlineStr">
        <is>
          <t>STRÖMSUND</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48065-2023</t>
        </is>
      </c>
      <c r="B9584" s="1" t="n">
        <v>45205</v>
      </c>
      <c r="C9584" s="1" t="n">
        <v>45363</v>
      </c>
      <c r="D9584" t="inlineStr">
        <is>
          <t>JÄMTLANDS LÄN</t>
        </is>
      </c>
      <c r="E9584" t="inlineStr">
        <is>
          <t>RAGUNDA</t>
        </is>
      </c>
      <c r="F9584" t="inlineStr">
        <is>
          <t>SCA</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48069-2023</t>
        </is>
      </c>
      <c r="B9585" s="1" t="n">
        <v>45204</v>
      </c>
      <c r="C9585" s="1" t="n">
        <v>45363</v>
      </c>
      <c r="D9585" t="inlineStr">
        <is>
          <t>JÄMTLANDS LÄN</t>
        </is>
      </c>
      <c r="E9585" t="inlineStr">
        <is>
          <t>BERG</t>
        </is>
      </c>
      <c r="F9585" t="inlineStr">
        <is>
          <t>SCA</t>
        </is>
      </c>
      <c r="G9585" t="n">
        <v>11.2</v>
      </c>
      <c r="H9585" t="n">
        <v>0</v>
      </c>
      <c r="I9585" t="n">
        <v>0</v>
      </c>
      <c r="J9585" t="n">
        <v>0</v>
      </c>
      <c r="K9585" t="n">
        <v>0</v>
      </c>
      <c r="L9585" t="n">
        <v>0</v>
      </c>
      <c r="M9585" t="n">
        <v>0</v>
      </c>
      <c r="N9585" t="n">
        <v>0</v>
      </c>
      <c r="O9585" t="n">
        <v>0</v>
      </c>
      <c r="P9585" t="n">
        <v>0</v>
      </c>
      <c r="Q9585" t="n">
        <v>0</v>
      </c>
      <c r="R9585" s="2" t="inlineStr"/>
    </row>
    <row r="9586" ht="15" customHeight="1">
      <c r="A9586" t="inlineStr">
        <is>
          <t>A 48079-2023</t>
        </is>
      </c>
      <c r="B9586" s="1" t="n">
        <v>45204</v>
      </c>
      <c r="C9586" s="1" t="n">
        <v>45363</v>
      </c>
      <c r="D9586" t="inlineStr">
        <is>
          <t>JÄMTLANDS LÄN</t>
        </is>
      </c>
      <c r="E9586" t="inlineStr">
        <is>
          <t>BRÄCKE</t>
        </is>
      </c>
      <c r="F9586" t="inlineStr">
        <is>
          <t>SCA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48050-2023</t>
        </is>
      </c>
      <c r="B9587" s="1" t="n">
        <v>45204</v>
      </c>
      <c r="C9587" s="1" t="n">
        <v>45363</v>
      </c>
      <c r="D9587" t="inlineStr">
        <is>
          <t>JÄMTLANDS LÄN</t>
        </is>
      </c>
      <c r="E9587" t="inlineStr">
        <is>
          <t>HÄRJEDALEN</t>
        </is>
      </c>
      <c r="G9587" t="n">
        <v>19.2</v>
      </c>
      <c r="H9587" t="n">
        <v>0</v>
      </c>
      <c r="I9587" t="n">
        <v>0</v>
      </c>
      <c r="J9587" t="n">
        <v>0</v>
      </c>
      <c r="K9587" t="n">
        <v>0</v>
      </c>
      <c r="L9587" t="n">
        <v>0</v>
      </c>
      <c r="M9587" t="n">
        <v>0</v>
      </c>
      <c r="N9587" t="n">
        <v>0</v>
      </c>
      <c r="O9587" t="n">
        <v>0</v>
      </c>
      <c r="P9587" t="n">
        <v>0</v>
      </c>
      <c r="Q9587" t="n">
        <v>0</v>
      </c>
      <c r="R9587" s="2" t="inlineStr"/>
    </row>
    <row r="9588" ht="15" customHeight="1">
      <c r="A9588" t="inlineStr">
        <is>
          <t>A 48058-2023</t>
        </is>
      </c>
      <c r="B9588" s="1" t="n">
        <v>45205</v>
      </c>
      <c r="C9588" s="1" t="n">
        <v>45363</v>
      </c>
      <c r="D9588" t="inlineStr">
        <is>
          <t>JÄMTLANDS LÄN</t>
        </is>
      </c>
      <c r="E9588" t="inlineStr">
        <is>
          <t>BRÄCKE</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48066-2023</t>
        </is>
      </c>
      <c r="B9589" s="1" t="n">
        <v>45205</v>
      </c>
      <c r="C9589" s="1" t="n">
        <v>45363</v>
      </c>
      <c r="D9589" t="inlineStr">
        <is>
          <t>JÄMTLANDS LÄN</t>
        </is>
      </c>
      <c r="E9589" t="inlineStr">
        <is>
          <t>RAGUNDA</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48070-2023</t>
        </is>
      </c>
      <c r="B9590" s="1" t="n">
        <v>45204</v>
      </c>
      <c r="C9590" s="1" t="n">
        <v>45363</v>
      </c>
      <c r="D9590" t="inlineStr">
        <is>
          <t>JÄMTLANDS LÄN</t>
        </is>
      </c>
      <c r="E9590" t="inlineStr">
        <is>
          <t>STRÖMSUND</t>
        </is>
      </c>
      <c r="F9590" t="inlineStr">
        <is>
          <t>SCA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48048-2023</t>
        </is>
      </c>
      <c r="B9591" s="1" t="n">
        <v>45204</v>
      </c>
      <c r="C9591" s="1" t="n">
        <v>45363</v>
      </c>
      <c r="D9591" t="inlineStr">
        <is>
          <t>JÄMTLANDS LÄN</t>
        </is>
      </c>
      <c r="E9591" t="inlineStr">
        <is>
          <t>HÄRJEDALEN</t>
        </is>
      </c>
      <c r="G9591" t="n">
        <v>9.5</v>
      </c>
      <c r="H9591" t="n">
        <v>0</v>
      </c>
      <c r="I9591" t="n">
        <v>0</v>
      </c>
      <c r="J9591" t="n">
        <v>0</v>
      </c>
      <c r="K9591" t="n">
        <v>0</v>
      </c>
      <c r="L9591" t="n">
        <v>0</v>
      </c>
      <c r="M9591" t="n">
        <v>0</v>
      </c>
      <c r="N9591" t="n">
        <v>0</v>
      </c>
      <c r="O9591" t="n">
        <v>0</v>
      </c>
      <c r="P9591" t="n">
        <v>0</v>
      </c>
      <c r="Q9591" t="n">
        <v>0</v>
      </c>
      <c r="R9591" s="2" t="inlineStr"/>
    </row>
    <row r="9592" ht="15" customHeight="1">
      <c r="A9592" t="inlineStr">
        <is>
          <t>A 48064-2023</t>
        </is>
      </c>
      <c r="B9592" s="1" t="n">
        <v>45204</v>
      </c>
      <c r="C9592" s="1" t="n">
        <v>45363</v>
      </c>
      <c r="D9592" t="inlineStr">
        <is>
          <t>JÄMTLANDS LÄN</t>
        </is>
      </c>
      <c r="E9592" t="inlineStr">
        <is>
          <t>BRÄCKE</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48068-2023</t>
        </is>
      </c>
      <c r="B9593" s="1" t="n">
        <v>45205</v>
      </c>
      <c r="C9593" s="1" t="n">
        <v>45363</v>
      </c>
      <c r="D9593" t="inlineStr">
        <is>
          <t>JÄMTLANDS LÄN</t>
        </is>
      </c>
      <c r="E9593" t="inlineStr">
        <is>
          <t>BRÄCKE</t>
        </is>
      </c>
      <c r="F9593" t="inlineStr">
        <is>
          <t>SCA</t>
        </is>
      </c>
      <c r="G9593" t="n">
        <v>12.7</v>
      </c>
      <c r="H9593" t="n">
        <v>0</v>
      </c>
      <c r="I9593" t="n">
        <v>0</v>
      </c>
      <c r="J9593" t="n">
        <v>0</v>
      </c>
      <c r="K9593" t="n">
        <v>0</v>
      </c>
      <c r="L9593" t="n">
        <v>0</v>
      </c>
      <c r="M9593" t="n">
        <v>0</v>
      </c>
      <c r="N9593" t="n">
        <v>0</v>
      </c>
      <c r="O9593" t="n">
        <v>0</v>
      </c>
      <c r="P9593" t="n">
        <v>0</v>
      </c>
      <c r="Q9593" t="n">
        <v>0</v>
      </c>
      <c r="R9593" s="2" t="inlineStr"/>
    </row>
    <row r="9594" ht="15" customHeight="1">
      <c r="A9594" t="inlineStr">
        <is>
          <t>A 48080-2023</t>
        </is>
      </c>
      <c r="B9594" s="1" t="n">
        <v>45205</v>
      </c>
      <c r="C9594" s="1" t="n">
        <v>45363</v>
      </c>
      <c r="D9594" t="inlineStr">
        <is>
          <t>JÄMTLANDS LÄN</t>
        </is>
      </c>
      <c r="E9594" t="inlineStr">
        <is>
          <t>BRÄCKE</t>
        </is>
      </c>
      <c r="F9594" t="inlineStr">
        <is>
          <t>SCA</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48982-2023</t>
        </is>
      </c>
      <c r="B9595" s="1" t="n">
        <v>45204</v>
      </c>
      <c r="C9595" s="1" t="n">
        <v>45363</v>
      </c>
      <c r="D9595" t="inlineStr">
        <is>
          <t>JÄMTLANDS LÄN</t>
        </is>
      </c>
      <c r="E9595" t="inlineStr">
        <is>
          <t>STRÖMSUND</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48994-2023</t>
        </is>
      </c>
      <c r="B9596" s="1" t="n">
        <v>45204</v>
      </c>
      <c r="C9596" s="1" t="n">
        <v>45363</v>
      </c>
      <c r="D9596" t="inlineStr">
        <is>
          <t>JÄMTLANDS LÄN</t>
        </is>
      </c>
      <c r="E9596" t="inlineStr">
        <is>
          <t>STRÖMSUND</t>
        </is>
      </c>
      <c r="G9596" t="n">
        <v>7.9</v>
      </c>
      <c r="H9596" t="n">
        <v>0</v>
      </c>
      <c r="I9596" t="n">
        <v>0</v>
      </c>
      <c r="J9596" t="n">
        <v>0</v>
      </c>
      <c r="K9596" t="n">
        <v>0</v>
      </c>
      <c r="L9596" t="n">
        <v>0</v>
      </c>
      <c r="M9596" t="n">
        <v>0</v>
      </c>
      <c r="N9596" t="n">
        <v>0</v>
      </c>
      <c r="O9596" t="n">
        <v>0</v>
      </c>
      <c r="P9596" t="n">
        <v>0</v>
      </c>
      <c r="Q9596" t="n">
        <v>0</v>
      </c>
      <c r="R9596" s="2" t="inlineStr"/>
    </row>
    <row r="9597" ht="15" customHeight="1">
      <c r="A9597" t="inlineStr">
        <is>
          <t>A 49008-2023</t>
        </is>
      </c>
      <c r="B9597" s="1" t="n">
        <v>45204</v>
      </c>
      <c r="C9597" s="1" t="n">
        <v>45363</v>
      </c>
      <c r="D9597" t="inlineStr">
        <is>
          <t>JÄMTLANDS LÄN</t>
        </is>
      </c>
      <c r="E9597" t="inlineStr">
        <is>
          <t>STRÖMSUND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48976-2023</t>
        </is>
      </c>
      <c r="B9598" s="1" t="n">
        <v>45204</v>
      </c>
      <c r="C9598" s="1" t="n">
        <v>45363</v>
      </c>
      <c r="D9598" t="inlineStr">
        <is>
          <t>JÄMTLANDS LÄN</t>
        </is>
      </c>
      <c r="E9598" t="inlineStr">
        <is>
          <t>STRÖMSUND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48991-2023</t>
        </is>
      </c>
      <c r="B9599" s="1" t="n">
        <v>45204</v>
      </c>
      <c r="C9599" s="1" t="n">
        <v>45363</v>
      </c>
      <c r="D9599" t="inlineStr">
        <is>
          <t>JÄMTLANDS LÄN</t>
        </is>
      </c>
      <c r="E9599" t="inlineStr">
        <is>
          <t>STRÖMSUND</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48988-2023</t>
        </is>
      </c>
      <c r="B9600" s="1" t="n">
        <v>45204</v>
      </c>
      <c r="C9600" s="1" t="n">
        <v>45363</v>
      </c>
      <c r="D9600" t="inlineStr">
        <is>
          <t>JÄMTLANDS LÄN</t>
        </is>
      </c>
      <c r="E9600" t="inlineStr">
        <is>
          <t>STRÖMSUND</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49085-2023</t>
        </is>
      </c>
      <c r="B9601" s="1" t="n">
        <v>45204</v>
      </c>
      <c r="C9601" s="1" t="n">
        <v>45363</v>
      </c>
      <c r="D9601" t="inlineStr">
        <is>
          <t>JÄMTLANDS LÄN</t>
        </is>
      </c>
      <c r="E9601" t="inlineStr">
        <is>
          <t>BRÄCKE</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48997-2023</t>
        </is>
      </c>
      <c r="B9602" s="1" t="n">
        <v>45204</v>
      </c>
      <c r="C9602" s="1" t="n">
        <v>45363</v>
      </c>
      <c r="D9602" t="inlineStr">
        <is>
          <t>JÄMTLANDS LÄN</t>
        </is>
      </c>
      <c r="E9602" t="inlineStr">
        <is>
          <t>STRÖMSUND</t>
        </is>
      </c>
      <c r="G9602" t="n">
        <v>9</v>
      </c>
      <c r="H9602" t="n">
        <v>0</v>
      </c>
      <c r="I9602" t="n">
        <v>0</v>
      </c>
      <c r="J9602" t="n">
        <v>0</v>
      </c>
      <c r="K9602" t="n">
        <v>0</v>
      </c>
      <c r="L9602" t="n">
        <v>0</v>
      </c>
      <c r="M9602" t="n">
        <v>0</v>
      </c>
      <c r="N9602" t="n">
        <v>0</v>
      </c>
      <c r="O9602" t="n">
        <v>0</v>
      </c>
      <c r="P9602" t="n">
        <v>0</v>
      </c>
      <c r="Q9602" t="n">
        <v>0</v>
      </c>
      <c r="R9602" s="2" t="inlineStr"/>
    </row>
    <row r="9603" ht="15" customHeight="1">
      <c r="A9603" t="inlineStr">
        <is>
          <t>A 49091-2023</t>
        </is>
      </c>
      <c r="B9603" s="1" t="n">
        <v>45204</v>
      </c>
      <c r="C9603" s="1" t="n">
        <v>45363</v>
      </c>
      <c r="D9603" t="inlineStr">
        <is>
          <t>JÄMTLANDS LÄN</t>
        </is>
      </c>
      <c r="E9603" t="inlineStr">
        <is>
          <t>STRÖMSUND</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48100-2023</t>
        </is>
      </c>
      <c r="B9604" s="1" t="n">
        <v>45205</v>
      </c>
      <c r="C9604" s="1" t="n">
        <v>45363</v>
      </c>
      <c r="D9604" t="inlineStr">
        <is>
          <t>JÄMTLANDS LÄN</t>
        </is>
      </c>
      <c r="E9604" t="inlineStr">
        <is>
          <t>HÄRJEDALEN</t>
        </is>
      </c>
      <c r="F9604" t="inlineStr">
        <is>
          <t>Bergvik skog väst AB</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48159-2023</t>
        </is>
      </c>
      <c r="B9605" s="1" t="n">
        <v>45205</v>
      </c>
      <c r="C9605" s="1" t="n">
        <v>45363</v>
      </c>
      <c r="D9605" t="inlineStr">
        <is>
          <t>JÄMTLANDS LÄN</t>
        </is>
      </c>
      <c r="E9605" t="inlineStr">
        <is>
          <t>BRÄCKE</t>
        </is>
      </c>
      <c r="G9605" t="n">
        <v>12.1</v>
      </c>
      <c r="H9605" t="n">
        <v>0</v>
      </c>
      <c r="I9605" t="n">
        <v>0</v>
      </c>
      <c r="J9605" t="n">
        <v>0</v>
      </c>
      <c r="K9605" t="n">
        <v>0</v>
      </c>
      <c r="L9605" t="n">
        <v>0</v>
      </c>
      <c r="M9605" t="n">
        <v>0</v>
      </c>
      <c r="N9605" t="n">
        <v>0</v>
      </c>
      <c r="O9605" t="n">
        <v>0</v>
      </c>
      <c r="P9605" t="n">
        <v>0</v>
      </c>
      <c r="Q9605" t="n">
        <v>0</v>
      </c>
      <c r="R9605" s="2" t="inlineStr"/>
    </row>
    <row r="9606" ht="15" customHeight="1">
      <c r="A9606" t="inlineStr">
        <is>
          <t>A 48164-2023</t>
        </is>
      </c>
      <c r="B9606" s="1" t="n">
        <v>45205</v>
      </c>
      <c r="C9606" s="1" t="n">
        <v>45363</v>
      </c>
      <c r="D9606" t="inlineStr">
        <is>
          <t>JÄMTLANDS LÄN</t>
        </is>
      </c>
      <c r="E9606" t="inlineStr">
        <is>
          <t>BERG</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48213-2023</t>
        </is>
      </c>
      <c r="B9607" s="1" t="n">
        <v>45205</v>
      </c>
      <c r="C9607" s="1" t="n">
        <v>45363</v>
      </c>
      <c r="D9607" t="inlineStr">
        <is>
          <t>JÄMTLANDS LÄN</t>
        </is>
      </c>
      <c r="E9607" t="inlineStr">
        <is>
          <t>HÄRJEDALEN</t>
        </is>
      </c>
      <c r="G9607" t="n">
        <v>12.2</v>
      </c>
      <c r="H9607" t="n">
        <v>0</v>
      </c>
      <c r="I9607" t="n">
        <v>0</v>
      </c>
      <c r="J9607" t="n">
        <v>0</v>
      </c>
      <c r="K9607" t="n">
        <v>0</v>
      </c>
      <c r="L9607" t="n">
        <v>0</v>
      </c>
      <c r="M9607" t="n">
        <v>0</v>
      </c>
      <c r="N9607" t="n">
        <v>0</v>
      </c>
      <c r="O9607" t="n">
        <v>0</v>
      </c>
      <c r="P9607" t="n">
        <v>0</v>
      </c>
      <c r="Q9607" t="n">
        <v>0</v>
      </c>
      <c r="R9607" s="2" t="inlineStr"/>
    </row>
    <row r="9608" ht="15" customHeight="1">
      <c r="A9608" t="inlineStr">
        <is>
          <t>A 48179-2023</t>
        </is>
      </c>
      <c r="B9608" s="1" t="n">
        <v>45205</v>
      </c>
      <c r="C9608" s="1" t="n">
        <v>45363</v>
      </c>
      <c r="D9608" t="inlineStr">
        <is>
          <t>JÄMTLANDS LÄN</t>
        </is>
      </c>
      <c r="E9608" t="inlineStr">
        <is>
          <t>HÄRJEDALEN</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48299-2023</t>
        </is>
      </c>
      <c r="B9609" s="1" t="n">
        <v>45205</v>
      </c>
      <c r="C9609" s="1" t="n">
        <v>45363</v>
      </c>
      <c r="D9609" t="inlineStr">
        <is>
          <t>JÄMTLANDS LÄN</t>
        </is>
      </c>
      <c r="E9609" t="inlineStr">
        <is>
          <t>HÄRJEDALEN</t>
        </is>
      </c>
      <c r="G9609" t="n">
        <v>8.5</v>
      </c>
      <c r="H9609" t="n">
        <v>0</v>
      </c>
      <c r="I9609" t="n">
        <v>0</v>
      </c>
      <c r="J9609" t="n">
        <v>0</v>
      </c>
      <c r="K9609" t="n">
        <v>0</v>
      </c>
      <c r="L9609" t="n">
        <v>0</v>
      </c>
      <c r="M9609" t="n">
        <v>0</v>
      </c>
      <c r="N9609" t="n">
        <v>0</v>
      </c>
      <c r="O9609" t="n">
        <v>0</v>
      </c>
      <c r="P9609" t="n">
        <v>0</v>
      </c>
      <c r="Q9609" t="n">
        <v>0</v>
      </c>
      <c r="R9609" s="2" t="inlineStr"/>
    </row>
    <row r="9610" ht="15" customHeight="1">
      <c r="A9610" t="inlineStr">
        <is>
          <t>A 48318-2023</t>
        </is>
      </c>
      <c r="B9610" s="1" t="n">
        <v>45205</v>
      </c>
      <c r="C9610" s="1" t="n">
        <v>45363</v>
      </c>
      <c r="D9610" t="inlineStr">
        <is>
          <t>JÄMTLANDS LÄN</t>
        </is>
      </c>
      <c r="E9610" t="inlineStr">
        <is>
          <t>HÄRJEDALEN</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48226-2023</t>
        </is>
      </c>
      <c r="B9611" s="1" t="n">
        <v>45205</v>
      </c>
      <c r="C9611" s="1" t="n">
        <v>45363</v>
      </c>
      <c r="D9611" t="inlineStr">
        <is>
          <t>JÄMTLANDS LÄN</t>
        </is>
      </c>
      <c r="E9611" t="inlineStr">
        <is>
          <t>HÄRJEDALEN</t>
        </is>
      </c>
      <c r="F9611" t="inlineStr">
        <is>
          <t>Bergvik skog väst AB</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48364-2023</t>
        </is>
      </c>
      <c r="B9612" s="1" t="n">
        <v>45205</v>
      </c>
      <c r="C9612" s="1" t="n">
        <v>45363</v>
      </c>
      <c r="D9612" t="inlineStr">
        <is>
          <t>JÄMTLANDS LÄN</t>
        </is>
      </c>
      <c r="E9612" t="inlineStr">
        <is>
          <t>HÄRJEDALEN</t>
        </is>
      </c>
      <c r="G9612" t="n">
        <v>6.4</v>
      </c>
      <c r="H9612" t="n">
        <v>0</v>
      </c>
      <c r="I9612" t="n">
        <v>0</v>
      </c>
      <c r="J9612" t="n">
        <v>0</v>
      </c>
      <c r="K9612" t="n">
        <v>0</v>
      </c>
      <c r="L9612" t="n">
        <v>0</v>
      </c>
      <c r="M9612" t="n">
        <v>0</v>
      </c>
      <c r="N9612" t="n">
        <v>0</v>
      </c>
      <c r="O9612" t="n">
        <v>0</v>
      </c>
      <c r="P9612" t="n">
        <v>0</v>
      </c>
      <c r="Q9612" t="n">
        <v>0</v>
      </c>
      <c r="R9612" s="2" t="inlineStr"/>
    </row>
    <row r="9613" ht="15" customHeight="1">
      <c r="A9613" t="inlineStr">
        <is>
          <t>A 48388-2023</t>
        </is>
      </c>
      <c r="B9613" s="1" t="n">
        <v>45205</v>
      </c>
      <c r="C9613" s="1" t="n">
        <v>45363</v>
      </c>
      <c r="D9613" t="inlineStr">
        <is>
          <t>JÄMTLANDS LÄN</t>
        </is>
      </c>
      <c r="E9613" t="inlineStr">
        <is>
          <t>STRÖMSUND</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48420-2023</t>
        </is>
      </c>
      <c r="B9614" s="1" t="n">
        <v>45205</v>
      </c>
      <c r="C9614" s="1" t="n">
        <v>45363</v>
      </c>
      <c r="D9614" t="inlineStr">
        <is>
          <t>JÄMTLANDS LÄN</t>
        </is>
      </c>
      <c r="E9614" t="inlineStr">
        <is>
          <t>STRÖMSUND</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48434-2023</t>
        </is>
      </c>
      <c r="B9615" s="1" t="n">
        <v>45205</v>
      </c>
      <c r="C9615" s="1" t="n">
        <v>45363</v>
      </c>
      <c r="D9615" t="inlineStr">
        <is>
          <t>JÄMTLANDS LÄN</t>
        </is>
      </c>
      <c r="E9615" t="inlineStr">
        <is>
          <t>BRÄCKE</t>
        </is>
      </c>
      <c r="F9615" t="inlineStr">
        <is>
          <t>SCA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48438-2023</t>
        </is>
      </c>
      <c r="B9616" s="1" t="n">
        <v>45205</v>
      </c>
      <c r="C9616" s="1" t="n">
        <v>45363</v>
      </c>
      <c r="D9616" t="inlineStr">
        <is>
          <t>JÄMTLANDS LÄN</t>
        </is>
      </c>
      <c r="E9616" t="inlineStr">
        <is>
          <t>HÄRJEDALEN</t>
        </is>
      </c>
      <c r="F9616" t="inlineStr">
        <is>
          <t>SCA</t>
        </is>
      </c>
      <c r="G9616" t="n">
        <v>23.3</v>
      </c>
      <c r="H9616" t="n">
        <v>0</v>
      </c>
      <c r="I9616" t="n">
        <v>0</v>
      </c>
      <c r="J9616" t="n">
        <v>0</v>
      </c>
      <c r="K9616" t="n">
        <v>0</v>
      </c>
      <c r="L9616" t="n">
        <v>0</v>
      </c>
      <c r="M9616" t="n">
        <v>0</v>
      </c>
      <c r="N9616" t="n">
        <v>0</v>
      </c>
      <c r="O9616" t="n">
        <v>0</v>
      </c>
      <c r="P9616" t="n">
        <v>0</v>
      </c>
      <c r="Q9616" t="n">
        <v>0</v>
      </c>
      <c r="R9616" s="2" t="inlineStr"/>
    </row>
    <row r="9617" ht="15" customHeight="1">
      <c r="A9617" t="inlineStr">
        <is>
          <t>A 48419-2023</t>
        </is>
      </c>
      <c r="B9617" s="1" t="n">
        <v>45205</v>
      </c>
      <c r="C9617" s="1" t="n">
        <v>45363</v>
      </c>
      <c r="D9617" t="inlineStr">
        <is>
          <t>JÄMTLANDS LÄN</t>
        </is>
      </c>
      <c r="E9617" t="inlineStr">
        <is>
          <t>BRÄCKE</t>
        </is>
      </c>
      <c r="F9617" t="inlineStr">
        <is>
          <t>SCA</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48428-2023</t>
        </is>
      </c>
      <c r="B9618" s="1" t="n">
        <v>45205</v>
      </c>
      <c r="C9618" s="1" t="n">
        <v>45363</v>
      </c>
      <c r="D9618" t="inlineStr">
        <is>
          <t>JÄMTLANDS LÄN</t>
        </is>
      </c>
      <c r="E9618" t="inlineStr">
        <is>
          <t>BERG</t>
        </is>
      </c>
      <c r="F9618" t="inlineStr">
        <is>
          <t>SCA</t>
        </is>
      </c>
      <c r="G9618" t="n">
        <v>17.8</v>
      </c>
      <c r="H9618" t="n">
        <v>0</v>
      </c>
      <c r="I9618" t="n">
        <v>0</v>
      </c>
      <c r="J9618" t="n">
        <v>0</v>
      </c>
      <c r="K9618" t="n">
        <v>0</v>
      </c>
      <c r="L9618" t="n">
        <v>0</v>
      </c>
      <c r="M9618" t="n">
        <v>0</v>
      </c>
      <c r="N9618" t="n">
        <v>0</v>
      </c>
      <c r="O9618" t="n">
        <v>0</v>
      </c>
      <c r="P9618" t="n">
        <v>0</v>
      </c>
      <c r="Q9618" t="n">
        <v>0</v>
      </c>
      <c r="R9618" s="2" t="inlineStr"/>
    </row>
    <row r="9619" ht="15" customHeight="1">
      <c r="A9619" t="inlineStr">
        <is>
          <t>A 48433-2023</t>
        </is>
      </c>
      <c r="B9619" s="1" t="n">
        <v>45205</v>
      </c>
      <c r="C9619" s="1" t="n">
        <v>45363</v>
      </c>
      <c r="D9619" t="inlineStr">
        <is>
          <t>JÄMTLANDS LÄN</t>
        </is>
      </c>
      <c r="E9619" t="inlineStr">
        <is>
          <t>BRÄCKE</t>
        </is>
      </c>
      <c r="F9619" t="inlineStr">
        <is>
          <t>SCA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48432-2023</t>
        </is>
      </c>
      <c r="B9620" s="1" t="n">
        <v>45205</v>
      </c>
      <c r="C9620" s="1" t="n">
        <v>45363</v>
      </c>
      <c r="D9620" t="inlineStr">
        <is>
          <t>JÄMTLANDS LÄN</t>
        </is>
      </c>
      <c r="E9620" t="inlineStr">
        <is>
          <t>BRÄCKE</t>
        </is>
      </c>
      <c r="F9620" t="inlineStr">
        <is>
          <t>SCA</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48201-2023</t>
        </is>
      </c>
      <c r="B9621" s="1" t="n">
        <v>45205</v>
      </c>
      <c r="C9621" s="1" t="n">
        <v>45363</v>
      </c>
      <c r="D9621" t="inlineStr">
        <is>
          <t>JÄMTLANDS LÄN</t>
        </is>
      </c>
      <c r="E9621" t="inlineStr">
        <is>
          <t>HÄRJEDALEN</t>
        </is>
      </c>
      <c r="G9621" t="n">
        <v>12.3</v>
      </c>
      <c r="H9621" t="n">
        <v>0</v>
      </c>
      <c r="I9621" t="n">
        <v>0</v>
      </c>
      <c r="J9621" t="n">
        <v>0</v>
      </c>
      <c r="K9621" t="n">
        <v>0</v>
      </c>
      <c r="L9621" t="n">
        <v>0</v>
      </c>
      <c r="M9621" t="n">
        <v>0</v>
      </c>
      <c r="N9621" t="n">
        <v>0</v>
      </c>
      <c r="O9621" t="n">
        <v>0</v>
      </c>
      <c r="P9621" t="n">
        <v>0</v>
      </c>
      <c r="Q9621" t="n">
        <v>0</v>
      </c>
      <c r="R9621" s="2" t="inlineStr"/>
    </row>
    <row r="9622" ht="15" customHeight="1">
      <c r="A9622" t="inlineStr">
        <is>
          <t>A 48374-2023</t>
        </is>
      </c>
      <c r="B9622" s="1" t="n">
        <v>45205</v>
      </c>
      <c r="C9622" s="1" t="n">
        <v>45363</v>
      </c>
      <c r="D9622" t="inlineStr">
        <is>
          <t>JÄMTLANDS LÄN</t>
        </is>
      </c>
      <c r="E9622" t="inlineStr">
        <is>
          <t>ÖSTERSUND</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48421-2023</t>
        </is>
      </c>
      <c r="B9623" s="1" t="n">
        <v>45205</v>
      </c>
      <c r="C9623" s="1" t="n">
        <v>45363</v>
      </c>
      <c r="D9623" t="inlineStr">
        <is>
          <t>JÄMTLANDS LÄN</t>
        </is>
      </c>
      <c r="E9623" t="inlineStr">
        <is>
          <t>RAGUNDA</t>
        </is>
      </c>
      <c r="F9623" t="inlineStr">
        <is>
          <t>SCA</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48425-2023</t>
        </is>
      </c>
      <c r="B9624" s="1" t="n">
        <v>45205</v>
      </c>
      <c r="C9624" s="1" t="n">
        <v>45363</v>
      </c>
      <c r="D9624" t="inlineStr">
        <is>
          <t>JÄMTLANDS LÄN</t>
        </is>
      </c>
      <c r="E9624" t="inlineStr">
        <is>
          <t>BRÄCKE</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48435-2023</t>
        </is>
      </c>
      <c r="B9625" s="1" t="n">
        <v>45205</v>
      </c>
      <c r="C9625" s="1" t="n">
        <v>45363</v>
      </c>
      <c r="D9625" t="inlineStr">
        <is>
          <t>JÄMTLANDS LÄN</t>
        </is>
      </c>
      <c r="E9625" t="inlineStr">
        <is>
          <t>BRÄCKE</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49380-2023</t>
        </is>
      </c>
      <c r="B9626" s="1" t="n">
        <v>45205</v>
      </c>
      <c r="C9626" s="1" t="n">
        <v>45363</v>
      </c>
      <c r="D9626" t="inlineStr">
        <is>
          <t>JÄMTLANDS LÄN</t>
        </is>
      </c>
      <c r="E9626" t="inlineStr">
        <is>
          <t>KROKOM</t>
        </is>
      </c>
      <c r="G9626" t="n">
        <v>14.1</v>
      </c>
      <c r="H9626" t="n">
        <v>0</v>
      </c>
      <c r="I9626" t="n">
        <v>0</v>
      </c>
      <c r="J9626" t="n">
        <v>0</v>
      </c>
      <c r="K9626" t="n">
        <v>0</v>
      </c>
      <c r="L9626" t="n">
        <v>0</v>
      </c>
      <c r="M9626" t="n">
        <v>0</v>
      </c>
      <c r="N9626" t="n">
        <v>0</v>
      </c>
      <c r="O9626" t="n">
        <v>0</v>
      </c>
      <c r="P9626" t="n">
        <v>0</v>
      </c>
      <c r="Q9626" t="n">
        <v>0</v>
      </c>
      <c r="R9626" s="2" t="inlineStr"/>
    </row>
    <row r="9627" ht="15" customHeight="1">
      <c r="A9627" t="inlineStr">
        <is>
          <t>A 49438-2023</t>
        </is>
      </c>
      <c r="B9627" s="1" t="n">
        <v>45205</v>
      </c>
      <c r="C9627" s="1" t="n">
        <v>45363</v>
      </c>
      <c r="D9627" t="inlineStr">
        <is>
          <t>JÄMTLANDS LÄN</t>
        </is>
      </c>
      <c r="E9627" t="inlineStr">
        <is>
          <t>KROKOM</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49555-2023</t>
        </is>
      </c>
      <c r="B9628" s="1" t="n">
        <v>45205</v>
      </c>
      <c r="C9628" s="1" t="n">
        <v>45363</v>
      </c>
      <c r="D9628" t="inlineStr">
        <is>
          <t>JÄMTLANDS LÄN</t>
        </is>
      </c>
      <c r="E9628" t="inlineStr">
        <is>
          <t>BERG</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49536-2023</t>
        </is>
      </c>
      <c r="B9629" s="1" t="n">
        <v>45205</v>
      </c>
      <c r="C9629" s="1" t="n">
        <v>45363</v>
      </c>
      <c r="D9629" t="inlineStr">
        <is>
          <t>JÄMTLANDS LÄN</t>
        </is>
      </c>
      <c r="E9629" t="inlineStr">
        <is>
          <t>KROKOM</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48478-2023</t>
        </is>
      </c>
      <c r="B9630" s="1" t="n">
        <v>45206</v>
      </c>
      <c r="C9630" s="1" t="n">
        <v>45363</v>
      </c>
      <c r="D9630" t="inlineStr">
        <is>
          <t>JÄMTLANDS LÄN</t>
        </is>
      </c>
      <c r="E9630" t="inlineStr">
        <is>
          <t>BERG</t>
        </is>
      </c>
      <c r="F9630" t="inlineStr">
        <is>
          <t>SCA</t>
        </is>
      </c>
      <c r="G9630" t="n">
        <v>17.8</v>
      </c>
      <c r="H9630" t="n">
        <v>0</v>
      </c>
      <c r="I9630" t="n">
        <v>0</v>
      </c>
      <c r="J9630" t="n">
        <v>0</v>
      </c>
      <c r="K9630" t="n">
        <v>0</v>
      </c>
      <c r="L9630" t="n">
        <v>0</v>
      </c>
      <c r="M9630" t="n">
        <v>0</v>
      </c>
      <c r="N9630" t="n">
        <v>0</v>
      </c>
      <c r="O9630" t="n">
        <v>0</v>
      </c>
      <c r="P9630" t="n">
        <v>0</v>
      </c>
      <c r="Q9630" t="n">
        <v>0</v>
      </c>
      <c r="R9630" s="2" t="inlineStr"/>
    </row>
    <row r="9631" ht="15" customHeight="1">
      <c r="A9631" t="inlineStr">
        <is>
          <t>A 48482-2023</t>
        </is>
      </c>
      <c r="B9631" s="1" t="n">
        <v>45207</v>
      </c>
      <c r="C9631" s="1" t="n">
        <v>45363</v>
      </c>
      <c r="D9631" t="inlineStr">
        <is>
          <t>JÄMTLANDS LÄN</t>
        </is>
      </c>
      <c r="E9631" t="inlineStr">
        <is>
          <t>BRÄCKE</t>
        </is>
      </c>
      <c r="F9631" t="inlineStr">
        <is>
          <t>SCA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48469-2023</t>
        </is>
      </c>
      <c r="B9632" s="1" t="n">
        <v>45207</v>
      </c>
      <c r="C9632" s="1" t="n">
        <v>45363</v>
      </c>
      <c r="D9632" t="inlineStr">
        <is>
          <t>JÄMTLANDS LÄN</t>
        </is>
      </c>
      <c r="E9632" t="inlineStr">
        <is>
          <t>RAGUNDA</t>
        </is>
      </c>
      <c r="F9632" t="inlineStr">
        <is>
          <t>SCA</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48473-2023</t>
        </is>
      </c>
      <c r="B9633" s="1" t="n">
        <v>45207</v>
      </c>
      <c r="C9633" s="1" t="n">
        <v>45363</v>
      </c>
      <c r="D9633" t="inlineStr">
        <is>
          <t>JÄMTLANDS LÄN</t>
        </is>
      </c>
      <c r="E9633" t="inlineStr">
        <is>
          <t>BRÄCKE</t>
        </is>
      </c>
      <c r="F9633" t="inlineStr">
        <is>
          <t>SCA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48481-2023</t>
        </is>
      </c>
      <c r="B9634" s="1" t="n">
        <v>45206</v>
      </c>
      <c r="C9634" s="1" t="n">
        <v>45363</v>
      </c>
      <c r="D9634" t="inlineStr">
        <is>
          <t>JÄMTLANDS LÄN</t>
        </is>
      </c>
      <c r="E9634" t="inlineStr">
        <is>
          <t>BRÄCKE</t>
        </is>
      </c>
      <c r="F9634" t="inlineStr">
        <is>
          <t>SCA</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48485-2023</t>
        </is>
      </c>
      <c r="B9635" s="1" t="n">
        <v>45206</v>
      </c>
      <c r="C9635" s="1" t="n">
        <v>45363</v>
      </c>
      <c r="D9635" t="inlineStr">
        <is>
          <t>JÄMTLANDS LÄN</t>
        </is>
      </c>
      <c r="E9635" t="inlineStr">
        <is>
          <t>HÄRJEDALEN</t>
        </is>
      </c>
      <c r="F9635" t="inlineStr">
        <is>
          <t>SCA</t>
        </is>
      </c>
      <c r="G9635" t="n">
        <v>23.3</v>
      </c>
      <c r="H9635" t="n">
        <v>0</v>
      </c>
      <c r="I9635" t="n">
        <v>0</v>
      </c>
      <c r="J9635" t="n">
        <v>0</v>
      </c>
      <c r="K9635" t="n">
        <v>0</v>
      </c>
      <c r="L9635" t="n">
        <v>0</v>
      </c>
      <c r="M9635" t="n">
        <v>0</v>
      </c>
      <c r="N9635" t="n">
        <v>0</v>
      </c>
      <c r="O9635" t="n">
        <v>0</v>
      </c>
      <c r="P9635" t="n">
        <v>0</v>
      </c>
      <c r="Q9635" t="n">
        <v>0</v>
      </c>
      <c r="R9635" s="2" t="inlineStr"/>
    </row>
    <row r="9636" ht="15" customHeight="1">
      <c r="A9636" t="inlineStr">
        <is>
          <t>A 48476-2023</t>
        </is>
      </c>
      <c r="B9636" s="1" t="n">
        <v>45206</v>
      </c>
      <c r="C9636" s="1" t="n">
        <v>45363</v>
      </c>
      <c r="D9636" t="inlineStr">
        <is>
          <t>JÄMTLANDS LÄN</t>
        </is>
      </c>
      <c r="E9636" t="inlineStr">
        <is>
          <t>STRÖMSUND</t>
        </is>
      </c>
      <c r="F9636" t="inlineStr">
        <is>
          <t>SCA</t>
        </is>
      </c>
      <c r="G9636" t="n">
        <v>16.7</v>
      </c>
      <c r="H9636" t="n">
        <v>0</v>
      </c>
      <c r="I9636" t="n">
        <v>0</v>
      </c>
      <c r="J9636" t="n">
        <v>0</v>
      </c>
      <c r="K9636" t="n">
        <v>0</v>
      </c>
      <c r="L9636" t="n">
        <v>0</v>
      </c>
      <c r="M9636" t="n">
        <v>0</v>
      </c>
      <c r="N9636" t="n">
        <v>0</v>
      </c>
      <c r="O9636" t="n">
        <v>0</v>
      </c>
      <c r="P9636" t="n">
        <v>0</v>
      </c>
      <c r="Q9636" t="n">
        <v>0</v>
      </c>
      <c r="R9636" s="2" t="inlineStr"/>
    </row>
    <row r="9637" ht="15" customHeight="1">
      <c r="A9637" t="inlineStr">
        <is>
          <t>A 48480-2023</t>
        </is>
      </c>
      <c r="B9637" s="1" t="n">
        <v>45207</v>
      </c>
      <c r="C9637" s="1" t="n">
        <v>45363</v>
      </c>
      <c r="D9637" t="inlineStr">
        <is>
          <t>JÄMTLANDS LÄN</t>
        </is>
      </c>
      <c r="E9637" t="inlineStr">
        <is>
          <t>BRÄCKE</t>
        </is>
      </c>
      <c r="F9637" t="inlineStr">
        <is>
          <t>SCA</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48507-2023</t>
        </is>
      </c>
      <c r="B9638" s="1" t="n">
        <v>45208</v>
      </c>
      <c r="C9638" s="1" t="n">
        <v>45363</v>
      </c>
      <c r="D9638" t="inlineStr">
        <is>
          <t>JÄMTLANDS LÄN</t>
        </is>
      </c>
      <c r="E9638" t="inlineStr">
        <is>
          <t>BRÄCKE</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48509-2023</t>
        </is>
      </c>
      <c r="B9639" s="1" t="n">
        <v>45207</v>
      </c>
      <c r="C9639" s="1" t="n">
        <v>45363</v>
      </c>
      <c r="D9639" t="inlineStr">
        <is>
          <t>JÄMTLANDS LÄN</t>
        </is>
      </c>
      <c r="E9639" t="inlineStr">
        <is>
          <t>BRÄCKE</t>
        </is>
      </c>
      <c r="F9639" t="inlineStr">
        <is>
          <t>SCA</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48533-2023</t>
        </is>
      </c>
      <c r="B9640" s="1" t="n">
        <v>45208</v>
      </c>
      <c r="C9640" s="1" t="n">
        <v>45363</v>
      </c>
      <c r="D9640" t="inlineStr">
        <is>
          <t>JÄMTLANDS LÄN</t>
        </is>
      </c>
      <c r="E9640" t="inlineStr">
        <is>
          <t>BERG</t>
        </is>
      </c>
      <c r="F9640" t="inlineStr">
        <is>
          <t>Övriga Aktiebolag</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48550-2023</t>
        </is>
      </c>
      <c r="B9641" s="1" t="n">
        <v>45208</v>
      </c>
      <c r="C9641" s="1" t="n">
        <v>45363</v>
      </c>
      <c r="D9641" t="inlineStr">
        <is>
          <t>JÄMTLANDS LÄN</t>
        </is>
      </c>
      <c r="E9641" t="inlineStr">
        <is>
          <t>BERG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48583-2023</t>
        </is>
      </c>
      <c r="B9642" s="1" t="n">
        <v>45208</v>
      </c>
      <c r="C9642" s="1" t="n">
        <v>45363</v>
      </c>
      <c r="D9642" t="inlineStr">
        <is>
          <t>JÄMTLANDS LÄN</t>
        </is>
      </c>
      <c r="E9642" t="inlineStr">
        <is>
          <t>HÄRJEDALEN</t>
        </is>
      </c>
      <c r="F9642" t="inlineStr">
        <is>
          <t>Holmen skog AB</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48672-2023</t>
        </is>
      </c>
      <c r="B9643" s="1" t="n">
        <v>45208</v>
      </c>
      <c r="C9643" s="1" t="n">
        <v>45363</v>
      </c>
      <c r="D9643" t="inlineStr">
        <is>
          <t>JÄMTLANDS LÄN</t>
        </is>
      </c>
      <c r="E9643" t="inlineStr">
        <is>
          <t>BRÄCKE</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48675-2023</t>
        </is>
      </c>
      <c r="B9644" s="1" t="n">
        <v>45208</v>
      </c>
      <c r="C9644" s="1" t="n">
        <v>45363</v>
      </c>
      <c r="D9644" t="inlineStr">
        <is>
          <t>JÄMTLANDS LÄN</t>
        </is>
      </c>
      <c r="E9644" t="inlineStr">
        <is>
          <t>HÄRJEDALEN</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48689-2023</t>
        </is>
      </c>
      <c r="B9645" s="1" t="n">
        <v>45208</v>
      </c>
      <c r="C9645" s="1" t="n">
        <v>45363</v>
      </c>
      <c r="D9645" t="inlineStr">
        <is>
          <t>JÄMTLANDS LÄN</t>
        </is>
      </c>
      <c r="E9645" t="inlineStr">
        <is>
          <t>HÄRJEDALEN</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48708-2023</t>
        </is>
      </c>
      <c r="B9646" s="1" t="n">
        <v>45208</v>
      </c>
      <c r="C9646" s="1" t="n">
        <v>45363</v>
      </c>
      <c r="D9646" t="inlineStr">
        <is>
          <t>JÄMTLANDS LÄN</t>
        </is>
      </c>
      <c r="E9646" t="inlineStr">
        <is>
          <t>HÄRJEDALEN</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48770-2023</t>
        </is>
      </c>
      <c r="B9647" s="1" t="n">
        <v>45209</v>
      </c>
      <c r="C9647" s="1" t="n">
        <v>45363</v>
      </c>
      <c r="D9647" t="inlineStr">
        <is>
          <t>JÄMTLANDS LÄN</t>
        </is>
      </c>
      <c r="E9647" t="inlineStr">
        <is>
          <t>BRÄCKE</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48775-2023</t>
        </is>
      </c>
      <c r="B9648" s="1" t="n">
        <v>45209</v>
      </c>
      <c r="C9648" s="1" t="n">
        <v>45363</v>
      </c>
      <c r="D9648" t="inlineStr">
        <is>
          <t>JÄMTLANDS LÄN</t>
        </is>
      </c>
      <c r="E9648" t="inlineStr">
        <is>
          <t>STRÖMSUND</t>
        </is>
      </c>
      <c r="F9648" t="inlineStr">
        <is>
          <t>SCA</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48779-2023</t>
        </is>
      </c>
      <c r="B9649" s="1" t="n">
        <v>45209</v>
      </c>
      <c r="C9649" s="1" t="n">
        <v>45363</v>
      </c>
      <c r="D9649" t="inlineStr">
        <is>
          <t>JÄMTLANDS LÄN</t>
        </is>
      </c>
      <c r="E9649" t="inlineStr">
        <is>
          <t>BRÄCKE</t>
        </is>
      </c>
      <c r="F9649" t="inlineStr">
        <is>
          <t>Naturvårdsverket</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48599-2023</t>
        </is>
      </c>
      <c r="B9650" s="1" t="n">
        <v>45208</v>
      </c>
      <c r="C9650" s="1" t="n">
        <v>45363</v>
      </c>
      <c r="D9650" t="inlineStr">
        <is>
          <t>JÄMTLANDS LÄN</t>
        </is>
      </c>
      <c r="E9650" t="inlineStr">
        <is>
          <t>ÅRE</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48637-2023</t>
        </is>
      </c>
      <c r="B9651" s="1" t="n">
        <v>45208</v>
      </c>
      <c r="C9651" s="1" t="n">
        <v>45363</v>
      </c>
      <c r="D9651" t="inlineStr">
        <is>
          <t>JÄMTLANDS LÄN</t>
        </is>
      </c>
      <c r="E9651" t="inlineStr">
        <is>
          <t>STRÖMSUND</t>
        </is>
      </c>
      <c r="F9651" t="inlineStr">
        <is>
          <t>Kommuner</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48764-2023</t>
        </is>
      </c>
      <c r="B9652" s="1" t="n">
        <v>45209</v>
      </c>
      <c r="C9652" s="1" t="n">
        <v>45363</v>
      </c>
      <c r="D9652" t="inlineStr">
        <is>
          <t>JÄMTLANDS LÄN</t>
        </is>
      </c>
      <c r="E9652" t="inlineStr">
        <is>
          <t>BERG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48781-2023</t>
        </is>
      </c>
      <c r="B9653" s="1" t="n">
        <v>45209</v>
      </c>
      <c r="C9653" s="1" t="n">
        <v>45363</v>
      </c>
      <c r="D9653" t="inlineStr">
        <is>
          <t>JÄMTLANDS LÄN</t>
        </is>
      </c>
      <c r="E9653" t="inlineStr">
        <is>
          <t>BRÄCKE</t>
        </is>
      </c>
      <c r="F9653" t="inlineStr">
        <is>
          <t>SCA</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50160-2023</t>
        </is>
      </c>
      <c r="B9654" s="1" t="n">
        <v>45208</v>
      </c>
      <c r="C9654" s="1" t="n">
        <v>45363</v>
      </c>
      <c r="D9654" t="inlineStr">
        <is>
          <t>JÄMTLANDS LÄN</t>
        </is>
      </c>
      <c r="E9654" t="inlineStr">
        <is>
          <t>RAGUNDA</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49715-2023</t>
        </is>
      </c>
      <c r="B9655" s="1" t="n">
        <v>45208</v>
      </c>
      <c r="C9655" s="1" t="n">
        <v>45363</v>
      </c>
      <c r="D9655" t="inlineStr">
        <is>
          <t>JÄMTLANDS LÄN</t>
        </is>
      </c>
      <c r="E9655" t="inlineStr">
        <is>
          <t>BERG</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49763-2023</t>
        </is>
      </c>
      <c r="B9656" s="1" t="n">
        <v>45208</v>
      </c>
      <c r="C9656" s="1" t="n">
        <v>45363</v>
      </c>
      <c r="D9656" t="inlineStr">
        <is>
          <t>JÄMTLANDS LÄN</t>
        </is>
      </c>
      <c r="E9656" t="inlineStr">
        <is>
          <t>STRÖMSUND</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50157-2023</t>
        </is>
      </c>
      <c r="B9657" s="1" t="n">
        <v>45208</v>
      </c>
      <c r="C9657" s="1" t="n">
        <v>45363</v>
      </c>
      <c r="D9657" t="inlineStr">
        <is>
          <t>JÄMTLANDS LÄN</t>
        </is>
      </c>
      <c r="E9657" t="inlineStr">
        <is>
          <t>RAGUNDA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50169-2023</t>
        </is>
      </c>
      <c r="B9658" s="1" t="n">
        <v>45208</v>
      </c>
      <c r="C9658" s="1" t="n">
        <v>45363</v>
      </c>
      <c r="D9658" t="inlineStr">
        <is>
          <t>JÄMTLANDS LÄN</t>
        </is>
      </c>
      <c r="E9658" t="inlineStr">
        <is>
          <t>BERG</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50151-2023</t>
        </is>
      </c>
      <c r="B9659" s="1" t="n">
        <v>45208</v>
      </c>
      <c r="C9659" s="1" t="n">
        <v>45363</v>
      </c>
      <c r="D9659" t="inlineStr">
        <is>
          <t>JÄMTLANDS LÄN</t>
        </is>
      </c>
      <c r="E9659" t="inlineStr">
        <is>
          <t>BRÄCKE</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49721-2023</t>
        </is>
      </c>
      <c r="B9660" s="1" t="n">
        <v>45208</v>
      </c>
      <c r="C9660" s="1" t="n">
        <v>45363</v>
      </c>
      <c r="D9660" t="inlineStr">
        <is>
          <t>JÄMTLANDS LÄN</t>
        </is>
      </c>
      <c r="E9660" t="inlineStr">
        <is>
          <t>BERG</t>
        </is>
      </c>
      <c r="G9660" t="n">
        <v>25.4</v>
      </c>
      <c r="H9660" t="n">
        <v>0</v>
      </c>
      <c r="I9660" t="n">
        <v>0</v>
      </c>
      <c r="J9660" t="n">
        <v>0</v>
      </c>
      <c r="K9660" t="n">
        <v>0</v>
      </c>
      <c r="L9660" t="n">
        <v>0</v>
      </c>
      <c r="M9660" t="n">
        <v>0</v>
      </c>
      <c r="N9660" t="n">
        <v>0</v>
      </c>
      <c r="O9660" t="n">
        <v>0</v>
      </c>
      <c r="P9660" t="n">
        <v>0</v>
      </c>
      <c r="Q9660" t="n">
        <v>0</v>
      </c>
      <c r="R9660" s="2" t="inlineStr"/>
    </row>
    <row r="9661" ht="15" customHeight="1">
      <c r="A9661" t="inlineStr">
        <is>
          <t>A 50172-2023</t>
        </is>
      </c>
      <c r="B9661" s="1" t="n">
        <v>45208</v>
      </c>
      <c r="C9661" s="1" t="n">
        <v>45363</v>
      </c>
      <c r="D9661" t="inlineStr">
        <is>
          <t>JÄMTLANDS LÄN</t>
        </is>
      </c>
      <c r="E9661" t="inlineStr">
        <is>
          <t>BERG</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48854-2023</t>
        </is>
      </c>
      <c r="B9662" s="1" t="n">
        <v>45209</v>
      </c>
      <c r="C9662" s="1" t="n">
        <v>45363</v>
      </c>
      <c r="D9662" t="inlineStr">
        <is>
          <t>JÄMTLANDS LÄN</t>
        </is>
      </c>
      <c r="E9662" t="inlineStr">
        <is>
          <t>HÄRJEDALEN</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48900-2023</t>
        </is>
      </c>
      <c r="B9663" s="1" t="n">
        <v>45209</v>
      </c>
      <c r="C9663" s="1" t="n">
        <v>45363</v>
      </c>
      <c r="D9663" t="inlineStr">
        <is>
          <t>JÄMTLANDS LÄN</t>
        </is>
      </c>
      <c r="E9663" t="inlineStr">
        <is>
          <t>BRÄCKE</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48868-2023</t>
        </is>
      </c>
      <c r="B9664" s="1" t="n">
        <v>45209</v>
      </c>
      <c r="C9664" s="1" t="n">
        <v>45363</v>
      </c>
      <c r="D9664" t="inlineStr">
        <is>
          <t>JÄMTLANDS LÄN</t>
        </is>
      </c>
      <c r="E9664" t="inlineStr">
        <is>
          <t>BERG</t>
        </is>
      </c>
      <c r="F9664" t="inlineStr">
        <is>
          <t>Naturvårdsverket</t>
        </is>
      </c>
      <c r="G9664" t="n">
        <v>6.4</v>
      </c>
      <c r="H9664" t="n">
        <v>0</v>
      </c>
      <c r="I9664" t="n">
        <v>0</v>
      </c>
      <c r="J9664" t="n">
        <v>0</v>
      </c>
      <c r="K9664" t="n">
        <v>0</v>
      </c>
      <c r="L9664" t="n">
        <v>0</v>
      </c>
      <c r="M9664" t="n">
        <v>0</v>
      </c>
      <c r="N9664" t="n">
        <v>0</v>
      </c>
      <c r="O9664" t="n">
        <v>0</v>
      </c>
      <c r="P9664" t="n">
        <v>0</v>
      </c>
      <c r="Q9664" t="n">
        <v>0</v>
      </c>
      <c r="R9664" s="2" t="inlineStr"/>
      <c r="U9664">
        <f>HYPERLINK("https://klasma.github.io/Logging_2326/knärot/A 48868-2023 karta knärot.png", "A 48868-2023")</f>
        <v/>
      </c>
      <c r="V9664">
        <f>HYPERLINK("https://klasma.github.io/Logging_2326/klagomål/A 48868-2023 FSC-klagomål.docx", "A 48868-2023")</f>
        <v/>
      </c>
      <c r="W9664">
        <f>HYPERLINK("https://klasma.github.io/Logging_2326/klagomålsmail/A 48868-2023 FSC-klagomål mail.docx", "A 48868-2023")</f>
        <v/>
      </c>
      <c r="X9664">
        <f>HYPERLINK("https://klasma.github.io/Logging_2326/tillsyn/A 48868-2023 tillsynsbegäran.docx", "A 48868-2023")</f>
        <v/>
      </c>
      <c r="Y9664">
        <f>HYPERLINK("https://klasma.github.io/Logging_2326/tillsynsmail/A 48868-2023 tillsynsbegäran mail.docx", "A 48868-2023")</f>
        <v/>
      </c>
    </row>
    <row r="9665" ht="15" customHeight="1">
      <c r="A9665" t="inlineStr">
        <is>
          <t>A 49035-2023</t>
        </is>
      </c>
      <c r="B9665" s="1" t="n">
        <v>45210</v>
      </c>
      <c r="C9665" s="1" t="n">
        <v>45363</v>
      </c>
      <c r="D9665" t="inlineStr">
        <is>
          <t>JÄMTLANDS LÄN</t>
        </is>
      </c>
      <c r="E9665" t="inlineStr">
        <is>
          <t>BRÄCKE</t>
        </is>
      </c>
      <c r="F9665" t="inlineStr">
        <is>
          <t>SCA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49043-2023</t>
        </is>
      </c>
      <c r="B9666" s="1" t="n">
        <v>45210</v>
      </c>
      <c r="C9666" s="1" t="n">
        <v>45363</v>
      </c>
      <c r="D9666" t="inlineStr">
        <is>
          <t>JÄMTLANDS LÄN</t>
        </is>
      </c>
      <c r="E9666" t="inlineStr">
        <is>
          <t>BRÄCKE</t>
        </is>
      </c>
      <c r="F9666" t="inlineStr">
        <is>
          <t>SCA</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48867-2023</t>
        </is>
      </c>
      <c r="B9667" s="1" t="n">
        <v>45209</v>
      </c>
      <c r="C9667" s="1" t="n">
        <v>45363</v>
      </c>
      <c r="D9667" t="inlineStr">
        <is>
          <t>JÄMTLANDS LÄN</t>
        </is>
      </c>
      <c r="E9667" t="inlineStr">
        <is>
          <t>HÄRJEDALEN</t>
        </is>
      </c>
      <c r="G9667" t="n">
        <v>9.1</v>
      </c>
      <c r="H9667" t="n">
        <v>0</v>
      </c>
      <c r="I9667" t="n">
        <v>0</v>
      </c>
      <c r="J9667" t="n">
        <v>0</v>
      </c>
      <c r="K9667" t="n">
        <v>0</v>
      </c>
      <c r="L9667" t="n">
        <v>0</v>
      </c>
      <c r="M9667" t="n">
        <v>0</v>
      </c>
      <c r="N9667" t="n">
        <v>0</v>
      </c>
      <c r="O9667" t="n">
        <v>0</v>
      </c>
      <c r="P9667" t="n">
        <v>0</v>
      </c>
      <c r="Q9667" t="n">
        <v>0</v>
      </c>
      <c r="R9667" s="2" t="inlineStr"/>
    </row>
    <row r="9668" ht="15" customHeight="1">
      <c r="A9668" t="inlineStr">
        <is>
          <t>A 49044-2023</t>
        </is>
      </c>
      <c r="B9668" s="1" t="n">
        <v>45209</v>
      </c>
      <c r="C9668" s="1" t="n">
        <v>45363</v>
      </c>
      <c r="D9668" t="inlineStr">
        <is>
          <t>JÄMTLANDS LÄN</t>
        </is>
      </c>
      <c r="E9668" t="inlineStr">
        <is>
          <t>BRÄCKE</t>
        </is>
      </c>
      <c r="F9668" t="inlineStr">
        <is>
          <t>SCA</t>
        </is>
      </c>
      <c r="G9668" t="n">
        <v>12.4</v>
      </c>
      <c r="H9668" t="n">
        <v>0</v>
      </c>
      <c r="I9668" t="n">
        <v>0</v>
      </c>
      <c r="J9668" t="n">
        <v>0</v>
      </c>
      <c r="K9668" t="n">
        <v>0</v>
      </c>
      <c r="L9668" t="n">
        <v>0</v>
      </c>
      <c r="M9668" t="n">
        <v>0</v>
      </c>
      <c r="N9668" t="n">
        <v>0</v>
      </c>
      <c r="O9668" t="n">
        <v>0</v>
      </c>
      <c r="P9668" t="n">
        <v>0</v>
      </c>
      <c r="Q9668" t="n">
        <v>0</v>
      </c>
      <c r="R9668" s="2" t="inlineStr"/>
    </row>
    <row r="9669" ht="15" customHeight="1">
      <c r="A9669" t="inlineStr">
        <is>
          <t>A 49034-2023</t>
        </is>
      </c>
      <c r="B9669" s="1" t="n">
        <v>45210</v>
      </c>
      <c r="C9669" s="1" t="n">
        <v>45363</v>
      </c>
      <c r="D9669" t="inlineStr">
        <is>
          <t>JÄMTLANDS LÄN</t>
        </is>
      </c>
      <c r="E9669" t="inlineStr">
        <is>
          <t>BRÄCKE</t>
        </is>
      </c>
      <c r="F9669" t="inlineStr">
        <is>
          <t>SCA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49042-2023</t>
        </is>
      </c>
      <c r="B9670" s="1" t="n">
        <v>45210</v>
      </c>
      <c r="C9670" s="1" t="n">
        <v>45363</v>
      </c>
      <c r="D9670" t="inlineStr">
        <is>
          <t>JÄMTLANDS LÄN</t>
        </is>
      </c>
      <c r="E9670" t="inlineStr">
        <is>
          <t>BRÄCKE</t>
        </is>
      </c>
      <c r="F9670" t="inlineStr">
        <is>
          <t>SCA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49046-2023</t>
        </is>
      </c>
      <c r="B9671" s="1" t="n">
        <v>45209</v>
      </c>
      <c r="C9671" s="1" t="n">
        <v>45363</v>
      </c>
      <c r="D9671" t="inlineStr">
        <is>
          <t>JÄMTLANDS LÄN</t>
        </is>
      </c>
      <c r="E9671" t="inlineStr">
        <is>
          <t>KROKOM</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49037-2023</t>
        </is>
      </c>
      <c r="B9672" s="1" t="n">
        <v>45210</v>
      </c>
      <c r="C9672" s="1" t="n">
        <v>45363</v>
      </c>
      <c r="D9672" t="inlineStr">
        <is>
          <t>JÄMTLANDS LÄN</t>
        </is>
      </c>
      <c r="E9672" t="inlineStr">
        <is>
          <t>BRÄCKE</t>
        </is>
      </c>
      <c r="F9672" t="inlineStr">
        <is>
          <t>SCA</t>
        </is>
      </c>
      <c r="G9672" t="n">
        <v>5.8</v>
      </c>
      <c r="H9672" t="n">
        <v>0</v>
      </c>
      <c r="I9672" t="n">
        <v>0</v>
      </c>
      <c r="J9672" t="n">
        <v>0</v>
      </c>
      <c r="K9672" t="n">
        <v>0</v>
      </c>
      <c r="L9672" t="n">
        <v>0</v>
      </c>
      <c r="M9672" t="n">
        <v>0</v>
      </c>
      <c r="N9672" t="n">
        <v>0</v>
      </c>
      <c r="O9672" t="n">
        <v>0</v>
      </c>
      <c r="P9672" t="n">
        <v>0</v>
      </c>
      <c r="Q9672" t="n">
        <v>0</v>
      </c>
      <c r="R9672" s="2" t="inlineStr"/>
    </row>
    <row r="9673" ht="15" customHeight="1">
      <c r="A9673" t="inlineStr">
        <is>
          <t>A 49120-2023</t>
        </is>
      </c>
      <c r="B9673" s="1" t="n">
        <v>45210</v>
      </c>
      <c r="C9673" s="1" t="n">
        <v>45363</v>
      </c>
      <c r="D9673" t="inlineStr">
        <is>
          <t>JÄMTLANDS LÄN</t>
        </is>
      </c>
      <c r="E9673" t="inlineStr">
        <is>
          <t>HÄRJEDALEN</t>
        </is>
      </c>
      <c r="G9673" t="n">
        <v>38.2</v>
      </c>
      <c r="H9673" t="n">
        <v>0</v>
      </c>
      <c r="I9673" t="n">
        <v>0</v>
      </c>
      <c r="J9673" t="n">
        <v>0</v>
      </c>
      <c r="K9673" t="n">
        <v>0</v>
      </c>
      <c r="L9673" t="n">
        <v>0</v>
      </c>
      <c r="M9673" t="n">
        <v>0</v>
      </c>
      <c r="N9673" t="n">
        <v>0</v>
      </c>
      <c r="O9673" t="n">
        <v>0</v>
      </c>
      <c r="P9673" t="n">
        <v>0</v>
      </c>
      <c r="Q9673" t="n">
        <v>0</v>
      </c>
      <c r="R9673" s="2" t="inlineStr"/>
    </row>
    <row r="9674" ht="15" customHeight="1">
      <c r="A9674" t="inlineStr">
        <is>
          <t>A 49134-2023</t>
        </is>
      </c>
      <c r="B9674" s="1" t="n">
        <v>45210</v>
      </c>
      <c r="C9674" s="1" t="n">
        <v>45363</v>
      </c>
      <c r="D9674" t="inlineStr">
        <is>
          <t>JÄMTLANDS LÄN</t>
        </is>
      </c>
      <c r="E9674" t="inlineStr">
        <is>
          <t>HÄRJEDALEN</t>
        </is>
      </c>
      <c r="G9674" t="n">
        <v>25.8</v>
      </c>
      <c r="H9674" t="n">
        <v>0</v>
      </c>
      <c r="I9674" t="n">
        <v>0</v>
      </c>
      <c r="J9674" t="n">
        <v>0</v>
      </c>
      <c r="K9674" t="n">
        <v>0</v>
      </c>
      <c r="L9674" t="n">
        <v>0</v>
      </c>
      <c r="M9674" t="n">
        <v>0</v>
      </c>
      <c r="N9674" t="n">
        <v>0</v>
      </c>
      <c r="O9674" t="n">
        <v>0</v>
      </c>
      <c r="P9674" t="n">
        <v>0</v>
      </c>
      <c r="Q9674" t="n">
        <v>0</v>
      </c>
      <c r="R9674" s="2" t="inlineStr"/>
    </row>
    <row r="9675" ht="15" customHeight="1">
      <c r="A9675" t="inlineStr">
        <is>
          <t>A 49147-2023</t>
        </is>
      </c>
      <c r="B9675" s="1" t="n">
        <v>45210</v>
      </c>
      <c r="C9675" s="1" t="n">
        <v>45363</v>
      </c>
      <c r="D9675" t="inlineStr">
        <is>
          <t>JÄMTLANDS LÄN</t>
        </is>
      </c>
      <c r="E9675" t="inlineStr">
        <is>
          <t>STRÖMSUND</t>
        </is>
      </c>
      <c r="F9675" t="inlineStr">
        <is>
          <t>Holmen skog AB</t>
        </is>
      </c>
      <c r="G9675" t="n">
        <v>12.5</v>
      </c>
      <c r="H9675" t="n">
        <v>0</v>
      </c>
      <c r="I9675" t="n">
        <v>0</v>
      </c>
      <c r="J9675" t="n">
        <v>0</v>
      </c>
      <c r="K9675" t="n">
        <v>0</v>
      </c>
      <c r="L9675" t="n">
        <v>0</v>
      </c>
      <c r="M9675" t="n">
        <v>0</v>
      </c>
      <c r="N9675" t="n">
        <v>0</v>
      </c>
      <c r="O9675" t="n">
        <v>0</v>
      </c>
      <c r="P9675" t="n">
        <v>0</v>
      </c>
      <c r="Q9675" t="n">
        <v>0</v>
      </c>
      <c r="R9675" s="2" t="inlineStr"/>
    </row>
    <row r="9676" ht="15" customHeight="1">
      <c r="A9676" t="inlineStr">
        <is>
          <t>A 49326-2023</t>
        </is>
      </c>
      <c r="B9676" s="1" t="n">
        <v>45211</v>
      </c>
      <c r="C9676" s="1" t="n">
        <v>45363</v>
      </c>
      <c r="D9676" t="inlineStr">
        <is>
          <t>JÄMTLANDS LÄN</t>
        </is>
      </c>
      <c r="E9676" t="inlineStr">
        <is>
          <t>BRÄCKE</t>
        </is>
      </c>
      <c r="F9676" t="inlineStr">
        <is>
          <t>SCA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49330-2023</t>
        </is>
      </c>
      <c r="B9677" s="1" t="n">
        <v>45211</v>
      </c>
      <c r="C9677" s="1" t="n">
        <v>45363</v>
      </c>
      <c r="D9677" t="inlineStr">
        <is>
          <t>JÄMTLANDS LÄN</t>
        </is>
      </c>
      <c r="E9677" t="inlineStr">
        <is>
          <t>BRÄCKE</t>
        </is>
      </c>
      <c r="F9677" t="inlineStr">
        <is>
          <t>SCA</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49315-2023</t>
        </is>
      </c>
      <c r="B9678" s="1" t="n">
        <v>45210</v>
      </c>
      <c r="C9678" s="1" t="n">
        <v>45363</v>
      </c>
      <c r="D9678" t="inlineStr">
        <is>
          <t>JÄMTLANDS LÄN</t>
        </is>
      </c>
      <c r="E9678" t="inlineStr">
        <is>
          <t>BRÄCKE</t>
        </is>
      </c>
      <c r="F9678" t="inlineStr">
        <is>
          <t>SCA</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49316-2023</t>
        </is>
      </c>
      <c r="B9679" s="1" t="n">
        <v>45211</v>
      </c>
      <c r="C9679" s="1" t="n">
        <v>45363</v>
      </c>
      <c r="D9679" t="inlineStr">
        <is>
          <t>JÄMTLANDS LÄN</t>
        </is>
      </c>
      <c r="E9679" t="inlineStr">
        <is>
          <t>BRÄCKE</t>
        </is>
      </c>
      <c r="F9679" t="inlineStr">
        <is>
          <t>SCA</t>
        </is>
      </c>
      <c r="G9679" t="n">
        <v>13.4</v>
      </c>
      <c r="H9679" t="n">
        <v>0</v>
      </c>
      <c r="I9679" t="n">
        <v>0</v>
      </c>
      <c r="J9679" t="n">
        <v>0</v>
      </c>
      <c r="K9679" t="n">
        <v>0</v>
      </c>
      <c r="L9679" t="n">
        <v>0</v>
      </c>
      <c r="M9679" t="n">
        <v>0</v>
      </c>
      <c r="N9679" t="n">
        <v>0</v>
      </c>
      <c r="O9679" t="n">
        <v>0</v>
      </c>
      <c r="P9679" t="n">
        <v>0</v>
      </c>
      <c r="Q9679" t="n">
        <v>0</v>
      </c>
      <c r="R9679" s="2" t="inlineStr"/>
    </row>
    <row r="9680" ht="15" customHeight="1">
      <c r="A9680" t="inlineStr">
        <is>
          <t>A 49328-2023</t>
        </is>
      </c>
      <c r="B9680" s="1" t="n">
        <v>45210</v>
      </c>
      <c r="C9680" s="1" t="n">
        <v>45363</v>
      </c>
      <c r="D9680" t="inlineStr">
        <is>
          <t>JÄMTLANDS LÄN</t>
        </is>
      </c>
      <c r="E9680" t="inlineStr">
        <is>
          <t>BRÄCKE</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53444-2023</t>
        </is>
      </c>
      <c r="B9681" s="1" t="n">
        <v>45210</v>
      </c>
      <c r="C9681" s="1" t="n">
        <v>45363</v>
      </c>
      <c r="D9681" t="inlineStr">
        <is>
          <t>JÄMTLANDS LÄN</t>
        </is>
      </c>
      <c r="E9681" t="inlineStr">
        <is>
          <t>BERG</t>
        </is>
      </c>
      <c r="F9681" t="inlineStr">
        <is>
          <t>Övriga statliga verk och myndigheter</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50632-2023</t>
        </is>
      </c>
      <c r="B9682" s="1" t="n">
        <v>45210</v>
      </c>
      <c r="C9682" s="1" t="n">
        <v>45363</v>
      </c>
      <c r="D9682" t="inlineStr">
        <is>
          <t>JÄMTLANDS LÄN</t>
        </is>
      </c>
      <c r="E9682" t="inlineStr">
        <is>
          <t>BERG</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50647-2023</t>
        </is>
      </c>
      <c r="B9683" s="1" t="n">
        <v>45210</v>
      </c>
      <c r="C9683" s="1" t="n">
        <v>45363</v>
      </c>
      <c r="D9683" t="inlineStr">
        <is>
          <t>JÄMTLANDS LÄN</t>
        </is>
      </c>
      <c r="E9683" t="inlineStr">
        <is>
          <t>STRÖMSUND</t>
        </is>
      </c>
      <c r="G9683" t="n">
        <v>15.1</v>
      </c>
      <c r="H9683" t="n">
        <v>0</v>
      </c>
      <c r="I9683" t="n">
        <v>0</v>
      </c>
      <c r="J9683" t="n">
        <v>0</v>
      </c>
      <c r="K9683" t="n">
        <v>0</v>
      </c>
      <c r="L9683" t="n">
        <v>0</v>
      </c>
      <c r="M9683" t="n">
        <v>0</v>
      </c>
      <c r="N9683" t="n">
        <v>0</v>
      </c>
      <c r="O9683" t="n">
        <v>0</v>
      </c>
      <c r="P9683" t="n">
        <v>0</v>
      </c>
      <c r="Q9683" t="n">
        <v>0</v>
      </c>
      <c r="R9683" s="2" t="inlineStr"/>
    </row>
    <row r="9684" ht="15" customHeight="1">
      <c r="A9684" t="inlineStr">
        <is>
          <t>A 50753-2023</t>
        </is>
      </c>
      <c r="B9684" s="1" t="n">
        <v>45210</v>
      </c>
      <c r="C9684" s="1" t="n">
        <v>45363</v>
      </c>
      <c r="D9684" t="inlineStr">
        <is>
          <t>JÄMTLANDS LÄN</t>
        </is>
      </c>
      <c r="E9684" t="inlineStr">
        <is>
          <t>ÖSTERSUND</t>
        </is>
      </c>
      <c r="G9684" t="n">
        <v>29.3</v>
      </c>
      <c r="H9684" t="n">
        <v>0</v>
      </c>
      <c r="I9684" t="n">
        <v>0</v>
      </c>
      <c r="J9684" t="n">
        <v>0</v>
      </c>
      <c r="K9684" t="n">
        <v>0</v>
      </c>
      <c r="L9684" t="n">
        <v>0</v>
      </c>
      <c r="M9684" t="n">
        <v>0</v>
      </c>
      <c r="N9684" t="n">
        <v>0</v>
      </c>
      <c r="O9684" t="n">
        <v>0</v>
      </c>
      <c r="P9684" t="n">
        <v>0</v>
      </c>
      <c r="Q9684" t="n">
        <v>0</v>
      </c>
      <c r="R9684" s="2" t="inlineStr"/>
    </row>
    <row r="9685" ht="15" customHeight="1">
      <c r="A9685" t="inlineStr">
        <is>
          <t>A 53442-2023</t>
        </is>
      </c>
      <c r="B9685" s="1" t="n">
        <v>45210</v>
      </c>
      <c r="C9685" s="1" t="n">
        <v>45363</v>
      </c>
      <c r="D9685" t="inlineStr">
        <is>
          <t>JÄMTLANDS LÄN</t>
        </is>
      </c>
      <c r="E9685" t="inlineStr">
        <is>
          <t>BERG</t>
        </is>
      </c>
      <c r="F9685" t="inlineStr">
        <is>
          <t>Övriga statliga verk och myndigheter</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50658-2023</t>
        </is>
      </c>
      <c r="B9686" s="1" t="n">
        <v>45210</v>
      </c>
      <c r="C9686" s="1" t="n">
        <v>45363</v>
      </c>
      <c r="D9686" t="inlineStr">
        <is>
          <t>JÄMTLANDS LÄN</t>
        </is>
      </c>
      <c r="E9686" t="inlineStr">
        <is>
          <t>RAGUNDA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50650-2023</t>
        </is>
      </c>
      <c r="B9687" s="1" t="n">
        <v>45210</v>
      </c>
      <c r="C9687" s="1" t="n">
        <v>45363</v>
      </c>
      <c r="D9687" t="inlineStr">
        <is>
          <t>JÄMTLANDS LÄN</t>
        </is>
      </c>
      <c r="E9687" t="inlineStr">
        <is>
          <t>RAGUNDA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50778-2023</t>
        </is>
      </c>
      <c r="B9688" s="1" t="n">
        <v>45210</v>
      </c>
      <c r="C9688" s="1" t="n">
        <v>45363</v>
      </c>
      <c r="D9688" t="inlineStr">
        <is>
          <t>JÄMTLANDS LÄN</t>
        </is>
      </c>
      <c r="E9688" t="inlineStr">
        <is>
          <t>BERG</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53441-2023</t>
        </is>
      </c>
      <c r="B9689" s="1" t="n">
        <v>45210</v>
      </c>
      <c r="C9689" s="1" t="n">
        <v>45363</v>
      </c>
      <c r="D9689" t="inlineStr">
        <is>
          <t>JÄMTLANDS LÄN</t>
        </is>
      </c>
      <c r="E9689" t="inlineStr">
        <is>
          <t>BERG</t>
        </is>
      </c>
      <c r="F9689" t="inlineStr">
        <is>
          <t>Övriga statliga verk och myndigheter</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53445-2023</t>
        </is>
      </c>
      <c r="B9690" s="1" t="n">
        <v>45210</v>
      </c>
      <c r="C9690" s="1" t="n">
        <v>45363</v>
      </c>
      <c r="D9690" t="inlineStr">
        <is>
          <t>JÄMTLANDS LÄN</t>
        </is>
      </c>
      <c r="E9690" t="inlineStr">
        <is>
          <t>BERG</t>
        </is>
      </c>
      <c r="F9690" t="inlineStr">
        <is>
          <t>Övriga statliga verk och myndigheter</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50773-2023</t>
        </is>
      </c>
      <c r="B9691" s="1" t="n">
        <v>45210</v>
      </c>
      <c r="C9691" s="1" t="n">
        <v>45363</v>
      </c>
      <c r="D9691" t="inlineStr">
        <is>
          <t>JÄMTLANDS LÄN</t>
        </is>
      </c>
      <c r="E9691" t="inlineStr">
        <is>
          <t>BERG</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49377-2023</t>
        </is>
      </c>
      <c r="B9692" s="1" t="n">
        <v>45211</v>
      </c>
      <c r="C9692" s="1" t="n">
        <v>45363</v>
      </c>
      <c r="D9692" t="inlineStr">
        <is>
          <t>JÄMTLANDS LÄN</t>
        </is>
      </c>
      <c r="E9692" t="inlineStr">
        <is>
          <t>STRÖMSUND</t>
        </is>
      </c>
      <c r="F9692" t="inlineStr">
        <is>
          <t>Holmen skog AB</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49415-2023</t>
        </is>
      </c>
      <c r="B9693" s="1" t="n">
        <v>45211</v>
      </c>
      <c r="C9693" s="1" t="n">
        <v>45363</v>
      </c>
      <c r="D9693" t="inlineStr">
        <is>
          <t>JÄMTLANDS LÄN</t>
        </is>
      </c>
      <c r="E9693" t="inlineStr">
        <is>
          <t>STRÖMSUND</t>
        </is>
      </c>
      <c r="F9693" t="inlineStr">
        <is>
          <t>Holmen skog AB</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49524-2023</t>
        </is>
      </c>
      <c r="B9694" s="1" t="n">
        <v>45211</v>
      </c>
      <c r="C9694" s="1" t="n">
        <v>45363</v>
      </c>
      <c r="D9694" t="inlineStr">
        <is>
          <t>JÄMTLANDS LÄN</t>
        </is>
      </c>
      <c r="E9694" t="inlineStr">
        <is>
          <t>STRÖMSUND</t>
        </is>
      </c>
      <c r="F9694" t="inlineStr">
        <is>
          <t>Holmen skog AB</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49646-2023</t>
        </is>
      </c>
      <c r="B9695" s="1" t="n">
        <v>45211</v>
      </c>
      <c r="C9695" s="1" t="n">
        <v>45363</v>
      </c>
      <c r="D9695" t="inlineStr">
        <is>
          <t>JÄMTLANDS LÄN</t>
        </is>
      </c>
      <c r="E9695" t="inlineStr">
        <is>
          <t>BRÄCKE</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49650-2023</t>
        </is>
      </c>
      <c r="B9696" s="1" t="n">
        <v>45212</v>
      </c>
      <c r="C9696" s="1" t="n">
        <v>45363</v>
      </c>
      <c r="D9696" t="inlineStr">
        <is>
          <t>JÄMTLANDS LÄN</t>
        </is>
      </c>
      <c r="E9696" t="inlineStr">
        <is>
          <t>RAGUNDA</t>
        </is>
      </c>
      <c r="F9696" t="inlineStr">
        <is>
          <t>SCA</t>
        </is>
      </c>
      <c r="G9696" t="n">
        <v>19.8</v>
      </c>
      <c r="H9696" t="n">
        <v>0</v>
      </c>
      <c r="I9696" t="n">
        <v>0</v>
      </c>
      <c r="J9696" t="n">
        <v>0</v>
      </c>
      <c r="K9696" t="n">
        <v>0</v>
      </c>
      <c r="L9696" t="n">
        <v>0</v>
      </c>
      <c r="M9696" t="n">
        <v>0</v>
      </c>
      <c r="N9696" t="n">
        <v>0</v>
      </c>
      <c r="O9696" t="n">
        <v>0</v>
      </c>
      <c r="P9696" t="n">
        <v>0</v>
      </c>
      <c r="Q9696" t="n">
        <v>0</v>
      </c>
      <c r="R9696" s="2" t="inlineStr"/>
    </row>
    <row r="9697" ht="15" customHeight="1">
      <c r="A9697" t="inlineStr">
        <is>
          <t>A 49648-2023</t>
        </is>
      </c>
      <c r="B9697" s="1" t="n">
        <v>45212</v>
      </c>
      <c r="C9697" s="1" t="n">
        <v>45363</v>
      </c>
      <c r="D9697" t="inlineStr">
        <is>
          <t>JÄMTLANDS LÄN</t>
        </is>
      </c>
      <c r="E9697" t="inlineStr">
        <is>
          <t>RAGUNDA</t>
        </is>
      </c>
      <c r="F9697" t="inlineStr">
        <is>
          <t>SCA</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49651-2023</t>
        </is>
      </c>
      <c r="B9698" s="1" t="n">
        <v>45211</v>
      </c>
      <c r="C9698" s="1" t="n">
        <v>45363</v>
      </c>
      <c r="D9698" t="inlineStr">
        <is>
          <t>JÄMTLANDS LÄN</t>
        </is>
      </c>
      <c r="E9698" t="inlineStr">
        <is>
          <t>STRÖMSUND</t>
        </is>
      </c>
      <c r="F9698" t="inlineStr">
        <is>
          <t>SCA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49659-2023</t>
        </is>
      </c>
      <c r="B9699" s="1" t="n">
        <v>45212</v>
      </c>
      <c r="C9699" s="1" t="n">
        <v>45363</v>
      </c>
      <c r="D9699" t="inlineStr">
        <is>
          <t>JÄMTLANDS LÄN</t>
        </is>
      </c>
      <c r="E9699" t="inlineStr">
        <is>
          <t>RAGUNDA</t>
        </is>
      </c>
      <c r="F9699" t="inlineStr">
        <is>
          <t>SCA</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49653-2023</t>
        </is>
      </c>
      <c r="B9700" s="1" t="n">
        <v>45211</v>
      </c>
      <c r="C9700" s="1" t="n">
        <v>45363</v>
      </c>
      <c r="D9700" t="inlineStr">
        <is>
          <t>JÄMTLANDS LÄN</t>
        </is>
      </c>
      <c r="E9700" t="inlineStr">
        <is>
          <t>BRÄCKE</t>
        </is>
      </c>
      <c r="F9700" t="inlineStr">
        <is>
          <t>SCA</t>
        </is>
      </c>
      <c r="G9700" t="n">
        <v>66.7</v>
      </c>
      <c r="H9700" t="n">
        <v>0</v>
      </c>
      <c r="I9700" t="n">
        <v>0</v>
      </c>
      <c r="J9700" t="n">
        <v>0</v>
      </c>
      <c r="K9700" t="n">
        <v>0</v>
      </c>
      <c r="L9700" t="n">
        <v>0</v>
      </c>
      <c r="M9700" t="n">
        <v>0</v>
      </c>
      <c r="N9700" t="n">
        <v>0</v>
      </c>
      <c r="O9700" t="n">
        <v>0</v>
      </c>
      <c r="P9700" t="n">
        <v>0</v>
      </c>
      <c r="Q9700" t="n">
        <v>0</v>
      </c>
      <c r="R9700" s="2" t="inlineStr"/>
    </row>
    <row r="9701" ht="15" customHeight="1">
      <c r="A9701" t="inlineStr">
        <is>
          <t>A 51074-2023</t>
        </is>
      </c>
      <c r="B9701" s="1" t="n">
        <v>45211</v>
      </c>
      <c r="C9701" s="1" t="n">
        <v>45363</v>
      </c>
      <c r="D9701" t="inlineStr">
        <is>
          <t>JÄMTLANDS LÄN</t>
        </is>
      </c>
      <c r="E9701" t="inlineStr">
        <is>
          <t>STRÖMSUND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51050-2023</t>
        </is>
      </c>
      <c r="B9702" s="1" t="n">
        <v>45211</v>
      </c>
      <c r="C9702" s="1" t="n">
        <v>45363</v>
      </c>
      <c r="D9702" t="inlineStr">
        <is>
          <t>JÄMTLANDS LÄN</t>
        </is>
      </c>
      <c r="E9702" t="inlineStr">
        <is>
          <t>KROKOM</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51077-2023</t>
        </is>
      </c>
      <c r="B9703" s="1" t="n">
        <v>45211</v>
      </c>
      <c r="C9703" s="1" t="n">
        <v>45363</v>
      </c>
      <c r="D9703" t="inlineStr">
        <is>
          <t>JÄMTLANDS LÄN</t>
        </is>
      </c>
      <c r="E9703" t="inlineStr">
        <is>
          <t>STRÖMSUND</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51075-2023</t>
        </is>
      </c>
      <c r="B9704" s="1" t="n">
        <v>45211</v>
      </c>
      <c r="C9704" s="1" t="n">
        <v>45363</v>
      </c>
      <c r="D9704" t="inlineStr">
        <is>
          <t>JÄMTLANDS LÄN</t>
        </is>
      </c>
      <c r="E9704" t="inlineStr">
        <is>
          <t>STRÖMSUND</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50953-2023</t>
        </is>
      </c>
      <c r="B9705" s="1" t="n">
        <v>45211</v>
      </c>
      <c r="C9705" s="1" t="n">
        <v>45363</v>
      </c>
      <c r="D9705" t="inlineStr">
        <is>
          <t>JÄMTLANDS LÄN</t>
        </is>
      </c>
      <c r="E9705" t="inlineStr">
        <is>
          <t>ÖSTERSUND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49712-2023</t>
        </is>
      </c>
      <c r="B9706" s="1" t="n">
        <v>45212</v>
      </c>
      <c r="C9706" s="1" t="n">
        <v>45363</v>
      </c>
      <c r="D9706" t="inlineStr">
        <is>
          <t>JÄMTLANDS LÄN</t>
        </is>
      </c>
      <c r="E9706" t="inlineStr">
        <is>
          <t>HÄRJEDALEN</t>
        </is>
      </c>
      <c r="G9706" t="n">
        <v>42.9</v>
      </c>
      <c r="H9706" t="n">
        <v>0</v>
      </c>
      <c r="I9706" t="n">
        <v>0</v>
      </c>
      <c r="J9706" t="n">
        <v>0</v>
      </c>
      <c r="K9706" t="n">
        <v>0</v>
      </c>
      <c r="L9706" t="n">
        <v>0</v>
      </c>
      <c r="M9706" t="n">
        <v>0</v>
      </c>
      <c r="N9706" t="n">
        <v>0</v>
      </c>
      <c r="O9706" t="n">
        <v>0</v>
      </c>
      <c r="P9706" t="n">
        <v>0</v>
      </c>
      <c r="Q9706" t="n">
        <v>0</v>
      </c>
      <c r="R9706" s="2" t="inlineStr"/>
    </row>
    <row r="9707" ht="15" customHeight="1">
      <c r="A9707" t="inlineStr">
        <is>
          <t>A 49792-2023</t>
        </is>
      </c>
      <c r="B9707" s="1" t="n">
        <v>45212</v>
      </c>
      <c r="C9707" s="1" t="n">
        <v>45363</v>
      </c>
      <c r="D9707" t="inlineStr">
        <is>
          <t>JÄMTLANDS LÄN</t>
        </is>
      </c>
      <c r="E9707" t="inlineStr">
        <is>
          <t>HÄRJEDALEN</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49864-2023</t>
        </is>
      </c>
      <c r="B9708" s="1" t="n">
        <v>45212</v>
      </c>
      <c r="C9708" s="1" t="n">
        <v>45363</v>
      </c>
      <c r="D9708" t="inlineStr">
        <is>
          <t>JÄMTLANDS LÄN</t>
        </is>
      </c>
      <c r="E9708" t="inlineStr">
        <is>
          <t>BRÄCKE</t>
        </is>
      </c>
      <c r="F9708" t="inlineStr">
        <is>
          <t>SCA</t>
        </is>
      </c>
      <c r="G9708" t="n">
        <v>9.1</v>
      </c>
      <c r="H9708" t="n">
        <v>0</v>
      </c>
      <c r="I9708" t="n">
        <v>0</v>
      </c>
      <c r="J9708" t="n">
        <v>0</v>
      </c>
      <c r="K9708" t="n">
        <v>0</v>
      </c>
      <c r="L9708" t="n">
        <v>0</v>
      </c>
      <c r="M9708" t="n">
        <v>0</v>
      </c>
      <c r="N9708" t="n">
        <v>0</v>
      </c>
      <c r="O9708" t="n">
        <v>0</v>
      </c>
      <c r="P9708" t="n">
        <v>0</v>
      </c>
      <c r="Q9708" t="n">
        <v>0</v>
      </c>
      <c r="R9708" s="2" t="inlineStr"/>
    </row>
    <row r="9709" ht="15" customHeight="1">
      <c r="A9709" t="inlineStr">
        <is>
          <t>A 49861-2023</t>
        </is>
      </c>
      <c r="B9709" s="1" t="n">
        <v>45212</v>
      </c>
      <c r="C9709" s="1" t="n">
        <v>45363</v>
      </c>
      <c r="D9709" t="inlineStr">
        <is>
          <t>JÄMTLANDS LÄN</t>
        </is>
      </c>
      <c r="E9709" t="inlineStr">
        <is>
          <t>STRÖMSUND</t>
        </is>
      </c>
      <c r="F9709" t="inlineStr">
        <is>
          <t>SCA</t>
        </is>
      </c>
      <c r="G9709" t="n">
        <v>7.2</v>
      </c>
      <c r="H9709" t="n">
        <v>0</v>
      </c>
      <c r="I9709" t="n">
        <v>0</v>
      </c>
      <c r="J9709" t="n">
        <v>0</v>
      </c>
      <c r="K9709" t="n">
        <v>0</v>
      </c>
      <c r="L9709" t="n">
        <v>0</v>
      </c>
      <c r="M9709" t="n">
        <v>0</v>
      </c>
      <c r="N9709" t="n">
        <v>0</v>
      </c>
      <c r="O9709" t="n">
        <v>0</v>
      </c>
      <c r="P9709" t="n">
        <v>0</v>
      </c>
      <c r="Q9709" t="n">
        <v>0</v>
      </c>
      <c r="R9709" s="2" t="inlineStr"/>
    </row>
    <row r="9710" ht="15" customHeight="1">
      <c r="A9710" t="inlineStr">
        <is>
          <t>A 52169-2023</t>
        </is>
      </c>
      <c r="B9710" s="1" t="n">
        <v>45212</v>
      </c>
      <c r="C9710" s="1" t="n">
        <v>45363</v>
      </c>
      <c r="D9710" t="inlineStr">
        <is>
          <t>JÄMTLANDS LÄN</t>
        </is>
      </c>
      <c r="E9710" t="inlineStr">
        <is>
          <t>ÅRE</t>
        </is>
      </c>
      <c r="F9710" t="inlineStr">
        <is>
          <t>Övriga statliga verk och myndigheter</t>
        </is>
      </c>
      <c r="G9710" t="n">
        <v>28.1</v>
      </c>
      <c r="H9710" t="n">
        <v>0</v>
      </c>
      <c r="I9710" t="n">
        <v>0</v>
      </c>
      <c r="J9710" t="n">
        <v>0</v>
      </c>
      <c r="K9710" t="n">
        <v>0</v>
      </c>
      <c r="L9710" t="n">
        <v>0</v>
      </c>
      <c r="M9710" t="n">
        <v>0</v>
      </c>
      <c r="N9710" t="n">
        <v>0</v>
      </c>
      <c r="O9710" t="n">
        <v>0</v>
      </c>
      <c r="P9710" t="n">
        <v>0</v>
      </c>
      <c r="Q9710" t="n">
        <v>0</v>
      </c>
      <c r="R9710" s="2" t="inlineStr"/>
    </row>
    <row r="9711" ht="15" customHeight="1">
      <c r="A9711" t="inlineStr">
        <is>
          <t>A 51140-2023</t>
        </is>
      </c>
      <c r="B9711" s="1" t="n">
        <v>45212</v>
      </c>
      <c r="C9711" s="1" t="n">
        <v>45363</v>
      </c>
      <c r="D9711" t="inlineStr">
        <is>
          <t>JÄMTLANDS LÄN</t>
        </is>
      </c>
      <c r="E9711" t="inlineStr">
        <is>
          <t>BRÄCKE</t>
        </is>
      </c>
      <c r="F9711" t="inlineStr">
        <is>
          <t>SCA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52154-2023</t>
        </is>
      </c>
      <c r="B9712" s="1" t="n">
        <v>45212</v>
      </c>
      <c r="C9712" s="1" t="n">
        <v>45363</v>
      </c>
      <c r="D9712" t="inlineStr">
        <is>
          <t>JÄMTLANDS LÄN</t>
        </is>
      </c>
      <c r="E9712" t="inlineStr">
        <is>
          <t>BERG</t>
        </is>
      </c>
      <c r="F9712" t="inlineStr">
        <is>
          <t>Övriga statliga verk och myndigheter</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49969-2023</t>
        </is>
      </c>
      <c r="B9713" s="1" t="n">
        <v>45215</v>
      </c>
      <c r="C9713" s="1" t="n">
        <v>45363</v>
      </c>
      <c r="D9713" t="inlineStr">
        <is>
          <t>JÄMTLANDS LÄN</t>
        </is>
      </c>
      <c r="E9713" t="inlineStr">
        <is>
          <t>HÄRJEDALEN</t>
        </is>
      </c>
      <c r="G9713" t="n">
        <v>43.7</v>
      </c>
      <c r="H9713" t="n">
        <v>0</v>
      </c>
      <c r="I9713" t="n">
        <v>0</v>
      </c>
      <c r="J9713" t="n">
        <v>0</v>
      </c>
      <c r="K9713" t="n">
        <v>0</v>
      </c>
      <c r="L9713" t="n">
        <v>0</v>
      </c>
      <c r="M9713" t="n">
        <v>0</v>
      </c>
      <c r="N9713" t="n">
        <v>0</v>
      </c>
      <c r="O9713" t="n">
        <v>0</v>
      </c>
      <c r="P9713" t="n">
        <v>0</v>
      </c>
      <c r="Q9713" t="n">
        <v>0</v>
      </c>
      <c r="R9713" s="2" t="inlineStr"/>
    </row>
    <row r="9714" ht="15" customHeight="1">
      <c r="A9714" t="inlineStr">
        <is>
          <t>A 50222-2023</t>
        </is>
      </c>
      <c r="B9714" s="1" t="n">
        <v>45216</v>
      </c>
      <c r="C9714" s="1" t="n">
        <v>45363</v>
      </c>
      <c r="D9714" t="inlineStr">
        <is>
          <t>JÄMTLANDS LÄN</t>
        </is>
      </c>
      <c r="E9714" t="inlineStr">
        <is>
          <t>BRÄCKE</t>
        </is>
      </c>
      <c r="F9714" t="inlineStr">
        <is>
          <t>SCA</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50060-2023</t>
        </is>
      </c>
      <c r="B9715" s="1" t="n">
        <v>45215</v>
      </c>
      <c r="C9715" s="1" t="n">
        <v>45363</v>
      </c>
      <c r="D9715" t="inlineStr">
        <is>
          <t>JÄMTLANDS LÄN</t>
        </is>
      </c>
      <c r="E9715" t="inlineStr">
        <is>
          <t>BRÄCKE</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50203-2023</t>
        </is>
      </c>
      <c r="B9716" s="1" t="n">
        <v>45216</v>
      </c>
      <c r="C9716" s="1" t="n">
        <v>45363</v>
      </c>
      <c r="D9716" t="inlineStr">
        <is>
          <t>JÄMTLANDS LÄN</t>
        </is>
      </c>
      <c r="E9716" t="inlineStr">
        <is>
          <t>STRÖMSUND</t>
        </is>
      </c>
      <c r="G9716" t="n">
        <v>9.199999999999999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50211-2023</t>
        </is>
      </c>
      <c r="B9717" s="1" t="n">
        <v>45216</v>
      </c>
      <c r="C9717" s="1" t="n">
        <v>45363</v>
      </c>
      <c r="D9717" t="inlineStr">
        <is>
          <t>JÄMTLANDS LÄN</t>
        </is>
      </c>
      <c r="E9717" t="inlineStr">
        <is>
          <t>RAGUNDA</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50223-2023</t>
        </is>
      </c>
      <c r="B9718" s="1" t="n">
        <v>45216</v>
      </c>
      <c r="C9718" s="1" t="n">
        <v>45363</v>
      </c>
      <c r="D9718" t="inlineStr">
        <is>
          <t>JÄMTLANDS LÄN</t>
        </is>
      </c>
      <c r="E9718" t="inlineStr">
        <is>
          <t>BRÄCKE</t>
        </is>
      </c>
      <c r="F9718" t="inlineStr">
        <is>
          <t>SCA</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50227-2023</t>
        </is>
      </c>
      <c r="B9719" s="1" t="n">
        <v>45216</v>
      </c>
      <c r="C9719" s="1" t="n">
        <v>45363</v>
      </c>
      <c r="D9719" t="inlineStr">
        <is>
          <t>JÄMTLANDS LÄN</t>
        </is>
      </c>
      <c r="E9719" t="inlineStr">
        <is>
          <t>KROKOM</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50221-2023</t>
        </is>
      </c>
      <c r="B9720" s="1" t="n">
        <v>45216</v>
      </c>
      <c r="C9720" s="1" t="n">
        <v>45363</v>
      </c>
      <c r="D9720" t="inlineStr">
        <is>
          <t>JÄMTLANDS LÄN</t>
        </is>
      </c>
      <c r="E9720" t="inlineStr">
        <is>
          <t>BRÄCKE</t>
        </is>
      </c>
      <c r="F9720" t="inlineStr">
        <is>
          <t>SCA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51548-2023</t>
        </is>
      </c>
      <c r="B9721" s="1" t="n">
        <v>45215</v>
      </c>
      <c r="C9721" s="1" t="n">
        <v>45363</v>
      </c>
      <c r="D9721" t="inlineStr">
        <is>
          <t>JÄMTLANDS LÄN</t>
        </is>
      </c>
      <c r="E9721" t="inlineStr">
        <is>
          <t>BERG</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50216-2023</t>
        </is>
      </c>
      <c r="B9722" s="1" t="n">
        <v>45215</v>
      </c>
      <c r="C9722" s="1" t="n">
        <v>45363</v>
      </c>
      <c r="D9722" t="inlineStr">
        <is>
          <t>JÄMTLANDS LÄN</t>
        </is>
      </c>
      <c r="E9722" t="inlineStr">
        <is>
          <t>KROKOM</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50220-2023</t>
        </is>
      </c>
      <c r="B9723" s="1" t="n">
        <v>45215</v>
      </c>
      <c r="C9723" s="1" t="n">
        <v>45363</v>
      </c>
      <c r="D9723" t="inlineStr">
        <is>
          <t>JÄMTLANDS LÄN</t>
        </is>
      </c>
      <c r="E9723" t="inlineStr">
        <is>
          <t>BRÄCKE</t>
        </is>
      </c>
      <c r="F9723" t="inlineStr">
        <is>
          <t>SCA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50228-2023</t>
        </is>
      </c>
      <c r="B9724" s="1" t="n">
        <v>45216</v>
      </c>
      <c r="C9724" s="1" t="n">
        <v>45363</v>
      </c>
      <c r="D9724" t="inlineStr">
        <is>
          <t>JÄMTLANDS LÄN</t>
        </is>
      </c>
      <c r="E9724" t="inlineStr">
        <is>
          <t>KROKOM</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51701-2023</t>
        </is>
      </c>
      <c r="B9725" s="1" t="n">
        <v>45215</v>
      </c>
      <c r="C9725" s="1" t="n">
        <v>45363</v>
      </c>
      <c r="D9725" t="inlineStr">
        <is>
          <t>JÄMTLANDS LÄN</t>
        </is>
      </c>
      <c r="E9725" t="inlineStr">
        <is>
          <t>ÖSTERSUND</t>
        </is>
      </c>
      <c r="G9725" t="n">
        <v>9.300000000000001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51503-2023</t>
        </is>
      </c>
      <c r="B9726" s="1" t="n">
        <v>45215</v>
      </c>
      <c r="C9726" s="1" t="n">
        <v>45363</v>
      </c>
      <c r="D9726" t="inlineStr">
        <is>
          <t>JÄMTLANDS LÄN</t>
        </is>
      </c>
      <c r="E9726" t="inlineStr">
        <is>
          <t>RAGUNDA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51646-2023</t>
        </is>
      </c>
      <c r="B9727" s="1" t="n">
        <v>45215</v>
      </c>
      <c r="C9727" s="1" t="n">
        <v>45363</v>
      </c>
      <c r="D9727" t="inlineStr">
        <is>
          <t>JÄMTLANDS LÄN</t>
        </is>
      </c>
      <c r="E9727" t="inlineStr">
        <is>
          <t>RAGUNDA</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50515-2023</t>
        </is>
      </c>
      <c r="B9728" s="1" t="n">
        <v>45216</v>
      </c>
      <c r="C9728" s="1" t="n">
        <v>45363</v>
      </c>
      <c r="D9728" t="inlineStr">
        <is>
          <t>JÄMTLANDS LÄN</t>
        </is>
      </c>
      <c r="E9728" t="inlineStr">
        <is>
          <t>BRÄCKE</t>
        </is>
      </c>
      <c r="F9728" t="inlineStr">
        <is>
          <t>SCA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50270-2023</t>
        </is>
      </c>
      <c r="B9729" s="1" t="n">
        <v>45216</v>
      </c>
      <c r="C9729" s="1" t="n">
        <v>45363</v>
      </c>
      <c r="D9729" t="inlineStr">
        <is>
          <t>JÄMTLANDS LÄN</t>
        </is>
      </c>
      <c r="E9729" t="inlineStr">
        <is>
          <t>KROKOM</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50514-2023</t>
        </is>
      </c>
      <c r="B9730" s="1" t="n">
        <v>45217</v>
      </c>
      <c r="C9730" s="1" t="n">
        <v>45363</v>
      </c>
      <c r="D9730" t="inlineStr">
        <is>
          <t>JÄMTLANDS LÄN</t>
        </is>
      </c>
      <c r="E9730" t="inlineStr">
        <is>
          <t>BRÄCKE</t>
        </is>
      </c>
      <c r="F9730" t="inlineStr">
        <is>
          <t>SCA</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50486-2023</t>
        </is>
      </c>
      <c r="B9731" s="1" t="n">
        <v>45217</v>
      </c>
      <c r="C9731" s="1" t="n">
        <v>45363</v>
      </c>
      <c r="D9731" t="inlineStr">
        <is>
          <t>JÄMTLANDS LÄN</t>
        </is>
      </c>
      <c r="E9731" t="inlineStr">
        <is>
          <t>RAGUNDA</t>
        </is>
      </c>
      <c r="G9731" t="n">
        <v>8.699999999999999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50513-2023</t>
        </is>
      </c>
      <c r="B9732" s="1" t="n">
        <v>45216</v>
      </c>
      <c r="C9732" s="1" t="n">
        <v>45363</v>
      </c>
      <c r="D9732" t="inlineStr">
        <is>
          <t>JÄMTLANDS LÄN</t>
        </is>
      </c>
      <c r="E9732" t="inlineStr">
        <is>
          <t>BRÄCKE</t>
        </is>
      </c>
      <c r="F9732" t="inlineStr">
        <is>
          <t>SCA</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50360-2023</t>
        </is>
      </c>
      <c r="B9733" s="1" t="n">
        <v>45216</v>
      </c>
      <c r="C9733" s="1" t="n">
        <v>45363</v>
      </c>
      <c r="D9733" t="inlineStr">
        <is>
          <t>JÄMTLANDS LÄN</t>
        </is>
      </c>
      <c r="E9733" t="inlineStr">
        <is>
          <t>HÄRJEDALEN</t>
        </is>
      </c>
      <c r="F9733" t="inlineStr">
        <is>
          <t>Bergvik skog väst AB</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50493-2023</t>
        </is>
      </c>
      <c r="B9734" s="1" t="n">
        <v>45217</v>
      </c>
      <c r="C9734" s="1" t="n">
        <v>45363</v>
      </c>
      <c r="D9734" t="inlineStr">
        <is>
          <t>JÄMTLANDS LÄN</t>
        </is>
      </c>
      <c r="E9734" t="inlineStr">
        <is>
          <t>KROKOM</t>
        </is>
      </c>
      <c r="G9734" t="n">
        <v>8.1</v>
      </c>
      <c r="H9734" t="n">
        <v>0</v>
      </c>
      <c r="I9734" t="n">
        <v>0</v>
      </c>
      <c r="J9734" t="n">
        <v>0</v>
      </c>
      <c r="K9734" t="n">
        <v>0</v>
      </c>
      <c r="L9734" t="n">
        <v>0</v>
      </c>
      <c r="M9734" t="n">
        <v>0</v>
      </c>
      <c r="N9734" t="n">
        <v>0</v>
      </c>
      <c r="O9734" t="n">
        <v>0</v>
      </c>
      <c r="P9734" t="n">
        <v>0</v>
      </c>
      <c r="Q9734" t="n">
        <v>0</v>
      </c>
      <c r="R9734" s="2" t="inlineStr"/>
    </row>
    <row r="9735" ht="15" customHeight="1">
      <c r="A9735" t="inlineStr">
        <is>
          <t>A 50485-2023</t>
        </is>
      </c>
      <c r="B9735" s="1" t="n">
        <v>45217</v>
      </c>
      <c r="C9735" s="1" t="n">
        <v>45363</v>
      </c>
      <c r="D9735" t="inlineStr">
        <is>
          <t>JÄMTLANDS LÄN</t>
        </is>
      </c>
      <c r="E9735" t="inlineStr">
        <is>
          <t>RAGUNDA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50331-2023</t>
        </is>
      </c>
      <c r="B9736" s="1" t="n">
        <v>45216</v>
      </c>
      <c r="C9736" s="1" t="n">
        <v>45363</v>
      </c>
      <c r="D9736" t="inlineStr">
        <is>
          <t>JÄMTLANDS LÄN</t>
        </is>
      </c>
      <c r="E9736" t="inlineStr">
        <is>
          <t>HÄRJEDALEN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50246-2023</t>
        </is>
      </c>
      <c r="B9737" s="1" t="n">
        <v>45216</v>
      </c>
      <c r="C9737" s="1" t="n">
        <v>45363</v>
      </c>
      <c r="D9737" t="inlineStr">
        <is>
          <t>JÄMTLANDS LÄN</t>
        </is>
      </c>
      <c r="E9737" t="inlineStr">
        <is>
          <t>KROKOM</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50495-2023</t>
        </is>
      </c>
      <c r="B9738" s="1" t="n">
        <v>45216</v>
      </c>
      <c r="C9738" s="1" t="n">
        <v>45363</v>
      </c>
      <c r="D9738" t="inlineStr">
        <is>
          <t>JÄMTLANDS LÄN</t>
        </is>
      </c>
      <c r="E9738" t="inlineStr">
        <is>
          <t>STRÖMSUND</t>
        </is>
      </c>
      <c r="F9738" t="inlineStr">
        <is>
          <t>SCA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50487-2023</t>
        </is>
      </c>
      <c r="B9739" s="1" t="n">
        <v>45217</v>
      </c>
      <c r="C9739" s="1" t="n">
        <v>45363</v>
      </c>
      <c r="D9739" t="inlineStr">
        <is>
          <t>JÄMTLANDS LÄN</t>
        </is>
      </c>
      <c r="E9739" t="inlineStr">
        <is>
          <t>RAGUNDA</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50483-2023</t>
        </is>
      </c>
      <c r="B9740" s="1" t="n">
        <v>45217</v>
      </c>
      <c r="C9740" s="1" t="n">
        <v>45363</v>
      </c>
      <c r="D9740" t="inlineStr">
        <is>
          <t>JÄMTLANDS LÄN</t>
        </is>
      </c>
      <c r="E9740" t="inlineStr">
        <is>
          <t>RAGUNDA</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50431-2023</t>
        </is>
      </c>
      <c r="B9741" s="1" t="n">
        <v>45216</v>
      </c>
      <c r="C9741" s="1" t="n">
        <v>45363</v>
      </c>
      <c r="D9741" t="inlineStr">
        <is>
          <t>JÄMTLANDS LÄN</t>
        </is>
      </c>
      <c r="E9741" t="inlineStr">
        <is>
          <t>KROKOM</t>
        </is>
      </c>
      <c r="G9741" t="n">
        <v>6.9</v>
      </c>
      <c r="H9741" t="n">
        <v>0</v>
      </c>
      <c r="I9741" t="n">
        <v>0</v>
      </c>
      <c r="J9741" t="n">
        <v>0</v>
      </c>
      <c r="K9741" t="n">
        <v>0</v>
      </c>
      <c r="L9741" t="n">
        <v>0</v>
      </c>
      <c r="M9741" t="n">
        <v>0</v>
      </c>
      <c r="N9741" t="n">
        <v>0</v>
      </c>
      <c r="O9741" t="n">
        <v>0</v>
      </c>
      <c r="P9741" t="n">
        <v>0</v>
      </c>
      <c r="Q9741" t="n">
        <v>0</v>
      </c>
      <c r="R9741" s="2" t="inlineStr"/>
    </row>
    <row r="9742" ht="15" customHeight="1">
      <c r="A9742" t="inlineStr">
        <is>
          <t>A 50363-2023</t>
        </is>
      </c>
      <c r="B9742" s="1" t="n">
        <v>45216</v>
      </c>
      <c r="C9742" s="1" t="n">
        <v>45363</v>
      </c>
      <c r="D9742" t="inlineStr">
        <is>
          <t>JÄMTLANDS LÄN</t>
        </is>
      </c>
      <c r="E9742" t="inlineStr">
        <is>
          <t>KROKOM</t>
        </is>
      </c>
      <c r="F9742" t="inlineStr">
        <is>
          <t>Övriga Aktiebolag</t>
        </is>
      </c>
      <c r="G9742" t="n">
        <v>12.2</v>
      </c>
      <c r="H9742" t="n">
        <v>0</v>
      </c>
      <c r="I9742" t="n">
        <v>0</v>
      </c>
      <c r="J9742" t="n">
        <v>0</v>
      </c>
      <c r="K9742" t="n">
        <v>0</v>
      </c>
      <c r="L9742" t="n">
        <v>0</v>
      </c>
      <c r="M9742" t="n">
        <v>0</v>
      </c>
      <c r="N9742" t="n">
        <v>0</v>
      </c>
      <c r="O9742" t="n">
        <v>0</v>
      </c>
      <c r="P9742" t="n">
        <v>0</v>
      </c>
      <c r="Q9742" t="n">
        <v>0</v>
      </c>
      <c r="R9742" s="2" t="inlineStr"/>
    </row>
    <row r="9743" ht="15" customHeight="1">
      <c r="A9743" t="inlineStr">
        <is>
          <t>A 50291-2023</t>
        </is>
      </c>
      <c r="B9743" s="1" t="n">
        <v>45216</v>
      </c>
      <c r="C9743" s="1" t="n">
        <v>45363</v>
      </c>
      <c r="D9743" t="inlineStr">
        <is>
          <t>JÄMTLANDS LÄN</t>
        </is>
      </c>
      <c r="E9743" t="inlineStr">
        <is>
          <t>HÄRJEDALEN</t>
        </is>
      </c>
      <c r="F9743" t="inlineStr">
        <is>
          <t>Bergvik skog väst AB</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51929-2023</t>
        </is>
      </c>
      <c r="B9744" s="1" t="n">
        <v>45216</v>
      </c>
      <c r="C9744" s="1" t="n">
        <v>45363</v>
      </c>
      <c r="D9744" t="inlineStr">
        <is>
          <t>JÄMTLANDS LÄN</t>
        </is>
      </c>
      <c r="E9744" t="inlineStr">
        <is>
          <t>KROKOM</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50484-2023</t>
        </is>
      </c>
      <c r="B9745" s="1" t="n">
        <v>45217</v>
      </c>
      <c r="C9745" s="1" t="n">
        <v>45363</v>
      </c>
      <c r="D9745" t="inlineStr">
        <is>
          <t>JÄMTLANDS LÄN</t>
        </is>
      </c>
      <c r="E9745" t="inlineStr">
        <is>
          <t>RAGUNDA</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50424-2023</t>
        </is>
      </c>
      <c r="B9746" s="1" t="n">
        <v>45216</v>
      </c>
      <c r="C9746" s="1" t="n">
        <v>45363</v>
      </c>
      <c r="D9746" t="inlineStr">
        <is>
          <t>JÄMTLANDS LÄN</t>
        </is>
      </c>
      <c r="E9746" t="inlineStr">
        <is>
          <t>HÄRJEDALEN</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50345-2023</t>
        </is>
      </c>
      <c r="B9747" s="1" t="n">
        <v>45216</v>
      </c>
      <c r="C9747" s="1" t="n">
        <v>45363</v>
      </c>
      <c r="D9747" t="inlineStr">
        <is>
          <t>JÄMTLANDS LÄN</t>
        </is>
      </c>
      <c r="E9747" t="inlineStr">
        <is>
          <t>KROKOM</t>
        </is>
      </c>
      <c r="F9747" t="inlineStr">
        <is>
          <t>Övriga Aktiebolag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50328-2023</t>
        </is>
      </c>
      <c r="B9748" s="1" t="n">
        <v>45216</v>
      </c>
      <c r="C9748" s="1" t="n">
        <v>45363</v>
      </c>
      <c r="D9748" t="inlineStr">
        <is>
          <t>JÄMTLANDS LÄN</t>
        </is>
      </c>
      <c r="E9748" t="inlineStr">
        <is>
          <t>HÄRJEDALEN</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51910-2023</t>
        </is>
      </c>
      <c r="B9749" s="1" t="n">
        <v>45216</v>
      </c>
      <c r="C9749" s="1" t="n">
        <v>45363</v>
      </c>
      <c r="D9749" t="inlineStr">
        <is>
          <t>JÄMTLANDS LÄN</t>
        </is>
      </c>
      <c r="E9749" t="inlineStr">
        <is>
          <t>KROKOM</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50609-2023</t>
        </is>
      </c>
      <c r="B9750" s="1" t="n">
        <v>45217</v>
      </c>
      <c r="C9750" s="1" t="n">
        <v>45363</v>
      </c>
      <c r="D9750" t="inlineStr">
        <is>
          <t>JÄMTLANDS LÄN</t>
        </is>
      </c>
      <c r="E9750" t="inlineStr">
        <is>
          <t>BRÄCKE</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50572-2023</t>
        </is>
      </c>
      <c r="B9751" s="1" t="n">
        <v>45217</v>
      </c>
      <c r="C9751" s="1" t="n">
        <v>45363</v>
      </c>
      <c r="D9751" t="inlineStr">
        <is>
          <t>JÄMTLANDS LÄN</t>
        </is>
      </c>
      <c r="E9751" t="inlineStr">
        <is>
          <t>BERG</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50591-2023</t>
        </is>
      </c>
      <c r="B9752" s="1" t="n">
        <v>45217</v>
      </c>
      <c r="C9752" s="1" t="n">
        <v>45363</v>
      </c>
      <c r="D9752" t="inlineStr">
        <is>
          <t>JÄMTLANDS LÄN</t>
        </is>
      </c>
      <c r="E9752" t="inlineStr">
        <is>
          <t>BERG</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50637-2023</t>
        </is>
      </c>
      <c r="B9753" s="1" t="n">
        <v>45217</v>
      </c>
      <c r="C9753" s="1" t="n">
        <v>45363</v>
      </c>
      <c r="D9753" t="inlineStr">
        <is>
          <t>JÄMTLANDS LÄN</t>
        </is>
      </c>
      <c r="E9753" t="inlineStr">
        <is>
          <t>BRÄCKE</t>
        </is>
      </c>
      <c r="G9753" t="n">
        <v>9.300000000000001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50706-2023</t>
        </is>
      </c>
      <c r="B9754" s="1" t="n">
        <v>45217</v>
      </c>
      <c r="C9754" s="1" t="n">
        <v>45363</v>
      </c>
      <c r="D9754" t="inlineStr">
        <is>
          <t>JÄMTLANDS LÄN</t>
        </is>
      </c>
      <c r="E9754" t="inlineStr">
        <is>
          <t>BERG</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50837-2023</t>
        </is>
      </c>
      <c r="B9755" s="1" t="n">
        <v>45217</v>
      </c>
      <c r="C9755" s="1" t="n">
        <v>45363</v>
      </c>
      <c r="D9755" t="inlineStr">
        <is>
          <t>JÄMTLANDS LÄN</t>
        </is>
      </c>
      <c r="E9755" t="inlineStr">
        <is>
          <t>BRÄCKE</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50539-2023</t>
        </is>
      </c>
      <c r="B9756" s="1" t="n">
        <v>45217</v>
      </c>
      <c r="C9756" s="1" t="n">
        <v>45363</v>
      </c>
      <c r="D9756" t="inlineStr">
        <is>
          <t>JÄMTLANDS LÄN</t>
        </is>
      </c>
      <c r="E9756" t="inlineStr">
        <is>
          <t>HÄRJEDALEN</t>
        </is>
      </c>
      <c r="G9756" t="n">
        <v>5.6</v>
      </c>
      <c r="H9756" t="n">
        <v>0</v>
      </c>
      <c r="I9756" t="n">
        <v>0</v>
      </c>
      <c r="J9756" t="n">
        <v>0</v>
      </c>
      <c r="K9756" t="n">
        <v>0</v>
      </c>
      <c r="L9756" t="n">
        <v>0</v>
      </c>
      <c r="M9756" t="n">
        <v>0</v>
      </c>
      <c r="N9756" t="n">
        <v>0</v>
      </c>
      <c r="O9756" t="n">
        <v>0</v>
      </c>
      <c r="P9756" t="n">
        <v>0</v>
      </c>
      <c r="Q9756" t="n">
        <v>0</v>
      </c>
      <c r="R9756" s="2" t="inlineStr"/>
    </row>
    <row r="9757" ht="15" customHeight="1">
      <c r="A9757" t="inlineStr">
        <is>
          <t>A 50612-2023</t>
        </is>
      </c>
      <c r="B9757" s="1" t="n">
        <v>45217</v>
      </c>
      <c r="C9757" s="1" t="n">
        <v>45363</v>
      </c>
      <c r="D9757" t="inlineStr">
        <is>
          <t>JÄMTLANDS LÄN</t>
        </is>
      </c>
      <c r="E9757" t="inlineStr">
        <is>
          <t>BERG</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50606-2023</t>
        </is>
      </c>
      <c r="B9758" s="1" t="n">
        <v>45217</v>
      </c>
      <c r="C9758" s="1" t="n">
        <v>45363</v>
      </c>
      <c r="D9758" t="inlineStr">
        <is>
          <t>JÄMTLANDS LÄN</t>
        </is>
      </c>
      <c r="E9758" t="inlineStr">
        <is>
          <t>KROKOM</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50737-2023</t>
        </is>
      </c>
      <c r="B9759" s="1" t="n">
        <v>45217</v>
      </c>
      <c r="C9759" s="1" t="n">
        <v>45363</v>
      </c>
      <c r="D9759" t="inlineStr">
        <is>
          <t>JÄMTLANDS LÄN</t>
        </is>
      </c>
      <c r="E9759" t="inlineStr">
        <is>
          <t>BERG</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50827-2023</t>
        </is>
      </c>
      <c r="B9760" s="1" t="n">
        <v>45218</v>
      </c>
      <c r="C9760" s="1" t="n">
        <v>45363</v>
      </c>
      <c r="D9760" t="inlineStr">
        <is>
          <t>JÄMTLANDS LÄN</t>
        </is>
      </c>
      <c r="E9760" t="inlineStr">
        <is>
          <t>BRÄCKE</t>
        </is>
      </c>
      <c r="F9760" t="inlineStr">
        <is>
          <t>SCA</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50831-2023</t>
        </is>
      </c>
      <c r="B9761" s="1" t="n">
        <v>45217</v>
      </c>
      <c r="C9761" s="1" t="n">
        <v>45363</v>
      </c>
      <c r="D9761" t="inlineStr">
        <is>
          <t>JÄMTLANDS LÄN</t>
        </is>
      </c>
      <c r="E9761" t="inlineStr">
        <is>
          <t>RAGUNDA</t>
        </is>
      </c>
      <c r="F9761" t="inlineStr">
        <is>
          <t>SCA</t>
        </is>
      </c>
      <c r="G9761" t="n">
        <v>8.699999999999999</v>
      </c>
      <c r="H9761" t="n">
        <v>0</v>
      </c>
      <c r="I9761" t="n">
        <v>0</v>
      </c>
      <c r="J9761" t="n">
        <v>0</v>
      </c>
      <c r="K9761" t="n">
        <v>0</v>
      </c>
      <c r="L9761" t="n">
        <v>0</v>
      </c>
      <c r="M9761" t="n">
        <v>0</v>
      </c>
      <c r="N9761" t="n">
        <v>0</v>
      </c>
      <c r="O9761" t="n">
        <v>0</v>
      </c>
      <c r="P9761" t="n">
        <v>0</v>
      </c>
      <c r="Q9761" t="n">
        <v>0</v>
      </c>
      <c r="R9761" s="2" t="inlineStr"/>
    </row>
    <row r="9762" ht="15" customHeight="1">
      <c r="A9762" t="inlineStr">
        <is>
          <t>A 50782-2023</t>
        </is>
      </c>
      <c r="B9762" s="1" t="n">
        <v>45217</v>
      </c>
      <c r="C9762" s="1" t="n">
        <v>45363</v>
      </c>
      <c r="D9762" t="inlineStr">
        <is>
          <t>JÄMTLANDS LÄN</t>
        </is>
      </c>
      <c r="E9762" t="inlineStr">
        <is>
          <t>KROKOM</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50787-2023</t>
        </is>
      </c>
      <c r="B9763" s="1" t="n">
        <v>45217</v>
      </c>
      <c r="C9763" s="1" t="n">
        <v>45363</v>
      </c>
      <c r="D9763" t="inlineStr">
        <is>
          <t>JÄMTLANDS LÄN</t>
        </is>
      </c>
      <c r="E9763" t="inlineStr">
        <is>
          <t>KROKOM</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50828-2023</t>
        </is>
      </c>
      <c r="B9764" s="1" t="n">
        <v>45218</v>
      </c>
      <c r="C9764" s="1" t="n">
        <v>45363</v>
      </c>
      <c r="D9764" t="inlineStr">
        <is>
          <t>JÄMTLANDS LÄN</t>
        </is>
      </c>
      <c r="E9764" t="inlineStr">
        <is>
          <t>BRÄCKE</t>
        </is>
      </c>
      <c r="F9764" t="inlineStr">
        <is>
          <t>SCA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50832-2023</t>
        </is>
      </c>
      <c r="B9765" s="1" t="n">
        <v>45218</v>
      </c>
      <c r="C9765" s="1" t="n">
        <v>45363</v>
      </c>
      <c r="D9765" t="inlineStr">
        <is>
          <t>JÄMTLANDS LÄN</t>
        </is>
      </c>
      <c r="E9765" t="inlineStr">
        <is>
          <t>RAGUNDA</t>
        </is>
      </c>
      <c r="F9765" t="inlineStr">
        <is>
          <t>SCA</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50836-2023</t>
        </is>
      </c>
      <c r="B9766" s="1" t="n">
        <v>45217</v>
      </c>
      <c r="C9766" s="1" t="n">
        <v>45363</v>
      </c>
      <c r="D9766" t="inlineStr">
        <is>
          <t>JÄMTLANDS LÄN</t>
        </is>
      </c>
      <c r="E9766" t="inlineStr">
        <is>
          <t>BRÄCKE</t>
        </is>
      </c>
      <c r="F9766" t="inlineStr">
        <is>
          <t>SCA</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50840-2023</t>
        </is>
      </c>
      <c r="B9767" s="1" t="n">
        <v>45217</v>
      </c>
      <c r="C9767" s="1" t="n">
        <v>45363</v>
      </c>
      <c r="D9767" t="inlineStr">
        <is>
          <t>JÄMTLANDS LÄN</t>
        </is>
      </c>
      <c r="E9767" t="inlineStr">
        <is>
          <t>BRÄCKE</t>
        </is>
      </c>
      <c r="F9767" t="inlineStr">
        <is>
          <t>SCA</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50848-2023</t>
        </is>
      </c>
      <c r="B9768" s="1" t="n">
        <v>45217</v>
      </c>
      <c r="C9768" s="1" t="n">
        <v>45363</v>
      </c>
      <c r="D9768" t="inlineStr">
        <is>
          <t>JÄMTLANDS LÄN</t>
        </is>
      </c>
      <c r="E9768" t="inlineStr">
        <is>
          <t>RAGUNDA</t>
        </is>
      </c>
      <c r="F9768" t="inlineStr">
        <is>
          <t>SCA</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52195-2023</t>
        </is>
      </c>
      <c r="B9769" s="1" t="n">
        <v>45217</v>
      </c>
      <c r="C9769" s="1" t="n">
        <v>45363</v>
      </c>
      <c r="D9769" t="inlineStr">
        <is>
          <t>JÄMTLANDS LÄN</t>
        </is>
      </c>
      <c r="E9769" t="inlineStr">
        <is>
          <t>RAGUNDA</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50843-2023</t>
        </is>
      </c>
      <c r="B9770" s="1" t="n">
        <v>45218</v>
      </c>
      <c r="C9770" s="1" t="n">
        <v>45363</v>
      </c>
      <c r="D9770" t="inlineStr">
        <is>
          <t>JÄMTLANDS LÄN</t>
        </is>
      </c>
      <c r="E9770" t="inlineStr">
        <is>
          <t>ÅRE</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50847-2023</t>
        </is>
      </c>
      <c r="B9771" s="1" t="n">
        <v>45217</v>
      </c>
      <c r="C9771" s="1" t="n">
        <v>45363</v>
      </c>
      <c r="D9771" t="inlineStr">
        <is>
          <t>JÄMTLANDS LÄN</t>
        </is>
      </c>
      <c r="E9771" t="inlineStr">
        <is>
          <t>RAGUNDA</t>
        </is>
      </c>
      <c r="F9771" t="inlineStr">
        <is>
          <t>SCA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52209-2023</t>
        </is>
      </c>
      <c r="B9772" s="1" t="n">
        <v>45217</v>
      </c>
      <c r="C9772" s="1" t="n">
        <v>45363</v>
      </c>
      <c r="D9772" t="inlineStr">
        <is>
          <t>JÄMTLANDS LÄN</t>
        </is>
      </c>
      <c r="E9772" t="inlineStr">
        <is>
          <t>ÖSTERSUND</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52269-2023</t>
        </is>
      </c>
      <c r="B9773" s="1" t="n">
        <v>45217</v>
      </c>
      <c r="C9773" s="1" t="n">
        <v>45363</v>
      </c>
      <c r="D9773" t="inlineStr">
        <is>
          <t>JÄMTLANDS LÄN</t>
        </is>
      </c>
      <c r="E9773" t="inlineStr">
        <is>
          <t>BRÄCKE</t>
        </is>
      </c>
      <c r="F9773" t="inlineStr">
        <is>
          <t>SCA</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52303-2023</t>
        </is>
      </c>
      <c r="B9774" s="1" t="n">
        <v>45217</v>
      </c>
      <c r="C9774" s="1" t="n">
        <v>45363</v>
      </c>
      <c r="D9774" t="inlineStr">
        <is>
          <t>JÄMTLANDS LÄN</t>
        </is>
      </c>
      <c r="E9774" t="inlineStr">
        <is>
          <t>STRÖMSUND</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50951-2023</t>
        </is>
      </c>
      <c r="B9775" s="1" t="n">
        <v>45218</v>
      </c>
      <c r="C9775" s="1" t="n">
        <v>45363</v>
      </c>
      <c r="D9775" t="inlineStr">
        <is>
          <t>JÄMTLANDS LÄN</t>
        </is>
      </c>
      <c r="E9775" t="inlineStr">
        <is>
          <t>ÅRE</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50965-2023</t>
        </is>
      </c>
      <c r="B9776" s="1" t="n">
        <v>45218</v>
      </c>
      <c r="C9776" s="1" t="n">
        <v>45363</v>
      </c>
      <c r="D9776" t="inlineStr">
        <is>
          <t>JÄMTLANDS LÄN</t>
        </is>
      </c>
      <c r="E9776" t="inlineStr">
        <is>
          <t>ÖSTERSUND</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51017-2023</t>
        </is>
      </c>
      <c r="B9777" s="1" t="n">
        <v>45218</v>
      </c>
      <c r="C9777" s="1" t="n">
        <v>45363</v>
      </c>
      <c r="D9777" t="inlineStr">
        <is>
          <t>JÄMTLANDS LÄN</t>
        </is>
      </c>
      <c r="E9777" t="inlineStr">
        <is>
          <t>HÄRJEDALEN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51029-2023</t>
        </is>
      </c>
      <c r="B9778" s="1" t="n">
        <v>45218</v>
      </c>
      <c r="C9778" s="1" t="n">
        <v>45363</v>
      </c>
      <c r="D9778" t="inlineStr">
        <is>
          <t>JÄMTLANDS LÄN</t>
        </is>
      </c>
      <c r="E9778" t="inlineStr">
        <is>
          <t>BRÄCKE</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51042-2023</t>
        </is>
      </c>
      <c r="B9779" s="1" t="n">
        <v>45218</v>
      </c>
      <c r="C9779" s="1" t="n">
        <v>45363</v>
      </c>
      <c r="D9779" t="inlineStr">
        <is>
          <t>JÄMTLANDS LÄN</t>
        </is>
      </c>
      <c r="E9779" t="inlineStr">
        <is>
          <t>BRÄCKE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51001-2023</t>
        </is>
      </c>
      <c r="B9780" s="1" t="n">
        <v>45218</v>
      </c>
      <c r="C9780" s="1" t="n">
        <v>45363</v>
      </c>
      <c r="D9780" t="inlineStr">
        <is>
          <t>JÄMTLANDS LÄN</t>
        </is>
      </c>
      <c r="E9780" t="inlineStr">
        <is>
          <t>STRÖMSUND</t>
        </is>
      </c>
      <c r="G9780" t="n">
        <v>10.3</v>
      </c>
      <c r="H9780" t="n">
        <v>0</v>
      </c>
      <c r="I9780" t="n">
        <v>0</v>
      </c>
      <c r="J9780" t="n">
        <v>0</v>
      </c>
      <c r="K9780" t="n">
        <v>0</v>
      </c>
      <c r="L9780" t="n">
        <v>0</v>
      </c>
      <c r="M9780" t="n">
        <v>0</v>
      </c>
      <c r="N9780" t="n">
        <v>0</v>
      </c>
      <c r="O9780" t="n">
        <v>0</v>
      </c>
      <c r="P9780" t="n">
        <v>0</v>
      </c>
      <c r="Q9780" t="n">
        <v>0</v>
      </c>
      <c r="R9780" s="2" t="inlineStr"/>
    </row>
    <row r="9781" ht="15" customHeight="1">
      <c r="A9781" t="inlineStr">
        <is>
          <t>A 51039-2023</t>
        </is>
      </c>
      <c r="B9781" s="1" t="n">
        <v>45218</v>
      </c>
      <c r="C9781" s="1" t="n">
        <v>45363</v>
      </c>
      <c r="D9781" t="inlineStr">
        <is>
          <t>JÄMTLANDS LÄN</t>
        </is>
      </c>
      <c r="E9781" t="inlineStr">
        <is>
          <t>BRÄCKE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52550-2023</t>
        </is>
      </c>
      <c r="B9782" s="1" t="n">
        <v>45218</v>
      </c>
      <c r="C9782" s="1" t="n">
        <v>45363</v>
      </c>
      <c r="D9782" t="inlineStr">
        <is>
          <t>JÄMTLANDS LÄN</t>
        </is>
      </c>
      <c r="E9782" t="inlineStr">
        <is>
          <t>RAGUNDA</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52544-2023</t>
        </is>
      </c>
      <c r="B9783" s="1" t="n">
        <v>45218</v>
      </c>
      <c r="C9783" s="1" t="n">
        <v>45363</v>
      </c>
      <c r="D9783" t="inlineStr">
        <is>
          <t>JÄMTLANDS LÄN</t>
        </is>
      </c>
      <c r="E9783" t="inlineStr">
        <is>
          <t>RAGUNDA</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51161-2023</t>
        </is>
      </c>
      <c r="B9784" s="1" t="n">
        <v>45219</v>
      </c>
      <c r="C9784" s="1" t="n">
        <v>45363</v>
      </c>
      <c r="D9784" t="inlineStr">
        <is>
          <t>JÄMTLANDS LÄN</t>
        </is>
      </c>
      <c r="E9784" t="inlineStr">
        <is>
          <t>BRÄCKE</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51201-2023</t>
        </is>
      </c>
      <c r="B9785" s="1" t="n">
        <v>45219</v>
      </c>
      <c r="C9785" s="1" t="n">
        <v>45363</v>
      </c>
      <c r="D9785" t="inlineStr">
        <is>
          <t>JÄMTLANDS LÄN</t>
        </is>
      </c>
      <c r="E9785" t="inlineStr">
        <is>
          <t>BERG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52631-2023</t>
        </is>
      </c>
      <c r="B9786" s="1" t="n">
        <v>45219</v>
      </c>
      <c r="C9786" s="1" t="n">
        <v>45363</v>
      </c>
      <c r="D9786" t="inlineStr">
        <is>
          <t>JÄMTLANDS LÄN</t>
        </is>
      </c>
      <c r="E9786" t="inlineStr">
        <is>
          <t>RAGUNDA</t>
        </is>
      </c>
      <c r="G9786" t="n">
        <v>9.9</v>
      </c>
      <c r="H9786" t="n">
        <v>0</v>
      </c>
      <c r="I9786" t="n">
        <v>0</v>
      </c>
      <c r="J9786" t="n">
        <v>0</v>
      </c>
      <c r="K9786" t="n">
        <v>0</v>
      </c>
      <c r="L9786" t="n">
        <v>0</v>
      </c>
      <c r="M9786" t="n">
        <v>0</v>
      </c>
      <c r="N9786" t="n">
        <v>0</v>
      </c>
      <c r="O9786" t="n">
        <v>0</v>
      </c>
      <c r="P9786" t="n">
        <v>0</v>
      </c>
      <c r="Q9786" t="n">
        <v>0</v>
      </c>
      <c r="R9786" s="2" t="inlineStr"/>
    </row>
    <row r="9787" ht="15" customHeight="1">
      <c r="A9787" t="inlineStr">
        <is>
          <t>A 51317-2023</t>
        </is>
      </c>
      <c r="B9787" s="1" t="n">
        <v>45219</v>
      </c>
      <c r="C9787" s="1" t="n">
        <v>45363</v>
      </c>
      <c r="D9787" t="inlineStr">
        <is>
          <t>JÄMTLANDS LÄN</t>
        </is>
      </c>
      <c r="E9787" t="inlineStr">
        <is>
          <t>ÅRE</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52778-2023</t>
        </is>
      </c>
      <c r="B9788" s="1" t="n">
        <v>45219</v>
      </c>
      <c r="C9788" s="1" t="n">
        <v>45363</v>
      </c>
      <c r="D9788" t="inlineStr">
        <is>
          <t>JÄMTLANDS LÄN</t>
        </is>
      </c>
      <c r="E9788" t="inlineStr">
        <is>
          <t>BERG</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52622-2023</t>
        </is>
      </c>
      <c r="B9789" s="1" t="n">
        <v>45219</v>
      </c>
      <c r="C9789" s="1" t="n">
        <v>45363</v>
      </c>
      <c r="D9789" t="inlineStr">
        <is>
          <t>JÄMTLANDS LÄN</t>
        </is>
      </c>
      <c r="E9789" t="inlineStr">
        <is>
          <t>RAGUNDA</t>
        </is>
      </c>
      <c r="G9789" t="n">
        <v>9.6</v>
      </c>
      <c r="H9789" t="n">
        <v>0</v>
      </c>
      <c r="I9789" t="n">
        <v>0</v>
      </c>
      <c r="J9789" t="n">
        <v>0</v>
      </c>
      <c r="K9789" t="n">
        <v>0</v>
      </c>
      <c r="L9789" t="n">
        <v>0</v>
      </c>
      <c r="M9789" t="n">
        <v>0</v>
      </c>
      <c r="N9789" t="n">
        <v>0</v>
      </c>
      <c r="O9789" t="n">
        <v>0</v>
      </c>
      <c r="P9789" t="n">
        <v>0</v>
      </c>
      <c r="Q9789" t="n">
        <v>0</v>
      </c>
      <c r="R9789" s="2" t="inlineStr"/>
    </row>
    <row r="9790" ht="15" customHeight="1">
      <c r="A9790" t="inlineStr">
        <is>
          <t>A 51421-2023</t>
        </is>
      </c>
      <c r="B9790" s="1" t="n">
        <v>45219</v>
      </c>
      <c r="C9790" s="1" t="n">
        <v>45363</v>
      </c>
      <c r="D9790" t="inlineStr">
        <is>
          <t>JÄMTLANDS LÄN</t>
        </is>
      </c>
      <c r="E9790" t="inlineStr">
        <is>
          <t>BRÄCKE</t>
        </is>
      </c>
      <c r="F9790" t="inlineStr">
        <is>
          <t>SCA</t>
        </is>
      </c>
      <c r="G9790" t="n">
        <v>6.9</v>
      </c>
      <c r="H9790" t="n">
        <v>0</v>
      </c>
      <c r="I9790" t="n">
        <v>0</v>
      </c>
      <c r="J9790" t="n">
        <v>0</v>
      </c>
      <c r="K9790" t="n">
        <v>0</v>
      </c>
      <c r="L9790" t="n">
        <v>0</v>
      </c>
      <c r="M9790" t="n">
        <v>0</v>
      </c>
      <c r="N9790" t="n">
        <v>0</v>
      </c>
      <c r="O9790" t="n">
        <v>0</v>
      </c>
      <c r="P9790" t="n">
        <v>0</v>
      </c>
      <c r="Q9790" t="n">
        <v>0</v>
      </c>
      <c r="R9790" s="2" t="inlineStr"/>
    </row>
    <row r="9791" ht="15" customHeight="1">
      <c r="A9791" t="inlineStr">
        <is>
          <t>A 51429-2023</t>
        </is>
      </c>
      <c r="B9791" s="1" t="n">
        <v>45220</v>
      </c>
      <c r="C9791" s="1" t="n">
        <v>45363</v>
      </c>
      <c r="D9791" t="inlineStr">
        <is>
          <t>JÄMTLANDS LÄN</t>
        </is>
      </c>
      <c r="E9791" t="inlineStr">
        <is>
          <t>STRÖMSUND</t>
        </is>
      </c>
      <c r="G9791" t="n">
        <v>8.6</v>
      </c>
      <c r="H9791" t="n">
        <v>0</v>
      </c>
      <c r="I9791" t="n">
        <v>0</v>
      </c>
      <c r="J9791" t="n">
        <v>0</v>
      </c>
      <c r="K9791" t="n">
        <v>0</v>
      </c>
      <c r="L9791" t="n">
        <v>0</v>
      </c>
      <c r="M9791" t="n">
        <v>0</v>
      </c>
      <c r="N9791" t="n">
        <v>0</v>
      </c>
      <c r="O9791" t="n">
        <v>0</v>
      </c>
      <c r="P9791" t="n">
        <v>0</v>
      </c>
      <c r="Q9791" t="n">
        <v>0</v>
      </c>
      <c r="R9791" s="2" t="inlineStr"/>
    </row>
    <row r="9792" ht="15" customHeight="1">
      <c r="A9792" t="inlineStr">
        <is>
          <t>A 51433-2023</t>
        </is>
      </c>
      <c r="B9792" s="1" t="n">
        <v>45220</v>
      </c>
      <c r="C9792" s="1" t="n">
        <v>45363</v>
      </c>
      <c r="D9792" t="inlineStr">
        <is>
          <t>JÄMTLANDS LÄN</t>
        </is>
      </c>
      <c r="E9792" t="inlineStr">
        <is>
          <t>BRÄCKE</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51441-2023</t>
        </is>
      </c>
      <c r="B9793" s="1" t="n">
        <v>45220</v>
      </c>
      <c r="C9793" s="1" t="n">
        <v>45363</v>
      </c>
      <c r="D9793" t="inlineStr">
        <is>
          <t>JÄMTLANDS LÄN</t>
        </is>
      </c>
      <c r="E9793" t="inlineStr">
        <is>
          <t>BRÄCKE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51271-2023</t>
        </is>
      </c>
      <c r="B9794" s="1" t="n">
        <v>45219</v>
      </c>
      <c r="C9794" s="1" t="n">
        <v>45363</v>
      </c>
      <c r="D9794" t="inlineStr">
        <is>
          <t>JÄMTLANDS LÄN</t>
        </is>
      </c>
      <c r="E9794" t="inlineStr">
        <is>
          <t>ÅRE</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51311-2023</t>
        </is>
      </c>
      <c r="B9795" s="1" t="n">
        <v>45219</v>
      </c>
      <c r="C9795" s="1" t="n">
        <v>45363</v>
      </c>
      <c r="D9795" t="inlineStr">
        <is>
          <t>JÄMTLANDS LÄN</t>
        </is>
      </c>
      <c r="E9795" t="inlineStr">
        <is>
          <t>ÅRE</t>
        </is>
      </c>
      <c r="G9795" t="n">
        <v>14.2</v>
      </c>
      <c r="H9795" t="n">
        <v>0</v>
      </c>
      <c r="I9795" t="n">
        <v>0</v>
      </c>
      <c r="J9795" t="n">
        <v>0</v>
      </c>
      <c r="K9795" t="n">
        <v>0</v>
      </c>
      <c r="L9795" t="n">
        <v>0</v>
      </c>
      <c r="M9795" t="n">
        <v>0</v>
      </c>
      <c r="N9795" t="n">
        <v>0</v>
      </c>
      <c r="O9795" t="n">
        <v>0</v>
      </c>
      <c r="P9795" t="n">
        <v>0</v>
      </c>
      <c r="Q9795" t="n">
        <v>0</v>
      </c>
      <c r="R9795" s="2" t="inlineStr"/>
    </row>
    <row r="9796" ht="15" customHeight="1">
      <c r="A9796" t="inlineStr">
        <is>
          <t>A 51424-2023</t>
        </is>
      </c>
      <c r="B9796" s="1" t="n">
        <v>45220</v>
      </c>
      <c r="C9796" s="1" t="n">
        <v>45363</v>
      </c>
      <c r="D9796" t="inlineStr">
        <is>
          <t>JÄMTLANDS LÄN</t>
        </is>
      </c>
      <c r="E9796" t="inlineStr">
        <is>
          <t>BRÄCKE</t>
        </is>
      </c>
      <c r="F9796" t="inlineStr">
        <is>
          <t>SCA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51432-2023</t>
        </is>
      </c>
      <c r="B9797" s="1" t="n">
        <v>45220</v>
      </c>
      <c r="C9797" s="1" t="n">
        <v>45363</v>
      </c>
      <c r="D9797" t="inlineStr">
        <is>
          <t>JÄMTLANDS LÄN</t>
        </is>
      </c>
      <c r="E9797" t="inlineStr">
        <is>
          <t>BRÄCKE</t>
        </is>
      </c>
      <c r="F9797" t="inlineStr">
        <is>
          <t>SCA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51440-2023</t>
        </is>
      </c>
      <c r="B9798" s="1" t="n">
        <v>45220</v>
      </c>
      <c r="C9798" s="1" t="n">
        <v>45363</v>
      </c>
      <c r="D9798" t="inlineStr">
        <is>
          <t>JÄMTLANDS LÄN</t>
        </is>
      </c>
      <c r="E9798" t="inlineStr">
        <is>
          <t>BRÄCKE</t>
        </is>
      </c>
      <c r="F9798" t="inlineStr">
        <is>
          <t>SCA</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51435-2023</t>
        </is>
      </c>
      <c r="B9799" s="1" t="n">
        <v>45220</v>
      </c>
      <c r="C9799" s="1" t="n">
        <v>45363</v>
      </c>
      <c r="D9799" t="inlineStr">
        <is>
          <t>JÄMTLANDS LÄN</t>
        </is>
      </c>
      <c r="E9799" t="inlineStr">
        <is>
          <t>RAGUNDA</t>
        </is>
      </c>
      <c r="F9799" t="inlineStr">
        <is>
          <t>SCA</t>
        </is>
      </c>
      <c r="G9799" t="n">
        <v>39.6</v>
      </c>
      <c r="H9799" t="n">
        <v>0</v>
      </c>
      <c r="I9799" t="n">
        <v>0</v>
      </c>
      <c r="J9799" t="n">
        <v>0</v>
      </c>
      <c r="K9799" t="n">
        <v>0</v>
      </c>
      <c r="L9799" t="n">
        <v>0</v>
      </c>
      <c r="M9799" t="n">
        <v>0</v>
      </c>
      <c r="N9799" t="n">
        <v>0</v>
      </c>
      <c r="O9799" t="n">
        <v>0</v>
      </c>
      <c r="P9799" t="n">
        <v>0</v>
      </c>
      <c r="Q9799" t="n">
        <v>0</v>
      </c>
      <c r="R9799" s="2" t="inlineStr"/>
    </row>
    <row r="9800" ht="15" customHeight="1">
      <c r="A9800" t="inlineStr">
        <is>
          <t>A 51431-2023</t>
        </is>
      </c>
      <c r="B9800" s="1" t="n">
        <v>45220</v>
      </c>
      <c r="C9800" s="1" t="n">
        <v>45363</v>
      </c>
      <c r="D9800" t="inlineStr">
        <is>
          <t>JÄMTLANDS LÄN</t>
        </is>
      </c>
      <c r="E9800" t="inlineStr">
        <is>
          <t>BRÄCKE</t>
        </is>
      </c>
      <c r="F9800" t="inlineStr">
        <is>
          <t>SCA</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51423-2023</t>
        </is>
      </c>
      <c r="B9801" s="1" t="n">
        <v>45220</v>
      </c>
      <c r="C9801" s="1" t="n">
        <v>45363</v>
      </c>
      <c r="D9801" t="inlineStr">
        <is>
          <t>JÄMTLANDS LÄN</t>
        </is>
      </c>
      <c r="E9801" t="inlineStr">
        <is>
          <t>BRÄCKE</t>
        </is>
      </c>
      <c r="F9801" t="inlineStr">
        <is>
          <t>SCA</t>
        </is>
      </c>
      <c r="G9801" t="n">
        <v>15.1</v>
      </c>
      <c r="H9801" t="n">
        <v>0</v>
      </c>
      <c r="I9801" t="n">
        <v>0</v>
      </c>
      <c r="J9801" t="n">
        <v>0</v>
      </c>
      <c r="K9801" t="n">
        <v>0</v>
      </c>
      <c r="L9801" t="n">
        <v>0</v>
      </c>
      <c r="M9801" t="n">
        <v>0</v>
      </c>
      <c r="N9801" t="n">
        <v>0</v>
      </c>
      <c r="O9801" t="n">
        <v>0</v>
      </c>
      <c r="P9801" t="n">
        <v>0</v>
      </c>
      <c r="Q9801" t="n">
        <v>0</v>
      </c>
      <c r="R9801" s="2" t="inlineStr"/>
    </row>
    <row r="9802" ht="15" customHeight="1">
      <c r="A9802" t="inlineStr">
        <is>
          <t>A 51282-2023</t>
        </is>
      </c>
      <c r="B9802" s="1" t="n">
        <v>45219</v>
      </c>
      <c r="C9802" s="1" t="n">
        <v>45363</v>
      </c>
      <c r="D9802" t="inlineStr">
        <is>
          <t>JÄMTLANDS LÄN</t>
        </is>
      </c>
      <c r="E9802" t="inlineStr">
        <is>
          <t>ÅRE</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51167-2023</t>
        </is>
      </c>
      <c r="B9803" s="1" t="n">
        <v>45219</v>
      </c>
      <c r="C9803" s="1" t="n">
        <v>45363</v>
      </c>
      <c r="D9803" t="inlineStr">
        <is>
          <t>JÄMTLANDS LÄN</t>
        </is>
      </c>
      <c r="E9803" t="inlineStr">
        <is>
          <t>BRÄCKE</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52774-2023</t>
        </is>
      </c>
      <c r="B9804" s="1" t="n">
        <v>45219</v>
      </c>
      <c r="C9804" s="1" t="n">
        <v>45363</v>
      </c>
      <c r="D9804" t="inlineStr">
        <is>
          <t>JÄMTLANDS LÄN</t>
        </is>
      </c>
      <c r="E9804" t="inlineStr">
        <is>
          <t>BERG</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51422-2023</t>
        </is>
      </c>
      <c r="B9805" s="1" t="n">
        <v>45219</v>
      </c>
      <c r="C9805" s="1" t="n">
        <v>45363</v>
      </c>
      <c r="D9805" t="inlineStr">
        <is>
          <t>JÄMTLANDS LÄN</t>
        </is>
      </c>
      <c r="E9805" t="inlineStr">
        <is>
          <t>BRÄCKE</t>
        </is>
      </c>
      <c r="F9805" t="inlineStr">
        <is>
          <t>SCA</t>
        </is>
      </c>
      <c r="G9805" t="n">
        <v>8.800000000000001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51434-2023</t>
        </is>
      </c>
      <c r="B9806" s="1" t="n">
        <v>45220</v>
      </c>
      <c r="C9806" s="1" t="n">
        <v>45363</v>
      </c>
      <c r="D9806" t="inlineStr">
        <is>
          <t>JÄMTLANDS LÄN</t>
        </is>
      </c>
      <c r="E9806" t="inlineStr">
        <is>
          <t>BRÄCKE</t>
        </is>
      </c>
      <c r="F9806" t="inlineStr">
        <is>
          <t>SCA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51209-2023</t>
        </is>
      </c>
      <c r="B9807" s="1" t="n">
        <v>45219</v>
      </c>
      <c r="C9807" s="1" t="n">
        <v>45363</v>
      </c>
      <c r="D9807" t="inlineStr">
        <is>
          <t>JÄMTLANDS LÄN</t>
        </is>
      </c>
      <c r="E9807" t="inlineStr">
        <is>
          <t>RAGUNDA</t>
        </is>
      </c>
      <c r="G9807" t="n">
        <v>9.4</v>
      </c>
      <c r="H9807" t="n">
        <v>0</v>
      </c>
      <c r="I9807" t="n">
        <v>0</v>
      </c>
      <c r="J9807" t="n">
        <v>0</v>
      </c>
      <c r="K9807" t="n">
        <v>0</v>
      </c>
      <c r="L9807" t="n">
        <v>0</v>
      </c>
      <c r="M9807" t="n">
        <v>0</v>
      </c>
      <c r="N9807" t="n">
        <v>0</v>
      </c>
      <c r="O9807" t="n">
        <v>0</v>
      </c>
      <c r="P9807" t="n">
        <v>0</v>
      </c>
      <c r="Q9807" t="n">
        <v>0</v>
      </c>
      <c r="R9807" s="2" t="inlineStr"/>
    </row>
    <row r="9808" ht="15" customHeight="1">
      <c r="A9808" t="inlineStr">
        <is>
          <t>A 51277-2023</t>
        </is>
      </c>
      <c r="B9808" s="1" t="n">
        <v>45219</v>
      </c>
      <c r="C9808" s="1" t="n">
        <v>45363</v>
      </c>
      <c r="D9808" t="inlineStr">
        <is>
          <t>JÄMTLANDS LÄN</t>
        </is>
      </c>
      <c r="E9808" t="inlineStr">
        <is>
          <t>ÅRE</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51351-2023</t>
        </is>
      </c>
      <c r="B9809" s="1" t="n">
        <v>45219</v>
      </c>
      <c r="C9809" s="1" t="n">
        <v>45363</v>
      </c>
      <c r="D9809" t="inlineStr">
        <is>
          <t>JÄMTLANDS LÄN</t>
        </is>
      </c>
      <c r="E9809" t="inlineStr">
        <is>
          <t>HÄRJEDALEN</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51480-2023</t>
        </is>
      </c>
      <c r="B9810" s="1" t="n">
        <v>45222</v>
      </c>
      <c r="C9810" s="1" t="n">
        <v>45363</v>
      </c>
      <c r="D9810" t="inlineStr">
        <is>
          <t>JÄMTLANDS LÄN</t>
        </is>
      </c>
      <c r="E9810" t="inlineStr">
        <is>
          <t>ÖSTERSUND</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51462-2023</t>
        </is>
      </c>
      <c r="B9811" s="1" t="n">
        <v>45221</v>
      </c>
      <c r="C9811" s="1" t="n">
        <v>45363</v>
      </c>
      <c r="D9811" t="inlineStr">
        <is>
          <t>JÄMTLANDS LÄN</t>
        </is>
      </c>
      <c r="E9811" t="inlineStr">
        <is>
          <t>BERG</t>
        </is>
      </c>
      <c r="F9811" t="inlineStr">
        <is>
          <t>Naturvårdsverket</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51482-2023</t>
        </is>
      </c>
      <c r="B9812" s="1" t="n">
        <v>45222</v>
      </c>
      <c r="C9812" s="1" t="n">
        <v>45363</v>
      </c>
      <c r="D9812" t="inlineStr">
        <is>
          <t>JÄMTLANDS LÄN</t>
        </is>
      </c>
      <c r="E9812" t="inlineStr">
        <is>
          <t>ÖSTERSUND</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51461-2023</t>
        </is>
      </c>
      <c r="B9813" s="1" t="n">
        <v>45221</v>
      </c>
      <c r="C9813" s="1" t="n">
        <v>45363</v>
      </c>
      <c r="D9813" t="inlineStr">
        <is>
          <t>JÄMTLANDS LÄN</t>
        </is>
      </c>
      <c r="E9813" t="inlineStr">
        <is>
          <t>BERG</t>
        </is>
      </c>
      <c r="F9813" t="inlineStr">
        <is>
          <t>Naturvårdsverket</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51481-2023</t>
        </is>
      </c>
      <c r="B9814" s="1" t="n">
        <v>45222</v>
      </c>
      <c r="C9814" s="1" t="n">
        <v>45363</v>
      </c>
      <c r="D9814" t="inlineStr">
        <is>
          <t>JÄMTLANDS LÄN</t>
        </is>
      </c>
      <c r="E9814" t="inlineStr">
        <is>
          <t>ÖSTERSUND</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51479-2023</t>
        </is>
      </c>
      <c r="B9815" s="1" t="n">
        <v>45222</v>
      </c>
      <c r="C9815" s="1" t="n">
        <v>45363</v>
      </c>
      <c r="D9815" t="inlineStr">
        <is>
          <t>JÄMTLANDS LÄN</t>
        </is>
      </c>
      <c r="E9815" t="inlineStr">
        <is>
          <t>ÖSTERSUND</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51795-2023</t>
        </is>
      </c>
      <c r="B9816" s="1" t="n">
        <v>45222</v>
      </c>
      <c r="C9816" s="1" t="n">
        <v>45363</v>
      </c>
      <c r="D9816" t="inlineStr">
        <is>
          <t>JÄMTLANDS LÄN</t>
        </is>
      </c>
      <c r="E9816" t="inlineStr">
        <is>
          <t>STRÖMSUND</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51799-2023</t>
        </is>
      </c>
      <c r="B9817" s="1" t="n">
        <v>45223</v>
      </c>
      <c r="C9817" s="1" t="n">
        <v>45363</v>
      </c>
      <c r="D9817" t="inlineStr">
        <is>
          <t>JÄMTLANDS LÄN</t>
        </is>
      </c>
      <c r="E9817" t="inlineStr">
        <is>
          <t>STRÖMSUND</t>
        </is>
      </c>
      <c r="F9817" t="inlineStr">
        <is>
          <t>SCA</t>
        </is>
      </c>
      <c r="G9817" t="n">
        <v>42.6</v>
      </c>
      <c r="H9817" t="n">
        <v>0</v>
      </c>
      <c r="I9817" t="n">
        <v>0</v>
      </c>
      <c r="J9817" t="n">
        <v>0</v>
      </c>
      <c r="K9817" t="n">
        <v>0</v>
      </c>
      <c r="L9817" t="n">
        <v>0</v>
      </c>
      <c r="M9817" t="n">
        <v>0</v>
      </c>
      <c r="N9817" t="n">
        <v>0</v>
      </c>
      <c r="O9817" t="n">
        <v>0</v>
      </c>
      <c r="P9817" t="n">
        <v>0</v>
      </c>
      <c r="Q9817" t="n">
        <v>0</v>
      </c>
      <c r="R9817" s="2" t="inlineStr"/>
    </row>
    <row r="9818" ht="15" customHeight="1">
      <c r="A9818" t="inlineStr">
        <is>
          <t>A 51807-2023</t>
        </is>
      </c>
      <c r="B9818" s="1" t="n">
        <v>45223</v>
      </c>
      <c r="C9818" s="1" t="n">
        <v>45363</v>
      </c>
      <c r="D9818" t="inlineStr">
        <is>
          <t>JÄMTLANDS LÄN</t>
        </is>
      </c>
      <c r="E9818" t="inlineStr">
        <is>
          <t>RAGUNDA</t>
        </is>
      </c>
      <c r="F9818" t="inlineStr">
        <is>
          <t>SCA</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51796-2023</t>
        </is>
      </c>
      <c r="B9819" s="1" t="n">
        <v>45222</v>
      </c>
      <c r="C9819" s="1" t="n">
        <v>45363</v>
      </c>
      <c r="D9819" t="inlineStr">
        <is>
          <t>JÄMTLANDS LÄN</t>
        </is>
      </c>
      <c r="E9819" t="inlineStr">
        <is>
          <t>STRÖMSUND</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51808-2023</t>
        </is>
      </c>
      <c r="B9820" s="1" t="n">
        <v>45222</v>
      </c>
      <c r="C9820" s="1" t="n">
        <v>45363</v>
      </c>
      <c r="D9820" t="inlineStr">
        <is>
          <t>JÄMTLANDS LÄN</t>
        </is>
      </c>
      <c r="E9820" t="inlineStr">
        <is>
          <t>BRÄCKE</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51816-2023</t>
        </is>
      </c>
      <c r="B9821" s="1" t="n">
        <v>45222</v>
      </c>
      <c r="C9821" s="1" t="n">
        <v>45363</v>
      </c>
      <c r="D9821" t="inlineStr">
        <is>
          <t>JÄMTLANDS LÄN</t>
        </is>
      </c>
      <c r="E9821" t="inlineStr">
        <is>
          <t>KROKOM</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51809-2023</t>
        </is>
      </c>
      <c r="B9822" s="1" t="n">
        <v>45223</v>
      </c>
      <c r="C9822" s="1" t="n">
        <v>45363</v>
      </c>
      <c r="D9822" t="inlineStr">
        <is>
          <t>JÄMTLANDS LÄN</t>
        </is>
      </c>
      <c r="E9822" t="inlineStr">
        <is>
          <t>BRÄCKE</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51813-2023</t>
        </is>
      </c>
      <c r="B9823" s="1" t="n">
        <v>45222</v>
      </c>
      <c r="C9823" s="1" t="n">
        <v>45363</v>
      </c>
      <c r="D9823" t="inlineStr">
        <is>
          <t>JÄMTLANDS LÄN</t>
        </is>
      </c>
      <c r="E9823" t="inlineStr">
        <is>
          <t>BERG</t>
        </is>
      </c>
      <c r="F9823" t="inlineStr">
        <is>
          <t>SCA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51817-2023</t>
        </is>
      </c>
      <c r="B9824" s="1" t="n">
        <v>45223</v>
      </c>
      <c r="C9824" s="1" t="n">
        <v>45363</v>
      </c>
      <c r="D9824" t="inlineStr">
        <is>
          <t>JÄMTLANDS LÄN</t>
        </is>
      </c>
      <c r="E9824" t="inlineStr">
        <is>
          <t>KROKOM</t>
        </is>
      </c>
      <c r="G9824" t="n">
        <v>14.6</v>
      </c>
      <c r="H9824" t="n">
        <v>0</v>
      </c>
      <c r="I9824" t="n">
        <v>0</v>
      </c>
      <c r="J9824" t="n">
        <v>0</v>
      </c>
      <c r="K9824" t="n">
        <v>0</v>
      </c>
      <c r="L9824" t="n">
        <v>0</v>
      </c>
      <c r="M9824" t="n">
        <v>0</v>
      </c>
      <c r="N9824" t="n">
        <v>0</v>
      </c>
      <c r="O9824" t="n">
        <v>0</v>
      </c>
      <c r="P9824" t="n">
        <v>0</v>
      </c>
      <c r="Q9824" t="n">
        <v>0</v>
      </c>
      <c r="R9824" s="2" t="inlineStr"/>
    </row>
    <row r="9825" ht="15" customHeight="1">
      <c r="A9825" t="inlineStr">
        <is>
          <t>A 51821-2023</t>
        </is>
      </c>
      <c r="B9825" s="1" t="n">
        <v>45222</v>
      </c>
      <c r="C9825" s="1" t="n">
        <v>45363</v>
      </c>
      <c r="D9825" t="inlineStr">
        <is>
          <t>JÄMTLANDS LÄN</t>
        </is>
      </c>
      <c r="E9825" t="inlineStr">
        <is>
          <t>BRÄCKE</t>
        </is>
      </c>
      <c r="F9825" t="inlineStr">
        <is>
          <t>SCA</t>
        </is>
      </c>
      <c r="G9825" t="n">
        <v>6.6</v>
      </c>
      <c r="H9825" t="n">
        <v>0</v>
      </c>
      <c r="I9825" t="n">
        <v>0</v>
      </c>
      <c r="J9825" t="n">
        <v>0</v>
      </c>
      <c r="K9825" t="n">
        <v>0</v>
      </c>
      <c r="L9825" t="n">
        <v>0</v>
      </c>
      <c r="M9825" t="n">
        <v>0</v>
      </c>
      <c r="N9825" t="n">
        <v>0</v>
      </c>
      <c r="O9825" t="n">
        <v>0</v>
      </c>
      <c r="P9825" t="n">
        <v>0</v>
      </c>
      <c r="Q9825" t="n">
        <v>0</v>
      </c>
      <c r="R9825" s="2" t="inlineStr"/>
    </row>
    <row r="9826" ht="15" customHeight="1">
      <c r="A9826" t="inlineStr">
        <is>
          <t>A 52878-2023</t>
        </is>
      </c>
      <c r="B9826" s="1" t="n">
        <v>45222</v>
      </c>
      <c r="C9826" s="1" t="n">
        <v>45363</v>
      </c>
      <c r="D9826" t="inlineStr">
        <is>
          <t>JÄMTLANDS LÄN</t>
        </is>
      </c>
      <c r="E9826" t="inlineStr">
        <is>
          <t>RAGUNDA</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53025-2023</t>
        </is>
      </c>
      <c r="B9827" s="1" t="n">
        <v>45222</v>
      </c>
      <c r="C9827" s="1" t="n">
        <v>45363</v>
      </c>
      <c r="D9827" t="inlineStr">
        <is>
          <t>JÄMTLANDS LÄN</t>
        </is>
      </c>
      <c r="E9827" t="inlineStr">
        <is>
          <t>STRÖMSUND</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51832-2023</t>
        </is>
      </c>
      <c r="B9828" s="1" t="n">
        <v>45223</v>
      </c>
      <c r="C9828" s="1" t="n">
        <v>45363</v>
      </c>
      <c r="D9828" t="inlineStr">
        <is>
          <t>JÄMTLANDS LÄN</t>
        </is>
      </c>
      <c r="E9828" t="inlineStr">
        <is>
          <t>BRÄCKE</t>
        </is>
      </c>
      <c r="F9828" t="inlineStr">
        <is>
          <t>SCA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53024-2023</t>
        </is>
      </c>
      <c r="B9829" s="1" t="n">
        <v>45222</v>
      </c>
      <c r="C9829" s="1" t="n">
        <v>45363</v>
      </c>
      <c r="D9829" t="inlineStr">
        <is>
          <t>JÄMTLANDS LÄN</t>
        </is>
      </c>
      <c r="E9829" t="inlineStr">
        <is>
          <t>STRÖMSUND</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53152-2023</t>
        </is>
      </c>
      <c r="B9830" s="1" t="n">
        <v>45222</v>
      </c>
      <c r="C9830" s="1" t="n">
        <v>45363</v>
      </c>
      <c r="D9830" t="inlineStr">
        <is>
          <t>JÄMTLANDS LÄN</t>
        </is>
      </c>
      <c r="E9830" t="inlineStr">
        <is>
          <t>ÖSTERSUND</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51815-2023</t>
        </is>
      </c>
      <c r="B9831" s="1" t="n">
        <v>45222</v>
      </c>
      <c r="C9831" s="1" t="n">
        <v>45363</v>
      </c>
      <c r="D9831" t="inlineStr">
        <is>
          <t>JÄMTLANDS LÄN</t>
        </is>
      </c>
      <c r="E9831" t="inlineStr">
        <is>
          <t>BERG</t>
        </is>
      </c>
      <c r="F9831" t="inlineStr">
        <is>
          <t>SCA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51827-2023</t>
        </is>
      </c>
      <c r="B9832" s="1" t="n">
        <v>45223</v>
      </c>
      <c r="C9832" s="1" t="n">
        <v>45363</v>
      </c>
      <c r="D9832" t="inlineStr">
        <is>
          <t>JÄMTLANDS LÄN</t>
        </is>
      </c>
      <c r="E9832" t="inlineStr">
        <is>
          <t>BRÄCKE</t>
        </is>
      </c>
      <c r="F9832" t="inlineStr">
        <is>
          <t>SCA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51831-2023</t>
        </is>
      </c>
      <c r="B9833" s="1" t="n">
        <v>45222</v>
      </c>
      <c r="C9833" s="1" t="n">
        <v>45363</v>
      </c>
      <c r="D9833" t="inlineStr">
        <is>
          <t>JÄMTLANDS LÄN</t>
        </is>
      </c>
      <c r="E9833" t="inlineStr">
        <is>
          <t>ÅRE</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53326-2023</t>
        </is>
      </c>
      <c r="B9834" s="1" t="n">
        <v>45222</v>
      </c>
      <c r="C9834" s="1" t="n">
        <v>45363</v>
      </c>
      <c r="D9834" t="inlineStr">
        <is>
          <t>JÄMTLANDS LÄN</t>
        </is>
      </c>
      <c r="E9834" t="inlineStr">
        <is>
          <t>BERG</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51786-2023</t>
        </is>
      </c>
      <c r="B9835" s="1" t="n">
        <v>45222</v>
      </c>
      <c r="C9835" s="1" t="n">
        <v>45363</v>
      </c>
      <c r="D9835" t="inlineStr">
        <is>
          <t>JÄMTLANDS LÄN</t>
        </is>
      </c>
      <c r="E9835" t="inlineStr">
        <is>
          <t>STRÖMSUND</t>
        </is>
      </c>
      <c r="F9835" t="inlineStr">
        <is>
          <t>Holmen skog AB</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51814-2023</t>
        </is>
      </c>
      <c r="B9836" s="1" t="n">
        <v>45222</v>
      </c>
      <c r="C9836" s="1" t="n">
        <v>45363</v>
      </c>
      <c r="D9836" t="inlineStr">
        <is>
          <t>JÄMTLANDS LÄN</t>
        </is>
      </c>
      <c r="E9836" t="inlineStr">
        <is>
          <t>BERG</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51818-2023</t>
        </is>
      </c>
      <c r="B9837" s="1" t="n">
        <v>45223</v>
      </c>
      <c r="C9837" s="1" t="n">
        <v>45363</v>
      </c>
      <c r="D9837" t="inlineStr">
        <is>
          <t>JÄMTLANDS LÄN</t>
        </is>
      </c>
      <c r="E9837" t="inlineStr">
        <is>
          <t>ÖSTERSUND</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53019-2023</t>
        </is>
      </c>
      <c r="B9838" s="1" t="n">
        <v>45222</v>
      </c>
      <c r="C9838" s="1" t="n">
        <v>45363</v>
      </c>
      <c r="D9838" t="inlineStr">
        <is>
          <t>JÄMTLANDS LÄN</t>
        </is>
      </c>
      <c r="E9838" t="inlineStr">
        <is>
          <t>RAGUNDA</t>
        </is>
      </c>
      <c r="F9838" t="inlineStr">
        <is>
          <t>SCA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53027-2023</t>
        </is>
      </c>
      <c r="B9839" s="1" t="n">
        <v>45222</v>
      </c>
      <c r="C9839" s="1" t="n">
        <v>45363</v>
      </c>
      <c r="D9839" t="inlineStr">
        <is>
          <t>JÄMTLANDS LÄN</t>
        </is>
      </c>
      <c r="E9839" t="inlineStr">
        <is>
          <t>BRÄCKE</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51882-2023</t>
        </is>
      </c>
      <c r="B9840" s="1" t="n">
        <v>45223</v>
      </c>
      <c r="C9840" s="1" t="n">
        <v>45363</v>
      </c>
      <c r="D9840" t="inlineStr">
        <is>
          <t>JÄMTLANDS LÄN</t>
        </is>
      </c>
      <c r="E9840" t="inlineStr">
        <is>
          <t>KROKOM</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51898-2023</t>
        </is>
      </c>
      <c r="B9841" s="1" t="n">
        <v>45223</v>
      </c>
      <c r="C9841" s="1" t="n">
        <v>45363</v>
      </c>
      <c r="D9841" t="inlineStr">
        <is>
          <t>JÄMTLANDS LÄN</t>
        </is>
      </c>
      <c r="E9841" t="inlineStr">
        <is>
          <t>HÄRJEDALEN</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51913-2023</t>
        </is>
      </c>
      <c r="B9842" s="1" t="n">
        <v>45223</v>
      </c>
      <c r="C9842" s="1" t="n">
        <v>45363</v>
      </c>
      <c r="D9842" t="inlineStr">
        <is>
          <t>JÄMTLANDS LÄN</t>
        </is>
      </c>
      <c r="E9842" t="inlineStr">
        <is>
          <t>ÖSTERSUND</t>
        </is>
      </c>
      <c r="F9842" t="inlineStr">
        <is>
          <t>Övriga Aktiebolag</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51942-2023</t>
        </is>
      </c>
      <c r="B9843" s="1" t="n">
        <v>45223</v>
      </c>
      <c r="C9843" s="1" t="n">
        <v>45363</v>
      </c>
      <c r="D9843" t="inlineStr">
        <is>
          <t>JÄMTLANDS LÄN</t>
        </is>
      </c>
      <c r="E9843" t="inlineStr">
        <is>
          <t>ÖSTERSUND</t>
        </is>
      </c>
      <c r="F9843" t="inlineStr">
        <is>
          <t>Övriga Aktiebolag</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52124-2023</t>
        </is>
      </c>
      <c r="B9844" s="1" t="n">
        <v>45224</v>
      </c>
      <c r="C9844" s="1" t="n">
        <v>45363</v>
      </c>
      <c r="D9844" t="inlineStr">
        <is>
          <t>JÄMTLANDS LÄN</t>
        </is>
      </c>
      <c r="E9844" t="inlineStr">
        <is>
          <t>BRÄCKE</t>
        </is>
      </c>
      <c r="F9844" t="inlineStr">
        <is>
          <t>SCA</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52128-2023</t>
        </is>
      </c>
      <c r="B9845" s="1" t="n">
        <v>45223</v>
      </c>
      <c r="C9845" s="1" t="n">
        <v>45363</v>
      </c>
      <c r="D9845" t="inlineStr">
        <is>
          <t>JÄMTLANDS LÄN</t>
        </is>
      </c>
      <c r="E9845" t="inlineStr">
        <is>
          <t>ÖSTERSUND</t>
        </is>
      </c>
      <c r="F9845" t="inlineStr">
        <is>
          <t>SCA</t>
        </is>
      </c>
      <c r="G9845" t="n">
        <v>11.9</v>
      </c>
      <c r="H9845" t="n">
        <v>0</v>
      </c>
      <c r="I9845" t="n">
        <v>0</v>
      </c>
      <c r="J9845" t="n">
        <v>0</v>
      </c>
      <c r="K9845" t="n">
        <v>0</v>
      </c>
      <c r="L9845" t="n">
        <v>0</v>
      </c>
      <c r="M9845" t="n">
        <v>0</v>
      </c>
      <c r="N9845" t="n">
        <v>0</v>
      </c>
      <c r="O9845" t="n">
        <v>0</v>
      </c>
      <c r="P9845" t="n">
        <v>0</v>
      </c>
      <c r="Q9845" t="n">
        <v>0</v>
      </c>
      <c r="R9845" s="2" t="inlineStr"/>
    </row>
    <row r="9846" ht="15" customHeight="1">
      <c r="A9846" t="inlineStr">
        <is>
          <t>A 51916-2023</t>
        </is>
      </c>
      <c r="B9846" s="1" t="n">
        <v>45223</v>
      </c>
      <c r="C9846" s="1" t="n">
        <v>45363</v>
      </c>
      <c r="D9846" t="inlineStr">
        <is>
          <t>JÄMTLANDS LÄN</t>
        </is>
      </c>
      <c r="E9846" t="inlineStr">
        <is>
          <t>KROKOM</t>
        </is>
      </c>
      <c r="G9846" t="n">
        <v>14.6</v>
      </c>
      <c r="H9846" t="n">
        <v>0</v>
      </c>
      <c r="I9846" t="n">
        <v>0</v>
      </c>
      <c r="J9846" t="n">
        <v>0</v>
      </c>
      <c r="K9846" t="n">
        <v>0</v>
      </c>
      <c r="L9846" t="n">
        <v>0</v>
      </c>
      <c r="M9846" t="n">
        <v>0</v>
      </c>
      <c r="N9846" t="n">
        <v>0</v>
      </c>
      <c r="O9846" t="n">
        <v>0</v>
      </c>
      <c r="P9846" t="n">
        <v>0</v>
      </c>
      <c r="Q9846" t="n">
        <v>0</v>
      </c>
      <c r="R9846" s="2" t="inlineStr"/>
    </row>
    <row r="9847" ht="15" customHeight="1">
      <c r="A9847" t="inlineStr">
        <is>
          <t>A 51936-2023</t>
        </is>
      </c>
      <c r="B9847" s="1" t="n">
        <v>45223</v>
      </c>
      <c r="C9847" s="1" t="n">
        <v>45363</v>
      </c>
      <c r="D9847" t="inlineStr">
        <is>
          <t>JÄMTLANDS LÄN</t>
        </is>
      </c>
      <c r="E9847" t="inlineStr">
        <is>
          <t>ÖSTERSUND</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51941-2023</t>
        </is>
      </c>
      <c r="B9848" s="1" t="n">
        <v>45223</v>
      </c>
      <c r="C9848" s="1" t="n">
        <v>45363</v>
      </c>
      <c r="D9848" t="inlineStr">
        <is>
          <t>JÄMTLANDS LÄN</t>
        </is>
      </c>
      <c r="E9848" t="inlineStr">
        <is>
          <t>ÖSTERSUND</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51988-2023</t>
        </is>
      </c>
      <c r="B9849" s="1" t="n">
        <v>45223</v>
      </c>
      <c r="C9849" s="1" t="n">
        <v>45363</v>
      </c>
      <c r="D9849" t="inlineStr">
        <is>
          <t>JÄMTLANDS LÄN</t>
        </is>
      </c>
      <c r="E9849" t="inlineStr">
        <is>
          <t>BERG</t>
        </is>
      </c>
      <c r="F9849" t="inlineStr">
        <is>
          <t>Kyrkan</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52127-2023</t>
        </is>
      </c>
      <c r="B9850" s="1" t="n">
        <v>45224</v>
      </c>
      <c r="C9850" s="1" t="n">
        <v>45363</v>
      </c>
      <c r="D9850" t="inlineStr">
        <is>
          <t>JÄMTLANDS LÄN</t>
        </is>
      </c>
      <c r="E9850" t="inlineStr">
        <is>
          <t>BRÄCKE</t>
        </is>
      </c>
      <c r="F9850" t="inlineStr">
        <is>
          <t>SCA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52139-2023</t>
        </is>
      </c>
      <c r="B9851" s="1" t="n">
        <v>45223</v>
      </c>
      <c r="C9851" s="1" t="n">
        <v>45363</v>
      </c>
      <c r="D9851" t="inlineStr">
        <is>
          <t>JÄMTLANDS LÄN</t>
        </is>
      </c>
      <c r="E9851" t="inlineStr">
        <is>
          <t>STRÖMSUND</t>
        </is>
      </c>
      <c r="F9851" t="inlineStr">
        <is>
          <t>SCA</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52108-2023</t>
        </is>
      </c>
      <c r="B9852" s="1" t="n">
        <v>45224</v>
      </c>
      <c r="C9852" s="1" t="n">
        <v>45363</v>
      </c>
      <c r="D9852" t="inlineStr">
        <is>
          <t>JÄMTLANDS LÄN</t>
        </is>
      </c>
      <c r="E9852" t="inlineStr">
        <is>
          <t>STRÖMSUND</t>
        </is>
      </c>
      <c r="G9852" t="n">
        <v>12.8</v>
      </c>
      <c r="H9852" t="n">
        <v>0</v>
      </c>
      <c r="I9852" t="n">
        <v>0</v>
      </c>
      <c r="J9852" t="n">
        <v>0</v>
      </c>
      <c r="K9852" t="n">
        <v>0</v>
      </c>
      <c r="L9852" t="n">
        <v>0</v>
      </c>
      <c r="M9852" t="n">
        <v>0</v>
      </c>
      <c r="N9852" t="n">
        <v>0</v>
      </c>
      <c r="O9852" t="n">
        <v>0</v>
      </c>
      <c r="P9852" t="n">
        <v>0</v>
      </c>
      <c r="Q9852" t="n">
        <v>0</v>
      </c>
      <c r="R9852" s="2" t="inlineStr"/>
    </row>
    <row r="9853" ht="15" customHeight="1">
      <c r="A9853" t="inlineStr">
        <is>
          <t>A 52133-2023</t>
        </is>
      </c>
      <c r="B9853" s="1" t="n">
        <v>45224</v>
      </c>
      <c r="C9853" s="1" t="n">
        <v>45363</v>
      </c>
      <c r="D9853" t="inlineStr">
        <is>
          <t>JÄMTLANDS LÄN</t>
        </is>
      </c>
      <c r="E9853" t="inlineStr">
        <is>
          <t>BRÄCKE</t>
        </is>
      </c>
      <c r="F9853" t="inlineStr">
        <is>
          <t>SCA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52137-2023</t>
        </is>
      </c>
      <c r="B9854" s="1" t="n">
        <v>45224</v>
      </c>
      <c r="C9854" s="1" t="n">
        <v>45363</v>
      </c>
      <c r="D9854" t="inlineStr">
        <is>
          <t>JÄMTLANDS LÄN</t>
        </is>
      </c>
      <c r="E9854" t="inlineStr">
        <is>
          <t>BRÄCKE</t>
        </is>
      </c>
      <c r="F9854" t="inlineStr">
        <is>
          <t>SCA</t>
        </is>
      </c>
      <c r="G9854" t="n">
        <v>9.6</v>
      </c>
      <c r="H9854" t="n">
        <v>0</v>
      </c>
      <c r="I9854" t="n">
        <v>0</v>
      </c>
      <c r="J9854" t="n">
        <v>0</v>
      </c>
      <c r="K9854" t="n">
        <v>0</v>
      </c>
      <c r="L9854" t="n">
        <v>0</v>
      </c>
      <c r="M9854" t="n">
        <v>0</v>
      </c>
      <c r="N9854" t="n">
        <v>0</v>
      </c>
      <c r="O9854" t="n">
        <v>0</v>
      </c>
      <c r="P9854" t="n">
        <v>0</v>
      </c>
      <c r="Q9854" t="n">
        <v>0</v>
      </c>
      <c r="R9854" s="2" t="inlineStr"/>
    </row>
    <row r="9855" ht="15" customHeight="1">
      <c r="A9855" t="inlineStr">
        <is>
          <t>A 52113-2023</t>
        </is>
      </c>
      <c r="B9855" s="1" t="n">
        <v>45224</v>
      </c>
      <c r="C9855" s="1" t="n">
        <v>45363</v>
      </c>
      <c r="D9855" t="inlineStr">
        <is>
          <t>JÄMTLANDS LÄN</t>
        </is>
      </c>
      <c r="E9855" t="inlineStr">
        <is>
          <t>STRÖMSUND</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52121-2023</t>
        </is>
      </c>
      <c r="B9856" s="1" t="n">
        <v>45223</v>
      </c>
      <c r="C9856" s="1" t="n">
        <v>45363</v>
      </c>
      <c r="D9856" t="inlineStr">
        <is>
          <t>JÄMTLANDS LÄN</t>
        </is>
      </c>
      <c r="E9856" t="inlineStr">
        <is>
          <t>STRÖMSUND</t>
        </is>
      </c>
      <c r="G9856" t="n">
        <v>5.7</v>
      </c>
      <c r="H9856" t="n">
        <v>0</v>
      </c>
      <c r="I9856" t="n">
        <v>0</v>
      </c>
      <c r="J9856" t="n">
        <v>0</v>
      </c>
      <c r="K9856" t="n">
        <v>0</v>
      </c>
      <c r="L9856" t="n">
        <v>0</v>
      </c>
      <c r="M9856" t="n">
        <v>0</v>
      </c>
      <c r="N9856" t="n">
        <v>0</v>
      </c>
      <c r="O9856" t="n">
        <v>0</v>
      </c>
      <c r="P9856" t="n">
        <v>0</v>
      </c>
      <c r="Q9856" t="n">
        <v>0</v>
      </c>
      <c r="R9856" s="2" t="inlineStr"/>
    </row>
    <row r="9857" ht="15" customHeight="1">
      <c r="A9857" t="inlineStr">
        <is>
          <t>A 52134-2023</t>
        </is>
      </c>
      <c r="B9857" s="1" t="n">
        <v>45223</v>
      </c>
      <c r="C9857" s="1" t="n">
        <v>45363</v>
      </c>
      <c r="D9857" t="inlineStr">
        <is>
          <t>JÄMTLANDS LÄN</t>
        </is>
      </c>
      <c r="E9857" t="inlineStr">
        <is>
          <t>STRÖMSUND</t>
        </is>
      </c>
      <c r="F9857" t="inlineStr">
        <is>
          <t>SCA</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53378-2023</t>
        </is>
      </c>
      <c r="B9858" s="1" t="n">
        <v>45223</v>
      </c>
      <c r="C9858" s="1" t="n">
        <v>45363</v>
      </c>
      <c r="D9858" t="inlineStr">
        <is>
          <t>JÄMTLANDS LÄN</t>
        </is>
      </c>
      <c r="E9858" t="inlineStr">
        <is>
          <t>ÖSTERSUND</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53522-2023</t>
        </is>
      </c>
      <c r="B9859" s="1" t="n">
        <v>45223</v>
      </c>
      <c r="C9859" s="1" t="n">
        <v>45363</v>
      </c>
      <c r="D9859" t="inlineStr">
        <is>
          <t>JÄMTLANDS LÄN</t>
        </is>
      </c>
      <c r="E9859" t="inlineStr">
        <is>
          <t>BRÄCKE</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53347-2023</t>
        </is>
      </c>
      <c r="B9860" s="1" t="n">
        <v>45223</v>
      </c>
      <c r="C9860" s="1" t="n">
        <v>45363</v>
      </c>
      <c r="D9860" t="inlineStr">
        <is>
          <t>JÄMTLANDS LÄN</t>
        </is>
      </c>
      <c r="E9860" t="inlineStr">
        <is>
          <t>RAGUNDA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53380-2023</t>
        </is>
      </c>
      <c r="B9861" s="1" t="n">
        <v>45223</v>
      </c>
      <c r="C9861" s="1" t="n">
        <v>45363</v>
      </c>
      <c r="D9861" t="inlineStr">
        <is>
          <t>JÄMTLANDS LÄN</t>
        </is>
      </c>
      <c r="E9861" t="inlineStr">
        <is>
          <t>ÖSTERSUND</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53429-2023</t>
        </is>
      </c>
      <c r="B9862" s="1" t="n">
        <v>45223</v>
      </c>
      <c r="C9862" s="1" t="n">
        <v>45363</v>
      </c>
      <c r="D9862" t="inlineStr">
        <is>
          <t>JÄMTLANDS LÄN</t>
        </is>
      </c>
      <c r="E9862" t="inlineStr">
        <is>
          <t>KROKOM</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53480-2023</t>
        </is>
      </c>
      <c r="B9863" s="1" t="n">
        <v>45223</v>
      </c>
      <c r="C9863" s="1" t="n">
        <v>45363</v>
      </c>
      <c r="D9863" t="inlineStr">
        <is>
          <t>JÄMTLANDS LÄN</t>
        </is>
      </c>
      <c r="E9863" t="inlineStr">
        <is>
          <t>BRÄCKE</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52295-2023</t>
        </is>
      </c>
      <c r="B9864" s="1" t="n">
        <v>45224</v>
      </c>
      <c r="C9864" s="1" t="n">
        <v>45363</v>
      </c>
      <c r="D9864" t="inlineStr">
        <is>
          <t>JÄMTLANDS LÄN</t>
        </is>
      </c>
      <c r="E9864" t="inlineStr">
        <is>
          <t>KROKOM</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52318-2023</t>
        </is>
      </c>
      <c r="B9865" s="1" t="n">
        <v>45224</v>
      </c>
      <c r="C9865" s="1" t="n">
        <v>45363</v>
      </c>
      <c r="D9865" t="inlineStr">
        <is>
          <t>JÄMTLANDS LÄN</t>
        </is>
      </c>
      <c r="E9865" t="inlineStr">
        <is>
          <t>BERG</t>
        </is>
      </c>
      <c r="F9865" t="inlineStr">
        <is>
          <t>Kyrkan</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52311-2023</t>
        </is>
      </c>
      <c r="B9866" s="1" t="n">
        <v>45224</v>
      </c>
      <c r="C9866" s="1" t="n">
        <v>45363</v>
      </c>
      <c r="D9866" t="inlineStr">
        <is>
          <t>JÄMTLANDS LÄN</t>
        </is>
      </c>
      <c r="E9866" t="inlineStr">
        <is>
          <t>BERG</t>
        </is>
      </c>
      <c r="F9866" t="inlineStr">
        <is>
          <t>Kyrkan</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53834-2023</t>
        </is>
      </c>
      <c r="B9867" s="1" t="n">
        <v>45224</v>
      </c>
      <c r="C9867" s="1" t="n">
        <v>45363</v>
      </c>
      <c r="D9867" t="inlineStr">
        <is>
          <t>JÄMTLANDS LÄN</t>
        </is>
      </c>
      <c r="E9867" t="inlineStr">
        <is>
          <t>BERG</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53860-2023</t>
        </is>
      </c>
      <c r="B9868" s="1" t="n">
        <v>45224</v>
      </c>
      <c r="C9868" s="1" t="n">
        <v>45363</v>
      </c>
      <c r="D9868" t="inlineStr">
        <is>
          <t>JÄMTLANDS LÄN</t>
        </is>
      </c>
      <c r="E9868" t="inlineStr">
        <is>
          <t>RAGUNDA</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52402-2023</t>
        </is>
      </c>
      <c r="B9869" s="1" t="n">
        <v>45225</v>
      </c>
      <c r="C9869" s="1" t="n">
        <v>45363</v>
      </c>
      <c r="D9869" t="inlineStr">
        <is>
          <t>JÄMTLANDS LÄN</t>
        </is>
      </c>
      <c r="E9869" t="inlineStr">
        <is>
          <t>STRÖMSUND</t>
        </is>
      </c>
      <c r="F9869" t="inlineStr">
        <is>
          <t>SCA</t>
        </is>
      </c>
      <c r="G9869" t="n">
        <v>8</v>
      </c>
      <c r="H9869" t="n">
        <v>0</v>
      </c>
      <c r="I9869" t="n">
        <v>0</v>
      </c>
      <c r="J9869" t="n">
        <v>0</v>
      </c>
      <c r="K9869" t="n">
        <v>0</v>
      </c>
      <c r="L9869" t="n">
        <v>0</v>
      </c>
      <c r="M9869" t="n">
        <v>0</v>
      </c>
      <c r="N9869" t="n">
        <v>0</v>
      </c>
      <c r="O9869" t="n">
        <v>0</v>
      </c>
      <c r="P9869" t="n">
        <v>0</v>
      </c>
      <c r="Q9869" t="n">
        <v>0</v>
      </c>
      <c r="R9869" s="2" t="inlineStr"/>
    </row>
    <row r="9870" ht="15" customHeight="1">
      <c r="A9870" t="inlineStr">
        <is>
          <t>A 53847-2023</t>
        </is>
      </c>
      <c r="B9870" s="1" t="n">
        <v>45224</v>
      </c>
      <c r="C9870" s="1" t="n">
        <v>45363</v>
      </c>
      <c r="D9870" t="inlineStr">
        <is>
          <t>JÄMTLANDS LÄN</t>
        </is>
      </c>
      <c r="E9870" t="inlineStr">
        <is>
          <t>RAGUNDA</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52553-2023</t>
        </is>
      </c>
      <c r="B9871" s="1" t="n">
        <v>45225</v>
      </c>
      <c r="C9871" s="1" t="n">
        <v>45363</v>
      </c>
      <c r="D9871" t="inlineStr">
        <is>
          <t>JÄMTLANDS LÄN</t>
        </is>
      </c>
      <c r="E9871" t="inlineStr">
        <is>
          <t>ÖSTERSUND</t>
        </is>
      </c>
      <c r="G9871" t="n">
        <v>19.9</v>
      </c>
      <c r="H9871" t="n">
        <v>0</v>
      </c>
      <c r="I9871" t="n">
        <v>0</v>
      </c>
      <c r="J9871" t="n">
        <v>0</v>
      </c>
      <c r="K9871" t="n">
        <v>0</v>
      </c>
      <c r="L9871" t="n">
        <v>0</v>
      </c>
      <c r="M9871" t="n">
        <v>0</v>
      </c>
      <c r="N9871" t="n">
        <v>0</v>
      </c>
      <c r="O9871" t="n">
        <v>0</v>
      </c>
      <c r="P9871" t="n">
        <v>0</v>
      </c>
      <c r="Q9871" t="n">
        <v>0</v>
      </c>
      <c r="R9871" s="2" t="inlineStr"/>
    </row>
    <row r="9872" ht="15" customHeight="1">
      <c r="A9872" t="inlineStr">
        <is>
          <t>A 52565-2023</t>
        </is>
      </c>
      <c r="B9872" s="1" t="n">
        <v>45225</v>
      </c>
      <c r="C9872" s="1" t="n">
        <v>45363</v>
      </c>
      <c r="D9872" t="inlineStr">
        <is>
          <t>JÄMTLANDS LÄN</t>
        </is>
      </c>
      <c r="E9872" t="inlineStr">
        <is>
          <t>HÄRJEDALEN</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52590-2023</t>
        </is>
      </c>
      <c r="B9873" s="1" t="n">
        <v>45225</v>
      </c>
      <c r="C9873" s="1" t="n">
        <v>45363</v>
      </c>
      <c r="D9873" t="inlineStr">
        <is>
          <t>JÄMTLANDS LÄN</t>
        </is>
      </c>
      <c r="E9873" t="inlineStr">
        <is>
          <t>KROKOM</t>
        </is>
      </c>
      <c r="G9873" t="n">
        <v>9</v>
      </c>
      <c r="H9873" t="n">
        <v>0</v>
      </c>
      <c r="I9873" t="n">
        <v>0</v>
      </c>
      <c r="J9873" t="n">
        <v>0</v>
      </c>
      <c r="K9873" t="n">
        <v>0</v>
      </c>
      <c r="L9873" t="n">
        <v>0</v>
      </c>
      <c r="M9873" t="n">
        <v>0</v>
      </c>
      <c r="N9873" t="n">
        <v>0</v>
      </c>
      <c r="O9873" t="n">
        <v>0</v>
      </c>
      <c r="P9873" t="n">
        <v>0</v>
      </c>
      <c r="Q9873" t="n">
        <v>0</v>
      </c>
      <c r="R9873" s="2" t="inlineStr"/>
    </row>
    <row r="9874" ht="15" customHeight="1">
      <c r="A9874" t="inlineStr">
        <is>
          <t>A 52599-2023</t>
        </is>
      </c>
      <c r="B9874" s="1" t="n">
        <v>45225</v>
      </c>
      <c r="C9874" s="1" t="n">
        <v>45363</v>
      </c>
      <c r="D9874" t="inlineStr">
        <is>
          <t>JÄMTLANDS LÄN</t>
        </is>
      </c>
      <c r="E9874" t="inlineStr">
        <is>
          <t>KROKOM</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52604-2023</t>
        </is>
      </c>
      <c r="B9875" s="1" t="n">
        <v>45225</v>
      </c>
      <c r="C9875" s="1" t="n">
        <v>45363</v>
      </c>
      <c r="D9875" t="inlineStr">
        <is>
          <t>JÄMTLANDS LÄN</t>
        </is>
      </c>
      <c r="E9875" t="inlineStr">
        <is>
          <t>KROKOM</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52478-2023</t>
        </is>
      </c>
      <c r="B9876" s="1" t="n">
        <v>45225</v>
      </c>
      <c r="C9876" s="1" t="n">
        <v>45363</v>
      </c>
      <c r="D9876" t="inlineStr">
        <is>
          <t>JÄMTLANDS LÄN</t>
        </is>
      </c>
      <c r="E9876" t="inlineStr">
        <is>
          <t>STRÖMSUND</t>
        </is>
      </c>
      <c r="F9876" t="inlineStr">
        <is>
          <t>Holmen skog AB</t>
        </is>
      </c>
      <c r="G9876" t="n">
        <v>10</v>
      </c>
      <c r="H9876" t="n">
        <v>0</v>
      </c>
      <c r="I9876" t="n">
        <v>0</v>
      </c>
      <c r="J9876" t="n">
        <v>0</v>
      </c>
      <c r="K9876" t="n">
        <v>0</v>
      </c>
      <c r="L9876" t="n">
        <v>0</v>
      </c>
      <c r="M9876" t="n">
        <v>0</v>
      </c>
      <c r="N9876" t="n">
        <v>0</v>
      </c>
      <c r="O9876" t="n">
        <v>0</v>
      </c>
      <c r="P9876" t="n">
        <v>0</v>
      </c>
      <c r="Q9876" t="n">
        <v>0</v>
      </c>
      <c r="R9876" s="2" t="inlineStr"/>
    </row>
    <row r="9877" ht="15" customHeight="1">
      <c r="A9877" t="inlineStr">
        <is>
          <t>A 52554-2023</t>
        </is>
      </c>
      <c r="B9877" s="1" t="n">
        <v>45225</v>
      </c>
      <c r="C9877" s="1" t="n">
        <v>45363</v>
      </c>
      <c r="D9877" t="inlineStr">
        <is>
          <t>JÄMTLANDS LÄN</t>
        </is>
      </c>
      <c r="E9877" t="inlineStr">
        <is>
          <t>HÄRJEDALEN</t>
        </is>
      </c>
      <c r="G9877" t="n">
        <v>6</v>
      </c>
      <c r="H9877" t="n">
        <v>0</v>
      </c>
      <c r="I9877" t="n">
        <v>0</v>
      </c>
      <c r="J9877" t="n">
        <v>0</v>
      </c>
      <c r="K9877" t="n">
        <v>0</v>
      </c>
      <c r="L9877" t="n">
        <v>0</v>
      </c>
      <c r="M9877" t="n">
        <v>0</v>
      </c>
      <c r="N9877" t="n">
        <v>0</v>
      </c>
      <c r="O9877" t="n">
        <v>0</v>
      </c>
      <c r="P9877" t="n">
        <v>0</v>
      </c>
      <c r="Q9877" t="n">
        <v>0</v>
      </c>
      <c r="R9877" s="2" t="inlineStr"/>
    </row>
    <row r="9878" ht="15" customHeight="1">
      <c r="A9878" t="inlineStr">
        <is>
          <t>A 52567-2023</t>
        </is>
      </c>
      <c r="B9878" s="1" t="n">
        <v>45225</v>
      </c>
      <c r="C9878" s="1" t="n">
        <v>45363</v>
      </c>
      <c r="D9878" t="inlineStr">
        <is>
          <t>JÄMTLANDS LÄN</t>
        </is>
      </c>
      <c r="E9878" t="inlineStr">
        <is>
          <t>HÄRJEDALEN</t>
        </is>
      </c>
      <c r="F9878" t="inlineStr">
        <is>
          <t>Bergvik skog väst AB</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52676-2023</t>
        </is>
      </c>
      <c r="B9879" s="1" t="n">
        <v>45225</v>
      </c>
      <c r="C9879" s="1" t="n">
        <v>45363</v>
      </c>
      <c r="D9879" t="inlineStr">
        <is>
          <t>JÄMTLANDS LÄN</t>
        </is>
      </c>
      <c r="E9879" t="inlineStr">
        <is>
          <t>ÅRE</t>
        </is>
      </c>
      <c r="F9879" t="inlineStr">
        <is>
          <t>Övriga Aktiebolag</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52683-2023</t>
        </is>
      </c>
      <c r="B9880" s="1" t="n">
        <v>45225</v>
      </c>
      <c r="C9880" s="1" t="n">
        <v>45363</v>
      </c>
      <c r="D9880" t="inlineStr">
        <is>
          <t>JÄMTLANDS LÄN</t>
        </is>
      </c>
      <c r="E9880" t="inlineStr">
        <is>
          <t>HÄRJEDALEN</t>
        </is>
      </c>
      <c r="F9880" t="inlineStr">
        <is>
          <t>Bergvik skog väst AB</t>
        </is>
      </c>
      <c r="G9880" t="n">
        <v>19.3</v>
      </c>
      <c r="H9880" t="n">
        <v>0</v>
      </c>
      <c r="I9880" t="n">
        <v>0</v>
      </c>
      <c r="J9880" t="n">
        <v>0</v>
      </c>
      <c r="K9880" t="n">
        <v>0</v>
      </c>
      <c r="L9880" t="n">
        <v>0</v>
      </c>
      <c r="M9880" t="n">
        <v>0</v>
      </c>
      <c r="N9880" t="n">
        <v>0</v>
      </c>
      <c r="O9880" t="n">
        <v>0</v>
      </c>
      <c r="P9880" t="n">
        <v>0</v>
      </c>
      <c r="Q9880" t="n">
        <v>0</v>
      </c>
      <c r="R9880" s="2" t="inlineStr"/>
    </row>
    <row r="9881" ht="15" customHeight="1">
      <c r="A9881" t="inlineStr">
        <is>
          <t>A 52725-2023</t>
        </is>
      </c>
      <c r="B9881" s="1" t="n">
        <v>45226</v>
      </c>
      <c r="C9881" s="1" t="n">
        <v>45363</v>
      </c>
      <c r="D9881" t="inlineStr">
        <is>
          <t>JÄMTLANDS LÄN</t>
        </is>
      </c>
      <c r="E9881" t="inlineStr">
        <is>
          <t>STRÖMSUND</t>
        </is>
      </c>
      <c r="G9881" t="n">
        <v>17.2</v>
      </c>
      <c r="H9881" t="n">
        <v>0</v>
      </c>
      <c r="I9881" t="n">
        <v>0</v>
      </c>
      <c r="J9881" t="n">
        <v>0</v>
      </c>
      <c r="K9881" t="n">
        <v>0</v>
      </c>
      <c r="L9881" t="n">
        <v>0</v>
      </c>
      <c r="M9881" t="n">
        <v>0</v>
      </c>
      <c r="N9881" t="n">
        <v>0</v>
      </c>
      <c r="O9881" t="n">
        <v>0</v>
      </c>
      <c r="P9881" t="n">
        <v>0</v>
      </c>
      <c r="Q9881" t="n">
        <v>0</v>
      </c>
      <c r="R9881" s="2" t="inlineStr"/>
    </row>
    <row r="9882" ht="15" customHeight="1">
      <c r="A9882" t="inlineStr">
        <is>
          <t>A 52733-2023</t>
        </is>
      </c>
      <c r="B9882" s="1" t="n">
        <v>45226</v>
      </c>
      <c r="C9882" s="1" t="n">
        <v>45363</v>
      </c>
      <c r="D9882" t="inlineStr">
        <is>
          <t>JÄMTLANDS LÄN</t>
        </is>
      </c>
      <c r="E9882" t="inlineStr">
        <is>
          <t>STRÖMSUND</t>
        </is>
      </c>
      <c r="F9882" t="inlineStr">
        <is>
          <t>SCA</t>
        </is>
      </c>
      <c r="G9882" t="n">
        <v>10.5</v>
      </c>
      <c r="H9882" t="n">
        <v>0</v>
      </c>
      <c r="I9882" t="n">
        <v>0</v>
      </c>
      <c r="J9882" t="n">
        <v>0</v>
      </c>
      <c r="K9882" t="n">
        <v>0</v>
      </c>
      <c r="L9882" t="n">
        <v>0</v>
      </c>
      <c r="M9882" t="n">
        <v>0</v>
      </c>
      <c r="N9882" t="n">
        <v>0</v>
      </c>
      <c r="O9882" t="n">
        <v>0</v>
      </c>
      <c r="P9882" t="n">
        <v>0</v>
      </c>
      <c r="Q9882" t="n">
        <v>0</v>
      </c>
      <c r="R9882" s="2" t="inlineStr"/>
    </row>
    <row r="9883" ht="15" customHeight="1">
      <c r="A9883" t="inlineStr">
        <is>
          <t>A 52737-2023</t>
        </is>
      </c>
      <c r="B9883" s="1" t="n">
        <v>45226</v>
      </c>
      <c r="C9883" s="1" t="n">
        <v>45363</v>
      </c>
      <c r="D9883" t="inlineStr">
        <is>
          <t>JÄMTLANDS LÄN</t>
        </is>
      </c>
      <c r="E9883" t="inlineStr">
        <is>
          <t>STRÖMSUND</t>
        </is>
      </c>
      <c r="F9883" t="inlineStr">
        <is>
          <t>SCA</t>
        </is>
      </c>
      <c r="G9883" t="n">
        <v>7.8</v>
      </c>
      <c r="H9883" t="n">
        <v>0</v>
      </c>
      <c r="I9883" t="n">
        <v>0</v>
      </c>
      <c r="J9883" t="n">
        <v>0</v>
      </c>
      <c r="K9883" t="n">
        <v>0</v>
      </c>
      <c r="L9883" t="n">
        <v>0</v>
      </c>
      <c r="M9883" t="n">
        <v>0</v>
      </c>
      <c r="N9883" t="n">
        <v>0</v>
      </c>
      <c r="O9883" t="n">
        <v>0</v>
      </c>
      <c r="P9883" t="n">
        <v>0</v>
      </c>
      <c r="Q9883" t="n">
        <v>0</v>
      </c>
      <c r="R9883" s="2" t="inlineStr"/>
    </row>
    <row r="9884" ht="15" customHeight="1">
      <c r="A9884" t="inlineStr">
        <is>
          <t>A 52741-2023</t>
        </is>
      </c>
      <c r="B9884" s="1" t="n">
        <v>45225</v>
      </c>
      <c r="C9884" s="1" t="n">
        <v>45363</v>
      </c>
      <c r="D9884" t="inlineStr">
        <is>
          <t>JÄMTLANDS LÄN</t>
        </is>
      </c>
      <c r="E9884" t="inlineStr">
        <is>
          <t>HÄRJEDALEN</t>
        </is>
      </c>
      <c r="F9884" t="inlineStr">
        <is>
          <t>SCA</t>
        </is>
      </c>
      <c r="G9884" t="n">
        <v>75.40000000000001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52735-2023</t>
        </is>
      </c>
      <c r="B9885" s="1" t="n">
        <v>45225</v>
      </c>
      <c r="C9885" s="1" t="n">
        <v>45363</v>
      </c>
      <c r="D9885" t="inlineStr">
        <is>
          <t>JÄMTLANDS LÄN</t>
        </is>
      </c>
      <c r="E9885" t="inlineStr">
        <is>
          <t>STRÖMSUND</t>
        </is>
      </c>
      <c r="F9885" t="inlineStr">
        <is>
          <t>SCA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52723-2023</t>
        </is>
      </c>
      <c r="B9886" s="1" t="n">
        <v>45225</v>
      </c>
      <c r="C9886" s="1" t="n">
        <v>45363</v>
      </c>
      <c r="D9886" t="inlineStr">
        <is>
          <t>JÄMTLANDS LÄN</t>
        </is>
      </c>
      <c r="E9886" t="inlineStr">
        <is>
          <t>BRÄCKE</t>
        </is>
      </c>
      <c r="G9886" t="n">
        <v>9.699999999999999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52736-2023</t>
        </is>
      </c>
      <c r="B9887" s="1" t="n">
        <v>45226</v>
      </c>
      <c r="C9887" s="1" t="n">
        <v>45363</v>
      </c>
      <c r="D9887" t="inlineStr">
        <is>
          <t>JÄMTLANDS LÄN</t>
        </is>
      </c>
      <c r="E9887" t="inlineStr">
        <is>
          <t>STRÖMSUND</t>
        </is>
      </c>
      <c r="F9887" t="inlineStr">
        <is>
          <t>SCA</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52726-2023</t>
        </is>
      </c>
      <c r="B9888" s="1" t="n">
        <v>45225</v>
      </c>
      <c r="C9888" s="1" t="n">
        <v>45363</v>
      </c>
      <c r="D9888" t="inlineStr">
        <is>
          <t>JÄMTLANDS LÄN</t>
        </is>
      </c>
      <c r="E9888" t="inlineStr">
        <is>
          <t>STRÖMSUND</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52734-2023</t>
        </is>
      </c>
      <c r="B9889" s="1" t="n">
        <v>45225</v>
      </c>
      <c r="C9889" s="1" t="n">
        <v>45363</v>
      </c>
      <c r="D9889" t="inlineStr">
        <is>
          <t>JÄMTLANDS LÄN</t>
        </is>
      </c>
      <c r="E9889" t="inlineStr">
        <is>
          <t>STRÖMSUND</t>
        </is>
      </c>
      <c r="F9889" t="inlineStr">
        <is>
          <t>SCA</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52756-2023</t>
        </is>
      </c>
      <c r="B9890" s="1" t="n">
        <v>45225</v>
      </c>
      <c r="C9890" s="1" t="n">
        <v>45363</v>
      </c>
      <c r="D9890" t="inlineStr">
        <is>
          <t>JÄMTLANDS LÄN</t>
        </is>
      </c>
      <c r="E9890" t="inlineStr">
        <is>
          <t>STRÖMSUND</t>
        </is>
      </c>
      <c r="F9890" t="inlineStr">
        <is>
          <t>SCA</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52760-2023</t>
        </is>
      </c>
      <c r="B9891" s="1" t="n">
        <v>45225</v>
      </c>
      <c r="C9891" s="1" t="n">
        <v>45363</v>
      </c>
      <c r="D9891" t="inlineStr">
        <is>
          <t>JÄMTLANDS LÄN</t>
        </is>
      </c>
      <c r="E9891" t="inlineStr">
        <is>
          <t>BRÄCKE</t>
        </is>
      </c>
      <c r="F9891" t="inlineStr">
        <is>
          <t>SCA</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54303-2023</t>
        </is>
      </c>
      <c r="B9892" s="1" t="n">
        <v>45225</v>
      </c>
      <c r="C9892" s="1" t="n">
        <v>45363</v>
      </c>
      <c r="D9892" t="inlineStr">
        <is>
          <t>JÄMTLANDS LÄN</t>
        </is>
      </c>
      <c r="E9892" t="inlineStr">
        <is>
          <t>ÅRE</t>
        </is>
      </c>
      <c r="G9892" t="n">
        <v>8.9</v>
      </c>
      <c r="H9892" t="n">
        <v>0</v>
      </c>
      <c r="I9892" t="n">
        <v>0</v>
      </c>
      <c r="J9892" t="n">
        <v>0</v>
      </c>
      <c r="K9892" t="n">
        <v>0</v>
      </c>
      <c r="L9892" t="n">
        <v>0</v>
      </c>
      <c r="M9892" t="n">
        <v>0</v>
      </c>
      <c r="N9892" t="n">
        <v>0</v>
      </c>
      <c r="O9892" t="n">
        <v>0</v>
      </c>
      <c r="P9892" t="n">
        <v>0</v>
      </c>
      <c r="Q9892" t="n">
        <v>0</v>
      </c>
      <c r="R9892" s="2" t="inlineStr"/>
    </row>
    <row r="9893" ht="15" customHeight="1">
      <c r="A9893" t="inlineStr">
        <is>
          <t>A 52761-2023</t>
        </is>
      </c>
      <c r="B9893" s="1" t="n">
        <v>45225</v>
      </c>
      <c r="C9893" s="1" t="n">
        <v>45363</v>
      </c>
      <c r="D9893" t="inlineStr">
        <is>
          <t>JÄMTLANDS LÄN</t>
        </is>
      </c>
      <c r="E9893" t="inlineStr">
        <is>
          <t>BRÄCKE</t>
        </is>
      </c>
      <c r="F9893" t="inlineStr">
        <is>
          <t>SCA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54324-2023</t>
        </is>
      </c>
      <c r="B9894" s="1" t="n">
        <v>45225</v>
      </c>
      <c r="C9894" s="1" t="n">
        <v>45363</v>
      </c>
      <c r="D9894" t="inlineStr">
        <is>
          <t>JÄMTLANDS LÄN</t>
        </is>
      </c>
      <c r="E9894" t="inlineStr">
        <is>
          <t>ÅRE</t>
        </is>
      </c>
      <c r="G9894" t="n">
        <v>9.800000000000001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52754-2023</t>
        </is>
      </c>
      <c r="B9895" s="1" t="n">
        <v>45226</v>
      </c>
      <c r="C9895" s="1" t="n">
        <v>45363</v>
      </c>
      <c r="D9895" t="inlineStr">
        <is>
          <t>JÄMTLANDS LÄN</t>
        </is>
      </c>
      <c r="E9895" t="inlineStr">
        <is>
          <t>BRÄCKE</t>
        </is>
      </c>
      <c r="F9895" t="inlineStr">
        <is>
          <t>SCA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53947-2023</t>
        </is>
      </c>
      <c r="B9896" s="1" t="n">
        <v>45225</v>
      </c>
      <c r="C9896" s="1" t="n">
        <v>45363</v>
      </c>
      <c r="D9896" t="inlineStr">
        <is>
          <t>JÄMTLANDS LÄN</t>
        </is>
      </c>
      <c r="E9896" t="inlineStr">
        <is>
          <t>RAGUNDA</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52739-2023</t>
        </is>
      </c>
      <c r="B9897" s="1" t="n">
        <v>45225</v>
      </c>
      <c r="C9897" s="1" t="n">
        <v>45363</v>
      </c>
      <c r="D9897" t="inlineStr">
        <is>
          <t>JÄMTLANDS LÄN</t>
        </is>
      </c>
      <c r="E9897" t="inlineStr">
        <is>
          <t>BRÄCKE</t>
        </is>
      </c>
      <c r="F9897" t="inlineStr">
        <is>
          <t>SCA</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52743-2023</t>
        </is>
      </c>
      <c r="B9898" s="1" t="n">
        <v>45226</v>
      </c>
      <c r="C9898" s="1" t="n">
        <v>45363</v>
      </c>
      <c r="D9898" t="inlineStr">
        <is>
          <t>JÄMTLANDS LÄN</t>
        </is>
      </c>
      <c r="E9898" t="inlineStr">
        <is>
          <t>BRÄCKE</t>
        </is>
      </c>
      <c r="F9898" t="inlineStr">
        <is>
          <t>SCA</t>
        </is>
      </c>
      <c r="G9898" t="n">
        <v>10.2</v>
      </c>
      <c r="H9898" t="n">
        <v>0</v>
      </c>
      <c r="I9898" t="n">
        <v>0</v>
      </c>
      <c r="J9898" t="n">
        <v>0</v>
      </c>
      <c r="K9898" t="n">
        <v>0</v>
      </c>
      <c r="L9898" t="n">
        <v>0</v>
      </c>
      <c r="M9898" t="n">
        <v>0</v>
      </c>
      <c r="N9898" t="n">
        <v>0</v>
      </c>
      <c r="O9898" t="n">
        <v>0</v>
      </c>
      <c r="P9898" t="n">
        <v>0</v>
      </c>
      <c r="Q9898" t="n">
        <v>0</v>
      </c>
      <c r="R9898" s="2" t="inlineStr"/>
    </row>
    <row r="9899" ht="15" customHeight="1">
      <c r="A9899" t="inlineStr">
        <is>
          <t>A 54514-2023</t>
        </is>
      </c>
      <c r="B9899" s="1" t="n">
        <v>45226</v>
      </c>
      <c r="C9899" s="1" t="n">
        <v>45363</v>
      </c>
      <c r="D9899" t="inlineStr">
        <is>
          <t>JÄMTLANDS LÄN</t>
        </is>
      </c>
      <c r="E9899" t="inlineStr">
        <is>
          <t>KROKOM</t>
        </is>
      </c>
      <c r="G9899" t="n">
        <v>14.8</v>
      </c>
      <c r="H9899" t="n">
        <v>0</v>
      </c>
      <c r="I9899" t="n">
        <v>0</v>
      </c>
      <c r="J9899" t="n">
        <v>0</v>
      </c>
      <c r="K9899" t="n">
        <v>0</v>
      </c>
      <c r="L9899" t="n">
        <v>0</v>
      </c>
      <c r="M9899" t="n">
        <v>0</v>
      </c>
      <c r="N9899" t="n">
        <v>0</v>
      </c>
      <c r="O9899" t="n">
        <v>0</v>
      </c>
      <c r="P9899" t="n">
        <v>0</v>
      </c>
      <c r="Q9899" t="n">
        <v>0</v>
      </c>
      <c r="R9899" s="2" t="inlineStr"/>
    </row>
    <row r="9900" ht="15" customHeight="1">
      <c r="A9900" t="inlineStr">
        <is>
          <t>A 54549-2023</t>
        </is>
      </c>
      <c r="B9900" s="1" t="n">
        <v>45226</v>
      </c>
      <c r="C9900" s="1" t="n">
        <v>45363</v>
      </c>
      <c r="D9900" t="inlineStr">
        <is>
          <t>JÄMTLANDS LÄN</t>
        </is>
      </c>
      <c r="E9900" t="inlineStr">
        <is>
          <t>STRÖMSUND</t>
        </is>
      </c>
      <c r="G9900" t="n">
        <v>29.2</v>
      </c>
      <c r="H9900" t="n">
        <v>0</v>
      </c>
      <c r="I9900" t="n">
        <v>0</v>
      </c>
      <c r="J9900" t="n">
        <v>0</v>
      </c>
      <c r="K9900" t="n">
        <v>0</v>
      </c>
      <c r="L9900" t="n">
        <v>0</v>
      </c>
      <c r="M9900" t="n">
        <v>0</v>
      </c>
      <c r="N9900" t="n">
        <v>0</v>
      </c>
      <c r="O9900" t="n">
        <v>0</v>
      </c>
      <c r="P9900" t="n">
        <v>0</v>
      </c>
      <c r="Q9900" t="n">
        <v>0</v>
      </c>
      <c r="R9900" s="2" t="inlineStr"/>
    </row>
    <row r="9901" ht="15" customHeight="1">
      <c r="A9901" t="inlineStr">
        <is>
          <t>A 52770-2023</t>
        </is>
      </c>
      <c r="B9901" s="1" t="n">
        <v>45226</v>
      </c>
      <c r="C9901" s="1" t="n">
        <v>45363</v>
      </c>
      <c r="D9901" t="inlineStr">
        <is>
          <t>JÄMTLANDS LÄN</t>
        </is>
      </c>
      <c r="E9901" t="inlineStr">
        <is>
          <t>BERG</t>
        </is>
      </c>
      <c r="G9901" t="n">
        <v>12.8</v>
      </c>
      <c r="H9901" t="n">
        <v>0</v>
      </c>
      <c r="I9901" t="n">
        <v>0</v>
      </c>
      <c r="J9901" t="n">
        <v>0</v>
      </c>
      <c r="K9901" t="n">
        <v>0</v>
      </c>
      <c r="L9901" t="n">
        <v>0</v>
      </c>
      <c r="M9901" t="n">
        <v>0</v>
      </c>
      <c r="N9901" t="n">
        <v>0</v>
      </c>
      <c r="O9901" t="n">
        <v>0</v>
      </c>
      <c r="P9901" t="n">
        <v>0</v>
      </c>
      <c r="Q9901" t="n">
        <v>0</v>
      </c>
      <c r="R9901" s="2" t="inlineStr"/>
    </row>
    <row r="9902" ht="15" customHeight="1">
      <c r="A9902" t="inlineStr">
        <is>
          <t>A 53054-2023</t>
        </is>
      </c>
      <c r="B9902" s="1" t="n">
        <v>45227</v>
      </c>
      <c r="C9902" s="1" t="n">
        <v>45363</v>
      </c>
      <c r="D9902" t="inlineStr">
        <is>
          <t>JÄMTLANDS LÄN</t>
        </is>
      </c>
      <c r="E9902" t="inlineStr">
        <is>
          <t>BRÄCKE</t>
        </is>
      </c>
      <c r="F9902" t="inlineStr">
        <is>
          <t>SCA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53050-2023</t>
        </is>
      </c>
      <c r="B9903" s="1" t="n">
        <v>45227</v>
      </c>
      <c r="C9903" s="1" t="n">
        <v>45363</v>
      </c>
      <c r="D9903" t="inlineStr">
        <is>
          <t>JÄMTLANDS LÄN</t>
        </is>
      </c>
      <c r="E9903" t="inlineStr">
        <is>
          <t>STRÖMSUND</t>
        </is>
      </c>
      <c r="F9903" t="inlineStr">
        <is>
          <t>SCA</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53046-2023</t>
        </is>
      </c>
      <c r="B9904" s="1" t="n">
        <v>45227</v>
      </c>
      <c r="C9904" s="1" t="n">
        <v>45363</v>
      </c>
      <c r="D9904" t="inlineStr">
        <is>
          <t>JÄMTLANDS LÄN</t>
        </is>
      </c>
      <c r="E9904" t="inlineStr">
        <is>
          <t>BRÄCKE</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53003-2023</t>
        </is>
      </c>
      <c r="B9905" s="1" t="n">
        <v>45226</v>
      </c>
      <c r="C9905" s="1" t="n">
        <v>45363</v>
      </c>
      <c r="D9905" t="inlineStr">
        <is>
          <t>JÄMTLANDS LÄN</t>
        </is>
      </c>
      <c r="E9905" t="inlineStr">
        <is>
          <t>HÄRJEDALEN</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52911-2023</t>
        </is>
      </c>
      <c r="B9906" s="1" t="n">
        <v>45226</v>
      </c>
      <c r="C9906" s="1" t="n">
        <v>45363</v>
      </c>
      <c r="D9906" t="inlineStr">
        <is>
          <t>JÄMTLANDS LÄN</t>
        </is>
      </c>
      <c r="E9906" t="inlineStr">
        <is>
          <t>KROKOM</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52855-2023</t>
        </is>
      </c>
      <c r="B9907" s="1" t="n">
        <v>45226</v>
      </c>
      <c r="C9907" s="1" t="n">
        <v>45363</v>
      </c>
      <c r="D9907" t="inlineStr">
        <is>
          <t>JÄMTLANDS LÄN</t>
        </is>
      </c>
      <c r="E9907" t="inlineStr">
        <is>
          <t>STRÖMSUND</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52850-2023</t>
        </is>
      </c>
      <c r="B9908" s="1" t="n">
        <v>45226</v>
      </c>
      <c r="C9908" s="1" t="n">
        <v>45363</v>
      </c>
      <c r="D9908" t="inlineStr">
        <is>
          <t>JÄMTLANDS LÄN</t>
        </is>
      </c>
      <c r="E9908" t="inlineStr">
        <is>
          <t>STRÖMSUND</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52826-2023</t>
        </is>
      </c>
      <c r="B9909" s="1" t="n">
        <v>45226</v>
      </c>
      <c r="C9909" s="1" t="n">
        <v>45363</v>
      </c>
      <c r="D9909" t="inlineStr">
        <is>
          <t>JÄMTLANDS LÄN</t>
        </is>
      </c>
      <c r="E9909" t="inlineStr">
        <is>
          <t>STRÖMSUND</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52818-2023</t>
        </is>
      </c>
      <c r="B9910" s="1" t="n">
        <v>45226</v>
      </c>
      <c r="C9910" s="1" t="n">
        <v>45363</v>
      </c>
      <c r="D9910" t="inlineStr">
        <is>
          <t>JÄMTLANDS LÄN</t>
        </is>
      </c>
      <c r="E9910" t="inlineStr">
        <is>
          <t>STRÖMSUND</t>
        </is>
      </c>
      <c r="G9910" t="n">
        <v>9.6</v>
      </c>
      <c r="H9910" t="n">
        <v>0</v>
      </c>
      <c r="I9910" t="n">
        <v>0</v>
      </c>
      <c r="J9910" t="n">
        <v>0</v>
      </c>
      <c r="K9910" t="n">
        <v>0</v>
      </c>
      <c r="L9910" t="n">
        <v>0</v>
      </c>
      <c r="M9910" t="n">
        <v>0</v>
      </c>
      <c r="N9910" t="n">
        <v>0</v>
      </c>
      <c r="O9910" t="n">
        <v>0</v>
      </c>
      <c r="P9910" t="n">
        <v>0</v>
      </c>
      <c r="Q9910" t="n">
        <v>0</v>
      </c>
      <c r="R9910" s="2" t="inlineStr"/>
    </row>
    <row r="9911" ht="15" customHeight="1">
      <c r="A9911" t="inlineStr">
        <is>
          <t>A 53047-2023</t>
        </is>
      </c>
      <c r="B9911" s="1" t="n">
        <v>45227</v>
      </c>
      <c r="C9911" s="1" t="n">
        <v>45363</v>
      </c>
      <c r="D9911" t="inlineStr">
        <is>
          <t>JÄMTLANDS LÄN</t>
        </is>
      </c>
      <c r="E9911" t="inlineStr">
        <is>
          <t>BRÄCKE</t>
        </is>
      </c>
      <c r="F9911" t="inlineStr">
        <is>
          <t>SCA</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53051-2023</t>
        </is>
      </c>
      <c r="B9912" s="1" t="n">
        <v>45227</v>
      </c>
      <c r="C9912" s="1" t="n">
        <v>45363</v>
      </c>
      <c r="D9912" t="inlineStr">
        <is>
          <t>JÄMTLANDS LÄN</t>
        </is>
      </c>
      <c r="E9912" t="inlineStr">
        <is>
          <t>STRÖMSUND</t>
        </is>
      </c>
      <c r="F9912" t="inlineStr">
        <is>
          <t>SCA</t>
        </is>
      </c>
      <c r="G9912" t="n">
        <v>11.9</v>
      </c>
      <c r="H9912" t="n">
        <v>0</v>
      </c>
      <c r="I9912" t="n">
        <v>0</v>
      </c>
      <c r="J9912" t="n">
        <v>0</v>
      </c>
      <c r="K9912" t="n">
        <v>0</v>
      </c>
      <c r="L9912" t="n">
        <v>0</v>
      </c>
      <c r="M9912" t="n">
        <v>0</v>
      </c>
      <c r="N9912" t="n">
        <v>0</v>
      </c>
      <c r="O9912" t="n">
        <v>0</v>
      </c>
      <c r="P9912" t="n">
        <v>0</v>
      </c>
      <c r="Q9912" t="n">
        <v>0</v>
      </c>
      <c r="R9912" s="2" t="inlineStr"/>
    </row>
    <row r="9913" ht="15" customHeight="1">
      <c r="A9913" t="inlineStr">
        <is>
          <t>A 53055-2023</t>
        </is>
      </c>
      <c r="B9913" s="1" t="n">
        <v>45226</v>
      </c>
      <c r="C9913" s="1" t="n">
        <v>45363</v>
      </c>
      <c r="D9913" t="inlineStr">
        <is>
          <t>JÄMTLANDS LÄN</t>
        </is>
      </c>
      <c r="E9913" t="inlineStr">
        <is>
          <t>KROKOM</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54503-2023</t>
        </is>
      </c>
      <c r="B9914" s="1" t="n">
        <v>45226</v>
      </c>
      <c r="C9914" s="1" t="n">
        <v>45363</v>
      </c>
      <c r="D9914" t="inlineStr">
        <is>
          <t>JÄMTLANDS LÄN</t>
        </is>
      </c>
      <c r="E9914" t="inlineStr">
        <is>
          <t>KROKOM</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53053-2023</t>
        </is>
      </c>
      <c r="B9915" s="1" t="n">
        <v>45226</v>
      </c>
      <c r="C9915" s="1" t="n">
        <v>45363</v>
      </c>
      <c r="D9915" t="inlineStr">
        <is>
          <t>JÄMTLANDS LÄN</t>
        </is>
      </c>
      <c r="E9915" t="inlineStr">
        <is>
          <t>STRÖMSUND</t>
        </is>
      </c>
      <c r="F9915" t="inlineStr">
        <is>
          <t>SCA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52869-2023</t>
        </is>
      </c>
      <c r="B9916" s="1" t="n">
        <v>45226</v>
      </c>
      <c r="C9916" s="1" t="n">
        <v>45363</v>
      </c>
      <c r="D9916" t="inlineStr">
        <is>
          <t>JÄMTLANDS LÄN</t>
        </is>
      </c>
      <c r="E9916" t="inlineStr">
        <is>
          <t>KROKOM</t>
        </is>
      </c>
      <c r="G9916" t="n">
        <v>0</v>
      </c>
      <c r="H9916" t="n">
        <v>0</v>
      </c>
      <c r="I9916" t="n">
        <v>0</v>
      </c>
      <c r="J9916" t="n">
        <v>0</v>
      </c>
      <c r="K9916" t="n">
        <v>0</v>
      </c>
      <c r="L9916" t="n">
        <v>0</v>
      </c>
      <c r="M9916" t="n">
        <v>0</v>
      </c>
      <c r="N9916" t="n">
        <v>0</v>
      </c>
      <c r="O9916" t="n">
        <v>0</v>
      </c>
      <c r="P9916" t="n">
        <v>0</v>
      </c>
      <c r="Q9916" t="n">
        <v>0</v>
      </c>
      <c r="R9916" s="2" t="inlineStr"/>
    </row>
    <row r="9917" ht="15" customHeight="1">
      <c r="A9917" t="inlineStr">
        <is>
          <t>A 53052-2023</t>
        </is>
      </c>
      <c r="B9917" s="1" t="n">
        <v>45226</v>
      </c>
      <c r="C9917" s="1" t="n">
        <v>45363</v>
      </c>
      <c r="D9917" t="inlineStr">
        <is>
          <t>JÄMTLANDS LÄN</t>
        </is>
      </c>
      <c r="E9917" t="inlineStr">
        <is>
          <t>STRÖMSUND</t>
        </is>
      </c>
      <c r="F9917" t="inlineStr">
        <is>
          <t>SCA</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53142-2023</t>
        </is>
      </c>
      <c r="B9918" s="1" t="n">
        <v>45229</v>
      </c>
      <c r="C9918" s="1" t="n">
        <v>45363</v>
      </c>
      <c r="D9918" t="inlineStr">
        <is>
          <t>JÄMTLANDS LÄN</t>
        </is>
      </c>
      <c r="E9918" t="inlineStr">
        <is>
          <t>STRÖMSUND</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53431-2023</t>
        </is>
      </c>
      <c r="B9919" s="1" t="n">
        <v>45229</v>
      </c>
      <c r="C9919" s="1" t="n">
        <v>45363</v>
      </c>
      <c r="D9919" t="inlineStr">
        <is>
          <t>JÄMTLANDS LÄN</t>
        </is>
      </c>
      <c r="E9919" t="inlineStr">
        <is>
          <t>HÄRJEDALEN</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53432-2023</t>
        </is>
      </c>
      <c r="B9920" s="1" t="n">
        <v>45229</v>
      </c>
      <c r="C9920" s="1" t="n">
        <v>45363</v>
      </c>
      <c r="D9920" t="inlineStr">
        <is>
          <t>JÄMTLANDS LÄN</t>
        </is>
      </c>
      <c r="E9920" t="inlineStr">
        <is>
          <t>HÄRJEDALEN</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53455-2023</t>
        </is>
      </c>
      <c r="B9921" s="1" t="n">
        <v>45230</v>
      </c>
      <c r="C9921" s="1" t="n">
        <v>45363</v>
      </c>
      <c r="D9921" t="inlineStr">
        <is>
          <t>JÄMTLANDS LÄN</t>
        </is>
      </c>
      <c r="E9921" t="inlineStr">
        <is>
          <t>RAGUNDA</t>
        </is>
      </c>
      <c r="F9921" t="inlineStr">
        <is>
          <t>SCA</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53151-2023</t>
        </is>
      </c>
      <c r="B9922" s="1" t="n">
        <v>45229</v>
      </c>
      <c r="C9922" s="1" t="n">
        <v>45363</v>
      </c>
      <c r="D9922" t="inlineStr">
        <is>
          <t>JÄMTLANDS LÄN</t>
        </is>
      </c>
      <c r="E9922" t="inlineStr">
        <is>
          <t>BERG</t>
        </is>
      </c>
      <c r="G9922" t="n">
        <v>14.1</v>
      </c>
      <c r="H9922" t="n">
        <v>0</v>
      </c>
      <c r="I9922" t="n">
        <v>0</v>
      </c>
      <c r="J9922" t="n">
        <v>0</v>
      </c>
      <c r="K9922" t="n">
        <v>0</v>
      </c>
      <c r="L9922" t="n">
        <v>0</v>
      </c>
      <c r="M9922" t="n">
        <v>0</v>
      </c>
      <c r="N9922" t="n">
        <v>0</v>
      </c>
      <c r="O9922" t="n">
        <v>0</v>
      </c>
      <c r="P9922" t="n">
        <v>0</v>
      </c>
      <c r="Q9922" t="n">
        <v>0</v>
      </c>
      <c r="R9922" s="2" t="inlineStr"/>
    </row>
    <row r="9923" ht="15" customHeight="1">
      <c r="A9923" t="inlineStr">
        <is>
          <t>A 54847-2023</t>
        </is>
      </c>
      <c r="B9923" s="1" t="n">
        <v>45229</v>
      </c>
      <c r="C9923" s="1" t="n">
        <v>45363</v>
      </c>
      <c r="D9923" t="inlineStr">
        <is>
          <t>JÄMTLANDS LÄN</t>
        </is>
      </c>
      <c r="E9923" t="inlineStr">
        <is>
          <t>ÅRE</t>
        </is>
      </c>
      <c r="G9923" t="n">
        <v>16.6</v>
      </c>
      <c r="H9923" t="n">
        <v>0</v>
      </c>
      <c r="I9923" t="n">
        <v>0</v>
      </c>
      <c r="J9923" t="n">
        <v>0</v>
      </c>
      <c r="K9923" t="n">
        <v>0</v>
      </c>
      <c r="L9923" t="n">
        <v>0</v>
      </c>
      <c r="M9923" t="n">
        <v>0</v>
      </c>
      <c r="N9923" t="n">
        <v>0</v>
      </c>
      <c r="O9923" t="n">
        <v>0</v>
      </c>
      <c r="P9923" t="n">
        <v>0</v>
      </c>
      <c r="Q9923" t="n">
        <v>0</v>
      </c>
      <c r="R9923" s="2" t="inlineStr"/>
    </row>
    <row r="9924" ht="15" customHeight="1">
      <c r="A9924" t="inlineStr">
        <is>
          <t>A 54880-2023</t>
        </is>
      </c>
      <c r="B9924" s="1" t="n">
        <v>45229</v>
      </c>
      <c r="C9924" s="1" t="n">
        <v>45363</v>
      </c>
      <c r="D9924" t="inlineStr">
        <is>
          <t>JÄMTLANDS LÄN</t>
        </is>
      </c>
      <c r="E9924" t="inlineStr">
        <is>
          <t>BERG</t>
        </is>
      </c>
      <c r="G9924" t="n">
        <v>16.8</v>
      </c>
      <c r="H9924" t="n">
        <v>0</v>
      </c>
      <c r="I9924" t="n">
        <v>0</v>
      </c>
      <c r="J9924" t="n">
        <v>0</v>
      </c>
      <c r="K9924" t="n">
        <v>0</v>
      </c>
      <c r="L9924" t="n">
        <v>0</v>
      </c>
      <c r="M9924" t="n">
        <v>0</v>
      </c>
      <c r="N9924" t="n">
        <v>0</v>
      </c>
      <c r="O9924" t="n">
        <v>0</v>
      </c>
      <c r="P9924" t="n">
        <v>0</v>
      </c>
      <c r="Q9924" t="n">
        <v>0</v>
      </c>
      <c r="R9924" s="2" t="inlineStr"/>
    </row>
    <row r="9925" ht="15" customHeight="1">
      <c r="A9925" t="inlineStr">
        <is>
          <t>A 54899-2023</t>
        </is>
      </c>
      <c r="B9925" s="1" t="n">
        <v>45229</v>
      </c>
      <c r="C9925" s="1" t="n">
        <v>45363</v>
      </c>
      <c r="D9925" t="inlineStr">
        <is>
          <t>JÄMTLANDS LÄN</t>
        </is>
      </c>
      <c r="E9925" t="inlineStr">
        <is>
          <t>STRÖMSUND</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53760-2023</t>
        </is>
      </c>
      <c r="B9926" s="1" t="n">
        <v>45230</v>
      </c>
      <c r="C9926" s="1" t="n">
        <v>45363</v>
      </c>
      <c r="D9926" t="inlineStr">
        <is>
          <t>JÄMTLANDS LÄN</t>
        </is>
      </c>
      <c r="E9926" t="inlineStr">
        <is>
          <t>BRÄCKE</t>
        </is>
      </c>
      <c r="F9926" t="inlineStr">
        <is>
          <t>SCA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53681-2023</t>
        </is>
      </c>
      <c r="B9927" s="1" t="n">
        <v>45230</v>
      </c>
      <c r="C9927" s="1" t="n">
        <v>45363</v>
      </c>
      <c r="D9927" t="inlineStr">
        <is>
          <t>JÄMTLANDS LÄN</t>
        </is>
      </c>
      <c r="E9927" t="inlineStr">
        <is>
          <t>HÄRJEDALEN</t>
        </is>
      </c>
      <c r="G9927" t="n">
        <v>13.6</v>
      </c>
      <c r="H9927" t="n">
        <v>0</v>
      </c>
      <c r="I9927" t="n">
        <v>0</v>
      </c>
      <c r="J9927" t="n">
        <v>0</v>
      </c>
      <c r="K9927" t="n">
        <v>0</v>
      </c>
      <c r="L9927" t="n">
        <v>0</v>
      </c>
      <c r="M9927" t="n">
        <v>0</v>
      </c>
      <c r="N9927" t="n">
        <v>0</v>
      </c>
      <c r="O9927" t="n">
        <v>0</v>
      </c>
      <c r="P9927" t="n">
        <v>0</v>
      </c>
      <c r="Q9927" t="n">
        <v>0</v>
      </c>
      <c r="R9927" s="2" t="inlineStr"/>
    </row>
    <row r="9928" ht="15" customHeight="1">
      <c r="A9928" t="inlineStr">
        <is>
          <t>A 53762-2023</t>
        </is>
      </c>
      <c r="B9928" s="1" t="n">
        <v>45231</v>
      </c>
      <c r="C9928" s="1" t="n">
        <v>45363</v>
      </c>
      <c r="D9928" t="inlineStr">
        <is>
          <t>JÄMTLANDS LÄN</t>
        </is>
      </c>
      <c r="E9928" t="inlineStr">
        <is>
          <t>RAGUNDA</t>
        </is>
      </c>
      <c r="F9928" t="inlineStr">
        <is>
          <t>SCA</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53766-2023</t>
        </is>
      </c>
      <c r="B9929" s="1" t="n">
        <v>45231</v>
      </c>
      <c r="C9929" s="1" t="n">
        <v>45363</v>
      </c>
      <c r="D9929" t="inlineStr">
        <is>
          <t>JÄMTLANDS LÄN</t>
        </is>
      </c>
      <c r="E9929" t="inlineStr">
        <is>
          <t>RAGUNDA</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53555-2023</t>
        </is>
      </c>
      <c r="B9930" s="1" t="n">
        <v>45230</v>
      </c>
      <c r="C9930" s="1" t="n">
        <v>45363</v>
      </c>
      <c r="D9930" t="inlineStr">
        <is>
          <t>JÄMTLANDS LÄN</t>
        </is>
      </c>
      <c r="E9930" t="inlineStr">
        <is>
          <t>BRÄCKE</t>
        </is>
      </c>
      <c r="G9930" t="n">
        <v>8.1</v>
      </c>
      <c r="H9930" t="n">
        <v>0</v>
      </c>
      <c r="I9930" t="n">
        <v>0</v>
      </c>
      <c r="J9930" t="n">
        <v>0</v>
      </c>
      <c r="K9930" t="n">
        <v>0</v>
      </c>
      <c r="L9930" t="n">
        <v>0</v>
      </c>
      <c r="M9930" t="n">
        <v>0</v>
      </c>
      <c r="N9930" t="n">
        <v>0</v>
      </c>
      <c r="O9930" t="n">
        <v>0</v>
      </c>
      <c r="P9930" t="n">
        <v>0</v>
      </c>
      <c r="Q9930" t="n">
        <v>0</v>
      </c>
      <c r="R9930" s="2" t="inlineStr"/>
    </row>
    <row r="9931" ht="15" customHeight="1">
      <c r="A9931" t="inlineStr">
        <is>
          <t>A 53688-2023</t>
        </is>
      </c>
      <c r="B9931" s="1" t="n">
        <v>45230</v>
      </c>
      <c r="C9931" s="1" t="n">
        <v>45363</v>
      </c>
      <c r="D9931" t="inlineStr">
        <is>
          <t>JÄMTLANDS LÄN</t>
        </is>
      </c>
      <c r="E9931" t="inlineStr">
        <is>
          <t>BERG</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53761-2023</t>
        </is>
      </c>
      <c r="B9932" s="1" t="n">
        <v>45231</v>
      </c>
      <c r="C9932" s="1" t="n">
        <v>45363</v>
      </c>
      <c r="D9932" t="inlineStr">
        <is>
          <t>JÄMTLANDS LÄN</t>
        </is>
      </c>
      <c r="E9932" t="inlineStr">
        <is>
          <t>BRÄCKE</t>
        </is>
      </c>
      <c r="F9932" t="inlineStr">
        <is>
          <t>SCA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53769-2023</t>
        </is>
      </c>
      <c r="B9933" s="1" t="n">
        <v>45230</v>
      </c>
      <c r="C9933" s="1" t="n">
        <v>45363</v>
      </c>
      <c r="D9933" t="inlineStr">
        <is>
          <t>JÄMTLANDS LÄN</t>
        </is>
      </c>
      <c r="E9933" t="inlineStr">
        <is>
          <t>RAGUNDA</t>
        </is>
      </c>
      <c r="F9933" t="inlineStr">
        <is>
          <t>SCA</t>
        </is>
      </c>
      <c r="G9933" t="n">
        <v>11.6</v>
      </c>
      <c r="H9933" t="n">
        <v>0</v>
      </c>
      <c r="I9933" t="n">
        <v>0</v>
      </c>
      <c r="J9933" t="n">
        <v>0</v>
      </c>
      <c r="K9933" t="n">
        <v>0</v>
      </c>
      <c r="L9933" t="n">
        <v>0</v>
      </c>
      <c r="M9933" t="n">
        <v>0</v>
      </c>
      <c r="N9933" t="n">
        <v>0</v>
      </c>
      <c r="O9933" t="n">
        <v>0</v>
      </c>
      <c r="P9933" t="n">
        <v>0</v>
      </c>
      <c r="Q9933" t="n">
        <v>0</v>
      </c>
      <c r="R9933" s="2" t="inlineStr"/>
    </row>
    <row r="9934" ht="15" customHeight="1">
      <c r="A9934" t="inlineStr">
        <is>
          <t>A 55109-2023</t>
        </is>
      </c>
      <c r="B9934" s="1" t="n">
        <v>45230</v>
      </c>
      <c r="C9934" s="1" t="n">
        <v>45363</v>
      </c>
      <c r="D9934" t="inlineStr">
        <is>
          <t>JÄMTLANDS LÄN</t>
        </is>
      </c>
      <c r="E9934" t="inlineStr">
        <is>
          <t>ÅRE</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53804-2023</t>
        </is>
      </c>
      <c r="B9935" s="1" t="n">
        <v>45231</v>
      </c>
      <c r="C9935" s="1" t="n">
        <v>45363</v>
      </c>
      <c r="D9935" t="inlineStr">
        <is>
          <t>JÄMTLANDS LÄN</t>
        </is>
      </c>
      <c r="E9935" t="inlineStr">
        <is>
          <t>HÄRJEDALEN</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53885-2023</t>
        </is>
      </c>
      <c r="B9936" s="1" t="n">
        <v>45231</v>
      </c>
      <c r="C9936" s="1" t="n">
        <v>45363</v>
      </c>
      <c r="D9936" t="inlineStr">
        <is>
          <t>JÄMTLANDS LÄN</t>
        </is>
      </c>
      <c r="E9936" t="inlineStr">
        <is>
          <t>BERG</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53894-2023</t>
        </is>
      </c>
      <c r="B9937" s="1" t="n">
        <v>45231</v>
      </c>
      <c r="C9937" s="1" t="n">
        <v>45363</v>
      </c>
      <c r="D9937" t="inlineStr">
        <is>
          <t>JÄMTLANDS LÄN</t>
        </is>
      </c>
      <c r="E9937" t="inlineStr">
        <is>
          <t>BERG</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53899-2023</t>
        </is>
      </c>
      <c r="B9938" s="1" t="n">
        <v>45231</v>
      </c>
      <c r="C9938" s="1" t="n">
        <v>45363</v>
      </c>
      <c r="D9938" t="inlineStr">
        <is>
          <t>JÄMTLANDS LÄN</t>
        </is>
      </c>
      <c r="E9938" t="inlineStr">
        <is>
          <t>ÅRE</t>
        </is>
      </c>
      <c r="G9938" t="n">
        <v>20.4</v>
      </c>
      <c r="H9938" t="n">
        <v>0</v>
      </c>
      <c r="I9938" t="n">
        <v>0</v>
      </c>
      <c r="J9938" t="n">
        <v>0</v>
      </c>
      <c r="K9938" t="n">
        <v>0</v>
      </c>
      <c r="L9938" t="n">
        <v>0</v>
      </c>
      <c r="M9938" t="n">
        <v>0</v>
      </c>
      <c r="N9938" t="n">
        <v>0</v>
      </c>
      <c r="O9938" t="n">
        <v>0</v>
      </c>
      <c r="P9938" t="n">
        <v>0</v>
      </c>
      <c r="Q9938" t="n">
        <v>0</v>
      </c>
      <c r="R9938" s="2" t="inlineStr"/>
    </row>
    <row r="9939" ht="15" customHeight="1">
      <c r="A9939" t="inlineStr">
        <is>
          <t>A 53908-2023</t>
        </is>
      </c>
      <c r="B9939" s="1" t="n">
        <v>45231</v>
      </c>
      <c r="C9939" s="1" t="n">
        <v>45363</v>
      </c>
      <c r="D9939" t="inlineStr">
        <is>
          <t>JÄMTLANDS LÄN</t>
        </is>
      </c>
      <c r="E9939" t="inlineStr">
        <is>
          <t>KROKOM</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53916-2023</t>
        </is>
      </c>
      <c r="B9940" s="1" t="n">
        <v>45231</v>
      </c>
      <c r="C9940" s="1" t="n">
        <v>45363</v>
      </c>
      <c r="D9940" t="inlineStr">
        <is>
          <t>JÄMTLANDS LÄN</t>
        </is>
      </c>
      <c r="E9940" t="inlineStr">
        <is>
          <t>KROKOM</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54043-2023</t>
        </is>
      </c>
      <c r="B9941" s="1" t="n">
        <v>45231</v>
      </c>
      <c r="C9941" s="1" t="n">
        <v>45363</v>
      </c>
      <c r="D9941" t="inlineStr">
        <is>
          <t>JÄMTLANDS LÄN</t>
        </is>
      </c>
      <c r="E9941" t="inlineStr">
        <is>
          <t>KROKOM</t>
        </is>
      </c>
      <c r="F9941" t="inlineStr">
        <is>
          <t>SCA</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54063-2023</t>
        </is>
      </c>
      <c r="B9942" s="1" t="n">
        <v>45231</v>
      </c>
      <c r="C9942" s="1" t="n">
        <v>45363</v>
      </c>
      <c r="D9942" t="inlineStr">
        <is>
          <t>JÄMTLANDS LÄN</t>
        </is>
      </c>
      <c r="E9942" t="inlineStr">
        <is>
          <t>STRÖMSUND</t>
        </is>
      </c>
      <c r="F9942" t="inlineStr">
        <is>
          <t>SCA</t>
        </is>
      </c>
      <c r="G9942" t="n">
        <v>10.6</v>
      </c>
      <c r="H9942" t="n">
        <v>0</v>
      </c>
      <c r="I9942" t="n">
        <v>0</v>
      </c>
      <c r="J9942" t="n">
        <v>0</v>
      </c>
      <c r="K9942" t="n">
        <v>0</v>
      </c>
      <c r="L9942" t="n">
        <v>0</v>
      </c>
      <c r="M9942" t="n">
        <v>0</v>
      </c>
      <c r="N9942" t="n">
        <v>0</v>
      </c>
      <c r="O9942" t="n">
        <v>0</v>
      </c>
      <c r="P9942" t="n">
        <v>0</v>
      </c>
      <c r="Q9942" t="n">
        <v>0</v>
      </c>
      <c r="R9942" s="2" t="inlineStr"/>
    </row>
    <row r="9943" ht="15" customHeight="1">
      <c r="A9943" t="inlineStr">
        <is>
          <t>A 54038-2023</t>
        </is>
      </c>
      <c r="B9943" s="1" t="n">
        <v>45231</v>
      </c>
      <c r="C9943" s="1" t="n">
        <v>45363</v>
      </c>
      <c r="D9943" t="inlineStr">
        <is>
          <t>JÄMTLANDS LÄN</t>
        </is>
      </c>
      <c r="E9943" t="inlineStr">
        <is>
          <t>STRÖMSUND</t>
        </is>
      </c>
      <c r="F9943" t="inlineStr">
        <is>
          <t>SCA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54042-2023</t>
        </is>
      </c>
      <c r="B9944" s="1" t="n">
        <v>45232</v>
      </c>
      <c r="C9944" s="1" t="n">
        <v>45363</v>
      </c>
      <c r="D9944" t="inlineStr">
        <is>
          <t>JÄMTLANDS LÄN</t>
        </is>
      </c>
      <c r="E9944" t="inlineStr">
        <is>
          <t>STRÖMSUND</t>
        </is>
      </c>
      <c r="F9944" t="inlineStr">
        <is>
          <t>SCA</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53993-2023</t>
        </is>
      </c>
      <c r="B9945" s="1" t="n">
        <v>45231</v>
      </c>
      <c r="C9945" s="1" t="n">
        <v>45363</v>
      </c>
      <c r="D9945" t="inlineStr">
        <is>
          <t>JÄMTLANDS LÄN</t>
        </is>
      </c>
      <c r="E9945" t="inlineStr">
        <is>
          <t>HÄRJEDALEN</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54071-2023</t>
        </is>
      </c>
      <c r="B9946" s="1" t="n">
        <v>45231</v>
      </c>
      <c r="C9946" s="1" t="n">
        <v>45363</v>
      </c>
      <c r="D9946" t="inlineStr">
        <is>
          <t>JÄMTLANDS LÄN</t>
        </is>
      </c>
      <c r="E9946" t="inlineStr">
        <is>
          <t>BERG</t>
        </is>
      </c>
      <c r="F9946" t="inlineStr">
        <is>
          <t>SCA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54054-2023</t>
        </is>
      </c>
      <c r="B9947" s="1" t="n">
        <v>45232</v>
      </c>
      <c r="C9947" s="1" t="n">
        <v>45363</v>
      </c>
      <c r="D9947" t="inlineStr">
        <is>
          <t>JÄMTLANDS LÄN</t>
        </is>
      </c>
      <c r="E9947" t="inlineStr">
        <is>
          <t>KROKOM</t>
        </is>
      </c>
      <c r="G9947" t="n">
        <v>20.8</v>
      </c>
      <c r="H9947" t="n">
        <v>0</v>
      </c>
      <c r="I9947" t="n">
        <v>0</v>
      </c>
      <c r="J9947" t="n">
        <v>0</v>
      </c>
      <c r="K9947" t="n">
        <v>0</v>
      </c>
      <c r="L9947" t="n">
        <v>0</v>
      </c>
      <c r="M9947" t="n">
        <v>0</v>
      </c>
      <c r="N9947" t="n">
        <v>0</v>
      </c>
      <c r="O9947" t="n">
        <v>0</v>
      </c>
      <c r="P9947" t="n">
        <v>0</v>
      </c>
      <c r="Q9947" t="n">
        <v>0</v>
      </c>
      <c r="R9947" s="2" t="inlineStr"/>
    </row>
    <row r="9948" ht="15" customHeight="1">
      <c r="A9948" t="inlineStr">
        <is>
          <t>A 54058-2023</t>
        </is>
      </c>
      <c r="B9948" s="1" t="n">
        <v>45231</v>
      </c>
      <c r="C9948" s="1" t="n">
        <v>45363</v>
      </c>
      <c r="D9948" t="inlineStr">
        <is>
          <t>JÄMTLANDS LÄN</t>
        </is>
      </c>
      <c r="E9948" t="inlineStr">
        <is>
          <t>KROKOM</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54062-2023</t>
        </is>
      </c>
      <c r="B9949" s="1" t="n">
        <v>45232</v>
      </c>
      <c r="C9949" s="1" t="n">
        <v>45363</v>
      </c>
      <c r="D9949" t="inlineStr">
        <is>
          <t>JÄMTLANDS LÄN</t>
        </is>
      </c>
      <c r="E9949" t="inlineStr">
        <is>
          <t>KROKOM</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54066-2023</t>
        </is>
      </c>
      <c r="B9950" s="1" t="n">
        <v>45231</v>
      </c>
      <c r="C9950" s="1" t="n">
        <v>45363</v>
      </c>
      <c r="D9950" t="inlineStr">
        <is>
          <t>JÄMTLANDS LÄN</t>
        </is>
      </c>
      <c r="E9950" t="inlineStr">
        <is>
          <t>STRÖMSUND</t>
        </is>
      </c>
      <c r="F9950" t="inlineStr">
        <is>
          <t>SCA</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54070-2023</t>
        </is>
      </c>
      <c r="B9951" s="1" t="n">
        <v>45232</v>
      </c>
      <c r="C9951" s="1" t="n">
        <v>45363</v>
      </c>
      <c r="D9951" t="inlineStr">
        <is>
          <t>JÄMTLANDS LÄN</t>
        </is>
      </c>
      <c r="E9951" t="inlineStr">
        <is>
          <t>BRÄCKE</t>
        </is>
      </c>
      <c r="G9951" t="n">
        <v>8.1</v>
      </c>
      <c r="H9951" t="n">
        <v>0</v>
      </c>
      <c r="I9951" t="n">
        <v>0</v>
      </c>
      <c r="J9951" t="n">
        <v>0</v>
      </c>
      <c r="K9951" t="n">
        <v>0</v>
      </c>
      <c r="L9951" t="n">
        <v>0</v>
      </c>
      <c r="M9951" t="n">
        <v>0</v>
      </c>
      <c r="N9951" t="n">
        <v>0</v>
      </c>
      <c r="O9951" t="n">
        <v>0</v>
      </c>
      <c r="P9951" t="n">
        <v>0</v>
      </c>
      <c r="Q9951" t="n">
        <v>0</v>
      </c>
      <c r="R9951" s="2" t="inlineStr"/>
    </row>
    <row r="9952" ht="15" customHeight="1">
      <c r="A9952" t="inlineStr">
        <is>
          <t>A 54074-2023</t>
        </is>
      </c>
      <c r="B9952" s="1" t="n">
        <v>45232</v>
      </c>
      <c r="C9952" s="1" t="n">
        <v>45363</v>
      </c>
      <c r="D9952" t="inlineStr">
        <is>
          <t>JÄMTLANDS LÄN</t>
        </is>
      </c>
      <c r="E9952" t="inlineStr">
        <is>
          <t>BRÄCKE</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55235-2023</t>
        </is>
      </c>
      <c r="B9953" s="1" t="n">
        <v>45231</v>
      </c>
      <c r="C9953" s="1" t="n">
        <v>45363</v>
      </c>
      <c r="D9953" t="inlineStr">
        <is>
          <t>JÄMTLANDS LÄN</t>
        </is>
      </c>
      <c r="E9953" t="inlineStr">
        <is>
          <t>ÖSTERSUND</t>
        </is>
      </c>
      <c r="F9953" t="inlineStr">
        <is>
          <t>SCA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55251-2023</t>
        </is>
      </c>
      <c r="B9954" s="1" t="n">
        <v>45231</v>
      </c>
      <c r="C9954" s="1" t="n">
        <v>45363</v>
      </c>
      <c r="D9954" t="inlineStr">
        <is>
          <t>JÄMTLANDS LÄN</t>
        </is>
      </c>
      <c r="E9954" t="inlineStr">
        <is>
          <t>ÖSTERSUND</t>
        </is>
      </c>
      <c r="F9954" t="inlineStr">
        <is>
          <t>SCA</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54031-2023</t>
        </is>
      </c>
      <c r="B9955" s="1" t="n">
        <v>45231</v>
      </c>
      <c r="C9955" s="1" t="n">
        <v>45363</v>
      </c>
      <c r="D9955" t="inlineStr">
        <is>
          <t>JÄMTLANDS LÄN</t>
        </is>
      </c>
      <c r="E9955" t="inlineStr">
        <is>
          <t>STRÖMSUND</t>
        </is>
      </c>
      <c r="G9955" t="n">
        <v>9.699999999999999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54056-2023</t>
        </is>
      </c>
      <c r="B9956" s="1" t="n">
        <v>45232</v>
      </c>
      <c r="C9956" s="1" t="n">
        <v>45363</v>
      </c>
      <c r="D9956" t="inlineStr">
        <is>
          <t>JÄMTLANDS LÄN</t>
        </is>
      </c>
      <c r="E9956" t="inlineStr">
        <is>
          <t>KROKOM</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54072-2023</t>
        </is>
      </c>
      <c r="B9957" s="1" t="n">
        <v>45231</v>
      </c>
      <c r="C9957" s="1" t="n">
        <v>45363</v>
      </c>
      <c r="D9957" t="inlineStr">
        <is>
          <t>JÄMTLANDS LÄN</t>
        </is>
      </c>
      <c r="E9957" t="inlineStr">
        <is>
          <t>BRÄCKE</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55242-2023</t>
        </is>
      </c>
      <c r="B9958" s="1" t="n">
        <v>45231</v>
      </c>
      <c r="C9958" s="1" t="n">
        <v>45363</v>
      </c>
      <c r="D9958" t="inlineStr">
        <is>
          <t>JÄMTLANDS LÄN</t>
        </is>
      </c>
      <c r="E9958" t="inlineStr">
        <is>
          <t>BRÄCKE</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53883-2023</t>
        </is>
      </c>
      <c r="B9959" s="1" t="n">
        <v>45231</v>
      </c>
      <c r="C9959" s="1" t="n">
        <v>45363</v>
      </c>
      <c r="D9959" t="inlineStr">
        <is>
          <t>JÄMTLANDS LÄN</t>
        </is>
      </c>
      <c r="E9959" t="inlineStr">
        <is>
          <t>BERG</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53901-2023</t>
        </is>
      </c>
      <c r="B9960" s="1" t="n">
        <v>45231</v>
      </c>
      <c r="C9960" s="1" t="n">
        <v>45363</v>
      </c>
      <c r="D9960" t="inlineStr">
        <is>
          <t>JÄMTLANDS LÄN</t>
        </is>
      </c>
      <c r="E9960" t="inlineStr">
        <is>
          <t>KROKOM</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54028-2023</t>
        </is>
      </c>
      <c r="B9961" s="1" t="n">
        <v>45231</v>
      </c>
      <c r="C9961" s="1" t="n">
        <v>45363</v>
      </c>
      <c r="D9961" t="inlineStr">
        <is>
          <t>JÄMTLANDS LÄN</t>
        </is>
      </c>
      <c r="E9961" t="inlineStr">
        <is>
          <t>STRÖMSUND</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54032-2023</t>
        </is>
      </c>
      <c r="B9962" s="1" t="n">
        <v>45231</v>
      </c>
      <c r="C9962" s="1" t="n">
        <v>45363</v>
      </c>
      <c r="D9962" t="inlineStr">
        <is>
          <t>JÄMTLANDS LÄN</t>
        </is>
      </c>
      <c r="E9962" t="inlineStr">
        <is>
          <t>STRÖMSUND</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54057-2023</t>
        </is>
      </c>
      <c r="B9963" s="1" t="n">
        <v>45232</v>
      </c>
      <c r="C9963" s="1" t="n">
        <v>45363</v>
      </c>
      <c r="D9963" t="inlineStr">
        <is>
          <t>JÄMTLANDS LÄN</t>
        </is>
      </c>
      <c r="E9963" t="inlineStr">
        <is>
          <t>KROKOM</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54061-2023</t>
        </is>
      </c>
      <c r="B9964" s="1" t="n">
        <v>45232</v>
      </c>
      <c r="C9964" s="1" t="n">
        <v>45363</v>
      </c>
      <c r="D9964" t="inlineStr">
        <is>
          <t>JÄMTLANDS LÄN</t>
        </is>
      </c>
      <c r="E9964" t="inlineStr">
        <is>
          <t>STRÖMSUND</t>
        </is>
      </c>
      <c r="F9964" t="inlineStr">
        <is>
          <t>SCA</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54069-2023</t>
        </is>
      </c>
      <c r="B9965" s="1" t="n">
        <v>45231</v>
      </c>
      <c r="C9965" s="1" t="n">
        <v>45363</v>
      </c>
      <c r="D9965" t="inlineStr">
        <is>
          <t>JÄMTLANDS LÄN</t>
        </is>
      </c>
      <c r="E9965" t="inlineStr">
        <is>
          <t>BERG</t>
        </is>
      </c>
      <c r="F9965" t="inlineStr">
        <is>
          <t>SCA</t>
        </is>
      </c>
      <c r="G9965" t="n">
        <v>18.9</v>
      </c>
      <c r="H9965" t="n">
        <v>0</v>
      </c>
      <c r="I9965" t="n">
        <v>0</v>
      </c>
      <c r="J9965" t="n">
        <v>0</v>
      </c>
      <c r="K9965" t="n">
        <v>0</v>
      </c>
      <c r="L9965" t="n">
        <v>0</v>
      </c>
      <c r="M9965" t="n">
        <v>0</v>
      </c>
      <c r="N9965" t="n">
        <v>0</v>
      </c>
      <c r="O9965" t="n">
        <v>0</v>
      </c>
      <c r="P9965" t="n">
        <v>0</v>
      </c>
      <c r="Q9965" t="n">
        <v>0</v>
      </c>
      <c r="R9965" s="2" t="inlineStr"/>
    </row>
    <row r="9966" ht="15" customHeight="1">
      <c r="A9966" t="inlineStr">
        <is>
          <t>A 54073-2023</t>
        </is>
      </c>
      <c r="B9966" s="1" t="n">
        <v>45231</v>
      </c>
      <c r="C9966" s="1" t="n">
        <v>45363</v>
      </c>
      <c r="D9966" t="inlineStr">
        <is>
          <t>JÄMTLANDS LÄN</t>
        </is>
      </c>
      <c r="E9966" t="inlineStr">
        <is>
          <t>BRÄCKE</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54077-2023</t>
        </is>
      </c>
      <c r="B9967" s="1" t="n">
        <v>45231</v>
      </c>
      <c r="C9967" s="1" t="n">
        <v>45363</v>
      </c>
      <c r="D9967" t="inlineStr">
        <is>
          <t>JÄMTLANDS LÄN</t>
        </is>
      </c>
      <c r="E9967" t="inlineStr">
        <is>
          <t>STRÖMSUND</t>
        </is>
      </c>
      <c r="F9967" t="inlineStr">
        <is>
          <t>SCA</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55250-2023</t>
        </is>
      </c>
      <c r="B9968" s="1" t="n">
        <v>45231</v>
      </c>
      <c r="C9968" s="1" t="n">
        <v>45363</v>
      </c>
      <c r="D9968" t="inlineStr">
        <is>
          <t>JÄMTLANDS LÄN</t>
        </is>
      </c>
      <c r="E9968" t="inlineStr">
        <is>
          <t>RAGUNDA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55400-2023</t>
        </is>
      </c>
      <c r="B9969" s="1" t="n">
        <v>45231</v>
      </c>
      <c r="C9969" s="1" t="n">
        <v>45363</v>
      </c>
      <c r="D9969" t="inlineStr">
        <is>
          <t>JÄMTLANDS LÄN</t>
        </is>
      </c>
      <c r="E9969" t="inlineStr">
        <is>
          <t>ÖSTERSUND</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54131-2023</t>
        </is>
      </c>
      <c r="B9970" s="1" t="n">
        <v>45232</v>
      </c>
      <c r="C9970" s="1" t="n">
        <v>45363</v>
      </c>
      <c r="D9970" t="inlineStr">
        <is>
          <t>JÄMTLANDS LÄN</t>
        </is>
      </c>
      <c r="E9970" t="inlineStr">
        <is>
          <t>ÖSTERSUND</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54160-2023</t>
        </is>
      </c>
      <c r="B9971" s="1" t="n">
        <v>45232</v>
      </c>
      <c r="C9971" s="1" t="n">
        <v>45363</v>
      </c>
      <c r="D9971" t="inlineStr">
        <is>
          <t>JÄMTLANDS LÄN</t>
        </is>
      </c>
      <c r="E9971" t="inlineStr">
        <is>
          <t>KROKOM</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54164-2023</t>
        </is>
      </c>
      <c r="B9972" s="1" t="n">
        <v>45232</v>
      </c>
      <c r="C9972" s="1" t="n">
        <v>45363</v>
      </c>
      <c r="D9972" t="inlineStr">
        <is>
          <t>JÄMTLANDS LÄN</t>
        </is>
      </c>
      <c r="E9972" t="inlineStr">
        <is>
          <t>ÅRE</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54116-2023</t>
        </is>
      </c>
      <c r="B9973" s="1" t="n">
        <v>45232</v>
      </c>
      <c r="C9973" s="1" t="n">
        <v>45363</v>
      </c>
      <c r="D9973" t="inlineStr">
        <is>
          <t>JÄMTLANDS LÄN</t>
        </is>
      </c>
      <c r="E9973" t="inlineStr">
        <is>
          <t>ÅRE</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54128-2023</t>
        </is>
      </c>
      <c r="B9974" s="1" t="n">
        <v>45232</v>
      </c>
      <c r="C9974" s="1" t="n">
        <v>45363</v>
      </c>
      <c r="D9974" t="inlineStr">
        <is>
          <t>JÄMTLANDS LÄN</t>
        </is>
      </c>
      <c r="E9974" t="inlineStr">
        <is>
          <t>ÅRE</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54175-2023</t>
        </is>
      </c>
      <c r="B9975" s="1" t="n">
        <v>45232</v>
      </c>
      <c r="C9975" s="1" t="n">
        <v>45363</v>
      </c>
      <c r="D9975" t="inlineStr">
        <is>
          <t>JÄMTLANDS LÄN</t>
        </is>
      </c>
      <c r="E9975" t="inlineStr">
        <is>
          <t>ÅRE</t>
        </is>
      </c>
      <c r="G9975" t="n">
        <v>0.1</v>
      </c>
      <c r="H9975" t="n">
        <v>0</v>
      </c>
      <c r="I9975" t="n">
        <v>0</v>
      </c>
      <c r="J9975" t="n">
        <v>0</v>
      </c>
      <c r="K9975" t="n">
        <v>0</v>
      </c>
      <c r="L9975" t="n">
        <v>0</v>
      </c>
      <c r="M9975" t="n">
        <v>0</v>
      </c>
      <c r="N9975" t="n">
        <v>0</v>
      </c>
      <c r="O9975" t="n">
        <v>0</v>
      </c>
      <c r="P9975" t="n">
        <v>0</v>
      </c>
      <c r="Q9975" t="n">
        <v>0</v>
      </c>
      <c r="R9975" s="2" t="inlineStr"/>
    </row>
    <row r="9976" ht="15" customHeight="1">
      <c r="A9976" t="inlineStr">
        <is>
          <t>A 54334-2023</t>
        </is>
      </c>
      <c r="B9976" s="1" t="n">
        <v>45232</v>
      </c>
      <c r="C9976" s="1" t="n">
        <v>45363</v>
      </c>
      <c r="D9976" t="inlineStr">
        <is>
          <t>JÄMTLANDS LÄN</t>
        </is>
      </c>
      <c r="E9976" t="inlineStr">
        <is>
          <t>BRÄCKE</t>
        </is>
      </c>
      <c r="F9976" t="inlineStr">
        <is>
          <t>SCA</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54343-2023</t>
        </is>
      </c>
      <c r="B9977" s="1" t="n">
        <v>45233</v>
      </c>
      <c r="C9977" s="1" t="n">
        <v>45363</v>
      </c>
      <c r="D9977" t="inlineStr">
        <is>
          <t>JÄMTLANDS LÄN</t>
        </is>
      </c>
      <c r="E9977" t="inlineStr">
        <is>
          <t>BERG</t>
        </is>
      </c>
      <c r="F9977" t="inlineStr">
        <is>
          <t>SCA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54315-2023</t>
        </is>
      </c>
      <c r="B9978" s="1" t="n">
        <v>45232</v>
      </c>
      <c r="C9978" s="1" t="n">
        <v>45363</v>
      </c>
      <c r="D9978" t="inlineStr">
        <is>
          <t>JÄMTLANDS LÄN</t>
        </is>
      </c>
      <c r="E9978" t="inlineStr">
        <is>
          <t>STRÖMSUND</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54319-2023</t>
        </is>
      </c>
      <c r="B9979" s="1" t="n">
        <v>45232</v>
      </c>
      <c r="C9979" s="1" t="n">
        <v>45363</v>
      </c>
      <c r="D9979" t="inlineStr">
        <is>
          <t>JÄMTLANDS LÄN</t>
        </is>
      </c>
      <c r="E9979" t="inlineStr">
        <is>
          <t>STRÖMSUND</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54333-2023</t>
        </is>
      </c>
      <c r="B9980" s="1" t="n">
        <v>45232</v>
      </c>
      <c r="C9980" s="1" t="n">
        <v>45363</v>
      </c>
      <c r="D9980" t="inlineStr">
        <is>
          <t>JÄMTLANDS LÄN</t>
        </is>
      </c>
      <c r="E9980" t="inlineStr">
        <is>
          <t>BERG</t>
        </is>
      </c>
      <c r="F9980" t="inlineStr">
        <is>
          <t>SCA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54355-2023</t>
        </is>
      </c>
      <c r="B9981" s="1" t="n">
        <v>45233</v>
      </c>
      <c r="C9981" s="1" t="n">
        <v>45363</v>
      </c>
      <c r="D9981" t="inlineStr">
        <is>
          <t>JÄMTLANDS LÄN</t>
        </is>
      </c>
      <c r="E9981" t="inlineStr">
        <is>
          <t>BRÄCKE</t>
        </is>
      </c>
      <c r="F9981" t="inlineStr">
        <is>
          <t>Kyrkan</t>
        </is>
      </c>
      <c r="G9981" t="n">
        <v>8.6</v>
      </c>
      <c r="H9981" t="n">
        <v>0</v>
      </c>
      <c r="I9981" t="n">
        <v>0</v>
      </c>
      <c r="J9981" t="n">
        <v>0</v>
      </c>
      <c r="K9981" t="n">
        <v>0</v>
      </c>
      <c r="L9981" t="n">
        <v>0</v>
      </c>
      <c r="M9981" t="n">
        <v>0</v>
      </c>
      <c r="N9981" t="n">
        <v>0</v>
      </c>
      <c r="O9981" t="n">
        <v>0</v>
      </c>
      <c r="P9981" t="n">
        <v>0</v>
      </c>
      <c r="Q9981" t="n">
        <v>0</v>
      </c>
      <c r="R9981" s="2" t="inlineStr"/>
    </row>
    <row r="9982" ht="15" customHeight="1">
      <c r="A9982" t="inlineStr">
        <is>
          <t>A 54350-2023</t>
        </is>
      </c>
      <c r="B9982" s="1" t="n">
        <v>45232</v>
      </c>
      <c r="C9982" s="1" t="n">
        <v>45363</v>
      </c>
      <c r="D9982" t="inlineStr">
        <is>
          <t>JÄMTLANDS LÄN</t>
        </is>
      </c>
      <c r="E9982" t="inlineStr">
        <is>
          <t>BRÄCKE</t>
        </is>
      </c>
      <c r="F9982" t="inlineStr">
        <is>
          <t>SCA</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54313-2023</t>
        </is>
      </c>
      <c r="B9983" s="1" t="n">
        <v>45232</v>
      </c>
      <c r="C9983" s="1" t="n">
        <v>45363</v>
      </c>
      <c r="D9983" t="inlineStr">
        <is>
          <t>JÄMTLANDS LÄN</t>
        </is>
      </c>
      <c r="E9983" t="inlineStr">
        <is>
          <t>BERG</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54322-2023</t>
        </is>
      </c>
      <c r="B9984" s="1" t="n">
        <v>45232</v>
      </c>
      <c r="C9984" s="1" t="n">
        <v>45363</v>
      </c>
      <c r="D9984" t="inlineStr">
        <is>
          <t>JÄMTLANDS LÄN</t>
        </is>
      </c>
      <c r="E9984" t="inlineStr">
        <is>
          <t>RAGUNDA</t>
        </is>
      </c>
      <c r="G9984" t="n">
        <v>11.4</v>
      </c>
      <c r="H9984" t="n">
        <v>0</v>
      </c>
      <c r="I9984" t="n">
        <v>0</v>
      </c>
      <c r="J9984" t="n">
        <v>0</v>
      </c>
      <c r="K9984" t="n">
        <v>0</v>
      </c>
      <c r="L9984" t="n">
        <v>0</v>
      </c>
      <c r="M9984" t="n">
        <v>0</v>
      </c>
      <c r="N9984" t="n">
        <v>0</v>
      </c>
      <c r="O9984" t="n">
        <v>0</v>
      </c>
      <c r="P9984" t="n">
        <v>0</v>
      </c>
      <c r="Q9984" t="n">
        <v>0</v>
      </c>
      <c r="R9984" s="2" t="inlineStr"/>
    </row>
    <row r="9985" ht="15" customHeight="1">
      <c r="A9985" t="inlineStr">
        <is>
          <t>A 54328-2023</t>
        </is>
      </c>
      <c r="B9985" s="1" t="n">
        <v>45232</v>
      </c>
      <c r="C9985" s="1" t="n">
        <v>45363</v>
      </c>
      <c r="D9985" t="inlineStr">
        <is>
          <t>JÄMTLANDS LÄN</t>
        </is>
      </c>
      <c r="E9985" t="inlineStr">
        <is>
          <t>BRÄCKE</t>
        </is>
      </c>
      <c r="F9985" t="inlineStr">
        <is>
          <t>SCA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54332-2023</t>
        </is>
      </c>
      <c r="B9986" s="1" t="n">
        <v>45232</v>
      </c>
      <c r="C9986" s="1" t="n">
        <v>45363</v>
      </c>
      <c r="D9986" t="inlineStr">
        <is>
          <t>JÄMTLANDS LÄN</t>
        </is>
      </c>
      <c r="E9986" t="inlineStr">
        <is>
          <t>BRÄCKE</t>
        </is>
      </c>
      <c r="F9986" t="inlineStr">
        <is>
          <t>SCA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54321-2023</t>
        </is>
      </c>
      <c r="B9987" s="1" t="n">
        <v>45232</v>
      </c>
      <c r="C9987" s="1" t="n">
        <v>45363</v>
      </c>
      <c r="D9987" t="inlineStr">
        <is>
          <t>JÄMTLANDS LÄN</t>
        </is>
      </c>
      <c r="E9987" t="inlineStr">
        <is>
          <t>RAGUNDA</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54331-2023</t>
        </is>
      </c>
      <c r="B9988" s="1" t="n">
        <v>45232</v>
      </c>
      <c r="C9988" s="1" t="n">
        <v>45363</v>
      </c>
      <c r="D9988" t="inlineStr">
        <is>
          <t>JÄMTLANDS LÄN</t>
        </is>
      </c>
      <c r="E9988" t="inlineStr">
        <is>
          <t>BRÄCKE</t>
        </is>
      </c>
      <c r="F9988" t="inlineStr">
        <is>
          <t>SCA</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54335-2023</t>
        </is>
      </c>
      <c r="B9989" s="1" t="n">
        <v>45232</v>
      </c>
      <c r="C9989" s="1" t="n">
        <v>45363</v>
      </c>
      <c r="D9989" t="inlineStr">
        <is>
          <t>JÄMTLANDS LÄN</t>
        </is>
      </c>
      <c r="E9989" t="inlineStr">
        <is>
          <t>BRÄCKE</t>
        </is>
      </c>
      <c r="F9989" t="inlineStr">
        <is>
          <t>SCA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54344-2023</t>
        </is>
      </c>
      <c r="B9990" s="1" t="n">
        <v>45233</v>
      </c>
      <c r="C9990" s="1" t="n">
        <v>45363</v>
      </c>
      <c r="D9990" t="inlineStr">
        <is>
          <t>JÄMTLANDS LÄN</t>
        </is>
      </c>
      <c r="E9990" t="inlineStr">
        <is>
          <t>BERG</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54352-2023</t>
        </is>
      </c>
      <c r="B9991" s="1" t="n">
        <v>45233</v>
      </c>
      <c r="C9991" s="1" t="n">
        <v>45363</v>
      </c>
      <c r="D9991" t="inlineStr">
        <is>
          <t>JÄMTLANDS LÄN</t>
        </is>
      </c>
      <c r="E9991" t="inlineStr">
        <is>
          <t>BRÄCKE</t>
        </is>
      </c>
      <c r="F9991" t="inlineStr">
        <is>
          <t>SCA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55548-2023</t>
        </is>
      </c>
      <c r="B9992" s="1" t="n">
        <v>45232</v>
      </c>
      <c r="C9992" s="1" t="n">
        <v>45363</v>
      </c>
      <c r="D9992" t="inlineStr">
        <is>
          <t>JÄMTLANDS LÄN</t>
        </is>
      </c>
      <c r="E9992" t="inlineStr">
        <is>
          <t>BRÄCKE</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56044-2023</t>
        </is>
      </c>
      <c r="B9993" s="1" t="n">
        <v>45233</v>
      </c>
      <c r="C9993" s="1" t="n">
        <v>45363</v>
      </c>
      <c r="D9993" t="inlineStr">
        <is>
          <t>JÄMTLANDS LÄN</t>
        </is>
      </c>
      <c r="E9993" t="inlineStr">
        <is>
          <t>ÅRE</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54612-2023</t>
        </is>
      </c>
      <c r="B9994" s="1" t="n">
        <v>45233</v>
      </c>
      <c r="C9994" s="1" t="n">
        <v>45363</v>
      </c>
      <c r="D9994" t="inlineStr">
        <is>
          <t>JÄMTLANDS LÄN</t>
        </is>
      </c>
      <c r="E9994" t="inlineStr">
        <is>
          <t>BRÄCKE</t>
        </is>
      </c>
      <c r="F9994" t="inlineStr">
        <is>
          <t>SCA</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54608-2023</t>
        </is>
      </c>
      <c r="B9995" s="1" t="n">
        <v>45233</v>
      </c>
      <c r="C9995" s="1" t="n">
        <v>45363</v>
      </c>
      <c r="D9995" t="inlineStr">
        <is>
          <t>JÄMTLANDS LÄN</t>
        </is>
      </c>
      <c r="E9995" t="inlineStr">
        <is>
          <t>ÖSTERSUND</t>
        </is>
      </c>
      <c r="F9995" t="inlineStr">
        <is>
          <t>SCA</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56074-2023</t>
        </is>
      </c>
      <c r="B9996" s="1" t="n">
        <v>45233</v>
      </c>
      <c r="C9996" s="1" t="n">
        <v>45363</v>
      </c>
      <c r="D9996" t="inlineStr">
        <is>
          <t>JÄMTLANDS LÄN</t>
        </is>
      </c>
      <c r="E9996" t="inlineStr">
        <is>
          <t>STRÖMSUND</t>
        </is>
      </c>
      <c r="G9996" t="n">
        <v>6.6</v>
      </c>
      <c r="H9996" t="n">
        <v>0</v>
      </c>
      <c r="I9996" t="n">
        <v>0</v>
      </c>
      <c r="J9996" t="n">
        <v>0</v>
      </c>
      <c r="K9996" t="n">
        <v>0</v>
      </c>
      <c r="L9996" t="n">
        <v>0</v>
      </c>
      <c r="M9996" t="n">
        <v>0</v>
      </c>
      <c r="N9996" t="n">
        <v>0</v>
      </c>
      <c r="O9996" t="n">
        <v>0</v>
      </c>
      <c r="P9996" t="n">
        <v>0</v>
      </c>
      <c r="Q9996" t="n">
        <v>0</v>
      </c>
      <c r="R9996" s="2" t="inlineStr"/>
    </row>
    <row r="9997" ht="15" customHeight="1">
      <c r="A9997" t="inlineStr">
        <is>
          <t>A 55996-2023</t>
        </is>
      </c>
      <c r="B9997" s="1" t="n">
        <v>45233</v>
      </c>
      <c r="C9997" s="1" t="n">
        <v>45363</v>
      </c>
      <c r="D9997" t="inlineStr">
        <is>
          <t>JÄMTLANDS LÄN</t>
        </is>
      </c>
      <c r="E9997" t="inlineStr">
        <is>
          <t>ÖSTERSUND</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56043-2023</t>
        </is>
      </c>
      <c r="B9998" s="1" t="n">
        <v>45233</v>
      </c>
      <c r="C9998" s="1" t="n">
        <v>45363</v>
      </c>
      <c r="D9998" t="inlineStr">
        <is>
          <t>JÄMTLANDS LÄN</t>
        </is>
      </c>
      <c r="E9998" t="inlineStr">
        <is>
          <t>ÖSTERSUND</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54576-2023</t>
        </is>
      </c>
      <c r="B9999" s="1" t="n">
        <v>45233</v>
      </c>
      <c r="C9999" s="1" t="n">
        <v>45363</v>
      </c>
      <c r="D9999" t="inlineStr">
        <is>
          <t>JÄMTLANDS LÄN</t>
        </is>
      </c>
      <c r="E9999" t="inlineStr">
        <is>
          <t>ÖSTERSUND</t>
        </is>
      </c>
      <c r="F9999" t="inlineStr">
        <is>
          <t>Övriga Aktiebolag</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54599-2023</t>
        </is>
      </c>
      <c r="B10000" s="1" t="n">
        <v>45233</v>
      </c>
      <c r="C10000" s="1" t="n">
        <v>45363</v>
      </c>
      <c r="D10000" t="inlineStr">
        <is>
          <t>JÄMTLANDS LÄN</t>
        </is>
      </c>
      <c r="E10000" t="inlineStr">
        <is>
          <t>RAGUNDA</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54482-2023</t>
        </is>
      </c>
      <c r="B10001" s="1" t="n">
        <v>45233</v>
      </c>
      <c r="C10001" s="1" t="n">
        <v>45363</v>
      </c>
      <c r="D10001" t="inlineStr">
        <is>
          <t>JÄMTLANDS LÄN</t>
        </is>
      </c>
      <c r="E10001" t="inlineStr">
        <is>
          <t>STRÖMSUND</t>
        </is>
      </c>
      <c r="F10001" t="inlineStr">
        <is>
          <t>Holmen skog AB</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54478-2023</t>
        </is>
      </c>
      <c r="B10002" s="1" t="n">
        <v>45233</v>
      </c>
      <c r="C10002" s="1" t="n">
        <v>45363</v>
      </c>
      <c r="D10002" t="inlineStr">
        <is>
          <t>JÄMTLANDS LÄN</t>
        </is>
      </c>
      <c r="E10002" t="inlineStr">
        <is>
          <t>STRÖMSUND</t>
        </is>
      </c>
      <c r="F10002" t="inlineStr">
        <is>
          <t>Holmen skog AB</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54460-2023</t>
        </is>
      </c>
      <c r="B10003" s="1" t="n">
        <v>45233</v>
      </c>
      <c r="C10003" s="1" t="n">
        <v>45363</v>
      </c>
      <c r="D10003" t="inlineStr">
        <is>
          <t>JÄMTLANDS LÄN</t>
        </is>
      </c>
      <c r="E10003" t="inlineStr">
        <is>
          <t>BRÄCKE</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54600-2023</t>
        </is>
      </c>
      <c r="B10004" s="1" t="n">
        <v>45233</v>
      </c>
      <c r="C10004" s="1" t="n">
        <v>45363</v>
      </c>
      <c r="D10004" t="inlineStr">
        <is>
          <t>JÄMTLANDS LÄN</t>
        </is>
      </c>
      <c r="E10004" t="inlineStr">
        <is>
          <t>BRÄCKE</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54415-2023</t>
        </is>
      </c>
      <c r="B10005" s="1" t="n">
        <v>45233</v>
      </c>
      <c r="C10005" s="1" t="n">
        <v>45363</v>
      </c>
      <c r="D10005" t="inlineStr">
        <is>
          <t>JÄMTLANDS LÄN</t>
        </is>
      </c>
      <c r="E10005" t="inlineStr">
        <is>
          <t>BERG</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54598-2023</t>
        </is>
      </c>
      <c r="B10006" s="1" t="n">
        <v>45233</v>
      </c>
      <c r="C10006" s="1" t="n">
        <v>45363</v>
      </c>
      <c r="D10006" t="inlineStr">
        <is>
          <t>JÄMTLANDS LÄN</t>
        </is>
      </c>
      <c r="E10006" t="inlineStr">
        <is>
          <t>STRÖMSUND</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54479-2023</t>
        </is>
      </c>
      <c r="B10007" s="1" t="n">
        <v>45233</v>
      </c>
      <c r="C10007" s="1" t="n">
        <v>45363</v>
      </c>
      <c r="D10007" t="inlineStr">
        <is>
          <t>JÄMTLANDS LÄN</t>
        </is>
      </c>
      <c r="E10007" t="inlineStr">
        <is>
          <t>STRÖMSUND</t>
        </is>
      </c>
      <c r="F10007" t="inlineStr">
        <is>
          <t>Holmen skog AB</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54447-2023</t>
        </is>
      </c>
      <c r="B10008" s="1" t="n">
        <v>45233</v>
      </c>
      <c r="C10008" s="1" t="n">
        <v>45363</v>
      </c>
      <c r="D10008" t="inlineStr">
        <is>
          <t>JÄMTLANDS LÄN</t>
        </is>
      </c>
      <c r="E10008" t="inlineStr">
        <is>
          <t>BRÄCKE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54412-2023</t>
        </is>
      </c>
      <c r="B10009" s="1" t="n">
        <v>45233</v>
      </c>
      <c r="C10009" s="1" t="n">
        <v>45363</v>
      </c>
      <c r="D10009" t="inlineStr">
        <is>
          <t>JÄMTLANDS LÄN</t>
        </is>
      </c>
      <c r="E10009" t="inlineStr">
        <is>
          <t>BERG</t>
        </is>
      </c>
      <c r="G10009" t="n">
        <v>10.7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54382-2023</t>
        </is>
      </c>
      <c r="B10010" s="1" t="n">
        <v>45233</v>
      </c>
      <c r="C10010" s="1" t="n">
        <v>45363</v>
      </c>
      <c r="D10010" t="inlineStr">
        <is>
          <t>JÄMTLANDS LÄN</t>
        </is>
      </c>
      <c r="E10010" t="inlineStr">
        <is>
          <t>HÄRJEDALEN</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54451-2023</t>
        </is>
      </c>
      <c r="B10011" s="1" t="n">
        <v>45233</v>
      </c>
      <c r="C10011" s="1" t="n">
        <v>45363</v>
      </c>
      <c r="D10011" t="inlineStr">
        <is>
          <t>JÄMTLANDS LÄN</t>
        </is>
      </c>
      <c r="E10011" t="inlineStr">
        <is>
          <t>BRÄCKE</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54385-2023</t>
        </is>
      </c>
      <c r="B10012" s="1" t="n">
        <v>45233</v>
      </c>
      <c r="C10012" s="1" t="n">
        <v>45363</v>
      </c>
      <c r="D10012" t="inlineStr">
        <is>
          <t>JÄMTLANDS LÄN</t>
        </is>
      </c>
      <c r="E10012" t="inlineStr">
        <is>
          <t>ÅRE</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54377-2023</t>
        </is>
      </c>
      <c r="B10013" s="1" t="n">
        <v>45233</v>
      </c>
      <c r="C10013" s="1" t="n">
        <v>45363</v>
      </c>
      <c r="D10013" t="inlineStr">
        <is>
          <t>JÄMTLANDS LÄN</t>
        </is>
      </c>
      <c r="E10013" t="inlineStr">
        <is>
          <t>ÅRE</t>
        </is>
      </c>
      <c r="G10013" t="n">
        <v>8.699999999999999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54373-2023</t>
        </is>
      </c>
      <c r="B10014" s="1" t="n">
        <v>45233</v>
      </c>
      <c r="C10014" s="1" t="n">
        <v>45363</v>
      </c>
      <c r="D10014" t="inlineStr">
        <is>
          <t>JÄMTLANDS LÄN</t>
        </is>
      </c>
      <c r="E10014" t="inlineStr">
        <is>
          <t>ÅRE</t>
        </is>
      </c>
      <c r="G10014" t="n">
        <v>9.199999999999999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54751-2023</t>
        </is>
      </c>
      <c r="B10015" s="1" t="n">
        <v>45236</v>
      </c>
      <c r="C10015" s="1" t="n">
        <v>45363</v>
      </c>
      <c r="D10015" t="inlineStr">
        <is>
          <t>JÄMTLANDS LÄN</t>
        </is>
      </c>
      <c r="E10015" t="inlineStr">
        <is>
          <t>BERG</t>
        </is>
      </c>
      <c r="F10015" t="inlineStr">
        <is>
          <t>Övriga Aktiebolag</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54762-2023</t>
        </is>
      </c>
      <c r="B10016" s="1" t="n">
        <v>45236</v>
      </c>
      <c r="C10016" s="1" t="n">
        <v>45363</v>
      </c>
      <c r="D10016" t="inlineStr">
        <is>
          <t>JÄMTLANDS LÄN</t>
        </is>
      </c>
      <c r="E10016" t="inlineStr">
        <is>
          <t>ÖSTERSUND</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54781-2023</t>
        </is>
      </c>
      <c r="B10017" s="1" t="n">
        <v>45236</v>
      </c>
      <c r="C10017" s="1" t="n">
        <v>45363</v>
      </c>
      <c r="D10017" t="inlineStr">
        <is>
          <t>JÄMTLANDS LÄN</t>
        </is>
      </c>
      <c r="E10017" t="inlineStr">
        <is>
          <t>ÅRE</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54796-2023</t>
        </is>
      </c>
      <c r="B10018" s="1" t="n">
        <v>45236</v>
      </c>
      <c r="C10018" s="1" t="n">
        <v>45363</v>
      </c>
      <c r="D10018" t="inlineStr">
        <is>
          <t>JÄMTLANDS LÄN</t>
        </is>
      </c>
      <c r="E10018" t="inlineStr">
        <is>
          <t>ÅRE</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54743-2023</t>
        </is>
      </c>
      <c r="B10019" s="1" t="n">
        <v>45236</v>
      </c>
      <c r="C10019" s="1" t="n">
        <v>45363</v>
      </c>
      <c r="D10019" t="inlineStr">
        <is>
          <t>JÄMTLANDS LÄN</t>
        </is>
      </c>
      <c r="E10019" t="inlineStr">
        <is>
          <t>BERG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54863-2023</t>
        </is>
      </c>
      <c r="B10020" s="1" t="n">
        <v>45236</v>
      </c>
      <c r="C10020" s="1" t="n">
        <v>45363</v>
      </c>
      <c r="D10020" t="inlineStr">
        <is>
          <t>JÄMTLANDS LÄN</t>
        </is>
      </c>
      <c r="E10020" t="inlineStr">
        <is>
          <t>BERG</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54883-2023</t>
        </is>
      </c>
      <c r="B10021" s="1" t="n">
        <v>45236</v>
      </c>
      <c r="C10021" s="1" t="n">
        <v>45363</v>
      </c>
      <c r="D10021" t="inlineStr">
        <is>
          <t>JÄMTLANDS LÄN</t>
        </is>
      </c>
      <c r="E10021" t="inlineStr">
        <is>
          <t>ÖSTERSUND</t>
        </is>
      </c>
      <c r="F10021" t="inlineStr">
        <is>
          <t>Övriga Aktiebolag</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54898-2023</t>
        </is>
      </c>
      <c r="B10022" s="1" t="n">
        <v>45236</v>
      </c>
      <c r="C10022" s="1" t="n">
        <v>45363</v>
      </c>
      <c r="D10022" t="inlineStr">
        <is>
          <t>JÄMTLANDS LÄN</t>
        </is>
      </c>
      <c r="E10022" t="inlineStr">
        <is>
          <t>ÅRE</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54991-2023</t>
        </is>
      </c>
      <c r="B10023" s="1" t="n">
        <v>45237</v>
      </c>
      <c r="C10023" s="1" t="n">
        <v>45363</v>
      </c>
      <c r="D10023" t="inlineStr">
        <is>
          <t>JÄMTLANDS LÄN</t>
        </is>
      </c>
      <c r="E10023" t="inlineStr">
        <is>
          <t>BERG</t>
        </is>
      </c>
      <c r="F10023" t="inlineStr">
        <is>
          <t>SCA</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54995-2023</t>
        </is>
      </c>
      <c r="B10024" s="1" t="n">
        <v>45237</v>
      </c>
      <c r="C10024" s="1" t="n">
        <v>45363</v>
      </c>
      <c r="D10024" t="inlineStr">
        <is>
          <t>JÄMTLANDS LÄN</t>
        </is>
      </c>
      <c r="E10024" t="inlineStr">
        <is>
          <t>BERG</t>
        </is>
      </c>
      <c r="F10024" t="inlineStr">
        <is>
          <t>SCA</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54834-2023</t>
        </is>
      </c>
      <c r="B10025" s="1" t="n">
        <v>45236</v>
      </c>
      <c r="C10025" s="1" t="n">
        <v>45363</v>
      </c>
      <c r="D10025" t="inlineStr">
        <is>
          <t>JÄMTLANDS LÄN</t>
        </is>
      </c>
      <c r="E10025" t="inlineStr">
        <is>
          <t>BERG</t>
        </is>
      </c>
      <c r="F10025" t="inlineStr">
        <is>
          <t>Övriga Aktiebolag</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56338-2023</t>
        </is>
      </c>
      <c r="B10026" s="1" t="n">
        <v>45236</v>
      </c>
      <c r="C10026" s="1" t="n">
        <v>45363</v>
      </c>
      <c r="D10026" t="inlineStr">
        <is>
          <t>JÄMTLANDS LÄN</t>
        </is>
      </c>
      <c r="E10026" t="inlineStr">
        <is>
          <t>RAGUNDA</t>
        </is>
      </c>
      <c r="G10026" t="n">
        <v>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54753-2023</t>
        </is>
      </c>
      <c r="B10027" s="1" t="n">
        <v>45236</v>
      </c>
      <c r="C10027" s="1" t="n">
        <v>45363</v>
      </c>
      <c r="D10027" t="inlineStr">
        <is>
          <t>JÄMTLANDS LÄN</t>
        </is>
      </c>
      <c r="E10027" t="inlineStr">
        <is>
          <t>STRÖMSUND</t>
        </is>
      </c>
      <c r="F10027" t="inlineStr">
        <is>
          <t>Sveaskog</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54980-2023</t>
        </is>
      </c>
      <c r="B10028" s="1" t="n">
        <v>45237</v>
      </c>
      <c r="C10028" s="1" t="n">
        <v>45363</v>
      </c>
      <c r="D10028" t="inlineStr">
        <is>
          <t>JÄMTLANDS LÄN</t>
        </is>
      </c>
      <c r="E10028" t="inlineStr">
        <is>
          <t>STRÖMSUND</t>
        </is>
      </c>
      <c r="F10028" t="inlineStr">
        <is>
          <t>SCA</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54992-2023</t>
        </is>
      </c>
      <c r="B10029" s="1" t="n">
        <v>45237</v>
      </c>
      <c r="C10029" s="1" t="n">
        <v>45363</v>
      </c>
      <c r="D10029" t="inlineStr">
        <is>
          <t>JÄMTLANDS LÄN</t>
        </is>
      </c>
      <c r="E10029" t="inlineStr">
        <is>
          <t>BERG</t>
        </is>
      </c>
      <c r="F10029" t="inlineStr">
        <is>
          <t>SCA</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54974-2023</t>
        </is>
      </c>
      <c r="B10030" s="1" t="n">
        <v>45236</v>
      </c>
      <c r="C10030" s="1" t="n">
        <v>45363</v>
      </c>
      <c r="D10030" t="inlineStr">
        <is>
          <t>JÄMTLANDS LÄN</t>
        </is>
      </c>
      <c r="E10030" t="inlineStr">
        <is>
          <t>STRÖMSUND</t>
        </is>
      </c>
      <c r="G10030" t="n">
        <v>14.3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54986-2023</t>
        </is>
      </c>
      <c r="B10031" s="1" t="n">
        <v>45237</v>
      </c>
      <c r="C10031" s="1" t="n">
        <v>45363</v>
      </c>
      <c r="D10031" t="inlineStr">
        <is>
          <t>JÄMTLANDS LÄN</t>
        </is>
      </c>
      <c r="E10031" t="inlineStr">
        <is>
          <t>BRÄCKE</t>
        </is>
      </c>
      <c r="F10031" t="inlineStr">
        <is>
          <t>SCA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54994-2023</t>
        </is>
      </c>
      <c r="B10032" s="1" t="n">
        <v>45237</v>
      </c>
      <c r="C10032" s="1" t="n">
        <v>45363</v>
      </c>
      <c r="D10032" t="inlineStr">
        <is>
          <t>JÄMTLANDS LÄN</t>
        </is>
      </c>
      <c r="E10032" t="inlineStr">
        <is>
          <t>BERG</t>
        </is>
      </c>
      <c r="F10032" t="inlineStr">
        <is>
          <t>SCA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54998-2023</t>
        </is>
      </c>
      <c r="B10033" s="1" t="n">
        <v>45237</v>
      </c>
      <c r="C10033" s="1" t="n">
        <v>45363</v>
      </c>
      <c r="D10033" t="inlineStr">
        <is>
          <t>JÄMTLANDS LÄN</t>
        </is>
      </c>
      <c r="E10033" t="inlineStr">
        <is>
          <t>BERG</t>
        </is>
      </c>
      <c r="F10033" t="inlineStr">
        <is>
          <t>SCA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56177-2023</t>
        </is>
      </c>
      <c r="B10034" s="1" t="n">
        <v>45236</v>
      </c>
      <c r="C10034" s="1" t="n">
        <v>45363</v>
      </c>
      <c r="D10034" t="inlineStr">
        <is>
          <t>JÄMTLANDS LÄN</t>
        </is>
      </c>
      <c r="E10034" t="inlineStr">
        <is>
          <t>KROKOM</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56331-2023</t>
        </is>
      </c>
      <c r="B10035" s="1" t="n">
        <v>45236</v>
      </c>
      <c r="C10035" s="1" t="n">
        <v>45363</v>
      </c>
      <c r="D10035" t="inlineStr">
        <is>
          <t>JÄMTLANDS LÄN</t>
        </is>
      </c>
      <c r="E10035" t="inlineStr">
        <is>
          <t>RAGUNDA</t>
        </is>
      </c>
      <c r="G10035" t="n">
        <v>10.2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54789-2023</t>
        </is>
      </c>
      <c r="B10036" s="1" t="n">
        <v>45236</v>
      </c>
      <c r="C10036" s="1" t="n">
        <v>45363</v>
      </c>
      <c r="D10036" t="inlineStr">
        <is>
          <t>JÄMTLANDS LÄN</t>
        </is>
      </c>
      <c r="E10036" t="inlineStr">
        <is>
          <t>BRÄCKE</t>
        </is>
      </c>
      <c r="G10036" t="n">
        <v>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54907-2023</t>
        </is>
      </c>
      <c r="B10037" s="1" t="n">
        <v>45236</v>
      </c>
      <c r="C10037" s="1" t="n">
        <v>45363</v>
      </c>
      <c r="D10037" t="inlineStr">
        <is>
          <t>JÄMTLANDS LÄN</t>
        </is>
      </c>
      <c r="E10037" t="inlineStr">
        <is>
          <t>ÅRE</t>
        </is>
      </c>
      <c r="F10037" t="inlineStr">
        <is>
          <t>Övriga Aktiebolag</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54949-2023</t>
        </is>
      </c>
      <c r="B10038" s="1" t="n">
        <v>45236</v>
      </c>
      <c r="C10038" s="1" t="n">
        <v>45363</v>
      </c>
      <c r="D10038" t="inlineStr">
        <is>
          <t>JÄMTLANDS LÄN</t>
        </is>
      </c>
      <c r="E10038" t="inlineStr">
        <is>
          <t>BRÄCKE</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54973-2023</t>
        </is>
      </c>
      <c r="B10039" s="1" t="n">
        <v>45236</v>
      </c>
      <c r="C10039" s="1" t="n">
        <v>45363</v>
      </c>
      <c r="D10039" t="inlineStr">
        <is>
          <t>JÄMTLANDS LÄN</t>
        </is>
      </c>
      <c r="E10039" t="inlineStr">
        <is>
          <t>ÖSTERSUND</t>
        </is>
      </c>
      <c r="G10039" t="n">
        <v>15.4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54997-2023</t>
        </is>
      </c>
      <c r="B10040" s="1" t="n">
        <v>45237</v>
      </c>
      <c r="C10040" s="1" t="n">
        <v>45363</v>
      </c>
      <c r="D10040" t="inlineStr">
        <is>
          <t>JÄMTLANDS LÄN</t>
        </is>
      </c>
      <c r="E10040" t="inlineStr">
        <is>
          <t>BERG</t>
        </is>
      </c>
      <c r="F10040" t="inlineStr">
        <is>
          <t>SCA</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55001-2023</t>
        </is>
      </c>
      <c r="B10041" s="1" t="n">
        <v>45237</v>
      </c>
      <c r="C10041" s="1" t="n">
        <v>45363</v>
      </c>
      <c r="D10041" t="inlineStr">
        <is>
          <t>JÄMTLANDS LÄN</t>
        </is>
      </c>
      <c r="E10041" t="inlineStr">
        <is>
          <t>BERG</t>
        </is>
      </c>
      <c r="F10041" t="inlineStr">
        <is>
          <t>SCA</t>
        </is>
      </c>
      <c r="G10041" t="n">
        <v>10.5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56171-2023</t>
        </is>
      </c>
      <c r="B10042" s="1" t="n">
        <v>45236</v>
      </c>
      <c r="C10042" s="1" t="n">
        <v>45363</v>
      </c>
      <c r="D10042" t="inlineStr">
        <is>
          <t>JÄMTLANDS LÄN</t>
        </is>
      </c>
      <c r="E10042" t="inlineStr">
        <is>
          <t>KROKOM</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56343-2023</t>
        </is>
      </c>
      <c r="B10043" s="1" t="n">
        <v>45236</v>
      </c>
      <c r="C10043" s="1" t="n">
        <v>45363</v>
      </c>
      <c r="D10043" t="inlineStr">
        <is>
          <t>JÄMTLANDS LÄN</t>
        </is>
      </c>
      <c r="E10043" t="inlineStr">
        <is>
          <t>RAGUNDA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56351-2023</t>
        </is>
      </c>
      <c r="B10044" s="1" t="n">
        <v>45236</v>
      </c>
      <c r="C10044" s="1" t="n">
        <v>45363</v>
      </c>
      <c r="D10044" t="inlineStr">
        <is>
          <t>JÄMTLANDS LÄN</t>
        </is>
      </c>
      <c r="E10044" t="inlineStr">
        <is>
          <t>RAGUNDA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55127-2023</t>
        </is>
      </c>
      <c r="B10045" s="1" t="n">
        <v>45237</v>
      </c>
      <c r="C10045" s="1" t="n">
        <v>45363</v>
      </c>
      <c r="D10045" t="inlineStr">
        <is>
          <t>JÄMTLANDS LÄN</t>
        </is>
      </c>
      <c r="E10045" t="inlineStr">
        <is>
          <t>HÄRJEDALEN</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55150-2023</t>
        </is>
      </c>
      <c r="B10046" s="1" t="n">
        <v>45237</v>
      </c>
      <c r="C10046" s="1" t="n">
        <v>45363</v>
      </c>
      <c r="D10046" t="inlineStr">
        <is>
          <t>JÄMTLANDS LÄN</t>
        </is>
      </c>
      <c r="E10046" t="inlineStr">
        <is>
          <t>HÄRJEDALEN</t>
        </is>
      </c>
      <c r="G10046" t="n">
        <v>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55183-2023</t>
        </is>
      </c>
      <c r="B10047" s="1" t="n">
        <v>45237</v>
      </c>
      <c r="C10047" s="1" t="n">
        <v>45363</v>
      </c>
      <c r="D10047" t="inlineStr">
        <is>
          <t>JÄMTLANDS LÄN</t>
        </is>
      </c>
      <c r="E10047" t="inlineStr">
        <is>
          <t>HÄRJEDALEN</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55073-2023</t>
        </is>
      </c>
      <c r="B10048" s="1" t="n">
        <v>45237</v>
      </c>
      <c r="C10048" s="1" t="n">
        <v>45363</v>
      </c>
      <c r="D10048" t="inlineStr">
        <is>
          <t>JÄMTLANDS LÄN</t>
        </is>
      </c>
      <c r="E10048" t="inlineStr">
        <is>
          <t>STRÖMSUND</t>
        </is>
      </c>
      <c r="G10048" t="n">
        <v>20.5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55140-2023</t>
        </is>
      </c>
      <c r="B10049" s="1" t="n">
        <v>45237</v>
      </c>
      <c r="C10049" s="1" t="n">
        <v>45363</v>
      </c>
      <c r="D10049" t="inlineStr">
        <is>
          <t>JÄMTLANDS LÄN</t>
        </is>
      </c>
      <c r="E10049" t="inlineStr">
        <is>
          <t>ÖSTERSUND</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55177-2023</t>
        </is>
      </c>
      <c r="B10050" s="1" t="n">
        <v>45237</v>
      </c>
      <c r="C10050" s="1" t="n">
        <v>45363</v>
      </c>
      <c r="D10050" t="inlineStr">
        <is>
          <t>JÄMTLANDS LÄN</t>
        </is>
      </c>
      <c r="E10050" t="inlineStr">
        <is>
          <t>STRÖMSUND</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55195-2023</t>
        </is>
      </c>
      <c r="B10051" s="1" t="n">
        <v>45237</v>
      </c>
      <c r="C10051" s="1" t="n">
        <v>45363</v>
      </c>
      <c r="D10051" t="inlineStr">
        <is>
          <t>JÄMTLANDS LÄN</t>
        </is>
      </c>
      <c r="E10051" t="inlineStr">
        <is>
          <t>HÄRJEDALEN</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55220-2023</t>
        </is>
      </c>
      <c r="B10052" s="1" t="n">
        <v>45237</v>
      </c>
      <c r="C10052" s="1" t="n">
        <v>45363</v>
      </c>
      <c r="D10052" t="inlineStr">
        <is>
          <t>JÄMTLANDS LÄN</t>
        </is>
      </c>
      <c r="E10052" t="inlineStr">
        <is>
          <t>HÄRJEDALEN</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55237-2023</t>
        </is>
      </c>
      <c r="B10053" s="1" t="n">
        <v>45237</v>
      </c>
      <c r="C10053" s="1" t="n">
        <v>45363</v>
      </c>
      <c r="D10053" t="inlineStr">
        <is>
          <t>JÄMTLANDS LÄN</t>
        </is>
      </c>
      <c r="E10053" t="inlineStr">
        <is>
          <t>ÖSTERSUND</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55180-2023</t>
        </is>
      </c>
      <c r="B10054" s="1" t="n">
        <v>45237</v>
      </c>
      <c r="C10054" s="1" t="n">
        <v>45363</v>
      </c>
      <c r="D10054" t="inlineStr">
        <is>
          <t>JÄMTLANDS LÄN</t>
        </is>
      </c>
      <c r="E10054" t="inlineStr">
        <is>
          <t>HÄRJEDALEN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55185-2023</t>
        </is>
      </c>
      <c r="B10055" s="1" t="n">
        <v>45237</v>
      </c>
      <c r="C10055" s="1" t="n">
        <v>45363</v>
      </c>
      <c r="D10055" t="inlineStr">
        <is>
          <t>JÄMTLANDS LÄN</t>
        </is>
      </c>
      <c r="E10055" t="inlineStr">
        <is>
          <t>HÄRJEDALEN</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55067-2023</t>
        </is>
      </c>
      <c r="B10056" s="1" t="n">
        <v>45237</v>
      </c>
      <c r="C10056" s="1" t="n">
        <v>45363</v>
      </c>
      <c r="D10056" t="inlineStr">
        <is>
          <t>JÄMTLANDS LÄN</t>
        </is>
      </c>
      <c r="E10056" t="inlineStr">
        <is>
          <t>STRÖMSUND</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55156-2023</t>
        </is>
      </c>
      <c r="B10057" s="1" t="n">
        <v>45237</v>
      </c>
      <c r="C10057" s="1" t="n">
        <v>45363</v>
      </c>
      <c r="D10057" t="inlineStr">
        <is>
          <t>JÄMTLANDS LÄN</t>
        </is>
      </c>
      <c r="E10057" t="inlineStr">
        <is>
          <t>STRÖMSUND</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55189-2023</t>
        </is>
      </c>
      <c r="B10058" s="1" t="n">
        <v>45237</v>
      </c>
      <c r="C10058" s="1" t="n">
        <v>45363</v>
      </c>
      <c r="D10058" t="inlineStr">
        <is>
          <t>JÄMTLANDS LÄN</t>
        </is>
      </c>
      <c r="E10058" t="inlineStr">
        <is>
          <t>HÄRJEDALEN</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55193-2023</t>
        </is>
      </c>
      <c r="B10059" s="1" t="n">
        <v>45237</v>
      </c>
      <c r="C10059" s="1" t="n">
        <v>45363</v>
      </c>
      <c r="D10059" t="inlineStr">
        <is>
          <t>JÄMTLANDS LÄN</t>
        </is>
      </c>
      <c r="E10059" t="inlineStr">
        <is>
          <t>HÄRJEDALEN</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55233-2023</t>
        </is>
      </c>
      <c r="B10060" s="1" t="n">
        <v>45237</v>
      </c>
      <c r="C10060" s="1" t="n">
        <v>45363</v>
      </c>
      <c r="D10060" t="inlineStr">
        <is>
          <t>JÄMTLANDS LÄN</t>
        </is>
      </c>
      <c r="E10060" t="inlineStr">
        <is>
          <t>ÖSTERSUND</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55321-2023</t>
        </is>
      </c>
      <c r="B10061" s="1" t="n">
        <v>45237</v>
      </c>
      <c r="C10061" s="1" t="n">
        <v>45363</v>
      </c>
      <c r="D10061" t="inlineStr">
        <is>
          <t>JÄMTLANDS LÄN</t>
        </is>
      </c>
      <c r="E10061" t="inlineStr">
        <is>
          <t>STRÖMSUND</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55333-2023</t>
        </is>
      </c>
      <c r="B10062" s="1" t="n">
        <v>45238</v>
      </c>
      <c r="C10062" s="1" t="n">
        <v>45363</v>
      </c>
      <c r="D10062" t="inlineStr">
        <is>
          <t>JÄMTLANDS LÄN</t>
        </is>
      </c>
      <c r="E10062" t="inlineStr">
        <is>
          <t>BERG</t>
        </is>
      </c>
      <c r="F10062" t="inlineStr">
        <is>
          <t>SCA</t>
        </is>
      </c>
      <c r="G10062" t="n">
        <v>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55322-2023</t>
        </is>
      </c>
      <c r="B10063" s="1" t="n">
        <v>45237</v>
      </c>
      <c r="C10063" s="1" t="n">
        <v>45363</v>
      </c>
      <c r="D10063" t="inlineStr">
        <is>
          <t>JÄMTLANDS LÄN</t>
        </is>
      </c>
      <c r="E10063" t="inlineStr">
        <is>
          <t>STRÖMSUND</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55334-2023</t>
        </is>
      </c>
      <c r="B10064" s="1" t="n">
        <v>45238</v>
      </c>
      <c r="C10064" s="1" t="n">
        <v>45363</v>
      </c>
      <c r="D10064" t="inlineStr">
        <is>
          <t>JÄMTLANDS LÄN</t>
        </is>
      </c>
      <c r="E10064" t="inlineStr">
        <is>
          <t>BERG</t>
        </is>
      </c>
      <c r="F10064" t="inlineStr">
        <is>
          <t>SCA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56468-2023</t>
        </is>
      </c>
      <c r="B10065" s="1" t="n">
        <v>45237</v>
      </c>
      <c r="C10065" s="1" t="n">
        <v>45363</v>
      </c>
      <c r="D10065" t="inlineStr">
        <is>
          <t>JÄMTLANDS LÄN</t>
        </is>
      </c>
      <c r="E10065" t="inlineStr">
        <is>
          <t>STRÖMSUND</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55336-2023</t>
        </is>
      </c>
      <c r="B10066" s="1" t="n">
        <v>45237</v>
      </c>
      <c r="C10066" s="1" t="n">
        <v>45363</v>
      </c>
      <c r="D10066" t="inlineStr">
        <is>
          <t>JÄMTLANDS LÄN</t>
        </is>
      </c>
      <c r="E10066" t="inlineStr">
        <is>
          <t>BERG</t>
        </is>
      </c>
      <c r="F10066" t="inlineStr">
        <is>
          <t>SCA</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55340-2023</t>
        </is>
      </c>
      <c r="B10067" s="1" t="n">
        <v>45237</v>
      </c>
      <c r="C10067" s="1" t="n">
        <v>45363</v>
      </c>
      <c r="D10067" t="inlineStr">
        <is>
          <t>JÄMTLANDS LÄN</t>
        </is>
      </c>
      <c r="E10067" t="inlineStr">
        <is>
          <t>STRÖMSUND</t>
        </is>
      </c>
      <c r="F10067" t="inlineStr">
        <is>
          <t>SCA</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56422-2023</t>
        </is>
      </c>
      <c r="B10068" s="1" t="n">
        <v>45237</v>
      </c>
      <c r="C10068" s="1" t="n">
        <v>45363</v>
      </c>
      <c r="D10068" t="inlineStr">
        <is>
          <t>JÄMTLANDS LÄN</t>
        </is>
      </c>
      <c r="E10068" t="inlineStr">
        <is>
          <t>STRÖMSUND</t>
        </is>
      </c>
      <c r="G10068" t="n">
        <v>10.1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56437-2023</t>
        </is>
      </c>
      <c r="B10069" s="1" t="n">
        <v>45237</v>
      </c>
      <c r="C10069" s="1" t="n">
        <v>45363</v>
      </c>
      <c r="D10069" t="inlineStr">
        <is>
          <t>JÄMTLANDS LÄN</t>
        </is>
      </c>
      <c r="E10069" t="inlineStr">
        <is>
          <t>STRÖMSUND</t>
        </is>
      </c>
      <c r="G10069" t="n">
        <v>35.8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55323-2023</t>
        </is>
      </c>
      <c r="B10070" s="1" t="n">
        <v>45237</v>
      </c>
      <c r="C10070" s="1" t="n">
        <v>45363</v>
      </c>
      <c r="D10070" t="inlineStr">
        <is>
          <t>JÄMTLANDS LÄN</t>
        </is>
      </c>
      <c r="E10070" t="inlineStr">
        <is>
          <t>STRÖMSUND</t>
        </is>
      </c>
      <c r="F10070" t="inlineStr">
        <is>
          <t>SCA</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56440-2023</t>
        </is>
      </c>
      <c r="B10071" s="1" t="n">
        <v>45237</v>
      </c>
      <c r="C10071" s="1" t="n">
        <v>45363</v>
      </c>
      <c r="D10071" t="inlineStr">
        <is>
          <t>JÄMTLANDS LÄN</t>
        </is>
      </c>
      <c r="E10071" t="inlineStr">
        <is>
          <t>ÖSTERSUND</t>
        </is>
      </c>
      <c r="G10071" t="n">
        <v>10.2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56484-2023</t>
        </is>
      </c>
      <c r="B10072" s="1" t="n">
        <v>45237</v>
      </c>
      <c r="C10072" s="1" t="n">
        <v>45363</v>
      </c>
      <c r="D10072" t="inlineStr">
        <is>
          <t>JÄMTLANDS LÄN</t>
        </is>
      </c>
      <c r="E10072" t="inlineStr">
        <is>
          <t>STRÖMSUND</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56480-2023</t>
        </is>
      </c>
      <c r="B10073" s="1" t="n">
        <v>45237</v>
      </c>
      <c r="C10073" s="1" t="n">
        <v>45363</v>
      </c>
      <c r="D10073" t="inlineStr">
        <is>
          <t>JÄMTLANDS LÄN</t>
        </is>
      </c>
      <c r="E10073" t="inlineStr">
        <is>
          <t>STRÖMSUND</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56490-2023</t>
        </is>
      </c>
      <c r="B10074" s="1" t="n">
        <v>45237</v>
      </c>
      <c r="C10074" s="1" t="n">
        <v>45363</v>
      </c>
      <c r="D10074" t="inlineStr">
        <is>
          <t>JÄMTLANDS LÄN</t>
        </is>
      </c>
      <c r="E10074" t="inlineStr">
        <is>
          <t>STRÖMSUND</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56499-2023</t>
        </is>
      </c>
      <c r="B10075" s="1" t="n">
        <v>45237</v>
      </c>
      <c r="C10075" s="1" t="n">
        <v>45363</v>
      </c>
      <c r="D10075" t="inlineStr">
        <is>
          <t>JÄMTLANDS LÄN</t>
        </is>
      </c>
      <c r="E10075" t="inlineStr">
        <is>
          <t>BRÄCKE</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55500-2023</t>
        </is>
      </c>
      <c r="B10076" s="1" t="n">
        <v>45238</v>
      </c>
      <c r="C10076" s="1" t="n">
        <v>45363</v>
      </c>
      <c r="D10076" t="inlineStr">
        <is>
          <t>JÄMTLANDS LÄN</t>
        </is>
      </c>
      <c r="E10076" t="inlineStr">
        <is>
          <t>HÄRJEDALEN</t>
        </is>
      </c>
      <c r="F10076" t="inlineStr">
        <is>
          <t>Kyrkan</t>
        </is>
      </c>
      <c r="G10076" t="n">
        <v>81.2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55562-2023</t>
        </is>
      </c>
      <c r="B10077" s="1" t="n">
        <v>45238</v>
      </c>
      <c r="C10077" s="1" t="n">
        <v>45363</v>
      </c>
      <c r="D10077" t="inlineStr">
        <is>
          <t>JÄMTLANDS LÄN</t>
        </is>
      </c>
      <c r="E10077" t="inlineStr">
        <is>
          <t>HÄRJEDALEN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55463-2023</t>
        </is>
      </c>
      <c r="B10078" s="1" t="n">
        <v>45238</v>
      </c>
      <c r="C10078" s="1" t="n">
        <v>45363</v>
      </c>
      <c r="D10078" t="inlineStr">
        <is>
          <t>JÄMTLANDS LÄN</t>
        </is>
      </c>
      <c r="E10078" t="inlineStr">
        <is>
          <t>HÄRJEDALEN</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55594-2023</t>
        </is>
      </c>
      <c r="B10079" s="1" t="n">
        <v>45238</v>
      </c>
      <c r="C10079" s="1" t="n">
        <v>45363</v>
      </c>
      <c r="D10079" t="inlineStr">
        <is>
          <t>JÄMTLANDS LÄN</t>
        </is>
      </c>
      <c r="E10079" t="inlineStr">
        <is>
          <t>BERG</t>
        </is>
      </c>
      <c r="G10079" t="n">
        <v>9.4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55555-2023</t>
        </is>
      </c>
      <c r="B10080" s="1" t="n">
        <v>45238</v>
      </c>
      <c r="C10080" s="1" t="n">
        <v>45363</v>
      </c>
      <c r="D10080" t="inlineStr">
        <is>
          <t>JÄMTLANDS LÄN</t>
        </is>
      </c>
      <c r="E10080" t="inlineStr">
        <is>
          <t>HÄRJEDALEN</t>
        </is>
      </c>
      <c r="G10080" t="n">
        <v>11.6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55645-2023</t>
        </is>
      </c>
      <c r="B10081" s="1" t="n">
        <v>45239</v>
      </c>
      <c r="C10081" s="1" t="n">
        <v>45363</v>
      </c>
      <c r="D10081" t="inlineStr">
        <is>
          <t>JÄMTLANDS LÄN</t>
        </is>
      </c>
      <c r="E10081" t="inlineStr">
        <is>
          <t>KROKOM</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55649-2023</t>
        </is>
      </c>
      <c r="B10082" s="1" t="n">
        <v>45238</v>
      </c>
      <c r="C10082" s="1" t="n">
        <v>45363</v>
      </c>
      <c r="D10082" t="inlineStr">
        <is>
          <t>JÄMTLANDS LÄN</t>
        </is>
      </c>
      <c r="E10082" t="inlineStr">
        <is>
          <t>RAGUNDA</t>
        </is>
      </c>
      <c r="F10082" t="inlineStr">
        <is>
          <t>SCA</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55657-2023</t>
        </is>
      </c>
      <c r="B10083" s="1" t="n">
        <v>45238</v>
      </c>
      <c r="C10083" s="1" t="n">
        <v>45363</v>
      </c>
      <c r="D10083" t="inlineStr">
        <is>
          <t>JÄMTLANDS LÄN</t>
        </is>
      </c>
      <c r="E10083" t="inlineStr">
        <is>
          <t>STRÖMSUND</t>
        </is>
      </c>
      <c r="F10083" t="inlineStr">
        <is>
          <t>SCA</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55661-2023</t>
        </is>
      </c>
      <c r="B10084" s="1" t="n">
        <v>45239</v>
      </c>
      <c r="C10084" s="1" t="n">
        <v>45363</v>
      </c>
      <c r="D10084" t="inlineStr">
        <is>
          <t>JÄMTLANDS LÄN</t>
        </is>
      </c>
      <c r="E10084" t="inlineStr">
        <is>
          <t>KROKOM</t>
        </is>
      </c>
      <c r="F10084" t="inlineStr">
        <is>
          <t>Kommuner</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55665-2023</t>
        </is>
      </c>
      <c r="B10085" s="1" t="n">
        <v>45239</v>
      </c>
      <c r="C10085" s="1" t="n">
        <v>45363</v>
      </c>
      <c r="D10085" t="inlineStr">
        <is>
          <t>JÄMTLANDS LÄN</t>
        </is>
      </c>
      <c r="E10085" t="inlineStr">
        <is>
          <t>BRÄCKE</t>
        </is>
      </c>
      <c r="F10085" t="inlineStr">
        <is>
          <t>SCA</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55669-2023</t>
        </is>
      </c>
      <c r="B10086" s="1" t="n">
        <v>45239</v>
      </c>
      <c r="C10086" s="1" t="n">
        <v>45363</v>
      </c>
      <c r="D10086" t="inlineStr">
        <is>
          <t>JÄMTLANDS LÄN</t>
        </is>
      </c>
      <c r="E10086" t="inlineStr">
        <is>
          <t>RAGUNDA</t>
        </is>
      </c>
      <c r="F10086" t="inlineStr">
        <is>
          <t>SCA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55662-2023</t>
        </is>
      </c>
      <c r="B10087" s="1" t="n">
        <v>45239</v>
      </c>
      <c r="C10087" s="1" t="n">
        <v>45363</v>
      </c>
      <c r="D10087" t="inlineStr">
        <is>
          <t>JÄMTLANDS LÄN</t>
        </is>
      </c>
      <c r="E10087" t="inlineStr">
        <is>
          <t>BRÄCKE</t>
        </is>
      </c>
      <c r="F10087" t="inlineStr">
        <is>
          <t>SCA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55666-2023</t>
        </is>
      </c>
      <c r="B10088" s="1" t="n">
        <v>45239</v>
      </c>
      <c r="C10088" s="1" t="n">
        <v>45363</v>
      </c>
      <c r="D10088" t="inlineStr">
        <is>
          <t>JÄMTLANDS LÄN</t>
        </is>
      </c>
      <c r="E10088" t="inlineStr">
        <is>
          <t>ÖSTERSUND</t>
        </is>
      </c>
      <c r="F10088" t="inlineStr">
        <is>
          <t>SCA</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55566-2023</t>
        </is>
      </c>
      <c r="B10089" s="1" t="n">
        <v>45238</v>
      </c>
      <c r="C10089" s="1" t="n">
        <v>45363</v>
      </c>
      <c r="D10089" t="inlineStr">
        <is>
          <t>JÄMTLANDS LÄN</t>
        </is>
      </c>
      <c r="E10089" t="inlineStr">
        <is>
          <t>HÄRJEDALEN</t>
        </is>
      </c>
      <c r="F10089" t="inlineStr">
        <is>
          <t>Bergvik skog väst AB</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55656-2023</t>
        </is>
      </c>
      <c r="B10090" s="1" t="n">
        <v>45239</v>
      </c>
      <c r="C10090" s="1" t="n">
        <v>45363</v>
      </c>
      <c r="D10090" t="inlineStr">
        <is>
          <t>JÄMTLANDS LÄN</t>
        </is>
      </c>
      <c r="E10090" t="inlineStr">
        <is>
          <t>STRÖMSUND</t>
        </is>
      </c>
      <c r="F10090" t="inlineStr">
        <is>
          <t>SCA</t>
        </is>
      </c>
      <c r="G10090" t="n">
        <v>11.1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55660-2023</t>
        </is>
      </c>
      <c r="B10091" s="1" t="n">
        <v>45238</v>
      </c>
      <c r="C10091" s="1" t="n">
        <v>45363</v>
      </c>
      <c r="D10091" t="inlineStr">
        <is>
          <t>JÄMTLANDS LÄN</t>
        </is>
      </c>
      <c r="E10091" t="inlineStr">
        <is>
          <t>KROKOM</t>
        </is>
      </c>
      <c r="F10091" t="inlineStr">
        <is>
          <t>SCA</t>
        </is>
      </c>
      <c r="G10091" t="n">
        <v>7.7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55668-2023</t>
        </is>
      </c>
      <c r="B10092" s="1" t="n">
        <v>45238</v>
      </c>
      <c r="C10092" s="1" t="n">
        <v>45363</v>
      </c>
      <c r="D10092" t="inlineStr">
        <is>
          <t>JÄMTLANDS LÄN</t>
        </is>
      </c>
      <c r="E10092" t="inlineStr">
        <is>
          <t>BRÄCKE</t>
        </is>
      </c>
      <c r="F10092" t="inlineStr">
        <is>
          <t>SCA</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56597-2023</t>
        </is>
      </c>
      <c r="B10093" s="1" t="n">
        <v>45238</v>
      </c>
      <c r="C10093" s="1" t="n">
        <v>45363</v>
      </c>
      <c r="D10093" t="inlineStr">
        <is>
          <t>JÄMTLANDS LÄN</t>
        </is>
      </c>
      <c r="E10093" t="inlineStr">
        <is>
          <t>ÖSTERSUND</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56538-2023</t>
        </is>
      </c>
      <c r="B10094" s="1" t="n">
        <v>45238</v>
      </c>
      <c r="C10094" s="1" t="n">
        <v>45363</v>
      </c>
      <c r="D10094" t="inlineStr">
        <is>
          <t>JÄMTLANDS LÄN</t>
        </is>
      </c>
      <c r="E10094" t="inlineStr">
        <is>
          <t>KROKOM</t>
        </is>
      </c>
      <c r="G10094" t="n">
        <v>17.7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56570-2023</t>
        </is>
      </c>
      <c r="B10095" s="1" t="n">
        <v>45238</v>
      </c>
      <c r="C10095" s="1" t="n">
        <v>45363</v>
      </c>
      <c r="D10095" t="inlineStr">
        <is>
          <t>JÄMTLANDS LÄN</t>
        </is>
      </c>
      <c r="E10095" t="inlineStr">
        <is>
          <t>BERG</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56618-2023</t>
        </is>
      </c>
      <c r="B10096" s="1" t="n">
        <v>45238</v>
      </c>
      <c r="C10096" s="1" t="n">
        <v>45363</v>
      </c>
      <c r="D10096" t="inlineStr">
        <is>
          <t>JÄMTLANDS LÄN</t>
        </is>
      </c>
      <c r="E10096" t="inlineStr">
        <is>
          <t>RAGUNDA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55487-2023</t>
        </is>
      </c>
      <c r="B10097" s="1" t="n">
        <v>45238</v>
      </c>
      <c r="C10097" s="1" t="n">
        <v>45363</v>
      </c>
      <c r="D10097" t="inlineStr">
        <is>
          <t>JÄMTLANDS LÄN</t>
        </is>
      </c>
      <c r="E10097" t="inlineStr">
        <is>
          <t>RAGUNDA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55559-2023</t>
        </is>
      </c>
      <c r="B10098" s="1" t="n">
        <v>45238</v>
      </c>
      <c r="C10098" s="1" t="n">
        <v>45363</v>
      </c>
      <c r="D10098" t="inlineStr">
        <is>
          <t>JÄMTLANDS LÄN</t>
        </is>
      </c>
      <c r="E10098" t="inlineStr">
        <is>
          <t>STRÖMSUND</t>
        </is>
      </c>
      <c r="F10098" t="inlineStr">
        <is>
          <t>Holmen skog AB</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55655-2023</t>
        </is>
      </c>
      <c r="B10099" s="1" t="n">
        <v>45239</v>
      </c>
      <c r="C10099" s="1" t="n">
        <v>45363</v>
      </c>
      <c r="D10099" t="inlineStr">
        <is>
          <t>JÄMTLANDS LÄN</t>
        </is>
      </c>
      <c r="E10099" t="inlineStr">
        <is>
          <t>STRÖMSUND</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55659-2023</t>
        </is>
      </c>
      <c r="B10100" s="1" t="n">
        <v>45239</v>
      </c>
      <c r="C10100" s="1" t="n">
        <v>45363</v>
      </c>
      <c r="D10100" t="inlineStr">
        <is>
          <t>JÄMTLANDS LÄN</t>
        </is>
      </c>
      <c r="E10100" t="inlineStr">
        <is>
          <t>BRÄCKE</t>
        </is>
      </c>
      <c r="F10100" t="inlineStr">
        <is>
          <t>SCA</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55663-2023</t>
        </is>
      </c>
      <c r="B10101" s="1" t="n">
        <v>45239</v>
      </c>
      <c r="C10101" s="1" t="n">
        <v>45363</v>
      </c>
      <c r="D10101" t="inlineStr">
        <is>
          <t>JÄMTLANDS LÄN</t>
        </is>
      </c>
      <c r="E10101" t="inlineStr">
        <is>
          <t>BRÄCKE</t>
        </is>
      </c>
      <c r="F10101" t="inlineStr">
        <is>
          <t>SCA</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55667-2023</t>
        </is>
      </c>
      <c r="B10102" s="1" t="n">
        <v>45239</v>
      </c>
      <c r="C10102" s="1" t="n">
        <v>45363</v>
      </c>
      <c r="D10102" t="inlineStr">
        <is>
          <t>JÄMTLANDS LÄN</t>
        </is>
      </c>
      <c r="E10102" t="inlineStr">
        <is>
          <t>BRÄCKE</t>
        </is>
      </c>
      <c r="F10102" t="inlineStr">
        <is>
          <t>SCA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55678-2023</t>
        </is>
      </c>
      <c r="B10103" s="1" t="n">
        <v>45239</v>
      </c>
      <c r="C10103" s="1" t="n">
        <v>45363</v>
      </c>
      <c r="D10103" t="inlineStr">
        <is>
          <t>JÄMTLANDS LÄN</t>
        </is>
      </c>
      <c r="E10103" t="inlineStr">
        <is>
          <t>ÖSTERSUND</t>
        </is>
      </c>
      <c r="F10103" t="inlineStr">
        <is>
          <t>Övriga Aktiebolag</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55785-2023</t>
        </is>
      </c>
      <c r="B10104" s="1" t="n">
        <v>45239</v>
      </c>
      <c r="C10104" s="1" t="n">
        <v>45363</v>
      </c>
      <c r="D10104" t="inlineStr">
        <is>
          <t>JÄMTLANDS LÄN</t>
        </is>
      </c>
      <c r="E10104" t="inlineStr">
        <is>
          <t>ÖSTERSUND</t>
        </is>
      </c>
      <c r="F10104" t="inlineStr">
        <is>
          <t>Övriga Aktiebolag</t>
        </is>
      </c>
      <c r="G10104" t="n">
        <v>16.4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55827-2023</t>
        </is>
      </c>
      <c r="B10105" s="1" t="n">
        <v>45239</v>
      </c>
      <c r="C10105" s="1" t="n">
        <v>45363</v>
      </c>
      <c r="D10105" t="inlineStr">
        <is>
          <t>JÄMTLANDS LÄN</t>
        </is>
      </c>
      <c r="E10105" t="inlineStr">
        <is>
          <t>ÖSTERSUND</t>
        </is>
      </c>
      <c r="F10105" t="inlineStr">
        <is>
          <t>Övriga Aktiebolag</t>
        </is>
      </c>
      <c r="G10105" t="n">
        <v>9.1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55914-2023</t>
        </is>
      </c>
      <c r="B10106" s="1" t="n">
        <v>45240</v>
      </c>
      <c r="C10106" s="1" t="n">
        <v>45363</v>
      </c>
      <c r="D10106" t="inlineStr">
        <is>
          <t>JÄMTLANDS LÄN</t>
        </is>
      </c>
      <c r="E10106" t="inlineStr">
        <is>
          <t>KROKOM</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55922-2023</t>
        </is>
      </c>
      <c r="B10107" s="1" t="n">
        <v>45239</v>
      </c>
      <c r="C10107" s="1" t="n">
        <v>45363</v>
      </c>
      <c r="D10107" t="inlineStr">
        <is>
          <t>JÄMTLANDS LÄN</t>
        </is>
      </c>
      <c r="E10107" t="inlineStr">
        <is>
          <t>STRÖMSUND</t>
        </is>
      </c>
      <c r="F10107" t="inlineStr">
        <is>
          <t>SCA</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55844-2023</t>
        </is>
      </c>
      <c r="B10108" s="1" t="n">
        <v>45239</v>
      </c>
      <c r="C10108" s="1" t="n">
        <v>45363</v>
      </c>
      <c r="D10108" t="inlineStr">
        <is>
          <t>JÄMTLANDS LÄN</t>
        </is>
      </c>
      <c r="E10108" t="inlineStr">
        <is>
          <t>HÄRJEDALEN</t>
        </is>
      </c>
      <c r="G10108" t="n">
        <v>10.6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55860-2023</t>
        </is>
      </c>
      <c r="B10109" s="1" t="n">
        <v>45239</v>
      </c>
      <c r="C10109" s="1" t="n">
        <v>45363</v>
      </c>
      <c r="D10109" t="inlineStr">
        <is>
          <t>JÄMTLANDS LÄN</t>
        </is>
      </c>
      <c r="E10109" t="inlineStr">
        <is>
          <t>ÅRE</t>
        </is>
      </c>
      <c r="G10109" t="n">
        <v>9.300000000000001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55921-2023</t>
        </is>
      </c>
      <c r="B10110" s="1" t="n">
        <v>45239</v>
      </c>
      <c r="C10110" s="1" t="n">
        <v>45363</v>
      </c>
      <c r="D10110" t="inlineStr">
        <is>
          <t>JÄMTLANDS LÄN</t>
        </is>
      </c>
      <c r="E10110" t="inlineStr">
        <is>
          <t>STRÖMSUND</t>
        </is>
      </c>
      <c r="F10110" t="inlineStr">
        <is>
          <t>SCA</t>
        </is>
      </c>
      <c r="G10110" t="n">
        <v>6.3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55693-2023</t>
        </is>
      </c>
      <c r="B10111" s="1" t="n">
        <v>45239</v>
      </c>
      <c r="C10111" s="1" t="n">
        <v>45363</v>
      </c>
      <c r="D10111" t="inlineStr">
        <is>
          <t>JÄMTLANDS LÄN</t>
        </is>
      </c>
      <c r="E10111" t="inlineStr">
        <is>
          <t>KROKOM</t>
        </is>
      </c>
      <c r="G10111" t="n">
        <v>12.5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55736-2023</t>
        </is>
      </c>
      <c r="B10112" s="1" t="n">
        <v>45239</v>
      </c>
      <c r="C10112" s="1" t="n">
        <v>45363</v>
      </c>
      <c r="D10112" t="inlineStr">
        <is>
          <t>JÄMTLANDS LÄN</t>
        </is>
      </c>
      <c r="E10112" t="inlineStr">
        <is>
          <t>HÄRJEDALEN</t>
        </is>
      </c>
      <c r="F10112" t="inlineStr">
        <is>
          <t>Holmen skog AB</t>
        </is>
      </c>
      <c r="G10112" t="n">
        <v>8.9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55766-2023</t>
        </is>
      </c>
      <c r="B10113" s="1" t="n">
        <v>45239</v>
      </c>
      <c r="C10113" s="1" t="n">
        <v>45363</v>
      </c>
      <c r="D10113" t="inlineStr">
        <is>
          <t>JÄMTLANDS LÄN</t>
        </is>
      </c>
      <c r="E10113" t="inlineStr">
        <is>
          <t>HÄRJEDALEN</t>
        </is>
      </c>
      <c r="G10113" t="n">
        <v>8.300000000000001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55834-2023</t>
        </is>
      </c>
      <c r="B10114" s="1" t="n">
        <v>45239</v>
      </c>
      <c r="C10114" s="1" t="n">
        <v>45363</v>
      </c>
      <c r="D10114" t="inlineStr">
        <is>
          <t>JÄMTLANDS LÄN</t>
        </is>
      </c>
      <c r="E10114" t="inlineStr">
        <is>
          <t>HÄRJEDALEN</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55915-2023</t>
        </is>
      </c>
      <c r="B10115" s="1" t="n">
        <v>45240</v>
      </c>
      <c r="C10115" s="1" t="n">
        <v>45363</v>
      </c>
      <c r="D10115" t="inlineStr">
        <is>
          <t>JÄMTLANDS LÄN</t>
        </is>
      </c>
      <c r="E10115" t="inlineStr">
        <is>
          <t>KROKOM</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57188-2023</t>
        </is>
      </c>
      <c r="B10116" s="1" t="n">
        <v>45239</v>
      </c>
      <c r="C10116" s="1" t="n">
        <v>45363</v>
      </c>
      <c r="D10116" t="inlineStr">
        <is>
          <t>JÄMTLANDS LÄN</t>
        </is>
      </c>
      <c r="E10116" t="inlineStr">
        <is>
          <t>KROKOM</t>
        </is>
      </c>
      <c r="G10116" t="n">
        <v>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57257-2023</t>
        </is>
      </c>
      <c r="B10117" s="1" t="n">
        <v>45239</v>
      </c>
      <c r="C10117" s="1" t="n">
        <v>45363</v>
      </c>
      <c r="D10117" t="inlineStr">
        <is>
          <t>JÄMTLANDS LÄN</t>
        </is>
      </c>
      <c r="E10117" t="inlineStr">
        <is>
          <t>KROKOM</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57266-2023</t>
        </is>
      </c>
      <c r="B10118" s="1" t="n">
        <v>45239</v>
      </c>
      <c r="C10118" s="1" t="n">
        <v>45363</v>
      </c>
      <c r="D10118" t="inlineStr">
        <is>
          <t>JÄMTLANDS LÄN</t>
        </is>
      </c>
      <c r="E10118" t="inlineStr">
        <is>
          <t>KROKOM</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57433-2023</t>
        </is>
      </c>
      <c r="B10119" s="1" t="n">
        <v>45240</v>
      </c>
      <c r="C10119" s="1" t="n">
        <v>45363</v>
      </c>
      <c r="D10119" t="inlineStr">
        <is>
          <t>JÄMTLANDS LÄN</t>
        </is>
      </c>
      <c r="E10119" t="inlineStr">
        <is>
          <t>RAGUNDA</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57476-2023</t>
        </is>
      </c>
      <c r="B10120" s="1" t="n">
        <v>45240</v>
      </c>
      <c r="C10120" s="1" t="n">
        <v>45363</v>
      </c>
      <c r="D10120" t="inlineStr">
        <is>
          <t>JÄMTLANDS LÄN</t>
        </is>
      </c>
      <c r="E10120" t="inlineStr">
        <is>
          <t>STRÖMSUND</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57425-2023</t>
        </is>
      </c>
      <c r="B10121" s="1" t="n">
        <v>45240</v>
      </c>
      <c r="C10121" s="1" t="n">
        <v>45363</v>
      </c>
      <c r="D10121" t="inlineStr">
        <is>
          <t>JÄMTLANDS LÄN</t>
        </is>
      </c>
      <c r="E10121" t="inlineStr">
        <is>
          <t>RAGUNDA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56253-2023</t>
        </is>
      </c>
      <c r="B10122" s="1" t="n">
        <v>45240</v>
      </c>
      <c r="C10122" s="1" t="n">
        <v>45363</v>
      </c>
      <c r="D10122" t="inlineStr">
        <is>
          <t>JÄMTLANDS LÄN</t>
        </is>
      </c>
      <c r="E10122" t="inlineStr">
        <is>
          <t>BRÄCKE</t>
        </is>
      </c>
      <c r="F10122" t="inlineStr">
        <is>
          <t>SCA</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57348-2023</t>
        </is>
      </c>
      <c r="B10123" s="1" t="n">
        <v>45240</v>
      </c>
      <c r="C10123" s="1" t="n">
        <v>45363</v>
      </c>
      <c r="D10123" t="inlineStr">
        <is>
          <t>JÄMTLANDS LÄN</t>
        </is>
      </c>
      <c r="E10123" t="inlineStr">
        <is>
          <t>STRÖMSUND</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57361-2023</t>
        </is>
      </c>
      <c r="B10124" s="1" t="n">
        <v>45240</v>
      </c>
      <c r="C10124" s="1" t="n">
        <v>45363</v>
      </c>
      <c r="D10124" t="inlineStr">
        <is>
          <t>JÄMTLANDS LÄN</t>
        </is>
      </c>
      <c r="E10124" t="inlineStr">
        <is>
          <t>STRÖMSUND</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57431-2023</t>
        </is>
      </c>
      <c r="B10125" s="1" t="n">
        <v>45240</v>
      </c>
      <c r="C10125" s="1" t="n">
        <v>45363</v>
      </c>
      <c r="D10125" t="inlineStr">
        <is>
          <t>JÄMTLANDS LÄN</t>
        </is>
      </c>
      <c r="E10125" t="inlineStr">
        <is>
          <t>STRÖMSUND</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57438-2023</t>
        </is>
      </c>
      <c r="B10126" s="1" t="n">
        <v>45240</v>
      </c>
      <c r="C10126" s="1" t="n">
        <v>45363</v>
      </c>
      <c r="D10126" t="inlineStr">
        <is>
          <t>JÄMTLANDS LÄN</t>
        </is>
      </c>
      <c r="E10126" t="inlineStr">
        <is>
          <t>BERG</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57360-2023</t>
        </is>
      </c>
      <c r="B10127" s="1" t="n">
        <v>45240</v>
      </c>
      <c r="C10127" s="1" t="n">
        <v>45363</v>
      </c>
      <c r="D10127" t="inlineStr">
        <is>
          <t>JÄMTLANDS LÄN</t>
        </is>
      </c>
      <c r="E10127" t="inlineStr">
        <is>
          <t>KROKOM</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57429-2023</t>
        </is>
      </c>
      <c r="B10128" s="1" t="n">
        <v>45240</v>
      </c>
      <c r="C10128" s="1" t="n">
        <v>45363</v>
      </c>
      <c r="D10128" t="inlineStr">
        <is>
          <t>JÄMTLANDS LÄN</t>
        </is>
      </c>
      <c r="E10128" t="inlineStr">
        <is>
          <t>STRÖMSUND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56255-2023</t>
        </is>
      </c>
      <c r="B10129" s="1" t="n">
        <v>45240</v>
      </c>
      <c r="C10129" s="1" t="n">
        <v>45363</v>
      </c>
      <c r="D10129" t="inlineStr">
        <is>
          <t>JÄMTLANDS LÄN</t>
        </is>
      </c>
      <c r="E10129" t="inlineStr">
        <is>
          <t>BERG</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56141-2023</t>
        </is>
      </c>
      <c r="B10130" s="1" t="n">
        <v>45240</v>
      </c>
      <c r="C10130" s="1" t="n">
        <v>45363</v>
      </c>
      <c r="D10130" t="inlineStr">
        <is>
          <t>JÄMTLANDS LÄN</t>
        </is>
      </c>
      <c r="E10130" t="inlineStr">
        <is>
          <t>BERG</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56125-2023</t>
        </is>
      </c>
      <c r="B10131" s="1" t="n">
        <v>45240</v>
      </c>
      <c r="C10131" s="1" t="n">
        <v>45363</v>
      </c>
      <c r="D10131" t="inlineStr">
        <is>
          <t>JÄMTLANDS LÄN</t>
        </is>
      </c>
      <c r="E10131" t="inlineStr">
        <is>
          <t>BERG</t>
        </is>
      </c>
      <c r="G10131" t="n">
        <v>6.4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56013-2023</t>
        </is>
      </c>
      <c r="B10132" s="1" t="n">
        <v>45240</v>
      </c>
      <c r="C10132" s="1" t="n">
        <v>45363</v>
      </c>
      <c r="D10132" t="inlineStr">
        <is>
          <t>JÄMTLANDS LÄN</t>
        </is>
      </c>
      <c r="E10132" t="inlineStr">
        <is>
          <t>HÄRJEDALEN</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56284-2023</t>
        </is>
      </c>
      <c r="B10133" s="1" t="n">
        <v>45241</v>
      </c>
      <c r="C10133" s="1" t="n">
        <v>45363</v>
      </c>
      <c r="D10133" t="inlineStr">
        <is>
          <t>JÄMTLANDS LÄN</t>
        </is>
      </c>
      <c r="E10133" t="inlineStr">
        <is>
          <t>RAGUNDA</t>
        </is>
      </c>
      <c r="F10133" t="inlineStr">
        <is>
          <t>SCA</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56287-2023</t>
        </is>
      </c>
      <c r="B10134" s="1" t="n">
        <v>45241</v>
      </c>
      <c r="C10134" s="1" t="n">
        <v>45363</v>
      </c>
      <c r="D10134" t="inlineStr">
        <is>
          <t>JÄMTLANDS LÄN</t>
        </is>
      </c>
      <c r="E10134" t="inlineStr">
        <is>
          <t>RAGUNDA</t>
        </is>
      </c>
      <c r="F10134" t="inlineStr">
        <is>
          <t>SCA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56286-2023</t>
        </is>
      </c>
      <c r="B10135" s="1" t="n">
        <v>45241</v>
      </c>
      <c r="C10135" s="1" t="n">
        <v>45363</v>
      </c>
      <c r="D10135" t="inlineStr">
        <is>
          <t>JÄMTLANDS LÄN</t>
        </is>
      </c>
      <c r="E10135" t="inlineStr">
        <is>
          <t>RAGUNDA</t>
        </is>
      </c>
      <c r="F10135" t="inlineStr">
        <is>
          <t>SCA</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56312-2023</t>
        </is>
      </c>
      <c r="B10136" s="1" t="n">
        <v>45242</v>
      </c>
      <c r="C10136" s="1" t="n">
        <v>45363</v>
      </c>
      <c r="D10136" t="inlineStr">
        <is>
          <t>JÄMTLANDS LÄN</t>
        </is>
      </c>
      <c r="E10136" t="inlineStr">
        <is>
          <t>STRÖMSUND</t>
        </is>
      </c>
      <c r="F10136" t="inlineStr">
        <is>
          <t>SCA</t>
        </is>
      </c>
      <c r="G10136" t="n">
        <v>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56313-2023</t>
        </is>
      </c>
      <c r="B10137" s="1" t="n">
        <v>45243</v>
      </c>
      <c r="C10137" s="1" t="n">
        <v>45363</v>
      </c>
      <c r="D10137" t="inlineStr">
        <is>
          <t>JÄMTLANDS LÄN</t>
        </is>
      </c>
      <c r="E10137" t="inlineStr">
        <is>
          <t>STRÖMSUND</t>
        </is>
      </c>
      <c r="F10137" t="inlineStr">
        <is>
          <t>SCA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56314-2023</t>
        </is>
      </c>
      <c r="B10138" s="1" t="n">
        <v>45243</v>
      </c>
      <c r="C10138" s="1" t="n">
        <v>45363</v>
      </c>
      <c r="D10138" t="inlineStr">
        <is>
          <t>JÄMTLANDS LÄN</t>
        </is>
      </c>
      <c r="E10138" t="inlineStr">
        <is>
          <t>STRÖMSUND</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56353-2023</t>
        </is>
      </c>
      <c r="B10139" s="1" t="n">
        <v>45243</v>
      </c>
      <c r="C10139" s="1" t="n">
        <v>45363</v>
      </c>
      <c r="D10139" t="inlineStr">
        <is>
          <t>JÄMTLANDS LÄN</t>
        </is>
      </c>
      <c r="E10139" t="inlineStr">
        <is>
          <t>KROKOM</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56465-2023</t>
        </is>
      </c>
      <c r="B10140" s="1" t="n">
        <v>45243</v>
      </c>
      <c r="C10140" s="1" t="n">
        <v>45363</v>
      </c>
      <c r="D10140" t="inlineStr">
        <is>
          <t>JÄMTLANDS LÄN</t>
        </is>
      </c>
      <c r="E10140" t="inlineStr">
        <is>
          <t>ÖSTERSUND</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56483-2023</t>
        </is>
      </c>
      <c r="B10141" s="1" t="n">
        <v>45243</v>
      </c>
      <c r="C10141" s="1" t="n">
        <v>45363</v>
      </c>
      <c r="D10141" t="inlineStr">
        <is>
          <t>JÄMTLANDS LÄN</t>
        </is>
      </c>
      <c r="E10141" t="inlineStr">
        <is>
          <t>HÄRJEDALEN</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56512-2023</t>
        </is>
      </c>
      <c r="B10142" s="1" t="n">
        <v>45243</v>
      </c>
      <c r="C10142" s="1" t="n">
        <v>45363</v>
      </c>
      <c r="D10142" t="inlineStr">
        <is>
          <t>JÄMTLANDS LÄN</t>
        </is>
      </c>
      <c r="E10142" t="inlineStr">
        <is>
          <t>HÄRJEDALEN</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56609-2023</t>
        </is>
      </c>
      <c r="B10143" s="1" t="n">
        <v>45243</v>
      </c>
      <c r="C10143" s="1" t="n">
        <v>45363</v>
      </c>
      <c r="D10143" t="inlineStr">
        <is>
          <t>JÄMTLANDS LÄN</t>
        </is>
      </c>
      <c r="E10143" t="inlineStr">
        <is>
          <t>ÅRE</t>
        </is>
      </c>
      <c r="G10143" t="n">
        <v>17.9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56688-2023</t>
        </is>
      </c>
      <c r="B10144" s="1" t="n">
        <v>45244</v>
      </c>
      <c r="C10144" s="1" t="n">
        <v>45363</v>
      </c>
      <c r="D10144" t="inlineStr">
        <is>
          <t>JÄMTLANDS LÄN</t>
        </is>
      </c>
      <c r="E10144" t="inlineStr">
        <is>
          <t>BRÄCKE</t>
        </is>
      </c>
      <c r="F10144" t="inlineStr">
        <is>
          <t>SCA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56328-2023</t>
        </is>
      </c>
      <c r="B10145" s="1" t="n">
        <v>45243</v>
      </c>
      <c r="C10145" s="1" t="n">
        <v>45363</v>
      </c>
      <c r="D10145" t="inlineStr">
        <is>
          <t>JÄMTLANDS LÄN</t>
        </is>
      </c>
      <c r="E10145" t="inlineStr">
        <is>
          <t>KROKOM</t>
        </is>
      </c>
      <c r="F10145" t="inlineStr">
        <is>
          <t>Övriga Aktiebolag</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56587-2023</t>
        </is>
      </c>
      <c r="B10146" s="1" t="n">
        <v>45243</v>
      </c>
      <c r="C10146" s="1" t="n">
        <v>45363</v>
      </c>
      <c r="D10146" t="inlineStr">
        <is>
          <t>JÄMTLANDS LÄN</t>
        </is>
      </c>
      <c r="E10146" t="inlineStr">
        <is>
          <t>HÄRJEDALEN</t>
        </is>
      </c>
      <c r="G10146" t="n">
        <v>13.4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56658-2023</t>
        </is>
      </c>
      <c r="B10147" s="1" t="n">
        <v>45243</v>
      </c>
      <c r="C10147" s="1" t="n">
        <v>45363</v>
      </c>
      <c r="D10147" t="inlineStr">
        <is>
          <t>JÄMTLANDS LÄN</t>
        </is>
      </c>
      <c r="E10147" t="inlineStr">
        <is>
          <t>RAGUNDA</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56686-2023</t>
        </is>
      </c>
      <c r="B10148" s="1" t="n">
        <v>45244</v>
      </c>
      <c r="C10148" s="1" t="n">
        <v>45363</v>
      </c>
      <c r="D10148" t="inlineStr">
        <is>
          <t>JÄMTLANDS LÄN</t>
        </is>
      </c>
      <c r="E10148" t="inlineStr">
        <is>
          <t>BRÄCKE</t>
        </is>
      </c>
      <c r="F10148" t="inlineStr">
        <is>
          <t>SCA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56690-2023</t>
        </is>
      </c>
      <c r="B10149" s="1" t="n">
        <v>45244</v>
      </c>
      <c r="C10149" s="1" t="n">
        <v>45363</v>
      </c>
      <c r="D10149" t="inlineStr">
        <is>
          <t>JÄMTLANDS LÄN</t>
        </is>
      </c>
      <c r="E10149" t="inlineStr">
        <is>
          <t>BRÄCKE</t>
        </is>
      </c>
      <c r="G10149" t="n">
        <v>24.3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56694-2023</t>
        </is>
      </c>
      <c r="B10150" s="1" t="n">
        <v>45244</v>
      </c>
      <c r="C10150" s="1" t="n">
        <v>45363</v>
      </c>
      <c r="D10150" t="inlineStr">
        <is>
          <t>JÄMTLANDS LÄN</t>
        </is>
      </c>
      <c r="E10150" t="inlineStr">
        <is>
          <t>KROKOM</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56478-2023</t>
        </is>
      </c>
      <c r="B10151" s="1" t="n">
        <v>45243</v>
      </c>
      <c r="C10151" s="1" t="n">
        <v>45363</v>
      </c>
      <c r="D10151" t="inlineStr">
        <is>
          <t>JÄMTLANDS LÄN</t>
        </is>
      </c>
      <c r="E10151" t="inlineStr">
        <is>
          <t>ÖSTERSUND</t>
        </is>
      </c>
      <c r="F10151" t="inlineStr">
        <is>
          <t>Övriga Aktiebolag</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56515-2023</t>
        </is>
      </c>
      <c r="B10152" s="1" t="n">
        <v>45243</v>
      </c>
      <c r="C10152" s="1" t="n">
        <v>45363</v>
      </c>
      <c r="D10152" t="inlineStr">
        <is>
          <t>JÄMTLANDS LÄN</t>
        </is>
      </c>
      <c r="E10152" t="inlineStr">
        <is>
          <t>KROKOM</t>
        </is>
      </c>
      <c r="G10152" t="n">
        <v>15.5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56525-2023</t>
        </is>
      </c>
      <c r="B10153" s="1" t="n">
        <v>45243</v>
      </c>
      <c r="C10153" s="1" t="n">
        <v>45363</v>
      </c>
      <c r="D10153" t="inlineStr">
        <is>
          <t>JÄMTLANDS LÄN</t>
        </is>
      </c>
      <c r="E10153" t="inlineStr">
        <is>
          <t>BRÄCKE</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56601-2023</t>
        </is>
      </c>
      <c r="B10154" s="1" t="n">
        <v>45243</v>
      </c>
      <c r="C10154" s="1" t="n">
        <v>45363</v>
      </c>
      <c r="D10154" t="inlineStr">
        <is>
          <t>JÄMTLANDS LÄN</t>
        </is>
      </c>
      <c r="E10154" t="inlineStr">
        <is>
          <t>KROKOM</t>
        </is>
      </c>
      <c r="G10154" t="n">
        <v>16.8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56346-2023</t>
        </is>
      </c>
      <c r="B10155" s="1" t="n">
        <v>45243</v>
      </c>
      <c r="C10155" s="1" t="n">
        <v>45363</v>
      </c>
      <c r="D10155" t="inlineStr">
        <is>
          <t>JÄMTLANDS LÄN</t>
        </is>
      </c>
      <c r="E10155" t="inlineStr">
        <is>
          <t>KROKOM</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56361-2023</t>
        </is>
      </c>
      <c r="B10156" s="1" t="n">
        <v>45243</v>
      </c>
      <c r="C10156" s="1" t="n">
        <v>45363</v>
      </c>
      <c r="D10156" t="inlineStr">
        <is>
          <t>JÄMTLANDS LÄN</t>
        </is>
      </c>
      <c r="E10156" t="inlineStr">
        <is>
          <t>KROKOM</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56546-2023</t>
        </is>
      </c>
      <c r="B10157" s="1" t="n">
        <v>45243</v>
      </c>
      <c r="C10157" s="1" t="n">
        <v>45363</v>
      </c>
      <c r="D10157" t="inlineStr">
        <is>
          <t>JÄMTLANDS LÄN</t>
        </is>
      </c>
      <c r="E10157" t="inlineStr">
        <is>
          <t>KROKOM</t>
        </is>
      </c>
      <c r="G10157" t="n">
        <v>19.9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56679-2023</t>
        </is>
      </c>
      <c r="B10158" s="1" t="n">
        <v>45243</v>
      </c>
      <c r="C10158" s="1" t="n">
        <v>45363</v>
      </c>
      <c r="D10158" t="inlineStr">
        <is>
          <t>JÄMTLANDS LÄN</t>
        </is>
      </c>
      <c r="E10158" t="inlineStr">
        <is>
          <t>ÅRE</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56687-2023</t>
        </is>
      </c>
      <c r="B10159" s="1" t="n">
        <v>45244</v>
      </c>
      <c r="C10159" s="1" t="n">
        <v>45363</v>
      </c>
      <c r="D10159" t="inlineStr">
        <is>
          <t>JÄMTLANDS LÄN</t>
        </is>
      </c>
      <c r="E10159" t="inlineStr">
        <is>
          <t>BRÄCKE</t>
        </is>
      </c>
      <c r="F10159" t="inlineStr">
        <is>
          <t>SCA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56691-2023</t>
        </is>
      </c>
      <c r="B10160" s="1" t="n">
        <v>45244</v>
      </c>
      <c r="C10160" s="1" t="n">
        <v>45363</v>
      </c>
      <c r="D10160" t="inlineStr">
        <is>
          <t>JÄMTLANDS LÄN</t>
        </is>
      </c>
      <c r="E10160" t="inlineStr">
        <is>
          <t>STRÖMSUND</t>
        </is>
      </c>
      <c r="F10160" t="inlineStr">
        <is>
          <t>SCA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56702-2023</t>
        </is>
      </c>
      <c r="B10161" s="1" t="n">
        <v>45244</v>
      </c>
      <c r="C10161" s="1" t="n">
        <v>45363</v>
      </c>
      <c r="D10161" t="inlineStr">
        <is>
          <t>JÄMTLANDS LÄN</t>
        </is>
      </c>
      <c r="E10161" t="inlineStr">
        <is>
          <t>RAGUNDA</t>
        </is>
      </c>
      <c r="F10161" t="inlineStr">
        <is>
          <t>SCA</t>
        </is>
      </c>
      <c r="G10161" t="n">
        <v>10.3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57612-2023</t>
        </is>
      </c>
      <c r="B10162" s="1" t="n">
        <v>45243</v>
      </c>
      <c r="C10162" s="1" t="n">
        <v>45363</v>
      </c>
      <c r="D10162" t="inlineStr">
        <is>
          <t>JÄMTLANDS LÄN</t>
        </is>
      </c>
      <c r="E10162" t="inlineStr">
        <is>
          <t>BRÄCKE</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57727-2023</t>
        </is>
      </c>
      <c r="B10163" s="1" t="n">
        <v>45243</v>
      </c>
      <c r="C10163" s="1" t="n">
        <v>45363</v>
      </c>
      <c r="D10163" t="inlineStr">
        <is>
          <t>JÄMTLANDS LÄN</t>
        </is>
      </c>
      <c r="E10163" t="inlineStr">
        <is>
          <t>KROKOM</t>
        </is>
      </c>
      <c r="G10163" t="n">
        <v>32.9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57805-2023</t>
        </is>
      </c>
      <c r="B10164" s="1" t="n">
        <v>45243</v>
      </c>
      <c r="C10164" s="1" t="n">
        <v>45363</v>
      </c>
      <c r="D10164" t="inlineStr">
        <is>
          <t>JÄMTLANDS LÄN</t>
        </is>
      </c>
      <c r="E10164" t="inlineStr">
        <is>
          <t>STRÖMSUND</t>
        </is>
      </c>
      <c r="F10164" t="inlineStr">
        <is>
          <t>SCA</t>
        </is>
      </c>
      <c r="G10164" t="n">
        <v>5.6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57729-2023</t>
        </is>
      </c>
      <c r="B10165" s="1" t="n">
        <v>45243</v>
      </c>
      <c r="C10165" s="1" t="n">
        <v>45363</v>
      </c>
      <c r="D10165" t="inlineStr">
        <is>
          <t>JÄMTLANDS LÄN</t>
        </is>
      </c>
      <c r="E10165" t="inlineStr">
        <is>
          <t>STRÖMSUND</t>
        </is>
      </c>
      <c r="G10165" t="n">
        <v>14.8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57804-2023</t>
        </is>
      </c>
      <c r="B10166" s="1" t="n">
        <v>45243</v>
      </c>
      <c r="C10166" s="1" t="n">
        <v>45363</v>
      </c>
      <c r="D10166" t="inlineStr">
        <is>
          <t>JÄMTLANDS LÄN</t>
        </is>
      </c>
      <c r="E10166" t="inlineStr">
        <is>
          <t>STRÖMSUND</t>
        </is>
      </c>
      <c r="F10166" t="inlineStr">
        <is>
          <t>SCA</t>
        </is>
      </c>
      <c r="G10166" t="n">
        <v>7.2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56736-2023</t>
        </is>
      </c>
      <c r="B10167" s="1" t="n">
        <v>45244</v>
      </c>
      <c r="C10167" s="1" t="n">
        <v>45363</v>
      </c>
      <c r="D10167" t="inlineStr">
        <is>
          <t>JÄMTLANDS LÄN</t>
        </is>
      </c>
      <c r="E10167" t="inlineStr">
        <is>
          <t>ÅRE</t>
        </is>
      </c>
      <c r="F10167" t="inlineStr">
        <is>
          <t>Övriga Aktiebolag</t>
        </is>
      </c>
      <c r="G10167" t="n">
        <v>10.7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56909-2023</t>
        </is>
      </c>
      <c r="B10168" s="1" t="n">
        <v>45244</v>
      </c>
      <c r="C10168" s="1" t="n">
        <v>45363</v>
      </c>
      <c r="D10168" t="inlineStr">
        <is>
          <t>JÄMTLANDS LÄN</t>
        </is>
      </c>
      <c r="E10168" t="inlineStr">
        <is>
          <t>HÄRJEDALEN</t>
        </is>
      </c>
      <c r="F10168" t="inlineStr">
        <is>
          <t>Bergvik skog väst AB</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56976-2023</t>
        </is>
      </c>
      <c r="B10169" s="1" t="n">
        <v>45244</v>
      </c>
      <c r="C10169" s="1" t="n">
        <v>45363</v>
      </c>
      <c r="D10169" t="inlineStr">
        <is>
          <t>JÄMTLANDS LÄN</t>
        </is>
      </c>
      <c r="E10169" t="inlineStr">
        <is>
          <t>ÅRE</t>
        </is>
      </c>
      <c r="F10169" t="inlineStr">
        <is>
          <t>Övriga Aktiebolag</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57055-2023</t>
        </is>
      </c>
      <c r="B10170" s="1" t="n">
        <v>45244</v>
      </c>
      <c r="C10170" s="1" t="n">
        <v>45363</v>
      </c>
      <c r="D10170" t="inlineStr">
        <is>
          <t>JÄMTLANDS LÄN</t>
        </is>
      </c>
      <c r="E10170" t="inlineStr">
        <is>
          <t>STRÖMSUND</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56912-2023</t>
        </is>
      </c>
      <c r="B10171" s="1" t="n">
        <v>45244</v>
      </c>
      <c r="C10171" s="1" t="n">
        <v>45363</v>
      </c>
      <c r="D10171" t="inlineStr">
        <is>
          <t>JÄMTLANDS LÄN</t>
        </is>
      </c>
      <c r="E10171" t="inlineStr">
        <is>
          <t>HÄRJEDALEN</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56906-2023</t>
        </is>
      </c>
      <c r="B10172" s="1" t="n">
        <v>45244</v>
      </c>
      <c r="C10172" s="1" t="n">
        <v>45363</v>
      </c>
      <c r="D10172" t="inlineStr">
        <is>
          <t>JÄMTLANDS LÄN</t>
        </is>
      </c>
      <c r="E10172" t="inlineStr">
        <is>
          <t>HÄRJEDALEN</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56927-2023</t>
        </is>
      </c>
      <c r="B10173" s="1" t="n">
        <v>45244</v>
      </c>
      <c r="C10173" s="1" t="n">
        <v>45363</v>
      </c>
      <c r="D10173" t="inlineStr">
        <is>
          <t>JÄMTLANDS LÄN</t>
        </is>
      </c>
      <c r="E10173" t="inlineStr">
        <is>
          <t>KROKOM</t>
        </is>
      </c>
      <c r="G10173" t="n">
        <v>14.1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56924-2023</t>
        </is>
      </c>
      <c r="B10174" s="1" t="n">
        <v>45244</v>
      </c>
      <c r="C10174" s="1" t="n">
        <v>45363</v>
      </c>
      <c r="D10174" t="inlineStr">
        <is>
          <t>JÄMTLANDS LÄN</t>
        </is>
      </c>
      <c r="E10174" t="inlineStr">
        <is>
          <t>KROKOM</t>
        </is>
      </c>
      <c r="G10174" t="n">
        <v>10.2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56932-2023</t>
        </is>
      </c>
      <c r="B10175" s="1" t="n">
        <v>45244</v>
      </c>
      <c r="C10175" s="1" t="n">
        <v>45363</v>
      </c>
      <c r="D10175" t="inlineStr">
        <is>
          <t>JÄMTLANDS LÄN</t>
        </is>
      </c>
      <c r="E10175" t="inlineStr">
        <is>
          <t>KROKOM</t>
        </is>
      </c>
      <c r="G10175" t="n">
        <v>9.300000000000001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56936-2023</t>
        </is>
      </c>
      <c r="B10176" s="1" t="n">
        <v>45244</v>
      </c>
      <c r="C10176" s="1" t="n">
        <v>45363</v>
      </c>
      <c r="D10176" t="inlineStr">
        <is>
          <t>JÄMTLANDS LÄN</t>
        </is>
      </c>
      <c r="E10176" t="inlineStr">
        <is>
          <t>KROKOM</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57048-2023</t>
        </is>
      </c>
      <c r="B10177" s="1" t="n">
        <v>45244</v>
      </c>
      <c r="C10177" s="1" t="n">
        <v>45363</v>
      </c>
      <c r="D10177" t="inlineStr">
        <is>
          <t>JÄMTLANDS LÄN</t>
        </is>
      </c>
      <c r="E10177" t="inlineStr">
        <is>
          <t>STRÖMSUND</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57068-2023</t>
        </is>
      </c>
      <c r="B10178" s="1" t="n">
        <v>45244</v>
      </c>
      <c r="C10178" s="1" t="n">
        <v>45363</v>
      </c>
      <c r="D10178" t="inlineStr">
        <is>
          <t>JÄMTLANDS LÄN</t>
        </is>
      </c>
      <c r="E10178" t="inlineStr">
        <is>
          <t>STRÖMSUND</t>
        </is>
      </c>
      <c r="F10178" t="inlineStr">
        <is>
          <t>SCA</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57084-2023</t>
        </is>
      </c>
      <c r="B10179" s="1" t="n">
        <v>45245</v>
      </c>
      <c r="C10179" s="1" t="n">
        <v>45363</v>
      </c>
      <c r="D10179" t="inlineStr">
        <is>
          <t>JÄMTLANDS LÄN</t>
        </is>
      </c>
      <c r="E10179" t="inlineStr">
        <is>
          <t>STRÖMSUND</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57083-2023</t>
        </is>
      </c>
      <c r="B10180" s="1" t="n">
        <v>45244</v>
      </c>
      <c r="C10180" s="1" t="n">
        <v>45363</v>
      </c>
      <c r="D10180" t="inlineStr">
        <is>
          <t>JÄMTLANDS LÄN</t>
        </is>
      </c>
      <c r="E10180" t="inlineStr">
        <is>
          <t>STRÖMSUND</t>
        </is>
      </c>
      <c r="F10180" t="inlineStr">
        <is>
          <t>SCA</t>
        </is>
      </c>
      <c r="G10180" t="n">
        <v>31.1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57942-2023</t>
        </is>
      </c>
      <c r="B10181" s="1" t="n">
        <v>45244</v>
      </c>
      <c r="C10181" s="1" t="n">
        <v>45363</v>
      </c>
      <c r="D10181" t="inlineStr">
        <is>
          <t>JÄMTLANDS LÄN</t>
        </is>
      </c>
      <c r="E10181" t="inlineStr">
        <is>
          <t>BRÄCKE</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57863-2023</t>
        </is>
      </c>
      <c r="B10182" s="1" t="n">
        <v>45244</v>
      </c>
      <c r="C10182" s="1" t="n">
        <v>45363</v>
      </c>
      <c r="D10182" t="inlineStr">
        <is>
          <t>JÄMTLANDS LÄN</t>
        </is>
      </c>
      <c r="E10182" t="inlineStr">
        <is>
          <t>ÖSTERSUND</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57078-2023</t>
        </is>
      </c>
      <c r="B10183" s="1" t="n">
        <v>45245</v>
      </c>
      <c r="C10183" s="1" t="n">
        <v>45363</v>
      </c>
      <c r="D10183" t="inlineStr">
        <is>
          <t>JÄMTLANDS LÄN</t>
        </is>
      </c>
      <c r="E10183" t="inlineStr">
        <is>
          <t>RAGUNDA</t>
        </is>
      </c>
      <c r="F10183" t="inlineStr">
        <is>
          <t>SCA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57082-2023</t>
        </is>
      </c>
      <c r="B10184" s="1" t="n">
        <v>45245</v>
      </c>
      <c r="C10184" s="1" t="n">
        <v>45363</v>
      </c>
      <c r="D10184" t="inlineStr">
        <is>
          <t>JÄMTLANDS LÄN</t>
        </is>
      </c>
      <c r="E10184" t="inlineStr">
        <is>
          <t>STRÖMSUND</t>
        </is>
      </c>
      <c r="F10184" t="inlineStr">
        <is>
          <t>SCA</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57925-2023</t>
        </is>
      </c>
      <c r="B10185" s="1" t="n">
        <v>45244</v>
      </c>
      <c r="C10185" s="1" t="n">
        <v>45363</v>
      </c>
      <c r="D10185" t="inlineStr">
        <is>
          <t>JÄMTLANDS LÄN</t>
        </is>
      </c>
      <c r="E10185" t="inlineStr">
        <is>
          <t>RAGUNDA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57049-2023</t>
        </is>
      </c>
      <c r="B10186" s="1" t="n">
        <v>45244</v>
      </c>
      <c r="C10186" s="1" t="n">
        <v>45363</v>
      </c>
      <c r="D10186" t="inlineStr">
        <is>
          <t>JÄMTLANDS LÄN</t>
        </is>
      </c>
      <c r="E10186" t="inlineStr">
        <is>
          <t>STRÖMSUND</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57069-2023</t>
        </is>
      </c>
      <c r="B10187" s="1" t="n">
        <v>45244</v>
      </c>
      <c r="C10187" s="1" t="n">
        <v>45363</v>
      </c>
      <c r="D10187" t="inlineStr">
        <is>
          <t>JÄMTLANDS LÄN</t>
        </is>
      </c>
      <c r="E10187" t="inlineStr">
        <is>
          <t>STRÖMSUND</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57077-2023</t>
        </is>
      </c>
      <c r="B10188" s="1" t="n">
        <v>45245</v>
      </c>
      <c r="C10188" s="1" t="n">
        <v>45363</v>
      </c>
      <c r="D10188" t="inlineStr">
        <is>
          <t>JÄMTLANDS LÄN</t>
        </is>
      </c>
      <c r="E10188" t="inlineStr">
        <is>
          <t>STRÖMSUND</t>
        </is>
      </c>
      <c r="F10188" t="inlineStr">
        <is>
          <t>SCA</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57081-2023</t>
        </is>
      </c>
      <c r="B10189" s="1" t="n">
        <v>45244</v>
      </c>
      <c r="C10189" s="1" t="n">
        <v>45363</v>
      </c>
      <c r="D10189" t="inlineStr">
        <is>
          <t>JÄMTLANDS LÄN</t>
        </is>
      </c>
      <c r="E10189" t="inlineStr">
        <is>
          <t>STRÖMSUND</t>
        </is>
      </c>
      <c r="F10189" t="inlineStr">
        <is>
          <t>SCA</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57239-2023</t>
        </is>
      </c>
      <c r="B10190" s="1" t="n">
        <v>45245</v>
      </c>
      <c r="C10190" s="1" t="n">
        <v>45363</v>
      </c>
      <c r="D10190" t="inlineStr">
        <is>
          <t>JÄMTLANDS LÄN</t>
        </is>
      </c>
      <c r="E10190" t="inlineStr">
        <is>
          <t>KROKOM</t>
        </is>
      </c>
      <c r="F10190" t="inlineStr">
        <is>
          <t>Övriga Aktiebolag</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57313-2023</t>
        </is>
      </c>
      <c r="B10191" s="1" t="n">
        <v>45245</v>
      </c>
      <c r="C10191" s="1" t="n">
        <v>45363</v>
      </c>
      <c r="D10191" t="inlineStr">
        <is>
          <t>JÄMTLANDS LÄN</t>
        </is>
      </c>
      <c r="E10191" t="inlineStr">
        <is>
          <t>HÄRJEDALEN</t>
        </is>
      </c>
      <c r="F10191" t="inlineStr">
        <is>
          <t>Bergvik skog väst AB</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57412-2023</t>
        </is>
      </c>
      <c r="B10192" s="1" t="n">
        <v>45246</v>
      </c>
      <c r="C10192" s="1" t="n">
        <v>45363</v>
      </c>
      <c r="D10192" t="inlineStr">
        <is>
          <t>JÄMTLANDS LÄN</t>
        </is>
      </c>
      <c r="E10192" t="inlineStr">
        <is>
          <t>BRÄCKE</t>
        </is>
      </c>
      <c r="F10192" t="inlineStr">
        <is>
          <t>SCA</t>
        </is>
      </c>
      <c r="G10192" t="n">
        <v>8.699999999999999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57416-2023</t>
        </is>
      </c>
      <c r="B10193" s="1" t="n">
        <v>45245</v>
      </c>
      <c r="C10193" s="1" t="n">
        <v>45363</v>
      </c>
      <c r="D10193" t="inlineStr">
        <is>
          <t>JÄMTLANDS LÄN</t>
        </is>
      </c>
      <c r="E10193" t="inlineStr">
        <is>
          <t>STRÖMSUND</t>
        </is>
      </c>
      <c r="F10193" t="inlineStr">
        <is>
          <t>SCA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57420-2023</t>
        </is>
      </c>
      <c r="B10194" s="1" t="n">
        <v>45246</v>
      </c>
      <c r="C10194" s="1" t="n">
        <v>45363</v>
      </c>
      <c r="D10194" t="inlineStr">
        <is>
          <t>JÄMTLANDS LÄN</t>
        </is>
      </c>
      <c r="E10194" t="inlineStr">
        <is>
          <t>BRÄCKE</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58197-2023</t>
        </is>
      </c>
      <c r="B10195" s="1" t="n">
        <v>45245</v>
      </c>
      <c r="C10195" s="1" t="n">
        <v>45363</v>
      </c>
      <c r="D10195" t="inlineStr">
        <is>
          <t>JÄMTLANDS LÄN</t>
        </is>
      </c>
      <c r="E10195" t="inlineStr">
        <is>
          <t>STRÖMSUND</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57099-2023</t>
        </is>
      </c>
      <c r="B10196" s="1" t="n">
        <v>45245</v>
      </c>
      <c r="C10196" s="1" t="n">
        <v>45363</v>
      </c>
      <c r="D10196" t="inlineStr">
        <is>
          <t>JÄMTLANDS LÄN</t>
        </is>
      </c>
      <c r="E10196" t="inlineStr">
        <is>
          <t>HÄRJEDALEN</t>
        </is>
      </c>
      <c r="F10196" t="inlineStr">
        <is>
          <t>Bergvik skog väst AB</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57259-2023</t>
        </is>
      </c>
      <c r="B10197" s="1" t="n">
        <v>45245</v>
      </c>
      <c r="C10197" s="1" t="n">
        <v>45363</v>
      </c>
      <c r="D10197" t="inlineStr">
        <is>
          <t>JÄMTLANDS LÄN</t>
        </is>
      </c>
      <c r="E10197" t="inlineStr">
        <is>
          <t>KROKOM</t>
        </is>
      </c>
      <c r="G10197" t="n">
        <v>9.6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57181-2023</t>
        </is>
      </c>
      <c r="B10198" s="1" t="n">
        <v>45245</v>
      </c>
      <c r="C10198" s="1" t="n">
        <v>45363</v>
      </c>
      <c r="D10198" t="inlineStr">
        <is>
          <t>JÄMTLANDS LÄN</t>
        </is>
      </c>
      <c r="E10198" t="inlineStr">
        <is>
          <t>HÄRJEDALEN</t>
        </is>
      </c>
      <c r="F10198" t="inlineStr">
        <is>
          <t>Bergvik skog väst AB</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57202-2023</t>
        </is>
      </c>
      <c r="B10199" s="1" t="n">
        <v>45245</v>
      </c>
      <c r="C10199" s="1" t="n">
        <v>45363</v>
      </c>
      <c r="D10199" t="inlineStr">
        <is>
          <t>JÄMTLANDS LÄN</t>
        </is>
      </c>
      <c r="E10199" t="inlineStr">
        <is>
          <t>HÄRJEDALEN</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57140-2023</t>
        </is>
      </c>
      <c r="B10200" s="1" t="n">
        <v>45245</v>
      </c>
      <c r="C10200" s="1" t="n">
        <v>45363</v>
      </c>
      <c r="D10200" t="inlineStr">
        <is>
          <t>JÄMTLANDS LÄN</t>
        </is>
      </c>
      <c r="E10200" t="inlineStr">
        <is>
          <t>HÄRJEDALEN</t>
        </is>
      </c>
      <c r="F10200" t="inlineStr">
        <is>
          <t>Bergvik skog väst AB</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57149-2023</t>
        </is>
      </c>
      <c r="B10201" s="1" t="n">
        <v>45245</v>
      </c>
      <c r="C10201" s="1" t="n">
        <v>45363</v>
      </c>
      <c r="D10201" t="inlineStr">
        <is>
          <t>JÄMTLANDS LÄN</t>
        </is>
      </c>
      <c r="E10201" t="inlineStr">
        <is>
          <t>KROKOM</t>
        </is>
      </c>
      <c r="F10201" t="inlineStr">
        <is>
          <t>Övriga Aktiebolag</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57281-2023</t>
        </is>
      </c>
      <c r="B10202" s="1" t="n">
        <v>45245</v>
      </c>
      <c r="C10202" s="1" t="n">
        <v>45363</v>
      </c>
      <c r="D10202" t="inlineStr">
        <is>
          <t>JÄMTLANDS LÄN</t>
        </is>
      </c>
      <c r="E10202" t="inlineStr">
        <is>
          <t>HÄRJEDALEN</t>
        </is>
      </c>
      <c r="F10202" t="inlineStr">
        <is>
          <t>Bergvik skog väst AB</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57382-2023</t>
        </is>
      </c>
      <c r="B10203" s="1" t="n">
        <v>45245</v>
      </c>
      <c r="C10203" s="1" t="n">
        <v>45363</v>
      </c>
      <c r="D10203" t="inlineStr">
        <is>
          <t>JÄMTLANDS LÄN</t>
        </is>
      </c>
      <c r="E10203" t="inlineStr">
        <is>
          <t>STRÖMSUND</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57398-2023</t>
        </is>
      </c>
      <c r="B10204" s="1" t="n">
        <v>45245</v>
      </c>
      <c r="C10204" s="1" t="n">
        <v>45363</v>
      </c>
      <c r="D10204" t="inlineStr">
        <is>
          <t>JÄMTLANDS LÄN</t>
        </is>
      </c>
      <c r="E10204" t="inlineStr">
        <is>
          <t>ÖSTERSUND</t>
        </is>
      </c>
      <c r="F10204" t="inlineStr">
        <is>
          <t>SCA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57402-2023</t>
        </is>
      </c>
      <c r="B10205" s="1" t="n">
        <v>45246</v>
      </c>
      <c r="C10205" s="1" t="n">
        <v>45363</v>
      </c>
      <c r="D10205" t="inlineStr">
        <is>
          <t>JÄMTLANDS LÄN</t>
        </is>
      </c>
      <c r="E10205" t="inlineStr">
        <is>
          <t>KROKOM</t>
        </is>
      </c>
      <c r="G10205" t="n">
        <v>14.3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57385-2023</t>
        </is>
      </c>
      <c r="B10206" s="1" t="n">
        <v>45245</v>
      </c>
      <c r="C10206" s="1" t="n">
        <v>45363</v>
      </c>
      <c r="D10206" t="inlineStr">
        <is>
          <t>JÄMTLANDS LÄN</t>
        </is>
      </c>
      <c r="E10206" t="inlineStr">
        <is>
          <t>STRÖMSUND</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57393-2023</t>
        </is>
      </c>
      <c r="B10207" s="1" t="n">
        <v>45246</v>
      </c>
      <c r="C10207" s="1" t="n">
        <v>45363</v>
      </c>
      <c r="D10207" t="inlineStr">
        <is>
          <t>JÄMTLANDS LÄN</t>
        </is>
      </c>
      <c r="E10207" t="inlineStr">
        <is>
          <t>BRÄCKE</t>
        </is>
      </c>
      <c r="F10207" t="inlineStr">
        <is>
          <t>SCA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57397-2023</t>
        </is>
      </c>
      <c r="B10208" s="1" t="n">
        <v>45245</v>
      </c>
      <c r="C10208" s="1" t="n">
        <v>45363</v>
      </c>
      <c r="D10208" t="inlineStr">
        <is>
          <t>JÄMTLANDS LÄN</t>
        </is>
      </c>
      <c r="E10208" t="inlineStr">
        <is>
          <t>BRÄCKE</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57414-2023</t>
        </is>
      </c>
      <c r="B10209" s="1" t="n">
        <v>45246</v>
      </c>
      <c r="C10209" s="1" t="n">
        <v>45363</v>
      </c>
      <c r="D10209" t="inlineStr">
        <is>
          <t>JÄMTLANDS LÄN</t>
        </is>
      </c>
      <c r="E10209" t="inlineStr">
        <is>
          <t>BRÄCKE</t>
        </is>
      </c>
      <c r="F10209" t="inlineStr">
        <is>
          <t>SCA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57418-2023</t>
        </is>
      </c>
      <c r="B10210" s="1" t="n">
        <v>45246</v>
      </c>
      <c r="C10210" s="1" t="n">
        <v>45363</v>
      </c>
      <c r="D10210" t="inlineStr">
        <is>
          <t>JÄMTLANDS LÄN</t>
        </is>
      </c>
      <c r="E10210" t="inlineStr">
        <is>
          <t>BERG</t>
        </is>
      </c>
      <c r="F10210" t="inlineStr">
        <is>
          <t>SCA</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57401-2023</t>
        </is>
      </c>
      <c r="B10211" s="1" t="n">
        <v>45246</v>
      </c>
      <c r="C10211" s="1" t="n">
        <v>45363</v>
      </c>
      <c r="D10211" t="inlineStr">
        <is>
          <t>JÄMTLANDS LÄN</t>
        </is>
      </c>
      <c r="E10211" t="inlineStr">
        <is>
          <t>KROKOM</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57405-2023</t>
        </is>
      </c>
      <c r="B10212" s="1" t="n">
        <v>45245</v>
      </c>
      <c r="C10212" s="1" t="n">
        <v>45363</v>
      </c>
      <c r="D10212" t="inlineStr">
        <is>
          <t>JÄMTLANDS LÄN</t>
        </is>
      </c>
      <c r="E10212" t="inlineStr">
        <is>
          <t>BRÄCKE</t>
        </is>
      </c>
      <c r="F10212" t="inlineStr">
        <is>
          <t>SCA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57417-2023</t>
        </is>
      </c>
      <c r="B10213" s="1" t="n">
        <v>45246</v>
      </c>
      <c r="C10213" s="1" t="n">
        <v>45363</v>
      </c>
      <c r="D10213" t="inlineStr">
        <is>
          <t>JÄMTLANDS LÄN</t>
        </is>
      </c>
      <c r="E10213" t="inlineStr">
        <is>
          <t>BRÄCKE</t>
        </is>
      </c>
      <c r="F10213" t="inlineStr">
        <is>
          <t>SCA</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57383-2023</t>
        </is>
      </c>
      <c r="B10214" s="1" t="n">
        <v>45245</v>
      </c>
      <c r="C10214" s="1" t="n">
        <v>45363</v>
      </c>
      <c r="D10214" t="inlineStr">
        <is>
          <t>JÄMTLANDS LÄN</t>
        </is>
      </c>
      <c r="E10214" t="inlineStr">
        <is>
          <t>STRÖMSUND</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57387-2023</t>
        </is>
      </c>
      <c r="B10215" s="1" t="n">
        <v>45245</v>
      </c>
      <c r="C10215" s="1" t="n">
        <v>45363</v>
      </c>
      <c r="D10215" t="inlineStr">
        <is>
          <t>JÄMTLANDS LÄN</t>
        </is>
      </c>
      <c r="E10215" t="inlineStr">
        <is>
          <t>STRÖMSUND</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57407-2023</t>
        </is>
      </c>
      <c r="B10216" s="1" t="n">
        <v>45245</v>
      </c>
      <c r="C10216" s="1" t="n">
        <v>45363</v>
      </c>
      <c r="D10216" t="inlineStr">
        <is>
          <t>JÄMTLANDS LÄN</t>
        </is>
      </c>
      <c r="E10216" t="inlineStr">
        <is>
          <t>BRÄCKE</t>
        </is>
      </c>
      <c r="F10216" t="inlineStr">
        <is>
          <t>SCA</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57415-2023</t>
        </is>
      </c>
      <c r="B10217" s="1" t="n">
        <v>45246</v>
      </c>
      <c r="C10217" s="1" t="n">
        <v>45363</v>
      </c>
      <c r="D10217" t="inlineStr">
        <is>
          <t>JÄMTLANDS LÄN</t>
        </is>
      </c>
      <c r="E10217" t="inlineStr">
        <is>
          <t>STRÖMSUND</t>
        </is>
      </c>
      <c r="F10217" t="inlineStr">
        <is>
          <t>SCA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57419-2023</t>
        </is>
      </c>
      <c r="B10218" s="1" t="n">
        <v>45246</v>
      </c>
      <c r="C10218" s="1" t="n">
        <v>45363</v>
      </c>
      <c r="D10218" t="inlineStr">
        <is>
          <t>JÄMTLANDS LÄN</t>
        </is>
      </c>
      <c r="E10218" t="inlineStr">
        <is>
          <t>BRÄCKE</t>
        </is>
      </c>
      <c r="F10218" t="inlineStr">
        <is>
          <t>SCA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58149-2023</t>
        </is>
      </c>
      <c r="B10219" s="1" t="n">
        <v>45245</v>
      </c>
      <c r="C10219" s="1" t="n">
        <v>45363</v>
      </c>
      <c r="D10219" t="inlineStr">
        <is>
          <t>JÄMTLANDS LÄN</t>
        </is>
      </c>
      <c r="E10219" t="inlineStr">
        <is>
          <t>STRÖMSUND</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57501-2023</t>
        </is>
      </c>
      <c r="B10220" s="1" t="n">
        <v>45246</v>
      </c>
      <c r="C10220" s="1" t="n">
        <v>45363</v>
      </c>
      <c r="D10220" t="inlineStr">
        <is>
          <t>JÄMTLANDS LÄN</t>
        </is>
      </c>
      <c r="E10220" t="inlineStr">
        <is>
          <t>STRÖMSUND</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57581-2023</t>
        </is>
      </c>
      <c r="B10221" s="1" t="n">
        <v>45246</v>
      </c>
      <c r="C10221" s="1" t="n">
        <v>45363</v>
      </c>
      <c r="D10221" t="inlineStr">
        <is>
          <t>JÄMTLANDS LÄN</t>
        </is>
      </c>
      <c r="E10221" t="inlineStr">
        <is>
          <t>STRÖMSUND</t>
        </is>
      </c>
      <c r="F10221" t="inlineStr">
        <is>
          <t>Holmen skog AB</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57450-2023</t>
        </is>
      </c>
      <c r="B10222" s="1" t="n">
        <v>45246</v>
      </c>
      <c r="C10222" s="1" t="n">
        <v>45363</v>
      </c>
      <c r="D10222" t="inlineStr">
        <is>
          <t>JÄMTLANDS LÄN</t>
        </is>
      </c>
      <c r="E10222" t="inlineStr">
        <is>
          <t>STRÖMSUND</t>
        </is>
      </c>
      <c r="F10222" t="inlineStr">
        <is>
          <t>Holmen skog AB</t>
        </is>
      </c>
      <c r="G10222" t="n">
        <v>19.5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57448-2023</t>
        </is>
      </c>
      <c r="B10223" s="1" t="n">
        <v>45246</v>
      </c>
      <c r="C10223" s="1" t="n">
        <v>45363</v>
      </c>
      <c r="D10223" t="inlineStr">
        <is>
          <t>JÄMTLANDS LÄN</t>
        </is>
      </c>
      <c r="E10223" t="inlineStr">
        <is>
          <t>ÅRE</t>
        </is>
      </c>
      <c r="G10223" t="n">
        <v>11.9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57454-2023</t>
        </is>
      </c>
      <c r="B10224" s="1" t="n">
        <v>45246</v>
      </c>
      <c r="C10224" s="1" t="n">
        <v>45363</v>
      </c>
      <c r="D10224" t="inlineStr">
        <is>
          <t>JÄMTLANDS LÄN</t>
        </is>
      </c>
      <c r="E10224" t="inlineStr">
        <is>
          <t>STRÖMSUND</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57499-2023</t>
        </is>
      </c>
      <c r="B10225" s="1" t="n">
        <v>45246</v>
      </c>
      <c r="C10225" s="1" t="n">
        <v>45363</v>
      </c>
      <c r="D10225" t="inlineStr">
        <is>
          <t>JÄMTLANDS LÄN</t>
        </is>
      </c>
      <c r="E10225" t="inlineStr">
        <is>
          <t>STRÖMSUND</t>
        </is>
      </c>
      <c r="F10225" t="inlineStr">
        <is>
          <t>Holmen skog AB</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57504-2023</t>
        </is>
      </c>
      <c r="B10226" s="1" t="n">
        <v>45246</v>
      </c>
      <c r="C10226" s="1" t="n">
        <v>45363</v>
      </c>
      <c r="D10226" t="inlineStr">
        <is>
          <t>JÄMTLANDS LÄN</t>
        </is>
      </c>
      <c r="E10226" t="inlineStr">
        <is>
          <t>STRÖMSUND</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57514-2023</t>
        </is>
      </c>
      <c r="B10227" s="1" t="n">
        <v>45246</v>
      </c>
      <c r="C10227" s="1" t="n">
        <v>45363</v>
      </c>
      <c r="D10227" t="inlineStr">
        <is>
          <t>JÄMTLANDS LÄN</t>
        </is>
      </c>
      <c r="E10227" t="inlineStr">
        <is>
          <t>KROKOM</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57507-2023</t>
        </is>
      </c>
      <c r="B10228" s="1" t="n">
        <v>45246</v>
      </c>
      <c r="C10228" s="1" t="n">
        <v>45363</v>
      </c>
      <c r="D10228" t="inlineStr">
        <is>
          <t>JÄMTLANDS LÄN</t>
        </is>
      </c>
      <c r="E10228" t="inlineStr">
        <is>
          <t>STRÖMSUND</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57540-2023</t>
        </is>
      </c>
      <c r="B10229" s="1" t="n">
        <v>45246</v>
      </c>
      <c r="C10229" s="1" t="n">
        <v>45363</v>
      </c>
      <c r="D10229" t="inlineStr">
        <is>
          <t>JÄMTLANDS LÄN</t>
        </is>
      </c>
      <c r="E10229" t="inlineStr">
        <is>
          <t>STRÖMSUND</t>
        </is>
      </c>
      <c r="G10229" t="n">
        <v>6.4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57549-2023</t>
        </is>
      </c>
      <c r="B10230" s="1" t="n">
        <v>45246</v>
      </c>
      <c r="C10230" s="1" t="n">
        <v>45363</v>
      </c>
      <c r="D10230" t="inlineStr">
        <is>
          <t>JÄMTLANDS LÄN</t>
        </is>
      </c>
      <c r="E10230" t="inlineStr">
        <is>
          <t>STRÖMSUND</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57445-2023</t>
        </is>
      </c>
      <c r="B10231" s="1" t="n">
        <v>45246</v>
      </c>
      <c r="C10231" s="1" t="n">
        <v>45363</v>
      </c>
      <c r="D10231" t="inlineStr">
        <is>
          <t>JÄMTLANDS LÄN</t>
        </is>
      </c>
      <c r="E10231" t="inlineStr">
        <is>
          <t>STRÖMSUND</t>
        </is>
      </c>
      <c r="F10231" t="inlineStr">
        <is>
          <t>Holmen skog AB</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57661-2023</t>
        </is>
      </c>
      <c r="B10232" s="1" t="n">
        <v>45246</v>
      </c>
      <c r="C10232" s="1" t="n">
        <v>45363</v>
      </c>
      <c r="D10232" t="inlineStr">
        <is>
          <t>JÄMTLANDS LÄN</t>
        </is>
      </c>
      <c r="E10232" t="inlineStr">
        <is>
          <t>HÄRJEDALEN</t>
        </is>
      </c>
      <c r="G10232" t="n">
        <v>6.4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57537-2023</t>
        </is>
      </c>
      <c r="B10233" s="1" t="n">
        <v>45246</v>
      </c>
      <c r="C10233" s="1" t="n">
        <v>45363</v>
      </c>
      <c r="D10233" t="inlineStr">
        <is>
          <t>JÄMTLANDS LÄN</t>
        </is>
      </c>
      <c r="E10233" t="inlineStr">
        <is>
          <t>STRÖMSUND</t>
        </is>
      </c>
      <c r="G10233" t="n">
        <v>6.4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57542-2023</t>
        </is>
      </c>
      <c r="B10234" s="1" t="n">
        <v>45246</v>
      </c>
      <c r="C10234" s="1" t="n">
        <v>45363</v>
      </c>
      <c r="D10234" t="inlineStr">
        <is>
          <t>JÄMTLANDS LÄN</t>
        </is>
      </c>
      <c r="E10234" t="inlineStr">
        <is>
          <t>STRÖMSUND</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57748-2023</t>
        </is>
      </c>
      <c r="B10235" s="1" t="n">
        <v>45246</v>
      </c>
      <c r="C10235" s="1" t="n">
        <v>45363</v>
      </c>
      <c r="D10235" t="inlineStr">
        <is>
          <t>JÄMTLANDS LÄN</t>
        </is>
      </c>
      <c r="E10235" t="inlineStr">
        <is>
          <t>STRÖMSUND</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57772-2023</t>
        </is>
      </c>
      <c r="B10236" s="1" t="n">
        <v>45246</v>
      </c>
      <c r="C10236" s="1" t="n">
        <v>45363</v>
      </c>
      <c r="D10236" t="inlineStr">
        <is>
          <t>JÄMTLANDS LÄN</t>
        </is>
      </c>
      <c r="E10236" t="inlineStr">
        <is>
          <t>ÅRE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57770-2023</t>
        </is>
      </c>
      <c r="B10237" s="1" t="n">
        <v>45246</v>
      </c>
      <c r="C10237" s="1" t="n">
        <v>45363</v>
      </c>
      <c r="D10237" t="inlineStr">
        <is>
          <t>JÄMTLANDS LÄN</t>
        </is>
      </c>
      <c r="E10237" t="inlineStr">
        <is>
          <t>ÅRE</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57779-2023</t>
        </is>
      </c>
      <c r="B10238" s="1" t="n">
        <v>45247</v>
      </c>
      <c r="C10238" s="1" t="n">
        <v>45363</v>
      </c>
      <c r="D10238" t="inlineStr">
        <is>
          <t>JÄMTLANDS LÄN</t>
        </is>
      </c>
      <c r="E10238" t="inlineStr">
        <is>
          <t>BRÄCKE</t>
        </is>
      </c>
      <c r="F10238" t="inlineStr">
        <is>
          <t>SCA</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57783-2023</t>
        </is>
      </c>
      <c r="B10239" s="1" t="n">
        <v>45247</v>
      </c>
      <c r="C10239" s="1" t="n">
        <v>45363</v>
      </c>
      <c r="D10239" t="inlineStr">
        <is>
          <t>JÄMTLANDS LÄN</t>
        </is>
      </c>
      <c r="E10239" t="inlineStr">
        <is>
          <t>BRÄCKE</t>
        </is>
      </c>
      <c r="F10239" t="inlineStr">
        <is>
          <t>SCA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57596-2023</t>
        </is>
      </c>
      <c r="B10240" s="1" t="n">
        <v>45246</v>
      </c>
      <c r="C10240" s="1" t="n">
        <v>45363</v>
      </c>
      <c r="D10240" t="inlineStr">
        <is>
          <t>JÄMTLANDS LÄN</t>
        </is>
      </c>
      <c r="E10240" t="inlineStr">
        <is>
          <t>STRÖMSUND</t>
        </is>
      </c>
      <c r="F10240" t="inlineStr">
        <is>
          <t>Holmen skog AB</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57789-2023</t>
        </is>
      </c>
      <c r="B10241" s="1" t="n">
        <v>45247</v>
      </c>
      <c r="C10241" s="1" t="n">
        <v>45363</v>
      </c>
      <c r="D10241" t="inlineStr">
        <is>
          <t>JÄMTLANDS LÄN</t>
        </is>
      </c>
      <c r="E10241" t="inlineStr">
        <is>
          <t>STRÖMSUND</t>
        </is>
      </c>
      <c r="F10241" t="inlineStr">
        <is>
          <t>SCA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58508-2023</t>
        </is>
      </c>
      <c r="B10242" s="1" t="n">
        <v>45246</v>
      </c>
      <c r="C10242" s="1" t="n">
        <v>45363</v>
      </c>
      <c r="D10242" t="inlineStr">
        <is>
          <t>JÄMTLANDS LÄN</t>
        </is>
      </c>
      <c r="E10242" t="inlineStr">
        <is>
          <t>ÅRE</t>
        </is>
      </c>
      <c r="G10242" t="n">
        <v>21.8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57778-2023</t>
        </is>
      </c>
      <c r="B10243" s="1" t="n">
        <v>45246</v>
      </c>
      <c r="C10243" s="1" t="n">
        <v>45363</v>
      </c>
      <c r="D10243" t="inlineStr">
        <is>
          <t>JÄMTLANDS LÄN</t>
        </is>
      </c>
      <c r="E10243" t="inlineStr">
        <is>
          <t>RAGUNDA</t>
        </is>
      </c>
      <c r="F10243" t="inlineStr">
        <is>
          <t>SCA</t>
        </is>
      </c>
      <c r="G10243" t="n">
        <v>37.8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57782-2023</t>
        </is>
      </c>
      <c r="B10244" s="1" t="n">
        <v>45246</v>
      </c>
      <c r="C10244" s="1" t="n">
        <v>45363</v>
      </c>
      <c r="D10244" t="inlineStr">
        <is>
          <t>JÄMTLANDS LÄN</t>
        </is>
      </c>
      <c r="E10244" t="inlineStr">
        <is>
          <t>KROKOM</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57790-2023</t>
        </is>
      </c>
      <c r="B10245" s="1" t="n">
        <v>45247</v>
      </c>
      <c r="C10245" s="1" t="n">
        <v>45363</v>
      </c>
      <c r="D10245" t="inlineStr">
        <is>
          <t>JÄMTLANDS LÄN</t>
        </is>
      </c>
      <c r="E10245" t="inlineStr">
        <is>
          <t>BERG</t>
        </is>
      </c>
      <c r="F10245" t="inlineStr">
        <is>
          <t>SCA</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57798-2023</t>
        </is>
      </c>
      <c r="B10246" s="1" t="n">
        <v>45247</v>
      </c>
      <c r="C10246" s="1" t="n">
        <v>45363</v>
      </c>
      <c r="D10246" t="inlineStr">
        <is>
          <t>JÄMTLANDS LÄN</t>
        </is>
      </c>
      <c r="E10246" t="inlineStr">
        <is>
          <t>BRÄCKE</t>
        </is>
      </c>
      <c r="F10246" t="inlineStr">
        <is>
          <t>SCA</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58569-2023</t>
        </is>
      </c>
      <c r="B10247" s="1" t="n">
        <v>45246</v>
      </c>
      <c r="C10247" s="1" t="n">
        <v>45363</v>
      </c>
      <c r="D10247" t="inlineStr">
        <is>
          <t>JÄMTLANDS LÄN</t>
        </is>
      </c>
      <c r="E10247" t="inlineStr">
        <is>
          <t>KROKOM</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58556-2023</t>
        </is>
      </c>
      <c r="B10248" s="1" t="n">
        <v>45246</v>
      </c>
      <c r="C10248" s="1" t="n">
        <v>45363</v>
      </c>
      <c r="D10248" t="inlineStr">
        <is>
          <t>JÄMTLANDS LÄN</t>
        </is>
      </c>
      <c r="E10248" t="inlineStr">
        <is>
          <t>KROKOM</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58594-2023</t>
        </is>
      </c>
      <c r="B10249" s="1" t="n">
        <v>45246</v>
      </c>
      <c r="C10249" s="1" t="n">
        <v>45363</v>
      </c>
      <c r="D10249" t="inlineStr">
        <is>
          <t>JÄMTLANDS LÄN</t>
        </is>
      </c>
      <c r="E10249" t="inlineStr">
        <is>
          <t>KROKOM</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58563-2023</t>
        </is>
      </c>
      <c r="B10250" s="1" t="n">
        <v>45246</v>
      </c>
      <c r="C10250" s="1" t="n">
        <v>45363</v>
      </c>
      <c r="D10250" t="inlineStr">
        <is>
          <t>JÄMTLANDS LÄN</t>
        </is>
      </c>
      <c r="E10250" t="inlineStr">
        <is>
          <t>KROKOM</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58584-2023</t>
        </is>
      </c>
      <c r="B10251" s="1" t="n">
        <v>45246</v>
      </c>
      <c r="C10251" s="1" t="n">
        <v>45363</v>
      </c>
      <c r="D10251" t="inlineStr">
        <is>
          <t>JÄMTLANDS LÄN</t>
        </is>
      </c>
      <c r="E10251" t="inlineStr">
        <is>
          <t>STRÖMSUND</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57907-2023</t>
        </is>
      </c>
      <c r="B10252" s="1" t="n">
        <v>45247</v>
      </c>
      <c r="C10252" s="1" t="n">
        <v>45363</v>
      </c>
      <c r="D10252" t="inlineStr">
        <is>
          <t>JÄMTLANDS LÄN</t>
        </is>
      </c>
      <c r="E10252" t="inlineStr">
        <is>
          <t>STRÖMSUND</t>
        </is>
      </c>
      <c r="F10252" t="inlineStr">
        <is>
          <t>Kyrkan</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57912-2023</t>
        </is>
      </c>
      <c r="B10253" s="1" t="n">
        <v>45247</v>
      </c>
      <c r="C10253" s="1" t="n">
        <v>45363</v>
      </c>
      <c r="D10253" t="inlineStr">
        <is>
          <t>JÄMTLANDS LÄN</t>
        </is>
      </c>
      <c r="E10253" t="inlineStr">
        <is>
          <t>STRÖMSUND</t>
        </is>
      </c>
      <c r="F10253" t="inlineStr">
        <is>
          <t>Kyrkan</t>
        </is>
      </c>
      <c r="G10253" t="n">
        <v>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57820-2023</t>
        </is>
      </c>
      <c r="B10254" s="1" t="n">
        <v>45247</v>
      </c>
      <c r="C10254" s="1" t="n">
        <v>45363</v>
      </c>
      <c r="D10254" t="inlineStr">
        <is>
          <t>JÄMTLANDS LÄN</t>
        </is>
      </c>
      <c r="E10254" t="inlineStr">
        <is>
          <t>KROKOM</t>
        </is>
      </c>
      <c r="G10254" t="n">
        <v>8.199999999999999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57847-2023</t>
        </is>
      </c>
      <c r="B10255" s="1" t="n">
        <v>45247</v>
      </c>
      <c r="C10255" s="1" t="n">
        <v>45363</v>
      </c>
      <c r="D10255" t="inlineStr">
        <is>
          <t>JÄMTLANDS LÄN</t>
        </is>
      </c>
      <c r="E10255" t="inlineStr">
        <is>
          <t>KROKOM</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57814-2023</t>
        </is>
      </c>
      <c r="B10256" s="1" t="n">
        <v>45247</v>
      </c>
      <c r="C10256" s="1" t="n">
        <v>45363</v>
      </c>
      <c r="D10256" t="inlineStr">
        <is>
          <t>JÄMTLANDS LÄN</t>
        </is>
      </c>
      <c r="E10256" t="inlineStr">
        <is>
          <t>KROKOM</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57856-2023</t>
        </is>
      </c>
      <c r="B10257" s="1" t="n">
        <v>45247</v>
      </c>
      <c r="C10257" s="1" t="n">
        <v>45363</v>
      </c>
      <c r="D10257" t="inlineStr">
        <is>
          <t>JÄMTLANDS LÄN</t>
        </is>
      </c>
      <c r="E10257" t="inlineStr">
        <is>
          <t>KROKOM</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57894-2023</t>
        </is>
      </c>
      <c r="B10258" s="1" t="n">
        <v>45247</v>
      </c>
      <c r="C10258" s="1" t="n">
        <v>45363</v>
      </c>
      <c r="D10258" t="inlineStr">
        <is>
          <t>JÄMTLANDS LÄN</t>
        </is>
      </c>
      <c r="E10258" t="inlineStr">
        <is>
          <t>STRÖMSUND</t>
        </is>
      </c>
      <c r="F10258" t="inlineStr">
        <is>
          <t>Kyrkan</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57905-2023</t>
        </is>
      </c>
      <c r="B10259" s="1" t="n">
        <v>45247</v>
      </c>
      <c r="C10259" s="1" t="n">
        <v>45363</v>
      </c>
      <c r="D10259" t="inlineStr">
        <is>
          <t>JÄMTLANDS LÄN</t>
        </is>
      </c>
      <c r="E10259" t="inlineStr">
        <is>
          <t>STRÖMSUND</t>
        </is>
      </c>
      <c r="F10259" t="inlineStr">
        <is>
          <t>Kyrkan</t>
        </is>
      </c>
      <c r="G10259" t="n">
        <v>9.300000000000001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58076-2023</t>
        </is>
      </c>
      <c r="B10260" s="1" t="n">
        <v>45247</v>
      </c>
      <c r="C10260" s="1" t="n">
        <v>45363</v>
      </c>
      <c r="D10260" t="inlineStr">
        <is>
          <t>JÄMTLANDS LÄN</t>
        </is>
      </c>
      <c r="E10260" t="inlineStr">
        <is>
          <t>STRÖMSUND</t>
        </is>
      </c>
      <c r="F10260" t="inlineStr">
        <is>
          <t>SCA</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58080-2023</t>
        </is>
      </c>
      <c r="B10261" s="1" t="n">
        <v>45248</v>
      </c>
      <c r="C10261" s="1" t="n">
        <v>45363</v>
      </c>
      <c r="D10261" t="inlineStr">
        <is>
          <t>JÄMTLANDS LÄN</t>
        </is>
      </c>
      <c r="E10261" t="inlineStr">
        <is>
          <t>BRÄCKE</t>
        </is>
      </c>
      <c r="F10261" t="inlineStr">
        <is>
          <t>SCA</t>
        </is>
      </c>
      <c r="G10261" t="n">
        <v>19.5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58078-2023</t>
        </is>
      </c>
      <c r="B10262" s="1" t="n">
        <v>45248</v>
      </c>
      <c r="C10262" s="1" t="n">
        <v>45363</v>
      </c>
      <c r="D10262" t="inlineStr">
        <is>
          <t>JÄMTLANDS LÄN</t>
        </is>
      </c>
      <c r="E10262" t="inlineStr">
        <is>
          <t>BRÄCKE</t>
        </is>
      </c>
      <c r="F10262" t="inlineStr">
        <is>
          <t>SCA</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58082-2023</t>
        </is>
      </c>
      <c r="B10263" s="1" t="n">
        <v>45248</v>
      </c>
      <c r="C10263" s="1" t="n">
        <v>45363</v>
      </c>
      <c r="D10263" t="inlineStr">
        <is>
          <t>JÄMTLANDS LÄN</t>
        </is>
      </c>
      <c r="E10263" t="inlineStr">
        <is>
          <t>BRÄCKE</t>
        </is>
      </c>
      <c r="F10263" t="inlineStr">
        <is>
          <t>SCA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58809-2023</t>
        </is>
      </c>
      <c r="B10264" s="1" t="n">
        <v>45247</v>
      </c>
      <c r="C10264" s="1" t="n">
        <v>45363</v>
      </c>
      <c r="D10264" t="inlineStr">
        <is>
          <t>JÄMTLANDS LÄN</t>
        </is>
      </c>
      <c r="E10264" t="inlineStr">
        <is>
          <t>ÖSTERSUND</t>
        </is>
      </c>
      <c r="G10264" t="n">
        <v>8.800000000000001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58084-2023</t>
        </is>
      </c>
      <c r="B10265" s="1" t="n">
        <v>45248</v>
      </c>
      <c r="C10265" s="1" t="n">
        <v>45363</v>
      </c>
      <c r="D10265" t="inlineStr">
        <is>
          <t>JÄMTLANDS LÄN</t>
        </is>
      </c>
      <c r="E10265" t="inlineStr">
        <is>
          <t>RAGUNDA</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58818-2023</t>
        </is>
      </c>
      <c r="B10266" s="1" t="n">
        <v>45247</v>
      </c>
      <c r="C10266" s="1" t="n">
        <v>45363</v>
      </c>
      <c r="D10266" t="inlineStr">
        <is>
          <t>JÄMTLANDS LÄN</t>
        </is>
      </c>
      <c r="E10266" t="inlineStr">
        <is>
          <t>ÖSTERSUND</t>
        </is>
      </c>
      <c r="G10266" t="n">
        <v>6.7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58083-2023</t>
        </is>
      </c>
      <c r="B10267" s="1" t="n">
        <v>45248</v>
      </c>
      <c r="C10267" s="1" t="n">
        <v>45363</v>
      </c>
      <c r="D10267" t="inlineStr">
        <is>
          <t>JÄMTLANDS LÄN</t>
        </is>
      </c>
      <c r="E10267" t="inlineStr">
        <is>
          <t>BRÄCKE</t>
        </is>
      </c>
      <c r="F10267" t="inlineStr">
        <is>
          <t>SCA</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58079-2023</t>
        </is>
      </c>
      <c r="B10268" s="1" t="n">
        <v>45248</v>
      </c>
      <c r="C10268" s="1" t="n">
        <v>45363</v>
      </c>
      <c r="D10268" t="inlineStr">
        <is>
          <t>JÄMTLANDS LÄN</t>
        </is>
      </c>
      <c r="E10268" t="inlineStr">
        <is>
          <t>BRÄCKE</t>
        </is>
      </c>
      <c r="F10268" t="inlineStr">
        <is>
          <t>SCA</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57861-2023</t>
        </is>
      </c>
      <c r="B10269" s="1" t="n">
        <v>45247</v>
      </c>
      <c r="C10269" s="1" t="n">
        <v>45363</v>
      </c>
      <c r="D10269" t="inlineStr">
        <is>
          <t>JÄMTLANDS LÄN</t>
        </is>
      </c>
      <c r="E10269" t="inlineStr">
        <is>
          <t>KROKOM</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57849-2023</t>
        </is>
      </c>
      <c r="B10270" s="1" t="n">
        <v>45247</v>
      </c>
      <c r="C10270" s="1" t="n">
        <v>45363</v>
      </c>
      <c r="D10270" t="inlineStr">
        <is>
          <t>JÄMTLANDS LÄN</t>
        </is>
      </c>
      <c r="E10270" t="inlineStr">
        <is>
          <t>KROKOM</t>
        </is>
      </c>
      <c r="G10270" t="n">
        <v>8.800000000000001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57839-2023</t>
        </is>
      </c>
      <c r="B10271" s="1" t="n">
        <v>45247</v>
      </c>
      <c r="C10271" s="1" t="n">
        <v>45363</v>
      </c>
      <c r="D10271" t="inlineStr">
        <is>
          <t>JÄMTLANDS LÄN</t>
        </is>
      </c>
      <c r="E10271" t="inlineStr">
        <is>
          <t>ÖSTERSUND</t>
        </is>
      </c>
      <c r="G10271" t="n">
        <v>6.1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58152-2023</t>
        </is>
      </c>
      <c r="B10272" s="1" t="n">
        <v>45250</v>
      </c>
      <c r="C10272" s="1" t="n">
        <v>45363</v>
      </c>
      <c r="D10272" t="inlineStr">
        <is>
          <t>JÄMTLANDS LÄN</t>
        </is>
      </c>
      <c r="E10272" t="inlineStr">
        <is>
          <t>STRÖMSUND</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58178-2023</t>
        </is>
      </c>
      <c r="B10273" s="1" t="n">
        <v>45250</v>
      </c>
      <c r="C10273" s="1" t="n">
        <v>45363</v>
      </c>
      <c r="D10273" t="inlineStr">
        <is>
          <t>JÄMTLANDS LÄN</t>
        </is>
      </c>
      <c r="E10273" t="inlineStr">
        <is>
          <t>ÅRE</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58196-2023</t>
        </is>
      </c>
      <c r="B10274" s="1" t="n">
        <v>45250</v>
      </c>
      <c r="C10274" s="1" t="n">
        <v>45363</v>
      </c>
      <c r="D10274" t="inlineStr">
        <is>
          <t>JÄMTLANDS LÄN</t>
        </is>
      </c>
      <c r="E10274" t="inlineStr">
        <is>
          <t>ÅRE</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58146-2023</t>
        </is>
      </c>
      <c r="B10275" s="1" t="n">
        <v>45250</v>
      </c>
      <c r="C10275" s="1" t="n">
        <v>45363</v>
      </c>
      <c r="D10275" t="inlineStr">
        <is>
          <t>JÄMTLANDS LÄN</t>
        </is>
      </c>
      <c r="E10275" t="inlineStr">
        <is>
          <t>HÄRJEDALEN</t>
        </is>
      </c>
      <c r="F10275" t="inlineStr">
        <is>
          <t>Bergvik skog väst AB</t>
        </is>
      </c>
      <c r="G10275" t="n">
        <v>15.9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58144-2023</t>
        </is>
      </c>
      <c r="B10276" s="1" t="n">
        <v>45250</v>
      </c>
      <c r="C10276" s="1" t="n">
        <v>45363</v>
      </c>
      <c r="D10276" t="inlineStr">
        <is>
          <t>JÄMTLANDS LÄN</t>
        </is>
      </c>
      <c r="E10276" t="inlineStr">
        <is>
          <t>HÄRJEDALEN</t>
        </is>
      </c>
      <c r="F10276" t="inlineStr">
        <is>
          <t>Bergvik skog väst AB</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58302-2023</t>
        </is>
      </c>
      <c r="B10277" s="1" t="n">
        <v>45250</v>
      </c>
      <c r="C10277" s="1" t="n">
        <v>45363</v>
      </c>
      <c r="D10277" t="inlineStr">
        <is>
          <t>JÄMTLANDS LÄN</t>
        </is>
      </c>
      <c r="E10277" t="inlineStr">
        <is>
          <t>ÅRE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58296-2023</t>
        </is>
      </c>
      <c r="B10278" s="1" t="n">
        <v>45250</v>
      </c>
      <c r="C10278" s="1" t="n">
        <v>45363</v>
      </c>
      <c r="D10278" t="inlineStr">
        <is>
          <t>JÄMTLANDS LÄN</t>
        </is>
      </c>
      <c r="E10278" t="inlineStr">
        <is>
          <t>ÅRE</t>
        </is>
      </c>
      <c r="G10278" t="n">
        <v>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58355-2023</t>
        </is>
      </c>
      <c r="B10279" s="1" t="n">
        <v>45250</v>
      </c>
      <c r="C10279" s="1" t="n">
        <v>45363</v>
      </c>
      <c r="D10279" t="inlineStr">
        <is>
          <t>JÄMTLANDS LÄN</t>
        </is>
      </c>
      <c r="E10279" t="inlineStr">
        <is>
          <t>KROKOM</t>
        </is>
      </c>
      <c r="F10279" t="inlineStr">
        <is>
          <t>Övriga Aktiebolag</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58446-2023</t>
        </is>
      </c>
      <c r="B10280" s="1" t="n">
        <v>45250</v>
      </c>
      <c r="C10280" s="1" t="n">
        <v>45363</v>
      </c>
      <c r="D10280" t="inlineStr">
        <is>
          <t>JÄMTLANDS LÄN</t>
        </is>
      </c>
      <c r="E10280" t="inlineStr">
        <is>
          <t>STRÖMSUND</t>
        </is>
      </c>
      <c r="G10280" t="n">
        <v>7.3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58468-2023</t>
        </is>
      </c>
      <c r="B10281" s="1" t="n">
        <v>45251</v>
      </c>
      <c r="C10281" s="1" t="n">
        <v>45363</v>
      </c>
      <c r="D10281" t="inlineStr">
        <is>
          <t>JÄMTLANDS LÄN</t>
        </is>
      </c>
      <c r="E10281" t="inlineStr">
        <is>
          <t>BRÄCKE</t>
        </is>
      </c>
      <c r="F10281" t="inlineStr">
        <is>
          <t>SCA</t>
        </is>
      </c>
      <c r="G10281" t="n">
        <v>9.800000000000001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59021-2023</t>
        </is>
      </c>
      <c r="B10282" s="1" t="n">
        <v>45250</v>
      </c>
      <c r="C10282" s="1" t="n">
        <v>45363</v>
      </c>
      <c r="D10282" t="inlineStr">
        <is>
          <t>JÄMTLANDS LÄN</t>
        </is>
      </c>
      <c r="E10282" t="inlineStr">
        <is>
          <t>ÖSTERSUND</t>
        </is>
      </c>
      <c r="G10282" t="n">
        <v>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58445-2023</t>
        </is>
      </c>
      <c r="B10283" s="1" t="n">
        <v>45250</v>
      </c>
      <c r="C10283" s="1" t="n">
        <v>45363</v>
      </c>
      <c r="D10283" t="inlineStr">
        <is>
          <t>JÄMTLANDS LÄN</t>
        </is>
      </c>
      <c r="E10283" t="inlineStr">
        <is>
          <t>STRÖMSUND</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58459-2023</t>
        </is>
      </c>
      <c r="B10284" s="1" t="n">
        <v>45251</v>
      </c>
      <c r="C10284" s="1" t="n">
        <v>45363</v>
      </c>
      <c r="D10284" t="inlineStr">
        <is>
          <t>JÄMTLANDS LÄN</t>
        </is>
      </c>
      <c r="E10284" t="inlineStr">
        <is>
          <t>BERG</t>
        </is>
      </c>
      <c r="F10284" t="inlineStr">
        <is>
          <t>SCA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58264-2023</t>
        </is>
      </c>
      <c r="B10285" s="1" t="n">
        <v>45250</v>
      </c>
      <c r="C10285" s="1" t="n">
        <v>45363</v>
      </c>
      <c r="D10285" t="inlineStr">
        <is>
          <t>JÄMTLANDS LÄN</t>
        </is>
      </c>
      <c r="E10285" t="inlineStr">
        <is>
          <t>KROKOM</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58467-2023</t>
        </is>
      </c>
      <c r="B10286" s="1" t="n">
        <v>45251</v>
      </c>
      <c r="C10286" s="1" t="n">
        <v>45363</v>
      </c>
      <c r="D10286" t="inlineStr">
        <is>
          <t>JÄMTLANDS LÄN</t>
        </is>
      </c>
      <c r="E10286" t="inlineStr">
        <is>
          <t>BRÄCKE</t>
        </is>
      </c>
      <c r="F10286" t="inlineStr">
        <is>
          <t>SCA</t>
        </is>
      </c>
      <c r="G10286" t="n">
        <v>9.1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58471-2023</t>
        </is>
      </c>
      <c r="B10287" s="1" t="n">
        <v>45251</v>
      </c>
      <c r="C10287" s="1" t="n">
        <v>45363</v>
      </c>
      <c r="D10287" t="inlineStr">
        <is>
          <t>JÄMTLANDS LÄN</t>
        </is>
      </c>
      <c r="E10287" t="inlineStr">
        <is>
          <t>BRÄCKE</t>
        </is>
      </c>
      <c r="F10287" t="inlineStr">
        <is>
          <t>SCA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58992-2023</t>
        </is>
      </c>
      <c r="B10288" s="1" t="n">
        <v>45250</v>
      </c>
      <c r="C10288" s="1" t="n">
        <v>45363</v>
      </c>
      <c r="D10288" t="inlineStr">
        <is>
          <t>JÄMTLANDS LÄN</t>
        </is>
      </c>
      <c r="E10288" t="inlineStr">
        <is>
          <t>RAGUNDA</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58299-2023</t>
        </is>
      </c>
      <c r="B10289" s="1" t="n">
        <v>45250</v>
      </c>
      <c r="C10289" s="1" t="n">
        <v>45363</v>
      </c>
      <c r="D10289" t="inlineStr">
        <is>
          <t>JÄMTLANDS LÄN</t>
        </is>
      </c>
      <c r="E10289" t="inlineStr">
        <is>
          <t>ÅRE</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58368-2023</t>
        </is>
      </c>
      <c r="B10290" s="1" t="n">
        <v>45250</v>
      </c>
      <c r="C10290" s="1" t="n">
        <v>45363</v>
      </c>
      <c r="D10290" t="inlineStr">
        <is>
          <t>JÄMTLANDS LÄN</t>
        </is>
      </c>
      <c r="E10290" t="inlineStr">
        <is>
          <t>BRÄCKE</t>
        </is>
      </c>
      <c r="G10290" t="n">
        <v>16.1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58458-2023</t>
        </is>
      </c>
      <c r="B10291" s="1" t="n">
        <v>45251</v>
      </c>
      <c r="C10291" s="1" t="n">
        <v>45363</v>
      </c>
      <c r="D10291" t="inlineStr">
        <is>
          <t>JÄMTLANDS LÄN</t>
        </is>
      </c>
      <c r="E10291" t="inlineStr">
        <is>
          <t>BERG</t>
        </is>
      </c>
      <c r="F10291" t="inlineStr">
        <is>
          <t>SCA</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58863-2023</t>
        </is>
      </c>
      <c r="B10292" s="1" t="n">
        <v>45250</v>
      </c>
      <c r="C10292" s="1" t="n">
        <v>45363</v>
      </c>
      <c r="D10292" t="inlineStr">
        <is>
          <t>JÄMTLANDS LÄN</t>
        </is>
      </c>
      <c r="E10292" t="inlineStr">
        <is>
          <t>RAGUNDA</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58461-2023</t>
        </is>
      </c>
      <c r="B10293" s="1" t="n">
        <v>45250</v>
      </c>
      <c r="C10293" s="1" t="n">
        <v>45363</v>
      </c>
      <c r="D10293" t="inlineStr">
        <is>
          <t>JÄMTLANDS LÄN</t>
        </is>
      </c>
      <c r="E10293" t="inlineStr">
        <is>
          <t>BRÄCKE</t>
        </is>
      </c>
      <c r="F10293" t="inlineStr">
        <is>
          <t>SCA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58921-2023</t>
        </is>
      </c>
      <c r="B10294" s="1" t="n">
        <v>45250</v>
      </c>
      <c r="C10294" s="1" t="n">
        <v>45363</v>
      </c>
      <c r="D10294" t="inlineStr">
        <is>
          <t>JÄMTLANDS LÄN</t>
        </is>
      </c>
      <c r="E10294" t="inlineStr">
        <is>
          <t>RAGUNDA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58580-2023</t>
        </is>
      </c>
      <c r="B10295" s="1" t="n">
        <v>45251</v>
      </c>
      <c r="C10295" s="1" t="n">
        <v>45363</v>
      </c>
      <c r="D10295" t="inlineStr">
        <is>
          <t>JÄMTLANDS LÄN</t>
        </is>
      </c>
      <c r="E10295" t="inlineStr">
        <is>
          <t>STRÖMSUND</t>
        </is>
      </c>
      <c r="F10295" t="inlineStr">
        <is>
          <t>Holmen skog AB</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58587-2023</t>
        </is>
      </c>
      <c r="B10296" s="1" t="n">
        <v>45251</v>
      </c>
      <c r="C10296" s="1" t="n">
        <v>45363</v>
      </c>
      <c r="D10296" t="inlineStr">
        <is>
          <t>JÄMTLANDS LÄN</t>
        </is>
      </c>
      <c r="E10296" t="inlineStr">
        <is>
          <t>STRÖMSUND</t>
        </is>
      </c>
      <c r="F10296" t="inlineStr">
        <is>
          <t>Holmen skog AB</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58677-2023</t>
        </is>
      </c>
      <c r="B10297" s="1" t="n">
        <v>45251</v>
      </c>
      <c r="C10297" s="1" t="n">
        <v>45363</v>
      </c>
      <c r="D10297" t="inlineStr">
        <is>
          <t>JÄMTLANDS LÄN</t>
        </is>
      </c>
      <c r="E10297" t="inlineStr">
        <is>
          <t>KROKOM</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58742-2023</t>
        </is>
      </c>
      <c r="B10298" s="1" t="n">
        <v>45251</v>
      </c>
      <c r="C10298" s="1" t="n">
        <v>45363</v>
      </c>
      <c r="D10298" t="inlineStr">
        <is>
          <t>JÄMTLANDS LÄN</t>
        </is>
      </c>
      <c r="E10298" t="inlineStr">
        <is>
          <t>BRÄCKE</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58758-2023</t>
        </is>
      </c>
      <c r="B10299" s="1" t="n">
        <v>45251</v>
      </c>
      <c r="C10299" s="1" t="n">
        <v>45363</v>
      </c>
      <c r="D10299" t="inlineStr">
        <is>
          <t>JÄMTLANDS LÄN</t>
        </is>
      </c>
      <c r="E10299" t="inlineStr">
        <is>
          <t>BRÄCKE</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58762-2023</t>
        </is>
      </c>
      <c r="B10300" s="1" t="n">
        <v>45252</v>
      </c>
      <c r="C10300" s="1" t="n">
        <v>45363</v>
      </c>
      <c r="D10300" t="inlineStr">
        <is>
          <t>JÄMTLANDS LÄN</t>
        </is>
      </c>
      <c r="E10300" t="inlineStr">
        <is>
          <t>BRÄCKE</t>
        </is>
      </c>
      <c r="F10300" t="inlineStr">
        <is>
          <t>SCA</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58770-2023</t>
        </is>
      </c>
      <c r="B10301" s="1" t="n">
        <v>45252</v>
      </c>
      <c r="C10301" s="1" t="n">
        <v>45363</v>
      </c>
      <c r="D10301" t="inlineStr">
        <is>
          <t>JÄMTLANDS LÄN</t>
        </is>
      </c>
      <c r="E10301" t="inlineStr">
        <is>
          <t>BERG</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59108-2023</t>
        </is>
      </c>
      <c r="B10302" s="1" t="n">
        <v>45251</v>
      </c>
      <c r="C10302" s="1" t="n">
        <v>45363</v>
      </c>
      <c r="D10302" t="inlineStr">
        <is>
          <t>JÄMTLANDS LÄN</t>
        </is>
      </c>
      <c r="E10302" t="inlineStr">
        <is>
          <t>STRÖMSUND</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59136-2023</t>
        </is>
      </c>
      <c r="B10303" s="1" t="n">
        <v>45251</v>
      </c>
      <c r="C10303" s="1" t="n">
        <v>45363</v>
      </c>
      <c r="D10303" t="inlineStr">
        <is>
          <t>JÄMTLANDS LÄN</t>
        </is>
      </c>
      <c r="E10303" t="inlineStr">
        <is>
          <t>RAGUNDA</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59149-2023</t>
        </is>
      </c>
      <c r="B10304" s="1" t="n">
        <v>45251</v>
      </c>
      <c r="C10304" s="1" t="n">
        <v>45363</v>
      </c>
      <c r="D10304" t="inlineStr">
        <is>
          <t>JÄMTLANDS LÄN</t>
        </is>
      </c>
      <c r="E10304" t="inlineStr">
        <is>
          <t>STRÖMSUND</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58740-2023</t>
        </is>
      </c>
      <c r="B10305" s="1" t="n">
        <v>45251</v>
      </c>
      <c r="C10305" s="1" t="n">
        <v>45363</v>
      </c>
      <c r="D10305" t="inlineStr">
        <is>
          <t>JÄMTLANDS LÄN</t>
        </is>
      </c>
      <c r="E10305" t="inlineStr">
        <is>
          <t>BRÄCKE</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58776-2023</t>
        </is>
      </c>
      <c r="B10306" s="1" t="n">
        <v>45252</v>
      </c>
      <c r="C10306" s="1" t="n">
        <v>45363</v>
      </c>
      <c r="D10306" t="inlineStr">
        <is>
          <t>JÄMTLANDS LÄN</t>
        </is>
      </c>
      <c r="E10306" t="inlineStr">
        <is>
          <t>BRÄCKE</t>
        </is>
      </c>
      <c r="F10306" t="inlineStr">
        <is>
          <t>SCA</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58741-2023</t>
        </is>
      </c>
      <c r="B10307" s="1" t="n">
        <v>45251</v>
      </c>
      <c r="C10307" s="1" t="n">
        <v>45363</v>
      </c>
      <c r="D10307" t="inlineStr">
        <is>
          <t>JÄMTLANDS LÄN</t>
        </is>
      </c>
      <c r="E10307" t="inlineStr">
        <is>
          <t>BRÄCKE</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58777-2023</t>
        </is>
      </c>
      <c r="B10308" s="1" t="n">
        <v>45252</v>
      </c>
      <c r="C10308" s="1" t="n">
        <v>45363</v>
      </c>
      <c r="D10308" t="inlineStr">
        <is>
          <t>JÄMTLANDS LÄN</t>
        </is>
      </c>
      <c r="E10308" t="inlineStr">
        <is>
          <t>BRÄCKE</t>
        </is>
      </c>
      <c r="F10308" t="inlineStr">
        <is>
          <t>SCA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58767-2023</t>
        </is>
      </c>
      <c r="B10309" s="1" t="n">
        <v>45252</v>
      </c>
      <c r="C10309" s="1" t="n">
        <v>45363</v>
      </c>
      <c r="D10309" t="inlineStr">
        <is>
          <t>JÄMTLANDS LÄN</t>
        </is>
      </c>
      <c r="E10309" t="inlineStr">
        <is>
          <t>BRÄCKE</t>
        </is>
      </c>
      <c r="F10309" t="inlineStr">
        <is>
          <t>SCA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58890-2023</t>
        </is>
      </c>
      <c r="B10310" s="1" t="n">
        <v>45252</v>
      </c>
      <c r="C10310" s="1" t="n">
        <v>45363</v>
      </c>
      <c r="D10310" t="inlineStr">
        <is>
          <t>JÄMTLANDS LÄN</t>
        </is>
      </c>
      <c r="E10310" t="inlineStr">
        <is>
          <t>HÄRJEDALEN</t>
        </is>
      </c>
      <c r="G10310" t="n">
        <v>15.2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58930-2023</t>
        </is>
      </c>
      <c r="B10311" s="1" t="n">
        <v>45252</v>
      </c>
      <c r="C10311" s="1" t="n">
        <v>45363</v>
      </c>
      <c r="D10311" t="inlineStr">
        <is>
          <t>JÄMTLANDS LÄN</t>
        </is>
      </c>
      <c r="E10311" t="inlineStr">
        <is>
          <t>HÄRJEDALEN</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58942-2023</t>
        </is>
      </c>
      <c r="B10312" s="1" t="n">
        <v>45252</v>
      </c>
      <c r="C10312" s="1" t="n">
        <v>45363</v>
      </c>
      <c r="D10312" t="inlineStr">
        <is>
          <t>JÄMTLANDS LÄN</t>
        </is>
      </c>
      <c r="E10312" t="inlineStr">
        <is>
          <t>KROKOM</t>
        </is>
      </c>
      <c r="G10312" t="n">
        <v>7.1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58951-2023</t>
        </is>
      </c>
      <c r="B10313" s="1" t="n">
        <v>45252</v>
      </c>
      <c r="C10313" s="1" t="n">
        <v>45363</v>
      </c>
      <c r="D10313" t="inlineStr">
        <is>
          <t>JÄMTLANDS LÄN</t>
        </is>
      </c>
      <c r="E10313" t="inlineStr">
        <is>
          <t>KROKOM</t>
        </is>
      </c>
      <c r="F10313" t="inlineStr">
        <is>
          <t>Övriga Aktiebolag</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58866-2023</t>
        </is>
      </c>
      <c r="B10314" s="1" t="n">
        <v>45252</v>
      </c>
      <c r="C10314" s="1" t="n">
        <v>45363</v>
      </c>
      <c r="D10314" t="inlineStr">
        <is>
          <t>JÄMTLANDS LÄN</t>
        </is>
      </c>
      <c r="E10314" t="inlineStr">
        <is>
          <t>HÄRJEDALEN</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58871-2023</t>
        </is>
      </c>
      <c r="B10315" s="1" t="n">
        <v>45252</v>
      </c>
      <c r="C10315" s="1" t="n">
        <v>45363</v>
      </c>
      <c r="D10315" t="inlineStr">
        <is>
          <t>JÄMTLANDS LÄN</t>
        </is>
      </c>
      <c r="E10315" t="inlineStr">
        <is>
          <t>STRÖMSUND</t>
        </is>
      </c>
      <c r="F10315" t="inlineStr">
        <is>
          <t>Holmen skog AB</t>
        </is>
      </c>
      <c r="G10315" t="n">
        <v>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58881-2023</t>
        </is>
      </c>
      <c r="B10316" s="1" t="n">
        <v>45252</v>
      </c>
      <c r="C10316" s="1" t="n">
        <v>45363</v>
      </c>
      <c r="D10316" t="inlineStr">
        <is>
          <t>JÄMTLANDS LÄN</t>
        </is>
      </c>
      <c r="E10316" t="inlineStr">
        <is>
          <t>STRÖMSUND</t>
        </is>
      </c>
      <c r="F10316" t="inlineStr">
        <is>
          <t>Holmen skog AB</t>
        </is>
      </c>
      <c r="G10316" t="n">
        <v>6.9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58907-2023</t>
        </is>
      </c>
      <c r="B10317" s="1" t="n">
        <v>45252</v>
      </c>
      <c r="C10317" s="1" t="n">
        <v>45363</v>
      </c>
      <c r="D10317" t="inlineStr">
        <is>
          <t>JÄMTLANDS LÄN</t>
        </is>
      </c>
      <c r="E10317" t="inlineStr">
        <is>
          <t>ÅRE</t>
        </is>
      </c>
      <c r="G10317" t="n">
        <v>5.3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58798-2023</t>
        </is>
      </c>
      <c r="B10318" s="1" t="n">
        <v>45252</v>
      </c>
      <c r="C10318" s="1" t="n">
        <v>45363</v>
      </c>
      <c r="D10318" t="inlineStr">
        <is>
          <t>JÄMTLANDS LÄN</t>
        </is>
      </c>
      <c r="E10318" t="inlineStr">
        <is>
          <t>KROKOM</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59031-2023</t>
        </is>
      </c>
      <c r="B10319" s="1" t="n">
        <v>45252</v>
      </c>
      <c r="C10319" s="1" t="n">
        <v>45363</v>
      </c>
      <c r="D10319" t="inlineStr">
        <is>
          <t>JÄMTLANDS LÄN</t>
        </is>
      </c>
      <c r="E10319" t="inlineStr">
        <is>
          <t>KROKOM</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59080-2023</t>
        </is>
      </c>
      <c r="B10320" s="1" t="n">
        <v>45252</v>
      </c>
      <c r="C10320" s="1" t="n">
        <v>45363</v>
      </c>
      <c r="D10320" t="inlineStr">
        <is>
          <t>JÄMTLANDS LÄN</t>
        </is>
      </c>
      <c r="E10320" t="inlineStr">
        <is>
          <t>BERG</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59092-2023</t>
        </is>
      </c>
      <c r="B10321" s="1" t="n">
        <v>45253</v>
      </c>
      <c r="C10321" s="1" t="n">
        <v>45363</v>
      </c>
      <c r="D10321" t="inlineStr">
        <is>
          <t>JÄMTLANDS LÄN</t>
        </is>
      </c>
      <c r="E10321" t="inlineStr">
        <is>
          <t>HÄRJEDALEN</t>
        </is>
      </c>
      <c r="F10321" t="inlineStr">
        <is>
          <t>SCA</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59082-2023</t>
        </is>
      </c>
      <c r="B10322" s="1" t="n">
        <v>45252</v>
      </c>
      <c r="C10322" s="1" t="n">
        <v>45363</v>
      </c>
      <c r="D10322" t="inlineStr">
        <is>
          <t>JÄMTLANDS LÄN</t>
        </is>
      </c>
      <c r="E10322" t="inlineStr">
        <is>
          <t>BERG</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59086-2023</t>
        </is>
      </c>
      <c r="B10323" s="1" t="n">
        <v>45252</v>
      </c>
      <c r="C10323" s="1" t="n">
        <v>45363</v>
      </c>
      <c r="D10323" t="inlineStr">
        <is>
          <t>JÄMTLANDS LÄN</t>
        </is>
      </c>
      <c r="E10323" t="inlineStr">
        <is>
          <t>BERG</t>
        </is>
      </c>
      <c r="G10323" t="n">
        <v>14.6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59094-2023</t>
        </is>
      </c>
      <c r="B10324" s="1" t="n">
        <v>45253</v>
      </c>
      <c r="C10324" s="1" t="n">
        <v>45363</v>
      </c>
      <c r="D10324" t="inlineStr">
        <is>
          <t>JÄMTLANDS LÄN</t>
        </is>
      </c>
      <c r="E10324" t="inlineStr">
        <is>
          <t>ÖSTERSUND</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59085-2023</t>
        </is>
      </c>
      <c r="B10325" s="1" t="n">
        <v>45252</v>
      </c>
      <c r="C10325" s="1" t="n">
        <v>45363</v>
      </c>
      <c r="D10325" t="inlineStr">
        <is>
          <t>JÄMTLANDS LÄN</t>
        </is>
      </c>
      <c r="E10325" t="inlineStr">
        <is>
          <t>BERG</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59102-2023</t>
        </is>
      </c>
      <c r="B10326" s="1" t="n">
        <v>45253</v>
      </c>
      <c r="C10326" s="1" t="n">
        <v>45363</v>
      </c>
      <c r="D10326" t="inlineStr">
        <is>
          <t>JÄMTLANDS LÄN</t>
        </is>
      </c>
      <c r="E10326" t="inlineStr">
        <is>
          <t>BRÄCKE</t>
        </is>
      </c>
      <c r="F10326" t="inlineStr">
        <is>
          <t>SCA</t>
        </is>
      </c>
      <c r="G10326" t="n">
        <v>8.6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59097-2023</t>
        </is>
      </c>
      <c r="B10327" s="1" t="n">
        <v>45253</v>
      </c>
      <c r="C10327" s="1" t="n">
        <v>45363</v>
      </c>
      <c r="D10327" t="inlineStr">
        <is>
          <t>JÄMTLANDS LÄN</t>
        </is>
      </c>
      <c r="E10327" t="inlineStr">
        <is>
          <t>STRÖMSUND</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59087-2023</t>
        </is>
      </c>
      <c r="B10328" s="1" t="n">
        <v>45252</v>
      </c>
      <c r="C10328" s="1" t="n">
        <v>45363</v>
      </c>
      <c r="D10328" t="inlineStr">
        <is>
          <t>JÄMTLANDS LÄN</t>
        </is>
      </c>
      <c r="E10328" t="inlineStr">
        <is>
          <t>BERG</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59091-2023</t>
        </is>
      </c>
      <c r="B10329" s="1" t="n">
        <v>45253</v>
      </c>
      <c r="C10329" s="1" t="n">
        <v>45363</v>
      </c>
      <c r="D10329" t="inlineStr">
        <is>
          <t>JÄMTLANDS LÄN</t>
        </is>
      </c>
      <c r="E10329" t="inlineStr">
        <is>
          <t>BERG</t>
        </is>
      </c>
      <c r="F10329" t="inlineStr">
        <is>
          <t>SCA</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59095-2023</t>
        </is>
      </c>
      <c r="B10330" s="1" t="n">
        <v>45253</v>
      </c>
      <c r="C10330" s="1" t="n">
        <v>45363</v>
      </c>
      <c r="D10330" t="inlineStr">
        <is>
          <t>JÄMTLANDS LÄN</t>
        </is>
      </c>
      <c r="E10330" t="inlineStr">
        <is>
          <t>ÖSTERSUND</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59334-2023</t>
        </is>
      </c>
      <c r="B10331" s="1" t="n">
        <v>45252</v>
      </c>
      <c r="C10331" s="1" t="n">
        <v>45363</v>
      </c>
      <c r="D10331" t="inlineStr">
        <is>
          <t>JÄMTLANDS LÄN</t>
        </is>
      </c>
      <c r="E10331" t="inlineStr">
        <is>
          <t>STRÖMSUND</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59267-2023</t>
        </is>
      </c>
      <c r="B10332" s="1" t="n">
        <v>45253</v>
      </c>
      <c r="C10332" s="1" t="n">
        <v>45363</v>
      </c>
      <c r="D10332" t="inlineStr">
        <is>
          <t>JÄMTLANDS LÄN</t>
        </is>
      </c>
      <c r="E10332" t="inlineStr">
        <is>
          <t>ÅRE</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59279-2023</t>
        </is>
      </c>
      <c r="B10333" s="1" t="n">
        <v>45253</v>
      </c>
      <c r="C10333" s="1" t="n">
        <v>45363</v>
      </c>
      <c r="D10333" t="inlineStr">
        <is>
          <t>JÄMTLANDS LÄN</t>
        </is>
      </c>
      <c r="E10333" t="inlineStr">
        <is>
          <t>HÄRJEDALEN</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59274-2023</t>
        </is>
      </c>
      <c r="B10334" s="1" t="n">
        <v>45253</v>
      </c>
      <c r="C10334" s="1" t="n">
        <v>45363</v>
      </c>
      <c r="D10334" t="inlineStr">
        <is>
          <t>JÄMTLANDS LÄN</t>
        </is>
      </c>
      <c r="E10334" t="inlineStr">
        <is>
          <t>ÅRE</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59293-2023</t>
        </is>
      </c>
      <c r="B10335" s="1" t="n">
        <v>45253</v>
      </c>
      <c r="C10335" s="1" t="n">
        <v>45363</v>
      </c>
      <c r="D10335" t="inlineStr">
        <is>
          <t>JÄMTLANDS LÄN</t>
        </is>
      </c>
      <c r="E10335" t="inlineStr">
        <is>
          <t>KROKOM</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59360-2023</t>
        </is>
      </c>
      <c r="B10336" s="1" t="n">
        <v>45253</v>
      </c>
      <c r="C10336" s="1" t="n">
        <v>45363</v>
      </c>
      <c r="D10336" t="inlineStr">
        <is>
          <t>JÄMTLANDS LÄN</t>
        </is>
      </c>
      <c r="E10336" t="inlineStr">
        <is>
          <t>STRÖMSUND</t>
        </is>
      </c>
      <c r="F10336" t="inlineStr">
        <is>
          <t>Holmen skog AB</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59358-2023</t>
        </is>
      </c>
      <c r="B10337" s="1" t="n">
        <v>45253</v>
      </c>
      <c r="C10337" s="1" t="n">
        <v>45363</v>
      </c>
      <c r="D10337" t="inlineStr">
        <is>
          <t>JÄMTLANDS LÄN</t>
        </is>
      </c>
      <c r="E10337" t="inlineStr">
        <is>
          <t>STRÖMSUND</t>
        </is>
      </c>
      <c r="F10337" t="inlineStr">
        <is>
          <t>Holmen skog AB</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59400-2023</t>
        </is>
      </c>
      <c r="B10338" s="1" t="n">
        <v>45253</v>
      </c>
      <c r="C10338" s="1" t="n">
        <v>45363</v>
      </c>
      <c r="D10338" t="inlineStr">
        <is>
          <t>JÄMTLANDS LÄN</t>
        </is>
      </c>
      <c r="E10338" t="inlineStr">
        <is>
          <t>ÅRE</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59286-2023</t>
        </is>
      </c>
      <c r="B10339" s="1" t="n">
        <v>45253</v>
      </c>
      <c r="C10339" s="1" t="n">
        <v>45363</v>
      </c>
      <c r="D10339" t="inlineStr">
        <is>
          <t>JÄMTLANDS LÄN</t>
        </is>
      </c>
      <c r="E10339" t="inlineStr">
        <is>
          <t>RAGUNDA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59416-2023</t>
        </is>
      </c>
      <c r="B10340" s="1" t="n">
        <v>45254</v>
      </c>
      <c r="C10340" s="1" t="n">
        <v>45363</v>
      </c>
      <c r="D10340" t="inlineStr">
        <is>
          <t>JÄMTLANDS LÄN</t>
        </is>
      </c>
      <c r="E10340" t="inlineStr">
        <is>
          <t>BRÄCKE</t>
        </is>
      </c>
      <c r="F10340" t="inlineStr">
        <is>
          <t>SCA</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59403-2023</t>
        </is>
      </c>
      <c r="B10341" s="1" t="n">
        <v>45253</v>
      </c>
      <c r="C10341" s="1" t="n">
        <v>45363</v>
      </c>
      <c r="D10341" t="inlineStr">
        <is>
          <t>JÄMTLANDS LÄN</t>
        </is>
      </c>
      <c r="E10341" t="inlineStr">
        <is>
          <t>STRÖMSUND</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59407-2023</t>
        </is>
      </c>
      <c r="B10342" s="1" t="n">
        <v>45253</v>
      </c>
      <c r="C10342" s="1" t="n">
        <v>45363</v>
      </c>
      <c r="D10342" t="inlineStr">
        <is>
          <t>JÄMTLANDS LÄN</t>
        </is>
      </c>
      <c r="E10342" t="inlineStr">
        <is>
          <t>BERG</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59415-2023</t>
        </is>
      </c>
      <c r="B10343" s="1" t="n">
        <v>45254</v>
      </c>
      <c r="C10343" s="1" t="n">
        <v>45363</v>
      </c>
      <c r="D10343" t="inlineStr">
        <is>
          <t>JÄMTLANDS LÄN</t>
        </is>
      </c>
      <c r="E10343" t="inlineStr">
        <is>
          <t>BERG</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59419-2023</t>
        </is>
      </c>
      <c r="B10344" s="1" t="n">
        <v>45254</v>
      </c>
      <c r="C10344" s="1" t="n">
        <v>45363</v>
      </c>
      <c r="D10344" t="inlineStr">
        <is>
          <t>JÄMTLANDS LÄN</t>
        </is>
      </c>
      <c r="E10344" t="inlineStr">
        <is>
          <t>BRÄCKE</t>
        </is>
      </c>
      <c r="F10344" t="inlineStr">
        <is>
          <t>SCA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59561-2023</t>
        </is>
      </c>
      <c r="B10345" s="1" t="n">
        <v>45253</v>
      </c>
      <c r="C10345" s="1" t="n">
        <v>45363</v>
      </c>
      <c r="D10345" t="inlineStr">
        <is>
          <t>JÄMTLANDS LÄN</t>
        </is>
      </c>
      <c r="E10345" t="inlineStr">
        <is>
          <t>BRÄCKE</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59398-2023</t>
        </is>
      </c>
      <c r="B10346" s="1" t="n">
        <v>45253</v>
      </c>
      <c r="C10346" s="1" t="n">
        <v>45363</v>
      </c>
      <c r="D10346" t="inlineStr">
        <is>
          <t>JÄMTLANDS LÄN</t>
        </is>
      </c>
      <c r="E10346" t="inlineStr">
        <is>
          <t>ÅRE</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59414-2023</t>
        </is>
      </c>
      <c r="B10347" s="1" t="n">
        <v>45254</v>
      </c>
      <c r="C10347" s="1" t="n">
        <v>45363</v>
      </c>
      <c r="D10347" t="inlineStr">
        <is>
          <t>JÄMTLANDS LÄN</t>
        </is>
      </c>
      <c r="E10347" t="inlineStr">
        <is>
          <t>ÅRE</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59413-2023</t>
        </is>
      </c>
      <c r="B10348" s="1" t="n">
        <v>45254</v>
      </c>
      <c r="C10348" s="1" t="n">
        <v>45363</v>
      </c>
      <c r="D10348" t="inlineStr">
        <is>
          <t>JÄMTLANDS LÄN</t>
        </is>
      </c>
      <c r="E10348" t="inlineStr">
        <is>
          <t>ÅRE</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59417-2023</t>
        </is>
      </c>
      <c r="B10349" s="1" t="n">
        <v>45254</v>
      </c>
      <c r="C10349" s="1" t="n">
        <v>45363</v>
      </c>
      <c r="D10349" t="inlineStr">
        <is>
          <t>JÄMTLANDS LÄN</t>
        </is>
      </c>
      <c r="E10349" t="inlineStr">
        <is>
          <t>BRÄCKE</t>
        </is>
      </c>
      <c r="F10349" t="inlineStr">
        <is>
          <t>SCA</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59436-2023</t>
        </is>
      </c>
      <c r="B10350" s="1" t="n">
        <v>45253</v>
      </c>
      <c r="C10350" s="1" t="n">
        <v>45363</v>
      </c>
      <c r="D10350" t="inlineStr">
        <is>
          <t>JÄMTLANDS LÄN</t>
        </is>
      </c>
      <c r="E10350" t="inlineStr">
        <is>
          <t>STRÖMSUND</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59506-2023</t>
        </is>
      </c>
      <c r="B10351" s="1" t="n">
        <v>45253</v>
      </c>
      <c r="C10351" s="1" t="n">
        <v>45363</v>
      </c>
      <c r="D10351" t="inlineStr">
        <is>
          <t>JÄMTLANDS LÄN</t>
        </is>
      </c>
      <c r="E10351" t="inlineStr">
        <is>
          <t>STRÖMSUND</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59557-2023</t>
        </is>
      </c>
      <c r="B10352" s="1" t="n">
        <v>45253</v>
      </c>
      <c r="C10352" s="1" t="n">
        <v>45363</v>
      </c>
      <c r="D10352" t="inlineStr">
        <is>
          <t>JÄMTLANDS LÄN</t>
        </is>
      </c>
      <c r="E10352" t="inlineStr">
        <is>
          <t>RAGUNDA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59476-2023</t>
        </is>
      </c>
      <c r="B10353" s="1" t="n">
        <v>45254</v>
      </c>
      <c r="C10353" s="1" t="n">
        <v>45363</v>
      </c>
      <c r="D10353" t="inlineStr">
        <is>
          <t>JÄMTLANDS LÄN</t>
        </is>
      </c>
      <c r="E10353" t="inlineStr">
        <is>
          <t>STRÖMSUND</t>
        </is>
      </c>
      <c r="F10353" t="inlineStr">
        <is>
          <t>Holmen skog AB</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59424-2023</t>
        </is>
      </c>
      <c r="B10354" s="1" t="n">
        <v>45254</v>
      </c>
      <c r="C10354" s="1" t="n">
        <v>45363</v>
      </c>
      <c r="D10354" t="inlineStr">
        <is>
          <t>JÄMTLANDS LÄN</t>
        </is>
      </c>
      <c r="E10354" t="inlineStr">
        <is>
          <t>HÄRJEDALEN</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59469-2023</t>
        </is>
      </c>
      <c r="B10355" s="1" t="n">
        <v>45254</v>
      </c>
      <c r="C10355" s="1" t="n">
        <v>45363</v>
      </c>
      <c r="D10355" t="inlineStr">
        <is>
          <t>JÄMTLANDS LÄN</t>
        </is>
      </c>
      <c r="E10355" t="inlineStr">
        <is>
          <t>STRÖMSUND</t>
        </is>
      </c>
      <c r="F10355" t="inlineStr">
        <is>
          <t>Holmen skog AB</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59478-2023</t>
        </is>
      </c>
      <c r="B10356" s="1" t="n">
        <v>45254</v>
      </c>
      <c r="C10356" s="1" t="n">
        <v>45363</v>
      </c>
      <c r="D10356" t="inlineStr">
        <is>
          <t>JÄMTLANDS LÄN</t>
        </is>
      </c>
      <c r="E10356" t="inlineStr">
        <is>
          <t>STRÖMSUND</t>
        </is>
      </c>
      <c r="F10356" t="inlineStr">
        <is>
          <t>Holmen skog AB</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59595-2023</t>
        </is>
      </c>
      <c r="B10357" s="1" t="n">
        <v>45254</v>
      </c>
      <c r="C10357" s="1" t="n">
        <v>45363</v>
      </c>
      <c r="D10357" t="inlineStr">
        <is>
          <t>JÄMTLANDS LÄN</t>
        </is>
      </c>
      <c r="E10357" t="inlineStr">
        <is>
          <t>BRÄCKE</t>
        </is>
      </c>
      <c r="G10357" t="n">
        <v>8.199999999999999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59622-2023</t>
        </is>
      </c>
      <c r="B10358" s="1" t="n">
        <v>45254</v>
      </c>
      <c r="C10358" s="1" t="n">
        <v>45363</v>
      </c>
      <c r="D10358" t="inlineStr">
        <is>
          <t>JÄMTLANDS LÄN</t>
        </is>
      </c>
      <c r="E10358" t="inlineStr">
        <is>
          <t>KROKOM</t>
        </is>
      </c>
      <c r="G10358" t="n">
        <v>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59656-2023</t>
        </is>
      </c>
      <c r="B10359" s="1" t="n">
        <v>45255</v>
      </c>
      <c r="C10359" s="1" t="n">
        <v>45363</v>
      </c>
      <c r="D10359" t="inlineStr">
        <is>
          <t>JÄMTLANDS LÄN</t>
        </is>
      </c>
      <c r="E10359" t="inlineStr">
        <is>
          <t>BERG</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59611-2023</t>
        </is>
      </c>
      <c r="B10360" s="1" t="n">
        <v>45254</v>
      </c>
      <c r="C10360" s="1" t="n">
        <v>45363</v>
      </c>
      <c r="D10360" t="inlineStr">
        <is>
          <t>JÄMTLANDS LÄN</t>
        </is>
      </c>
      <c r="E10360" t="inlineStr">
        <is>
          <t>ÖSTERSUND</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59658-2023</t>
        </is>
      </c>
      <c r="B10361" s="1" t="n">
        <v>45255</v>
      </c>
      <c r="C10361" s="1" t="n">
        <v>45363</v>
      </c>
      <c r="D10361" t="inlineStr">
        <is>
          <t>JÄMTLANDS LÄN</t>
        </is>
      </c>
      <c r="E10361" t="inlineStr">
        <is>
          <t>RAGUNDA</t>
        </is>
      </c>
      <c r="F10361" t="inlineStr">
        <is>
          <t>SCA</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59666-2023</t>
        </is>
      </c>
      <c r="B10362" s="1" t="n">
        <v>45255</v>
      </c>
      <c r="C10362" s="1" t="n">
        <v>45363</v>
      </c>
      <c r="D10362" t="inlineStr">
        <is>
          <t>JÄMTLANDS LÄN</t>
        </is>
      </c>
      <c r="E10362" t="inlineStr">
        <is>
          <t>ÅRE</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59670-2023</t>
        </is>
      </c>
      <c r="B10363" s="1" t="n">
        <v>45255</v>
      </c>
      <c r="C10363" s="1" t="n">
        <v>45363</v>
      </c>
      <c r="D10363" t="inlineStr">
        <is>
          <t>JÄMTLANDS LÄN</t>
        </is>
      </c>
      <c r="E10363" t="inlineStr">
        <is>
          <t>RAGUNDA</t>
        </is>
      </c>
      <c r="F10363" t="inlineStr">
        <is>
          <t>SCA</t>
        </is>
      </c>
      <c r="G10363" t="n">
        <v>7.6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59669-2023</t>
        </is>
      </c>
      <c r="B10364" s="1" t="n">
        <v>45255</v>
      </c>
      <c r="C10364" s="1" t="n">
        <v>45363</v>
      </c>
      <c r="D10364" t="inlineStr">
        <is>
          <t>JÄMTLANDS LÄN</t>
        </is>
      </c>
      <c r="E10364" t="inlineStr">
        <is>
          <t>RAGUNDA</t>
        </is>
      </c>
      <c r="F10364" t="inlineStr">
        <is>
          <t>SCA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59668-2023</t>
        </is>
      </c>
      <c r="B10365" s="1" t="n">
        <v>45254</v>
      </c>
      <c r="C10365" s="1" t="n">
        <v>45363</v>
      </c>
      <c r="D10365" t="inlineStr">
        <is>
          <t>JÄMTLANDS LÄN</t>
        </is>
      </c>
      <c r="E10365" t="inlineStr">
        <is>
          <t>KROKOM</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59753-2023</t>
        </is>
      </c>
      <c r="B10366" s="1" t="n">
        <v>45254</v>
      </c>
      <c r="C10366" s="1" t="n">
        <v>45363</v>
      </c>
      <c r="D10366" t="inlineStr">
        <is>
          <t>JÄMTLANDS LÄN</t>
        </is>
      </c>
      <c r="E10366" t="inlineStr">
        <is>
          <t>ÅRE</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59953-2023</t>
        </is>
      </c>
      <c r="B10367" s="1" t="n">
        <v>45254</v>
      </c>
      <c r="C10367" s="1" t="n">
        <v>45363</v>
      </c>
      <c r="D10367" t="inlineStr">
        <is>
          <t>JÄMTLANDS LÄN</t>
        </is>
      </c>
      <c r="E10367" t="inlineStr">
        <is>
          <t>ÖSTERSUND</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59969-2023</t>
        </is>
      </c>
      <c r="B10368" s="1" t="n">
        <v>45254</v>
      </c>
      <c r="C10368" s="1" t="n">
        <v>45363</v>
      </c>
      <c r="D10368" t="inlineStr">
        <is>
          <t>JÄMTLANDS LÄN</t>
        </is>
      </c>
      <c r="E10368" t="inlineStr">
        <is>
          <t>STRÖMSUND</t>
        </is>
      </c>
      <c r="G10368" t="n">
        <v>23.3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59968-2023</t>
        </is>
      </c>
      <c r="B10369" s="1" t="n">
        <v>45254</v>
      </c>
      <c r="C10369" s="1" t="n">
        <v>45363</v>
      </c>
      <c r="D10369" t="inlineStr">
        <is>
          <t>JÄMTLANDS LÄN</t>
        </is>
      </c>
      <c r="E10369" t="inlineStr">
        <is>
          <t>ÅRE</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59523-2023</t>
        </is>
      </c>
      <c r="B10370" s="1" t="n">
        <v>45254</v>
      </c>
      <c r="C10370" s="1" t="n">
        <v>45363</v>
      </c>
      <c r="D10370" t="inlineStr">
        <is>
          <t>JÄMTLANDS LÄN</t>
        </is>
      </c>
      <c r="E10370" t="inlineStr">
        <is>
          <t>STRÖMSUND</t>
        </is>
      </c>
      <c r="F10370" t="inlineStr">
        <is>
          <t>Holmen skog AB</t>
        </is>
      </c>
      <c r="G10370" t="n">
        <v>51.2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59967-2023</t>
        </is>
      </c>
      <c r="B10371" s="1" t="n">
        <v>45254</v>
      </c>
      <c r="C10371" s="1" t="n">
        <v>45363</v>
      </c>
      <c r="D10371" t="inlineStr">
        <is>
          <t>JÄMTLANDS LÄN</t>
        </is>
      </c>
      <c r="E10371" t="inlineStr">
        <is>
          <t>STRÖMSUND</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59577-2023</t>
        </is>
      </c>
      <c r="B10372" s="1" t="n">
        <v>45254</v>
      </c>
      <c r="C10372" s="1" t="n">
        <v>45363</v>
      </c>
      <c r="D10372" t="inlineStr">
        <is>
          <t>JÄMTLANDS LÄN</t>
        </is>
      </c>
      <c r="E10372" t="inlineStr">
        <is>
          <t>HÄRJEDALEN</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59586-2023</t>
        </is>
      </c>
      <c r="B10373" s="1" t="n">
        <v>45254</v>
      </c>
      <c r="C10373" s="1" t="n">
        <v>45363</v>
      </c>
      <c r="D10373" t="inlineStr">
        <is>
          <t>JÄMTLANDS LÄN</t>
        </is>
      </c>
      <c r="E10373" t="inlineStr">
        <is>
          <t>BRÄCKE</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59594-2023</t>
        </is>
      </c>
      <c r="B10374" s="1" t="n">
        <v>45254</v>
      </c>
      <c r="C10374" s="1" t="n">
        <v>45363</v>
      </c>
      <c r="D10374" t="inlineStr">
        <is>
          <t>JÄMTLANDS LÄN</t>
        </is>
      </c>
      <c r="E10374" t="inlineStr">
        <is>
          <t>HÄRJEDALEN</t>
        </is>
      </c>
      <c r="G10374" t="n">
        <v>5.9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59620-2023</t>
        </is>
      </c>
      <c r="B10375" s="1" t="n">
        <v>45254</v>
      </c>
      <c r="C10375" s="1" t="n">
        <v>45363</v>
      </c>
      <c r="D10375" t="inlineStr">
        <is>
          <t>JÄMTLANDS LÄN</t>
        </is>
      </c>
      <c r="E10375" t="inlineStr">
        <is>
          <t>HÄRJEDALEN</t>
        </is>
      </c>
      <c r="G10375" t="n">
        <v>14.9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59667-2023</t>
        </is>
      </c>
      <c r="B10376" s="1" t="n">
        <v>45255</v>
      </c>
      <c r="C10376" s="1" t="n">
        <v>45363</v>
      </c>
      <c r="D10376" t="inlineStr">
        <is>
          <t>JÄMTLANDS LÄN</t>
        </is>
      </c>
      <c r="E10376" t="inlineStr">
        <is>
          <t>BRÄCKE</t>
        </is>
      </c>
      <c r="F10376" t="inlineStr">
        <is>
          <t>SCA</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59694-2023</t>
        </is>
      </c>
      <c r="B10377" s="1" t="n">
        <v>45256</v>
      </c>
      <c r="C10377" s="1" t="n">
        <v>45363</v>
      </c>
      <c r="D10377" t="inlineStr">
        <is>
          <t>JÄMTLANDS LÄN</t>
        </is>
      </c>
      <c r="E10377" t="inlineStr">
        <is>
          <t>ÖSTERSUND</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59738-2023</t>
        </is>
      </c>
      <c r="B10378" s="1" t="n">
        <v>45257</v>
      </c>
      <c r="C10378" s="1" t="n">
        <v>45363</v>
      </c>
      <c r="D10378" t="inlineStr">
        <is>
          <t>JÄMTLANDS LÄN</t>
        </is>
      </c>
      <c r="E10378" t="inlineStr">
        <is>
          <t>HÄRJEDALEN</t>
        </is>
      </c>
      <c r="F10378" t="inlineStr">
        <is>
          <t>Bergvik skog väst AB</t>
        </is>
      </c>
      <c r="G10378" t="n">
        <v>8.300000000000001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59742-2023</t>
        </is>
      </c>
      <c r="B10379" s="1" t="n">
        <v>45257</v>
      </c>
      <c r="C10379" s="1" t="n">
        <v>45363</v>
      </c>
      <c r="D10379" t="inlineStr">
        <is>
          <t>JÄMTLANDS LÄN</t>
        </is>
      </c>
      <c r="E10379" t="inlineStr">
        <is>
          <t>STRÖMSUND</t>
        </is>
      </c>
      <c r="F10379" t="inlineStr">
        <is>
          <t>Sveaskog</t>
        </is>
      </c>
      <c r="G10379" t="n">
        <v>7.6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59828-2023</t>
        </is>
      </c>
      <c r="B10380" s="1" t="n">
        <v>45257</v>
      </c>
      <c r="C10380" s="1" t="n">
        <v>45363</v>
      </c>
      <c r="D10380" t="inlineStr">
        <is>
          <t>JÄMTLANDS LÄN</t>
        </is>
      </c>
      <c r="E10380" t="inlineStr">
        <is>
          <t>KROKOM</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59864-2023</t>
        </is>
      </c>
      <c r="B10381" s="1" t="n">
        <v>45257</v>
      </c>
      <c r="C10381" s="1" t="n">
        <v>45363</v>
      </c>
      <c r="D10381" t="inlineStr">
        <is>
          <t>JÄMTLANDS LÄN</t>
        </is>
      </c>
      <c r="E10381" t="inlineStr">
        <is>
          <t>ÅRE</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59878-2023</t>
        </is>
      </c>
      <c r="B10382" s="1" t="n">
        <v>45257</v>
      </c>
      <c r="C10382" s="1" t="n">
        <v>45363</v>
      </c>
      <c r="D10382" t="inlineStr">
        <is>
          <t>JÄMTLANDS LÄN</t>
        </is>
      </c>
      <c r="E10382" t="inlineStr">
        <is>
          <t>ÅRE</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59819-2023</t>
        </is>
      </c>
      <c r="B10383" s="1" t="n">
        <v>45257</v>
      </c>
      <c r="C10383" s="1" t="n">
        <v>45363</v>
      </c>
      <c r="D10383" t="inlineStr">
        <is>
          <t>JÄMTLANDS LÄN</t>
        </is>
      </c>
      <c r="E10383" t="inlineStr">
        <is>
          <t>KROKOM</t>
        </is>
      </c>
      <c r="G10383" t="n">
        <v>8.5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59843-2023</t>
        </is>
      </c>
      <c r="B10384" s="1" t="n">
        <v>45257</v>
      </c>
      <c r="C10384" s="1" t="n">
        <v>45363</v>
      </c>
      <c r="D10384" t="inlineStr">
        <is>
          <t>JÄMTLANDS LÄN</t>
        </is>
      </c>
      <c r="E10384" t="inlineStr">
        <is>
          <t>KROKOM</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59892-2023</t>
        </is>
      </c>
      <c r="B10385" s="1" t="n">
        <v>45257</v>
      </c>
      <c r="C10385" s="1" t="n">
        <v>45363</v>
      </c>
      <c r="D10385" t="inlineStr">
        <is>
          <t>JÄMTLANDS LÄN</t>
        </is>
      </c>
      <c r="E10385" t="inlineStr">
        <is>
          <t>ÅRE</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59996-2023</t>
        </is>
      </c>
      <c r="B10386" s="1" t="n">
        <v>45257</v>
      </c>
      <c r="C10386" s="1" t="n">
        <v>45363</v>
      </c>
      <c r="D10386" t="inlineStr">
        <is>
          <t>JÄMTLANDS LÄN</t>
        </is>
      </c>
      <c r="E10386" t="inlineStr">
        <is>
          <t>RAGUNDA</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60012-2023</t>
        </is>
      </c>
      <c r="B10387" s="1" t="n">
        <v>45257</v>
      </c>
      <c r="C10387" s="1" t="n">
        <v>45363</v>
      </c>
      <c r="D10387" t="inlineStr">
        <is>
          <t>JÄMTLANDS LÄN</t>
        </is>
      </c>
      <c r="E10387" t="inlineStr">
        <is>
          <t>RAGUNDA</t>
        </is>
      </c>
      <c r="F10387" t="inlineStr">
        <is>
          <t>SCA</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60175-2023</t>
        </is>
      </c>
      <c r="B10388" s="1" t="n">
        <v>45257</v>
      </c>
      <c r="C10388" s="1" t="n">
        <v>45363</v>
      </c>
      <c r="D10388" t="inlineStr">
        <is>
          <t>JÄMTLANDS LÄN</t>
        </is>
      </c>
      <c r="E10388" t="inlineStr">
        <is>
          <t>STRÖMSUND</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60199-2023</t>
        </is>
      </c>
      <c r="B10389" s="1" t="n">
        <v>45257</v>
      </c>
      <c r="C10389" s="1" t="n">
        <v>45363</v>
      </c>
      <c r="D10389" t="inlineStr">
        <is>
          <t>JÄMTLANDS LÄN</t>
        </is>
      </c>
      <c r="E10389" t="inlineStr">
        <is>
          <t>RAGUNDA</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60228-2023</t>
        </is>
      </c>
      <c r="B10390" s="1" t="n">
        <v>45257</v>
      </c>
      <c r="C10390" s="1" t="n">
        <v>45363</v>
      </c>
      <c r="D10390" t="inlineStr">
        <is>
          <t>JÄMTLANDS LÄN</t>
        </is>
      </c>
      <c r="E10390" t="inlineStr">
        <is>
          <t>RAGUNDA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60009-2023</t>
        </is>
      </c>
      <c r="B10391" s="1" t="n">
        <v>45258</v>
      </c>
      <c r="C10391" s="1" t="n">
        <v>45363</v>
      </c>
      <c r="D10391" t="inlineStr">
        <is>
          <t>JÄMTLANDS LÄN</t>
        </is>
      </c>
      <c r="E10391" t="inlineStr">
        <is>
          <t>STRÖMSUND</t>
        </is>
      </c>
      <c r="F10391" t="inlineStr">
        <is>
          <t>SCA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60102-2023</t>
        </is>
      </c>
      <c r="B10392" s="1" t="n">
        <v>45257</v>
      </c>
      <c r="C10392" s="1" t="n">
        <v>45363</v>
      </c>
      <c r="D10392" t="inlineStr">
        <is>
          <t>JÄMTLANDS LÄN</t>
        </is>
      </c>
      <c r="E10392" t="inlineStr">
        <is>
          <t>KROKOM</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60166-2023</t>
        </is>
      </c>
      <c r="B10393" s="1" t="n">
        <v>45257</v>
      </c>
      <c r="C10393" s="1" t="n">
        <v>45363</v>
      </c>
      <c r="D10393" t="inlineStr">
        <is>
          <t>JÄMTLANDS LÄN</t>
        </is>
      </c>
      <c r="E10393" t="inlineStr">
        <is>
          <t>STRÖMSUND</t>
        </is>
      </c>
      <c r="G10393" t="n">
        <v>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60185-2023</t>
        </is>
      </c>
      <c r="B10394" s="1" t="n">
        <v>45257</v>
      </c>
      <c r="C10394" s="1" t="n">
        <v>45363</v>
      </c>
      <c r="D10394" t="inlineStr">
        <is>
          <t>JÄMTLANDS LÄN</t>
        </is>
      </c>
      <c r="E10394" t="inlineStr">
        <is>
          <t>RAGUNDA</t>
        </is>
      </c>
      <c r="G10394" t="n">
        <v>7.2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60007-2023</t>
        </is>
      </c>
      <c r="B10395" s="1" t="n">
        <v>45258</v>
      </c>
      <c r="C10395" s="1" t="n">
        <v>45363</v>
      </c>
      <c r="D10395" t="inlineStr">
        <is>
          <t>JÄMTLANDS LÄN</t>
        </is>
      </c>
      <c r="E10395" t="inlineStr">
        <is>
          <t>KROKOM</t>
        </is>
      </c>
      <c r="F10395" t="inlineStr">
        <is>
          <t>Kommuner</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60062-2023</t>
        </is>
      </c>
      <c r="B10396" s="1" t="n">
        <v>45257</v>
      </c>
      <c r="C10396" s="1" t="n">
        <v>45363</v>
      </c>
      <c r="D10396" t="inlineStr">
        <is>
          <t>JÄMTLANDS LÄN</t>
        </is>
      </c>
      <c r="E10396" t="inlineStr">
        <is>
          <t>HÄRJEDALEN</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59750-2023</t>
        </is>
      </c>
      <c r="B10397" s="1" t="n">
        <v>45257</v>
      </c>
      <c r="C10397" s="1" t="n">
        <v>45363</v>
      </c>
      <c r="D10397" t="inlineStr">
        <is>
          <t>JÄMTLANDS LÄN</t>
        </is>
      </c>
      <c r="E10397" t="inlineStr">
        <is>
          <t>HÄRJEDALEN</t>
        </is>
      </c>
      <c r="F10397" t="inlineStr">
        <is>
          <t>Bergvik skog väst AB</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60195-2023</t>
        </is>
      </c>
      <c r="B10398" s="1" t="n">
        <v>45257</v>
      </c>
      <c r="C10398" s="1" t="n">
        <v>45363</v>
      </c>
      <c r="D10398" t="inlineStr">
        <is>
          <t>JÄMTLANDS LÄN</t>
        </is>
      </c>
      <c r="E10398" t="inlineStr">
        <is>
          <t>RAGUNDA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59813-2023</t>
        </is>
      </c>
      <c r="B10399" s="1" t="n">
        <v>45257</v>
      </c>
      <c r="C10399" s="1" t="n">
        <v>45363</v>
      </c>
      <c r="D10399" t="inlineStr">
        <is>
          <t>JÄMTLANDS LÄN</t>
        </is>
      </c>
      <c r="E10399" t="inlineStr">
        <is>
          <t>ÖSTERSUND</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59916-2023</t>
        </is>
      </c>
      <c r="B10400" s="1" t="n">
        <v>45257</v>
      </c>
      <c r="C10400" s="1" t="n">
        <v>45363</v>
      </c>
      <c r="D10400" t="inlineStr">
        <is>
          <t>JÄMTLANDS LÄN</t>
        </is>
      </c>
      <c r="E10400" t="inlineStr">
        <is>
          <t>ÅRE</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59973-2023</t>
        </is>
      </c>
      <c r="B10401" s="1" t="n">
        <v>45257</v>
      </c>
      <c r="C10401" s="1" t="n">
        <v>45363</v>
      </c>
      <c r="D10401" t="inlineStr">
        <is>
          <t>JÄMTLANDS LÄN</t>
        </is>
      </c>
      <c r="E10401" t="inlineStr">
        <is>
          <t>KROKOM</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60006-2023</t>
        </is>
      </c>
      <c r="B10402" s="1" t="n">
        <v>45258</v>
      </c>
      <c r="C10402" s="1" t="n">
        <v>45363</v>
      </c>
      <c r="D10402" t="inlineStr">
        <is>
          <t>JÄMTLANDS LÄN</t>
        </is>
      </c>
      <c r="E10402" t="inlineStr">
        <is>
          <t>KROKOM</t>
        </is>
      </c>
      <c r="F10402" t="inlineStr">
        <is>
          <t>Kommuner</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60010-2023</t>
        </is>
      </c>
      <c r="B10403" s="1" t="n">
        <v>45257</v>
      </c>
      <c r="C10403" s="1" t="n">
        <v>45363</v>
      </c>
      <c r="D10403" t="inlineStr">
        <is>
          <t>JÄMTLANDS LÄN</t>
        </is>
      </c>
      <c r="E10403" t="inlineStr">
        <is>
          <t>STRÖMSUND</t>
        </is>
      </c>
      <c r="F10403" t="inlineStr">
        <is>
          <t>SCA</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60014-2023</t>
        </is>
      </c>
      <c r="B10404" s="1" t="n">
        <v>45258</v>
      </c>
      <c r="C10404" s="1" t="n">
        <v>45363</v>
      </c>
      <c r="D10404" t="inlineStr">
        <is>
          <t>JÄMTLANDS LÄN</t>
        </is>
      </c>
      <c r="E10404" t="inlineStr">
        <is>
          <t>STRÖMSUND</t>
        </is>
      </c>
      <c r="F10404" t="inlineStr">
        <is>
          <t>SCA</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60222-2023</t>
        </is>
      </c>
      <c r="B10405" s="1" t="n">
        <v>45257</v>
      </c>
      <c r="C10405" s="1" t="n">
        <v>45363</v>
      </c>
      <c r="D10405" t="inlineStr">
        <is>
          <t>JÄMTLANDS LÄN</t>
        </is>
      </c>
      <c r="E10405" t="inlineStr">
        <is>
          <t>RAGUNDA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60235-2023</t>
        </is>
      </c>
      <c r="B10406" s="1" t="n">
        <v>45257</v>
      </c>
      <c r="C10406" s="1" t="n">
        <v>45363</v>
      </c>
      <c r="D10406" t="inlineStr">
        <is>
          <t>JÄMTLANDS LÄN</t>
        </is>
      </c>
      <c r="E10406" t="inlineStr">
        <is>
          <t>RAGUNDA</t>
        </is>
      </c>
      <c r="G10406" t="n">
        <v>7.5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60517-2023</t>
        </is>
      </c>
      <c r="B10407" s="1" t="n">
        <v>45257</v>
      </c>
      <c r="C10407" s="1" t="n">
        <v>45363</v>
      </c>
      <c r="D10407" t="inlineStr">
        <is>
          <t>JÄMTLANDS LÄN</t>
        </is>
      </c>
      <c r="E10407" t="inlineStr">
        <is>
          <t>STRÖMSUND</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60029-2023</t>
        </is>
      </c>
      <c r="B10408" s="1" t="n">
        <v>45258</v>
      </c>
      <c r="C10408" s="1" t="n">
        <v>45363</v>
      </c>
      <c r="D10408" t="inlineStr">
        <is>
          <t>JÄMTLANDS LÄN</t>
        </is>
      </c>
      <c r="E10408" t="inlineStr">
        <is>
          <t>ÖSTERSUND</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60078-2023</t>
        </is>
      </c>
      <c r="B10409" s="1" t="n">
        <v>45258</v>
      </c>
      <c r="C10409" s="1" t="n">
        <v>45363</v>
      </c>
      <c r="D10409" t="inlineStr">
        <is>
          <t>JÄMTLANDS LÄN</t>
        </is>
      </c>
      <c r="E10409" t="inlineStr">
        <is>
          <t>STRÖMSUND</t>
        </is>
      </c>
      <c r="F10409" t="inlineStr">
        <is>
          <t>Holmen skog AB</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60065-2023</t>
        </is>
      </c>
      <c r="B10410" s="1" t="n">
        <v>45258</v>
      </c>
      <c r="C10410" s="1" t="n">
        <v>45363</v>
      </c>
      <c r="D10410" t="inlineStr">
        <is>
          <t>JÄMTLANDS LÄN</t>
        </is>
      </c>
      <c r="E10410" t="inlineStr">
        <is>
          <t>BERG</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60085-2023</t>
        </is>
      </c>
      <c r="B10411" s="1" t="n">
        <v>45258</v>
      </c>
      <c r="C10411" s="1" t="n">
        <v>45363</v>
      </c>
      <c r="D10411" t="inlineStr">
        <is>
          <t>JÄMTLANDS LÄN</t>
        </is>
      </c>
      <c r="E10411" t="inlineStr">
        <is>
          <t>BRÄCKE</t>
        </is>
      </c>
      <c r="G10411" t="n">
        <v>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60326-2023</t>
        </is>
      </c>
      <c r="B10412" s="1" t="n">
        <v>45258</v>
      </c>
      <c r="C10412" s="1" t="n">
        <v>45363</v>
      </c>
      <c r="D10412" t="inlineStr">
        <is>
          <t>JÄMTLANDS LÄN</t>
        </is>
      </c>
      <c r="E10412" t="inlineStr">
        <is>
          <t>BRÄCKE</t>
        </is>
      </c>
      <c r="G10412" t="n">
        <v>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60331-2023</t>
        </is>
      </c>
      <c r="B10413" s="1" t="n">
        <v>45258</v>
      </c>
      <c r="C10413" s="1" t="n">
        <v>45363</v>
      </c>
      <c r="D10413" t="inlineStr">
        <is>
          <t>JÄMTLANDS LÄN</t>
        </is>
      </c>
      <c r="E10413" t="inlineStr">
        <is>
          <t>BERG</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60330-2023</t>
        </is>
      </c>
      <c r="B10414" s="1" t="n">
        <v>45258</v>
      </c>
      <c r="C10414" s="1" t="n">
        <v>45363</v>
      </c>
      <c r="D10414" t="inlineStr">
        <is>
          <t>JÄMTLANDS LÄN</t>
        </is>
      </c>
      <c r="E10414" t="inlineStr">
        <is>
          <t>RAGUNDA</t>
        </is>
      </c>
      <c r="F10414" t="inlineStr">
        <is>
          <t>SCA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60335-2023</t>
        </is>
      </c>
      <c r="B10415" s="1" t="n">
        <v>45258</v>
      </c>
      <c r="C10415" s="1" t="n">
        <v>45363</v>
      </c>
      <c r="D10415" t="inlineStr">
        <is>
          <t>JÄMTLANDS LÄN</t>
        </is>
      </c>
      <c r="E10415" t="inlineStr">
        <is>
          <t>STRÖMSUND</t>
        </is>
      </c>
      <c r="F10415" t="inlineStr">
        <is>
          <t>SCA</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60413-2023</t>
        </is>
      </c>
      <c r="B10416" s="1" t="n">
        <v>45258</v>
      </c>
      <c r="C10416" s="1" t="n">
        <v>45363</v>
      </c>
      <c r="D10416" t="inlineStr">
        <is>
          <t>JÄMTLANDS LÄN</t>
        </is>
      </c>
      <c r="E10416" t="inlineStr">
        <is>
          <t>RAGUNDA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60450-2023</t>
        </is>
      </c>
      <c r="B10417" s="1" t="n">
        <v>45258</v>
      </c>
      <c r="C10417" s="1" t="n">
        <v>45363</v>
      </c>
      <c r="D10417" t="inlineStr">
        <is>
          <t>JÄMTLANDS LÄN</t>
        </is>
      </c>
      <c r="E10417" t="inlineStr">
        <is>
          <t>RAGUNDA</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60334-2023</t>
        </is>
      </c>
      <c r="B10418" s="1" t="n">
        <v>45258</v>
      </c>
      <c r="C10418" s="1" t="n">
        <v>45363</v>
      </c>
      <c r="D10418" t="inlineStr">
        <is>
          <t>JÄMTLANDS LÄN</t>
        </is>
      </c>
      <c r="E10418" t="inlineStr">
        <is>
          <t>STRÖMSUND</t>
        </is>
      </c>
      <c r="F10418" t="inlineStr">
        <is>
          <t>SCA</t>
        </is>
      </c>
      <c r="G10418" t="n">
        <v>5.3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60333-2023</t>
        </is>
      </c>
      <c r="B10419" s="1" t="n">
        <v>45258</v>
      </c>
      <c r="C10419" s="1" t="n">
        <v>45363</v>
      </c>
      <c r="D10419" t="inlineStr">
        <is>
          <t>JÄMTLANDS LÄN</t>
        </is>
      </c>
      <c r="E10419" t="inlineStr">
        <is>
          <t>KROKOM</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60337-2023</t>
        </is>
      </c>
      <c r="B10420" s="1" t="n">
        <v>45258</v>
      </c>
      <c r="C10420" s="1" t="n">
        <v>45363</v>
      </c>
      <c r="D10420" t="inlineStr">
        <is>
          <t>JÄMTLANDS LÄN</t>
        </is>
      </c>
      <c r="E10420" t="inlineStr">
        <is>
          <t>BERG</t>
        </is>
      </c>
      <c r="F10420" t="inlineStr">
        <is>
          <t>SCA</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60456-2023</t>
        </is>
      </c>
      <c r="B10421" s="1" t="n">
        <v>45258</v>
      </c>
      <c r="C10421" s="1" t="n">
        <v>45363</v>
      </c>
      <c r="D10421" t="inlineStr">
        <is>
          <t>JÄMTLANDS LÄN</t>
        </is>
      </c>
      <c r="E10421" t="inlineStr">
        <is>
          <t>RAGUNDA</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60332-2023</t>
        </is>
      </c>
      <c r="B10422" s="1" t="n">
        <v>45258</v>
      </c>
      <c r="C10422" s="1" t="n">
        <v>45363</v>
      </c>
      <c r="D10422" t="inlineStr">
        <is>
          <t>JÄMTLANDS LÄN</t>
        </is>
      </c>
      <c r="E10422" t="inlineStr">
        <is>
          <t>ÅRE</t>
        </is>
      </c>
      <c r="G10422" t="n">
        <v>12.5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60443-2023</t>
        </is>
      </c>
      <c r="B10423" s="1" t="n">
        <v>45258</v>
      </c>
      <c r="C10423" s="1" t="n">
        <v>45363</v>
      </c>
      <c r="D10423" t="inlineStr">
        <is>
          <t>JÄMTLANDS LÄN</t>
        </is>
      </c>
      <c r="E10423" t="inlineStr">
        <is>
          <t>RAGUNDA</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60477-2023</t>
        </is>
      </c>
      <c r="B10424" s="1" t="n">
        <v>45258</v>
      </c>
      <c r="C10424" s="1" t="n">
        <v>45363</v>
      </c>
      <c r="D10424" t="inlineStr">
        <is>
          <t>JÄMTLANDS LÄN</t>
        </is>
      </c>
      <c r="E10424" t="inlineStr">
        <is>
          <t>ÖSTERSUND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60415-2023</t>
        </is>
      </c>
      <c r="B10425" s="1" t="n">
        <v>45258</v>
      </c>
      <c r="C10425" s="1" t="n">
        <v>45363</v>
      </c>
      <c r="D10425" t="inlineStr">
        <is>
          <t>JÄMTLANDS LÄN</t>
        </is>
      </c>
      <c r="E10425" t="inlineStr">
        <is>
          <t>BRÄCKE</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60435-2023</t>
        </is>
      </c>
      <c r="B10426" s="1" t="n">
        <v>45258</v>
      </c>
      <c r="C10426" s="1" t="n">
        <v>45363</v>
      </c>
      <c r="D10426" t="inlineStr">
        <is>
          <t>JÄMTLANDS LÄN</t>
        </is>
      </c>
      <c r="E10426" t="inlineStr">
        <is>
          <t>BRÄCKE</t>
        </is>
      </c>
      <c r="F10426" t="inlineStr">
        <is>
          <t>SCA</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60581-2023</t>
        </is>
      </c>
      <c r="B10427" s="1" t="n">
        <v>45260</v>
      </c>
      <c r="C10427" s="1" t="n">
        <v>45363</v>
      </c>
      <c r="D10427" t="inlineStr">
        <is>
          <t>JÄMTLANDS LÄN</t>
        </is>
      </c>
      <c r="E10427" t="inlineStr">
        <is>
          <t>BRÄCKE</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61019-2023</t>
        </is>
      </c>
      <c r="B10428" s="1" t="n">
        <v>45259</v>
      </c>
      <c r="C10428" s="1" t="n">
        <v>45363</v>
      </c>
      <c r="D10428" t="inlineStr">
        <is>
          <t>JÄMTLANDS LÄN</t>
        </is>
      </c>
      <c r="E10428" t="inlineStr">
        <is>
          <t>BERG</t>
        </is>
      </c>
      <c r="G10428" t="n">
        <v>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60521-2023</t>
        </is>
      </c>
      <c r="B10429" s="1" t="n">
        <v>45259</v>
      </c>
      <c r="C10429" s="1" t="n">
        <v>45363</v>
      </c>
      <c r="D10429" t="inlineStr">
        <is>
          <t>JÄMTLANDS LÄN</t>
        </is>
      </c>
      <c r="E10429" t="inlineStr">
        <is>
          <t>HÄRJEDALEN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61026-2023</t>
        </is>
      </c>
      <c r="B10430" s="1" t="n">
        <v>45259</v>
      </c>
      <c r="C10430" s="1" t="n">
        <v>45363</v>
      </c>
      <c r="D10430" t="inlineStr">
        <is>
          <t>JÄMTLANDS LÄN</t>
        </is>
      </c>
      <c r="E10430" t="inlineStr">
        <is>
          <t>BERG</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60422-2023</t>
        </is>
      </c>
      <c r="B10431" s="1" t="n">
        <v>45259</v>
      </c>
      <c r="C10431" s="1" t="n">
        <v>45363</v>
      </c>
      <c r="D10431" t="inlineStr">
        <is>
          <t>JÄMTLANDS LÄN</t>
        </is>
      </c>
      <c r="E10431" t="inlineStr">
        <is>
          <t>BERG</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60409-2023</t>
        </is>
      </c>
      <c r="B10432" s="1" t="n">
        <v>45259</v>
      </c>
      <c r="C10432" s="1" t="n">
        <v>45363</v>
      </c>
      <c r="D10432" t="inlineStr">
        <is>
          <t>JÄMTLANDS LÄN</t>
        </is>
      </c>
      <c r="E10432" t="inlineStr">
        <is>
          <t>BERG</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60405-2023</t>
        </is>
      </c>
      <c r="B10433" s="1" t="n">
        <v>45259</v>
      </c>
      <c r="C10433" s="1" t="n">
        <v>45363</v>
      </c>
      <c r="D10433" t="inlineStr">
        <is>
          <t>JÄMTLANDS LÄN</t>
        </is>
      </c>
      <c r="E10433" t="inlineStr">
        <is>
          <t>BERG</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60453-2023</t>
        </is>
      </c>
      <c r="B10434" s="1" t="n">
        <v>45259</v>
      </c>
      <c r="C10434" s="1" t="n">
        <v>45363</v>
      </c>
      <c r="D10434" t="inlineStr">
        <is>
          <t>JÄMTLANDS LÄN</t>
        </is>
      </c>
      <c r="E10434" t="inlineStr">
        <is>
          <t>BRÄCKE</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60582-2023</t>
        </is>
      </c>
      <c r="B10435" s="1" t="n">
        <v>45260</v>
      </c>
      <c r="C10435" s="1" t="n">
        <v>45363</v>
      </c>
      <c r="D10435" t="inlineStr">
        <is>
          <t>JÄMTLANDS LÄN</t>
        </is>
      </c>
      <c r="E10435" t="inlineStr">
        <is>
          <t>BRÄCKE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60407-2023</t>
        </is>
      </c>
      <c r="B10436" s="1" t="n">
        <v>45259</v>
      </c>
      <c r="C10436" s="1" t="n">
        <v>45363</v>
      </c>
      <c r="D10436" t="inlineStr">
        <is>
          <t>JÄMTLANDS LÄN</t>
        </is>
      </c>
      <c r="E10436" t="inlineStr">
        <is>
          <t>BERG</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60661-2023</t>
        </is>
      </c>
      <c r="B10437" s="1" t="n">
        <v>45259</v>
      </c>
      <c r="C10437" s="1" t="n">
        <v>45363</v>
      </c>
      <c r="D10437" t="inlineStr">
        <is>
          <t>JÄMTLANDS LÄN</t>
        </is>
      </c>
      <c r="E10437" t="inlineStr">
        <is>
          <t>STRÖMSUND</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60629-2023</t>
        </is>
      </c>
      <c r="B10438" s="1" t="n">
        <v>45259</v>
      </c>
      <c r="C10438" s="1" t="n">
        <v>45363</v>
      </c>
      <c r="D10438" t="inlineStr">
        <is>
          <t>JÄMTLANDS LÄN</t>
        </is>
      </c>
      <c r="E10438" t="inlineStr">
        <is>
          <t>RAGUNDA</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60404-2023</t>
        </is>
      </c>
      <c r="B10439" s="1" t="n">
        <v>45259</v>
      </c>
      <c r="C10439" s="1" t="n">
        <v>45363</v>
      </c>
      <c r="D10439" t="inlineStr">
        <is>
          <t>JÄMTLANDS LÄN</t>
        </is>
      </c>
      <c r="E10439" t="inlineStr">
        <is>
          <t>BERG</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60996-2023</t>
        </is>
      </c>
      <c r="B10440" s="1" t="n">
        <v>45259</v>
      </c>
      <c r="C10440" s="1" t="n">
        <v>45363</v>
      </c>
      <c r="D10440" t="inlineStr">
        <is>
          <t>JÄMTLANDS LÄN</t>
        </is>
      </c>
      <c r="E10440" t="inlineStr">
        <is>
          <t>BRÄCKE</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60956-2023</t>
        </is>
      </c>
      <c r="B10441" s="1" t="n">
        <v>45259</v>
      </c>
      <c r="C10441" s="1" t="n">
        <v>45363</v>
      </c>
      <c r="D10441" t="inlineStr">
        <is>
          <t>JÄMTLANDS LÄN</t>
        </is>
      </c>
      <c r="E10441" t="inlineStr">
        <is>
          <t>BERG</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60364-2023</t>
        </is>
      </c>
      <c r="B10442" s="1" t="n">
        <v>45259</v>
      </c>
      <c r="C10442" s="1" t="n">
        <v>45363</v>
      </c>
      <c r="D10442" t="inlineStr">
        <is>
          <t>JÄMTLANDS LÄN</t>
        </is>
      </c>
      <c r="E10442" t="inlineStr">
        <is>
          <t>KROKOM</t>
        </is>
      </c>
      <c r="G10442" t="n">
        <v>8.6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60643-2023</t>
        </is>
      </c>
      <c r="B10443" s="1" t="n">
        <v>45259</v>
      </c>
      <c r="C10443" s="1" t="n">
        <v>45363</v>
      </c>
      <c r="D10443" t="inlineStr">
        <is>
          <t>JÄMTLANDS LÄN</t>
        </is>
      </c>
      <c r="E10443" t="inlineStr">
        <is>
          <t>RAGUNDA</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61191-2023</t>
        </is>
      </c>
      <c r="B10444" s="1" t="n">
        <v>45260</v>
      </c>
      <c r="C10444" s="1" t="n">
        <v>45363</v>
      </c>
      <c r="D10444" t="inlineStr">
        <is>
          <t>JÄMTLANDS LÄN</t>
        </is>
      </c>
      <c r="E10444" t="inlineStr">
        <is>
          <t>RAGUNDA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60865-2023</t>
        </is>
      </c>
      <c r="B10445" s="1" t="n">
        <v>45260</v>
      </c>
      <c r="C10445" s="1" t="n">
        <v>45363</v>
      </c>
      <c r="D10445" t="inlineStr">
        <is>
          <t>JÄMTLANDS LÄN</t>
        </is>
      </c>
      <c r="E10445" t="inlineStr">
        <is>
          <t>BRÄCKE</t>
        </is>
      </c>
      <c r="F10445" t="inlineStr">
        <is>
          <t>SCA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60849-2023</t>
        </is>
      </c>
      <c r="B10446" s="1" t="n">
        <v>45260</v>
      </c>
      <c r="C10446" s="1" t="n">
        <v>45363</v>
      </c>
      <c r="D10446" t="inlineStr">
        <is>
          <t>JÄMTLANDS LÄN</t>
        </is>
      </c>
      <c r="E10446" t="inlineStr">
        <is>
          <t>STRÖMSUND</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60833-2023</t>
        </is>
      </c>
      <c r="B10447" s="1" t="n">
        <v>45260</v>
      </c>
      <c r="C10447" s="1" t="n">
        <v>45363</v>
      </c>
      <c r="D10447" t="inlineStr">
        <is>
          <t>JÄMTLANDS LÄN</t>
        </is>
      </c>
      <c r="E10447" t="inlineStr">
        <is>
          <t>BRÄCKE</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60808-2023</t>
        </is>
      </c>
      <c r="B10448" s="1" t="n">
        <v>45260</v>
      </c>
      <c r="C10448" s="1" t="n">
        <v>45363</v>
      </c>
      <c r="D10448" t="inlineStr">
        <is>
          <t>JÄMTLANDS LÄN</t>
        </is>
      </c>
      <c r="E10448" t="inlineStr">
        <is>
          <t>ÅRE</t>
        </is>
      </c>
      <c r="G10448" t="n">
        <v>10.4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60680-2023</t>
        </is>
      </c>
      <c r="B10449" s="1" t="n">
        <v>45260</v>
      </c>
      <c r="C10449" s="1" t="n">
        <v>45363</v>
      </c>
      <c r="D10449" t="inlineStr">
        <is>
          <t>JÄMTLANDS LÄN</t>
        </is>
      </c>
      <c r="E10449" t="inlineStr">
        <is>
          <t>KROKOM</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60838-2023</t>
        </is>
      </c>
      <c r="B10450" s="1" t="n">
        <v>45260</v>
      </c>
      <c r="C10450" s="1" t="n">
        <v>45363</v>
      </c>
      <c r="D10450" t="inlineStr">
        <is>
          <t>JÄMTLANDS LÄN</t>
        </is>
      </c>
      <c r="E10450" t="inlineStr">
        <is>
          <t>RAGUNDA</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60850-2023</t>
        </is>
      </c>
      <c r="B10451" s="1" t="n">
        <v>45260</v>
      </c>
      <c r="C10451" s="1" t="n">
        <v>45363</v>
      </c>
      <c r="D10451" t="inlineStr">
        <is>
          <t>JÄMTLANDS LÄN</t>
        </is>
      </c>
      <c r="E10451" t="inlineStr">
        <is>
          <t>STRÖMSUND</t>
        </is>
      </c>
      <c r="G10451" t="n">
        <v>11.8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61197-2023</t>
        </is>
      </c>
      <c r="B10452" s="1" t="n">
        <v>45260</v>
      </c>
      <c r="C10452" s="1" t="n">
        <v>45363</v>
      </c>
      <c r="D10452" t="inlineStr">
        <is>
          <t>JÄMTLANDS LÄN</t>
        </is>
      </c>
      <c r="E10452" t="inlineStr">
        <is>
          <t>RAGUNDA</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61015-2023</t>
        </is>
      </c>
      <c r="B10453" s="1" t="n">
        <v>45260</v>
      </c>
      <c r="C10453" s="1" t="n">
        <v>45363</v>
      </c>
      <c r="D10453" t="inlineStr">
        <is>
          <t>JÄMTLANDS LÄN</t>
        </is>
      </c>
      <c r="E10453" t="inlineStr">
        <is>
          <t>BERG</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60870-2023</t>
        </is>
      </c>
      <c r="B10454" s="1" t="n">
        <v>45261</v>
      </c>
      <c r="C10454" s="1" t="n">
        <v>45363</v>
      </c>
      <c r="D10454" t="inlineStr">
        <is>
          <t>JÄMTLANDS LÄN</t>
        </is>
      </c>
      <c r="E10454" t="inlineStr">
        <is>
          <t>BRÄCKE</t>
        </is>
      </c>
      <c r="G10454" t="n">
        <v>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60866-2023</t>
        </is>
      </c>
      <c r="B10455" s="1" t="n">
        <v>45261</v>
      </c>
      <c r="C10455" s="1" t="n">
        <v>45363</v>
      </c>
      <c r="D10455" t="inlineStr">
        <is>
          <t>JÄMTLANDS LÄN</t>
        </is>
      </c>
      <c r="E10455" t="inlineStr">
        <is>
          <t>BRÄCKE</t>
        </is>
      </c>
      <c r="F10455" t="inlineStr">
        <is>
          <t>SCA</t>
        </is>
      </c>
      <c r="G10455" t="n">
        <v>4.9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60611-2023</t>
        </is>
      </c>
      <c r="B10456" s="1" t="n">
        <v>45260</v>
      </c>
      <c r="C10456" s="1" t="n">
        <v>45363</v>
      </c>
      <c r="D10456" t="inlineStr">
        <is>
          <t>JÄMTLANDS LÄN</t>
        </is>
      </c>
      <c r="E10456" t="inlineStr">
        <is>
          <t>HÄRJEDALEN</t>
        </is>
      </c>
      <c r="G10456" t="n">
        <v>7.2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60749-2023</t>
        </is>
      </c>
      <c r="B10457" s="1" t="n">
        <v>45260</v>
      </c>
      <c r="C10457" s="1" t="n">
        <v>45363</v>
      </c>
      <c r="D10457" t="inlineStr">
        <is>
          <t>JÄMTLANDS LÄN</t>
        </is>
      </c>
      <c r="E10457" t="inlineStr">
        <is>
          <t>HÄRJEDALEN</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60780-2023</t>
        </is>
      </c>
      <c r="B10458" s="1" t="n">
        <v>45260</v>
      </c>
      <c r="C10458" s="1" t="n">
        <v>45363</v>
      </c>
      <c r="D10458" t="inlineStr">
        <is>
          <t>JÄMTLANDS LÄN</t>
        </is>
      </c>
      <c r="E10458" t="inlineStr">
        <is>
          <t>ÖSTERSUND</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60836-2023</t>
        </is>
      </c>
      <c r="B10459" s="1" t="n">
        <v>45260</v>
      </c>
      <c r="C10459" s="1" t="n">
        <v>45363</v>
      </c>
      <c r="D10459" t="inlineStr">
        <is>
          <t>JÄMTLANDS LÄN</t>
        </is>
      </c>
      <c r="E10459" t="inlineStr">
        <is>
          <t>RAGUNDA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60848-2023</t>
        </is>
      </c>
      <c r="B10460" s="1" t="n">
        <v>45260</v>
      </c>
      <c r="C10460" s="1" t="n">
        <v>45363</v>
      </c>
      <c r="D10460" t="inlineStr">
        <is>
          <t>JÄMTLANDS LÄN</t>
        </is>
      </c>
      <c r="E10460" t="inlineStr">
        <is>
          <t>STRÖMSUND</t>
        </is>
      </c>
      <c r="G10460" t="n">
        <v>7.6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60860-2023</t>
        </is>
      </c>
      <c r="B10461" s="1" t="n">
        <v>45260</v>
      </c>
      <c r="C10461" s="1" t="n">
        <v>45363</v>
      </c>
      <c r="D10461" t="inlineStr">
        <is>
          <t>JÄMTLANDS LÄN</t>
        </is>
      </c>
      <c r="E10461" t="inlineStr">
        <is>
          <t>RAGUNDA</t>
        </is>
      </c>
      <c r="F10461" t="inlineStr">
        <is>
          <t>SCA</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60794-2023</t>
        </is>
      </c>
      <c r="B10462" s="1" t="n">
        <v>45260</v>
      </c>
      <c r="C10462" s="1" t="n">
        <v>45363</v>
      </c>
      <c r="D10462" t="inlineStr">
        <is>
          <t>JÄMTLANDS LÄN</t>
        </is>
      </c>
      <c r="E10462" t="inlineStr">
        <is>
          <t>ÖSTERSUND</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60847-2023</t>
        </is>
      </c>
      <c r="B10463" s="1" t="n">
        <v>45260</v>
      </c>
      <c r="C10463" s="1" t="n">
        <v>45363</v>
      </c>
      <c r="D10463" t="inlineStr">
        <is>
          <t>JÄMTLANDS LÄN</t>
        </is>
      </c>
      <c r="E10463" t="inlineStr">
        <is>
          <t>BERG</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60962-2023</t>
        </is>
      </c>
      <c r="B10464" s="1" t="n">
        <v>45261</v>
      </c>
      <c r="C10464" s="1" t="n">
        <v>45363</v>
      </c>
      <c r="D10464" t="inlineStr">
        <is>
          <t>JÄMTLANDS LÄN</t>
        </is>
      </c>
      <c r="E10464" t="inlineStr">
        <is>
          <t>ÅRE</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60954-2023</t>
        </is>
      </c>
      <c r="B10465" s="1" t="n">
        <v>45261</v>
      </c>
      <c r="C10465" s="1" t="n">
        <v>45363</v>
      </c>
      <c r="D10465" t="inlineStr">
        <is>
          <t>JÄMTLANDS LÄN</t>
        </is>
      </c>
      <c r="E10465" t="inlineStr">
        <is>
          <t>BRÄCKE</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61149-2023</t>
        </is>
      </c>
      <c r="B10466" s="1" t="n">
        <v>45262</v>
      </c>
      <c r="C10466" s="1" t="n">
        <v>45363</v>
      </c>
      <c r="D10466" t="inlineStr">
        <is>
          <t>JÄMTLANDS LÄN</t>
        </is>
      </c>
      <c r="E10466" t="inlineStr">
        <is>
          <t>BRÄCKE</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61136-2023</t>
        </is>
      </c>
      <c r="B10467" s="1" t="n">
        <v>45261</v>
      </c>
      <c r="C10467" s="1" t="n">
        <v>45363</v>
      </c>
      <c r="D10467" t="inlineStr">
        <is>
          <t>JÄMTLANDS LÄN</t>
        </is>
      </c>
      <c r="E10467" t="inlineStr">
        <is>
          <t>STRÖMSUND</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61131-2023</t>
        </is>
      </c>
      <c r="B10468" s="1" t="n">
        <v>45261</v>
      </c>
      <c r="C10468" s="1" t="n">
        <v>45363</v>
      </c>
      <c r="D10468" t="inlineStr">
        <is>
          <t>JÄMTLANDS LÄN</t>
        </is>
      </c>
      <c r="E10468" t="inlineStr">
        <is>
          <t>STRÖMSUND</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60894-2023</t>
        </is>
      </c>
      <c r="B10469" s="1" t="n">
        <v>45261</v>
      </c>
      <c r="C10469" s="1" t="n">
        <v>45363</v>
      </c>
      <c r="D10469" t="inlineStr">
        <is>
          <t>JÄMTLANDS LÄN</t>
        </is>
      </c>
      <c r="E10469" t="inlineStr">
        <is>
          <t>STRÖMSUND</t>
        </is>
      </c>
      <c r="F10469" t="inlineStr">
        <is>
          <t>Holmen skog AB</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60973-2023</t>
        </is>
      </c>
      <c r="B10470" s="1" t="n">
        <v>45261</v>
      </c>
      <c r="C10470" s="1" t="n">
        <v>45363</v>
      </c>
      <c r="D10470" t="inlineStr">
        <is>
          <t>JÄMTLANDS LÄN</t>
        </is>
      </c>
      <c r="E10470" t="inlineStr">
        <is>
          <t>ÅRE</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61530-2023</t>
        </is>
      </c>
      <c r="B10471" s="1" t="n">
        <v>45261</v>
      </c>
      <c r="C10471" s="1" t="n">
        <v>45363</v>
      </c>
      <c r="D10471" t="inlineStr">
        <is>
          <t>JÄMTLANDS LÄN</t>
        </is>
      </c>
      <c r="E10471" t="inlineStr">
        <is>
          <t>ÖSTERSUND</t>
        </is>
      </c>
      <c r="F10471" t="inlineStr">
        <is>
          <t>Övriga statliga verk och myndigheter</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61622-2023</t>
        </is>
      </c>
      <c r="B10472" s="1" t="n">
        <v>45261</v>
      </c>
      <c r="C10472" s="1" t="n">
        <v>45363</v>
      </c>
      <c r="D10472" t="inlineStr">
        <is>
          <t>JÄMTLANDS LÄN</t>
        </is>
      </c>
      <c r="E10472" t="inlineStr">
        <is>
          <t>ÅRE</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61635-2023</t>
        </is>
      </c>
      <c r="B10473" s="1" t="n">
        <v>45261</v>
      </c>
      <c r="C10473" s="1" t="n">
        <v>45363</v>
      </c>
      <c r="D10473" t="inlineStr">
        <is>
          <t>JÄMTLANDS LÄN</t>
        </is>
      </c>
      <c r="E10473" t="inlineStr">
        <is>
          <t>ÖSTERSUND</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61440-2023</t>
        </is>
      </c>
      <c r="B10474" s="1" t="n">
        <v>45261</v>
      </c>
      <c r="C10474" s="1" t="n">
        <v>45363</v>
      </c>
      <c r="D10474" t="inlineStr">
        <is>
          <t>JÄMTLANDS LÄN</t>
        </is>
      </c>
      <c r="E10474" t="inlineStr">
        <is>
          <t>BRÄCKE</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61535-2023</t>
        </is>
      </c>
      <c r="B10475" s="1" t="n">
        <v>45261</v>
      </c>
      <c r="C10475" s="1" t="n">
        <v>45363</v>
      </c>
      <c r="D10475" t="inlineStr">
        <is>
          <t>JÄMTLANDS LÄN</t>
        </is>
      </c>
      <c r="E10475" t="inlineStr">
        <is>
          <t>ÖSTERSUND</t>
        </is>
      </c>
      <c r="F10475" t="inlineStr">
        <is>
          <t>Övriga statliga verk och myndigheter</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61135-2023</t>
        </is>
      </c>
      <c r="B10476" s="1" t="n">
        <v>45261</v>
      </c>
      <c r="C10476" s="1" t="n">
        <v>45363</v>
      </c>
      <c r="D10476" t="inlineStr">
        <is>
          <t>JÄMTLANDS LÄN</t>
        </is>
      </c>
      <c r="E10476" t="inlineStr">
        <is>
          <t>ÖSTERSUND</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61078-2023</t>
        </is>
      </c>
      <c r="B10477" s="1" t="n">
        <v>45261</v>
      </c>
      <c r="C10477" s="1" t="n">
        <v>45363</v>
      </c>
      <c r="D10477" t="inlineStr">
        <is>
          <t>JÄMTLANDS LÄN</t>
        </is>
      </c>
      <c r="E10477" t="inlineStr">
        <is>
          <t>KROKOM</t>
        </is>
      </c>
      <c r="G10477" t="n">
        <v>5.7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61183-2023</t>
        </is>
      </c>
      <c r="B10478" s="1" t="n">
        <v>45263</v>
      </c>
      <c r="C10478" s="1" t="n">
        <v>45363</v>
      </c>
      <c r="D10478" t="inlineStr">
        <is>
          <t>JÄMTLANDS LÄN</t>
        </is>
      </c>
      <c r="E10478" t="inlineStr">
        <is>
          <t>ÅRE</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61329-2023</t>
        </is>
      </c>
      <c r="B10479" s="1" t="n">
        <v>45264</v>
      </c>
      <c r="C10479" s="1" t="n">
        <v>45363</v>
      </c>
      <c r="D10479" t="inlineStr">
        <is>
          <t>JÄMTLANDS LÄN</t>
        </is>
      </c>
      <c r="E10479" t="inlineStr">
        <is>
          <t>KROKOM</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61337-2023</t>
        </is>
      </c>
      <c r="B10480" s="1" t="n">
        <v>45264</v>
      </c>
      <c r="C10480" s="1" t="n">
        <v>45363</v>
      </c>
      <c r="D10480" t="inlineStr">
        <is>
          <t>JÄMTLANDS LÄN</t>
        </is>
      </c>
      <c r="E10480" t="inlineStr">
        <is>
          <t>KROKOM</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61465-2023</t>
        </is>
      </c>
      <c r="B10481" s="1" t="n">
        <v>45264</v>
      </c>
      <c r="C10481" s="1" t="n">
        <v>45363</v>
      </c>
      <c r="D10481" t="inlineStr">
        <is>
          <t>JÄMTLANDS LÄN</t>
        </is>
      </c>
      <c r="E10481" t="inlineStr">
        <is>
          <t>HÄRJEDALEN</t>
        </is>
      </c>
      <c r="G10481" t="n">
        <v>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61477-2023</t>
        </is>
      </c>
      <c r="B10482" s="1" t="n">
        <v>45264</v>
      </c>
      <c r="C10482" s="1" t="n">
        <v>45363</v>
      </c>
      <c r="D10482" t="inlineStr">
        <is>
          <t>JÄMTLANDS LÄN</t>
        </is>
      </c>
      <c r="E10482" t="inlineStr">
        <is>
          <t>ÅRE</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61493-2023</t>
        </is>
      </c>
      <c r="B10483" s="1" t="n">
        <v>45264</v>
      </c>
      <c r="C10483" s="1" t="n">
        <v>45363</v>
      </c>
      <c r="D10483" t="inlineStr">
        <is>
          <t>JÄMTLANDS LÄN</t>
        </is>
      </c>
      <c r="E10483" t="inlineStr">
        <is>
          <t>BERG</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61480-2023</t>
        </is>
      </c>
      <c r="B10484" s="1" t="n">
        <v>45264</v>
      </c>
      <c r="C10484" s="1" t="n">
        <v>45363</v>
      </c>
      <c r="D10484" t="inlineStr">
        <is>
          <t>JÄMTLANDS LÄN</t>
        </is>
      </c>
      <c r="E10484" t="inlineStr">
        <is>
          <t>ÅRE</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61500-2023</t>
        </is>
      </c>
      <c r="B10485" s="1" t="n">
        <v>45264</v>
      </c>
      <c r="C10485" s="1" t="n">
        <v>45363</v>
      </c>
      <c r="D10485" t="inlineStr">
        <is>
          <t>JÄMTLANDS LÄN</t>
        </is>
      </c>
      <c r="E10485" t="inlineStr">
        <is>
          <t>STRÖMSUND</t>
        </is>
      </c>
      <c r="F10485" t="inlineStr">
        <is>
          <t>SCA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61504-2023</t>
        </is>
      </c>
      <c r="B10486" s="1" t="n">
        <v>45264</v>
      </c>
      <c r="C10486" s="1" t="n">
        <v>45363</v>
      </c>
      <c r="D10486" t="inlineStr">
        <is>
          <t>JÄMTLANDS LÄN</t>
        </is>
      </c>
      <c r="E10486" t="inlineStr">
        <is>
          <t>BRÄCKE</t>
        </is>
      </c>
      <c r="F10486" t="inlineStr">
        <is>
          <t>SCA</t>
        </is>
      </c>
      <c r="G10486" t="n">
        <v>9.300000000000001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61482-2023</t>
        </is>
      </c>
      <c r="B10487" s="1" t="n">
        <v>45264</v>
      </c>
      <c r="C10487" s="1" t="n">
        <v>45363</v>
      </c>
      <c r="D10487" t="inlineStr">
        <is>
          <t>JÄMTLANDS LÄN</t>
        </is>
      </c>
      <c r="E10487" t="inlineStr">
        <is>
          <t>ÅRE</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61494-2023</t>
        </is>
      </c>
      <c r="B10488" s="1" t="n">
        <v>45264</v>
      </c>
      <c r="C10488" s="1" t="n">
        <v>45363</v>
      </c>
      <c r="D10488" t="inlineStr">
        <is>
          <t>JÄMTLANDS LÄN</t>
        </is>
      </c>
      <c r="E10488" t="inlineStr">
        <is>
          <t>STRÖMSUND</t>
        </is>
      </c>
      <c r="F10488" t="inlineStr">
        <is>
          <t>SCA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61506-2023</t>
        </is>
      </c>
      <c r="B10489" s="1" t="n">
        <v>45264</v>
      </c>
      <c r="C10489" s="1" t="n">
        <v>45363</v>
      </c>
      <c r="D10489" t="inlineStr">
        <is>
          <t>JÄMTLANDS LÄN</t>
        </is>
      </c>
      <c r="E10489" t="inlineStr">
        <is>
          <t>ÖSTERSUND</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61837-2023</t>
        </is>
      </c>
      <c r="B10490" s="1" t="n">
        <v>45264</v>
      </c>
      <c r="C10490" s="1" t="n">
        <v>45363</v>
      </c>
      <c r="D10490" t="inlineStr">
        <is>
          <t>JÄMTLANDS LÄN</t>
        </is>
      </c>
      <c r="E10490" t="inlineStr">
        <is>
          <t>BERG</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61828-2023</t>
        </is>
      </c>
      <c r="B10491" s="1" t="n">
        <v>45264</v>
      </c>
      <c r="C10491" s="1" t="n">
        <v>45363</v>
      </c>
      <c r="D10491" t="inlineStr">
        <is>
          <t>JÄMTLANDS LÄN</t>
        </is>
      </c>
      <c r="E10491" t="inlineStr">
        <is>
          <t>ÅRE</t>
        </is>
      </c>
      <c r="F10491" t="inlineStr">
        <is>
          <t>Övriga Aktiebolag</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61839-2023</t>
        </is>
      </c>
      <c r="B10492" s="1" t="n">
        <v>45264</v>
      </c>
      <c r="C10492" s="1" t="n">
        <v>45363</v>
      </c>
      <c r="D10492" t="inlineStr">
        <is>
          <t>JÄMTLANDS LÄN</t>
        </is>
      </c>
      <c r="E10492" t="inlineStr">
        <is>
          <t>BERG</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61834-2023</t>
        </is>
      </c>
      <c r="B10493" s="1" t="n">
        <v>45264</v>
      </c>
      <c r="C10493" s="1" t="n">
        <v>45363</v>
      </c>
      <c r="D10493" t="inlineStr">
        <is>
          <t>JÄMTLANDS LÄN</t>
        </is>
      </c>
      <c r="E10493" t="inlineStr">
        <is>
          <t>BERG</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61479-2023</t>
        </is>
      </c>
      <c r="B10494" s="1" t="n">
        <v>45264</v>
      </c>
      <c r="C10494" s="1" t="n">
        <v>45363</v>
      </c>
      <c r="D10494" t="inlineStr">
        <is>
          <t>JÄMTLANDS LÄN</t>
        </is>
      </c>
      <c r="E10494" t="inlineStr">
        <is>
          <t>ÅRE</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61499-2023</t>
        </is>
      </c>
      <c r="B10495" s="1" t="n">
        <v>45264</v>
      </c>
      <c r="C10495" s="1" t="n">
        <v>45363</v>
      </c>
      <c r="D10495" t="inlineStr">
        <is>
          <t>JÄMTLANDS LÄN</t>
        </is>
      </c>
      <c r="E10495" t="inlineStr">
        <is>
          <t>ÖSTERSUND</t>
        </is>
      </c>
      <c r="F10495" t="inlineStr">
        <is>
          <t>SCA</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61503-2023</t>
        </is>
      </c>
      <c r="B10496" s="1" t="n">
        <v>45264</v>
      </c>
      <c r="C10496" s="1" t="n">
        <v>45363</v>
      </c>
      <c r="D10496" t="inlineStr">
        <is>
          <t>JÄMTLANDS LÄN</t>
        </is>
      </c>
      <c r="E10496" t="inlineStr">
        <is>
          <t>BRÄCKE</t>
        </is>
      </c>
      <c r="F10496" t="inlineStr">
        <is>
          <t>SCA</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61833-2023</t>
        </is>
      </c>
      <c r="B10497" s="1" t="n">
        <v>45264</v>
      </c>
      <c r="C10497" s="1" t="n">
        <v>45363</v>
      </c>
      <c r="D10497" t="inlineStr">
        <is>
          <t>JÄMTLANDS LÄN</t>
        </is>
      </c>
      <c r="E10497" t="inlineStr">
        <is>
          <t>STRÖMSUND</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61870-2023</t>
        </is>
      </c>
      <c r="B10498" s="1" t="n">
        <v>45264</v>
      </c>
      <c r="C10498" s="1" t="n">
        <v>45363</v>
      </c>
      <c r="D10498" t="inlineStr">
        <is>
          <t>JÄMTLANDS LÄN</t>
        </is>
      </c>
      <c r="E10498" t="inlineStr">
        <is>
          <t>BERG</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61886-2023</t>
        </is>
      </c>
      <c r="B10499" s="1" t="n">
        <v>45264</v>
      </c>
      <c r="C10499" s="1" t="n">
        <v>45363</v>
      </c>
      <c r="D10499" t="inlineStr">
        <is>
          <t>JÄMTLANDS LÄN</t>
        </is>
      </c>
      <c r="E10499" t="inlineStr">
        <is>
          <t>KROKOM</t>
        </is>
      </c>
      <c r="G10499" t="n">
        <v>15.2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61887-2023</t>
        </is>
      </c>
      <c r="B10500" s="1" t="n">
        <v>45264</v>
      </c>
      <c r="C10500" s="1" t="n">
        <v>45363</v>
      </c>
      <c r="D10500" t="inlineStr">
        <is>
          <t>JÄMTLANDS LÄN</t>
        </is>
      </c>
      <c r="E10500" t="inlineStr">
        <is>
          <t>BERG</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61615-2023</t>
        </is>
      </c>
      <c r="B10501" s="1" t="n">
        <v>45265</v>
      </c>
      <c r="C10501" s="1" t="n">
        <v>45363</v>
      </c>
      <c r="D10501" t="inlineStr">
        <is>
          <t>JÄMTLANDS LÄN</t>
        </is>
      </c>
      <c r="E10501" t="inlineStr">
        <is>
          <t>KROKOM</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61788-2023</t>
        </is>
      </c>
      <c r="B10502" s="1" t="n">
        <v>45265</v>
      </c>
      <c r="C10502" s="1" t="n">
        <v>45363</v>
      </c>
      <c r="D10502" t="inlineStr">
        <is>
          <t>JÄMTLANDS LÄN</t>
        </is>
      </c>
      <c r="E10502" t="inlineStr">
        <is>
          <t>BERG</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61796-2023</t>
        </is>
      </c>
      <c r="B10503" s="1" t="n">
        <v>45266</v>
      </c>
      <c r="C10503" s="1" t="n">
        <v>45363</v>
      </c>
      <c r="D10503" t="inlineStr">
        <is>
          <t>JÄMTLANDS LÄN</t>
        </is>
      </c>
      <c r="E10503" t="inlineStr">
        <is>
          <t>BRÄCKE</t>
        </is>
      </c>
      <c r="F10503" t="inlineStr">
        <is>
          <t>SCA</t>
        </is>
      </c>
      <c r="G10503" t="n">
        <v>9.199999999999999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62042-2023</t>
        </is>
      </c>
      <c r="B10504" s="1" t="n">
        <v>45265</v>
      </c>
      <c r="C10504" s="1" t="n">
        <v>45363</v>
      </c>
      <c r="D10504" t="inlineStr">
        <is>
          <t>JÄMTLANDS LÄN</t>
        </is>
      </c>
      <c r="E10504" t="inlineStr">
        <is>
          <t>KROKOM</t>
        </is>
      </c>
      <c r="F10504" t="inlineStr">
        <is>
          <t>Övriga statliga verk och myndigheter</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61977-2023</t>
        </is>
      </c>
      <c r="B10505" s="1" t="n">
        <v>45265</v>
      </c>
      <c r="C10505" s="1" t="n">
        <v>45363</v>
      </c>
      <c r="D10505" t="inlineStr">
        <is>
          <t>JÄMTLANDS LÄN</t>
        </is>
      </c>
      <c r="E10505" t="inlineStr">
        <is>
          <t>BERG</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62052-2023</t>
        </is>
      </c>
      <c r="B10506" s="1" t="n">
        <v>45265</v>
      </c>
      <c r="C10506" s="1" t="n">
        <v>45363</v>
      </c>
      <c r="D10506" t="inlineStr">
        <is>
          <t>JÄMTLANDS LÄN</t>
        </is>
      </c>
      <c r="E10506" t="inlineStr">
        <is>
          <t>ÖSTERSUND</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61751-2023</t>
        </is>
      </c>
      <c r="B10507" s="1" t="n">
        <v>45265</v>
      </c>
      <c r="C10507" s="1" t="n">
        <v>45363</v>
      </c>
      <c r="D10507" t="inlineStr">
        <is>
          <t>JÄMTLANDS LÄN</t>
        </is>
      </c>
      <c r="E10507" t="inlineStr">
        <is>
          <t>HÄRJEDALEN</t>
        </is>
      </c>
      <c r="G10507" t="n">
        <v>9.199999999999999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61787-2023</t>
        </is>
      </c>
      <c r="B10508" s="1" t="n">
        <v>45265</v>
      </c>
      <c r="C10508" s="1" t="n">
        <v>45363</v>
      </c>
      <c r="D10508" t="inlineStr">
        <is>
          <t>JÄMTLANDS LÄN</t>
        </is>
      </c>
      <c r="E10508" t="inlineStr">
        <is>
          <t>BRÄCKE</t>
        </is>
      </c>
      <c r="F10508" t="inlineStr">
        <is>
          <t>SCA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61791-2023</t>
        </is>
      </c>
      <c r="B10509" s="1" t="n">
        <v>45265</v>
      </c>
      <c r="C10509" s="1" t="n">
        <v>45363</v>
      </c>
      <c r="D10509" t="inlineStr">
        <is>
          <t>JÄMTLANDS LÄN</t>
        </is>
      </c>
      <c r="E10509" t="inlineStr">
        <is>
          <t>ÖSTERSUND</t>
        </is>
      </c>
      <c r="F10509" t="inlineStr">
        <is>
          <t>SCA</t>
        </is>
      </c>
      <c r="G10509" t="n">
        <v>11.4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61789-2023</t>
        </is>
      </c>
      <c r="B10510" s="1" t="n">
        <v>45265</v>
      </c>
      <c r="C10510" s="1" t="n">
        <v>45363</v>
      </c>
      <c r="D10510" t="inlineStr">
        <is>
          <t>JÄMTLANDS LÄN</t>
        </is>
      </c>
      <c r="E10510" t="inlineStr">
        <is>
          <t>BERG</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62058-2023</t>
        </is>
      </c>
      <c r="B10511" s="1" t="n">
        <v>45265</v>
      </c>
      <c r="C10511" s="1" t="n">
        <v>45363</v>
      </c>
      <c r="D10511" t="inlineStr">
        <is>
          <t>JÄMTLANDS LÄN</t>
        </is>
      </c>
      <c r="E10511" t="inlineStr">
        <is>
          <t>KROKOM</t>
        </is>
      </c>
      <c r="G10511" t="n">
        <v>15.5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61966-2023</t>
        </is>
      </c>
      <c r="B10512" s="1" t="n">
        <v>45266</v>
      </c>
      <c r="C10512" s="1" t="n">
        <v>45363</v>
      </c>
      <c r="D10512" t="inlineStr">
        <is>
          <t>JÄMTLANDS LÄN</t>
        </is>
      </c>
      <c r="E10512" t="inlineStr">
        <is>
          <t>BERG</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62074-2023</t>
        </is>
      </c>
      <c r="B10513" s="1" t="n">
        <v>45266</v>
      </c>
      <c r="C10513" s="1" t="n">
        <v>45363</v>
      </c>
      <c r="D10513" t="inlineStr">
        <is>
          <t>JÄMTLANDS LÄN</t>
        </is>
      </c>
      <c r="E10513" t="inlineStr">
        <is>
          <t>BRÄCKE</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61978-2023</t>
        </is>
      </c>
      <c r="B10514" s="1" t="n">
        <v>45266</v>
      </c>
      <c r="C10514" s="1" t="n">
        <v>45363</v>
      </c>
      <c r="D10514" t="inlineStr">
        <is>
          <t>JÄMTLANDS LÄN</t>
        </is>
      </c>
      <c r="E10514" t="inlineStr">
        <is>
          <t>ÅRE</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62107-2023</t>
        </is>
      </c>
      <c r="B10515" s="1" t="n">
        <v>45266</v>
      </c>
      <c r="C10515" s="1" t="n">
        <v>45363</v>
      </c>
      <c r="D10515" t="inlineStr">
        <is>
          <t>JÄMTLANDS LÄN</t>
        </is>
      </c>
      <c r="E10515" t="inlineStr">
        <is>
          <t>RAGUNDA</t>
        </is>
      </c>
      <c r="F10515" t="inlineStr">
        <is>
          <t>SCA</t>
        </is>
      </c>
      <c r="G10515" t="n">
        <v>38.4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62405-2023</t>
        </is>
      </c>
      <c r="B10516" s="1" t="n">
        <v>45266</v>
      </c>
      <c r="C10516" s="1" t="n">
        <v>45363</v>
      </c>
      <c r="D10516" t="inlineStr">
        <is>
          <t>JÄMTLANDS LÄN</t>
        </is>
      </c>
      <c r="E10516" t="inlineStr">
        <is>
          <t>RAGUNDA</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62410-2023</t>
        </is>
      </c>
      <c r="B10517" s="1" t="n">
        <v>45266</v>
      </c>
      <c r="C10517" s="1" t="n">
        <v>45363</v>
      </c>
      <c r="D10517" t="inlineStr">
        <is>
          <t>JÄMTLANDS LÄN</t>
        </is>
      </c>
      <c r="E10517" t="inlineStr">
        <is>
          <t>BRÄCKE</t>
        </is>
      </c>
      <c r="G10517" t="n">
        <v>14.4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62104-2023</t>
        </is>
      </c>
      <c r="B10518" s="1" t="n">
        <v>45266</v>
      </c>
      <c r="C10518" s="1" t="n">
        <v>45363</v>
      </c>
      <c r="D10518" t="inlineStr">
        <is>
          <t>JÄMTLANDS LÄN</t>
        </is>
      </c>
      <c r="E10518" t="inlineStr">
        <is>
          <t>BERG</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62413-2023</t>
        </is>
      </c>
      <c r="B10519" s="1" t="n">
        <v>45266</v>
      </c>
      <c r="C10519" s="1" t="n">
        <v>45363</v>
      </c>
      <c r="D10519" t="inlineStr">
        <is>
          <t>JÄMTLANDS LÄN</t>
        </is>
      </c>
      <c r="E10519" t="inlineStr">
        <is>
          <t>KROKOM</t>
        </is>
      </c>
      <c r="G10519" t="n">
        <v>12.8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61974-2023</t>
        </is>
      </c>
      <c r="B10520" s="1" t="n">
        <v>45266</v>
      </c>
      <c r="C10520" s="1" t="n">
        <v>45363</v>
      </c>
      <c r="D10520" t="inlineStr">
        <is>
          <t>JÄMTLANDS LÄN</t>
        </is>
      </c>
      <c r="E10520" t="inlineStr">
        <is>
          <t>BERG</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62105-2023</t>
        </is>
      </c>
      <c r="B10521" s="1" t="n">
        <v>45266</v>
      </c>
      <c r="C10521" s="1" t="n">
        <v>45363</v>
      </c>
      <c r="D10521" t="inlineStr">
        <is>
          <t>JÄMTLANDS LÄN</t>
        </is>
      </c>
      <c r="E10521" t="inlineStr">
        <is>
          <t>BERG</t>
        </is>
      </c>
      <c r="F10521" t="inlineStr">
        <is>
          <t>SCA</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62117-2023</t>
        </is>
      </c>
      <c r="B10522" s="1" t="n">
        <v>45266</v>
      </c>
      <c r="C10522" s="1" t="n">
        <v>45363</v>
      </c>
      <c r="D10522" t="inlineStr">
        <is>
          <t>JÄMTLANDS LÄN</t>
        </is>
      </c>
      <c r="E10522" t="inlineStr">
        <is>
          <t>KROKOM</t>
        </is>
      </c>
      <c r="G10522" t="n">
        <v>4.5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62106-2023</t>
        </is>
      </c>
      <c r="B10523" s="1" t="n">
        <v>45266</v>
      </c>
      <c r="C10523" s="1" t="n">
        <v>45363</v>
      </c>
      <c r="D10523" t="inlineStr">
        <is>
          <t>JÄMTLANDS LÄN</t>
        </is>
      </c>
      <c r="E10523" t="inlineStr">
        <is>
          <t>RAGUNDA</t>
        </is>
      </c>
      <c r="F10523" t="inlineStr">
        <is>
          <t>SCA</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62114-2023</t>
        </is>
      </c>
      <c r="B10524" s="1" t="n">
        <v>45266</v>
      </c>
      <c r="C10524" s="1" t="n">
        <v>45363</v>
      </c>
      <c r="D10524" t="inlineStr">
        <is>
          <t>JÄMTLANDS LÄN</t>
        </is>
      </c>
      <c r="E10524" t="inlineStr">
        <is>
          <t>BRÄCKE</t>
        </is>
      </c>
      <c r="G10524" t="n">
        <v>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62397-2023</t>
        </is>
      </c>
      <c r="B10525" s="1" t="n">
        <v>45266</v>
      </c>
      <c r="C10525" s="1" t="n">
        <v>45363</v>
      </c>
      <c r="D10525" t="inlineStr">
        <is>
          <t>JÄMTLANDS LÄN</t>
        </is>
      </c>
      <c r="E10525" t="inlineStr">
        <is>
          <t>RAGUNDA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62299-2023</t>
        </is>
      </c>
      <c r="B10526" s="1" t="n">
        <v>45266</v>
      </c>
      <c r="C10526" s="1" t="n">
        <v>45363</v>
      </c>
      <c r="D10526" t="inlineStr">
        <is>
          <t>JÄMTLANDS LÄN</t>
        </is>
      </c>
      <c r="E10526" t="inlineStr">
        <is>
          <t>BERG</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62407-2023</t>
        </is>
      </c>
      <c r="B10527" s="1" t="n">
        <v>45266</v>
      </c>
      <c r="C10527" s="1" t="n">
        <v>45363</v>
      </c>
      <c r="D10527" t="inlineStr">
        <is>
          <t>JÄMTLANDS LÄN</t>
        </is>
      </c>
      <c r="E10527" t="inlineStr">
        <is>
          <t>RAGUNDA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62470-2023</t>
        </is>
      </c>
      <c r="B10528" s="1" t="n">
        <v>45267</v>
      </c>
      <c r="C10528" s="1" t="n">
        <v>45363</v>
      </c>
      <c r="D10528" t="inlineStr">
        <is>
          <t>JÄMTLANDS LÄN</t>
        </is>
      </c>
      <c r="E10528" t="inlineStr">
        <is>
          <t>STRÖMSUND</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62352-2023</t>
        </is>
      </c>
      <c r="B10529" s="1" t="n">
        <v>45267</v>
      </c>
      <c r="C10529" s="1" t="n">
        <v>45363</v>
      </c>
      <c r="D10529" t="inlineStr">
        <is>
          <t>JÄMTLANDS LÄN</t>
        </is>
      </c>
      <c r="E10529" t="inlineStr">
        <is>
          <t>BERG</t>
        </is>
      </c>
      <c r="G10529" t="n">
        <v>15.6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62356-2023</t>
        </is>
      </c>
      <c r="B10530" s="1" t="n">
        <v>45267</v>
      </c>
      <c r="C10530" s="1" t="n">
        <v>45363</v>
      </c>
      <c r="D10530" t="inlineStr">
        <is>
          <t>JÄMTLANDS LÄN</t>
        </is>
      </c>
      <c r="E10530" t="inlineStr">
        <is>
          <t>STRÖMSUND</t>
        </is>
      </c>
      <c r="F10530" t="inlineStr">
        <is>
          <t>SCA</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62360-2023</t>
        </is>
      </c>
      <c r="B10531" s="1" t="n">
        <v>45267</v>
      </c>
      <c r="C10531" s="1" t="n">
        <v>45363</v>
      </c>
      <c r="D10531" t="inlineStr">
        <is>
          <t>JÄMTLANDS LÄN</t>
        </is>
      </c>
      <c r="E10531" t="inlineStr">
        <is>
          <t>BERG</t>
        </is>
      </c>
      <c r="F10531" t="inlineStr">
        <is>
          <t>SCA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62526-2023</t>
        </is>
      </c>
      <c r="B10532" s="1" t="n">
        <v>45267</v>
      </c>
      <c r="C10532" s="1" t="n">
        <v>45363</v>
      </c>
      <c r="D10532" t="inlineStr">
        <is>
          <t>JÄMTLANDS LÄN</t>
        </is>
      </c>
      <c r="E10532" t="inlineStr">
        <is>
          <t>RAGUNDA</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62544-2023</t>
        </is>
      </c>
      <c r="B10533" s="1" t="n">
        <v>45267</v>
      </c>
      <c r="C10533" s="1" t="n">
        <v>45363</v>
      </c>
      <c r="D10533" t="inlineStr">
        <is>
          <t>JÄMTLANDS LÄN</t>
        </is>
      </c>
      <c r="E10533" t="inlineStr">
        <is>
          <t>STRÖMSUND</t>
        </is>
      </c>
      <c r="G10533" t="n">
        <v>8.6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62354-2023</t>
        </is>
      </c>
      <c r="B10534" s="1" t="n">
        <v>45267</v>
      </c>
      <c r="C10534" s="1" t="n">
        <v>45363</v>
      </c>
      <c r="D10534" t="inlineStr">
        <is>
          <t>JÄMTLANDS LÄN</t>
        </is>
      </c>
      <c r="E10534" t="inlineStr">
        <is>
          <t>BRÄCKE</t>
        </is>
      </c>
      <c r="F10534" t="inlineStr">
        <is>
          <t>SCA</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62358-2023</t>
        </is>
      </c>
      <c r="B10535" s="1" t="n">
        <v>45267</v>
      </c>
      <c r="C10535" s="1" t="n">
        <v>45363</v>
      </c>
      <c r="D10535" t="inlineStr">
        <is>
          <t>JÄMTLANDS LÄN</t>
        </is>
      </c>
      <c r="E10535" t="inlineStr">
        <is>
          <t>RAGUNDA</t>
        </is>
      </c>
      <c r="F10535" t="inlineStr">
        <is>
          <t>SCA</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62543-2023</t>
        </is>
      </c>
      <c r="B10536" s="1" t="n">
        <v>45267</v>
      </c>
      <c r="C10536" s="1" t="n">
        <v>45363</v>
      </c>
      <c r="D10536" t="inlineStr">
        <is>
          <t>JÄMTLANDS LÄN</t>
        </is>
      </c>
      <c r="E10536" t="inlineStr">
        <is>
          <t>STRÖMSUND</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62482-2023</t>
        </is>
      </c>
      <c r="B10537" s="1" t="n">
        <v>45268</v>
      </c>
      <c r="C10537" s="1" t="n">
        <v>45363</v>
      </c>
      <c r="D10537" t="inlineStr">
        <is>
          <t>JÄMTLANDS LÄN</t>
        </is>
      </c>
      <c r="E10537" t="inlineStr">
        <is>
          <t>HÄRJEDALEN</t>
        </is>
      </c>
      <c r="G10537" t="n">
        <v>15.2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62564-2023</t>
        </is>
      </c>
      <c r="B10538" s="1" t="n">
        <v>45268</v>
      </c>
      <c r="C10538" s="1" t="n">
        <v>45363</v>
      </c>
      <c r="D10538" t="inlineStr">
        <is>
          <t>JÄMTLANDS LÄN</t>
        </is>
      </c>
      <c r="E10538" t="inlineStr">
        <is>
          <t>BERG</t>
        </is>
      </c>
      <c r="F10538" t="inlineStr">
        <is>
          <t>SCA</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62555-2023</t>
        </is>
      </c>
      <c r="B10539" s="1" t="n">
        <v>45268</v>
      </c>
      <c r="C10539" s="1" t="n">
        <v>45363</v>
      </c>
      <c r="D10539" t="inlineStr">
        <is>
          <t>JÄMTLANDS LÄN</t>
        </is>
      </c>
      <c r="E10539" t="inlineStr">
        <is>
          <t>BERG</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62493-2023</t>
        </is>
      </c>
      <c r="B10540" s="1" t="n">
        <v>45268</v>
      </c>
      <c r="C10540" s="1" t="n">
        <v>45363</v>
      </c>
      <c r="D10540" t="inlineStr">
        <is>
          <t>JÄMTLANDS LÄN</t>
        </is>
      </c>
      <c r="E10540" t="inlineStr">
        <is>
          <t>STRÖMSUND</t>
        </is>
      </c>
      <c r="F10540" t="inlineStr">
        <is>
          <t>Holmen skog AB</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62453-2023</t>
        </is>
      </c>
      <c r="B10541" s="1" t="n">
        <v>45268</v>
      </c>
      <c r="C10541" s="1" t="n">
        <v>45363</v>
      </c>
      <c r="D10541" t="inlineStr">
        <is>
          <t>JÄMTLANDS LÄN</t>
        </is>
      </c>
      <c r="E10541" t="inlineStr">
        <is>
          <t>KROKOM</t>
        </is>
      </c>
      <c r="F10541" t="inlineStr">
        <is>
          <t>Övriga Aktiebolag</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62554-2023</t>
        </is>
      </c>
      <c r="B10542" s="1" t="n">
        <v>45268</v>
      </c>
      <c r="C10542" s="1" t="n">
        <v>45363</v>
      </c>
      <c r="D10542" t="inlineStr">
        <is>
          <t>JÄMTLANDS LÄN</t>
        </is>
      </c>
      <c r="E10542" t="inlineStr">
        <is>
          <t>BERG</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62760-2023</t>
        </is>
      </c>
      <c r="B10543" s="1" t="n">
        <v>45268</v>
      </c>
      <c r="C10543" s="1" t="n">
        <v>45363</v>
      </c>
      <c r="D10543" t="inlineStr">
        <is>
          <t>JÄMTLANDS LÄN</t>
        </is>
      </c>
      <c r="E10543" t="inlineStr">
        <is>
          <t>STRÖMSUND</t>
        </is>
      </c>
      <c r="G10543" t="n">
        <v>12.1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62731-2023</t>
        </is>
      </c>
      <c r="B10544" s="1" t="n">
        <v>45271</v>
      </c>
      <c r="C10544" s="1" t="n">
        <v>45363</v>
      </c>
      <c r="D10544" t="inlineStr">
        <is>
          <t>JÄMTLANDS LÄN</t>
        </is>
      </c>
      <c r="E10544" t="inlineStr">
        <is>
          <t>KROKOM</t>
        </is>
      </c>
      <c r="F10544" t="inlineStr">
        <is>
          <t>Övriga Aktiebolag</t>
        </is>
      </c>
      <c r="G10544" t="n">
        <v>12.1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62784-2023</t>
        </is>
      </c>
      <c r="B10545" s="1" t="n">
        <v>45271</v>
      </c>
      <c r="C10545" s="1" t="n">
        <v>45363</v>
      </c>
      <c r="D10545" t="inlineStr">
        <is>
          <t>JÄMTLANDS LÄN</t>
        </is>
      </c>
      <c r="E10545" t="inlineStr">
        <is>
          <t>HÄRJEDALEN</t>
        </is>
      </c>
      <c r="G10545" t="n">
        <v>15.1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62834-2023</t>
        </is>
      </c>
      <c r="B10546" s="1" t="n">
        <v>45271</v>
      </c>
      <c r="C10546" s="1" t="n">
        <v>45363</v>
      </c>
      <c r="D10546" t="inlineStr">
        <is>
          <t>JÄMTLANDS LÄN</t>
        </is>
      </c>
      <c r="E10546" t="inlineStr">
        <is>
          <t>ÖSTERSUND</t>
        </is>
      </c>
      <c r="F10546" t="inlineStr">
        <is>
          <t>SCA</t>
        </is>
      </c>
      <c r="G10546" t="n">
        <v>12.2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62886-2023</t>
        </is>
      </c>
      <c r="B10547" s="1" t="n">
        <v>45271</v>
      </c>
      <c r="C10547" s="1" t="n">
        <v>45363</v>
      </c>
      <c r="D10547" t="inlineStr">
        <is>
          <t>JÄMTLANDS LÄN</t>
        </is>
      </c>
      <c r="E10547" t="inlineStr">
        <is>
          <t>STRÖMSUND</t>
        </is>
      </c>
      <c r="G10547" t="n">
        <v>12.2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62929-2023</t>
        </is>
      </c>
      <c r="B10548" s="1" t="n">
        <v>45271</v>
      </c>
      <c r="C10548" s="1" t="n">
        <v>45363</v>
      </c>
      <c r="D10548" t="inlineStr">
        <is>
          <t>JÄMTLANDS LÄN</t>
        </is>
      </c>
      <c r="E10548" t="inlineStr">
        <is>
          <t>KROKOM</t>
        </is>
      </c>
      <c r="G10548" t="n">
        <v>11.2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62837-2023</t>
        </is>
      </c>
      <c r="B10549" s="1" t="n">
        <v>45271</v>
      </c>
      <c r="C10549" s="1" t="n">
        <v>45363</v>
      </c>
      <c r="D10549" t="inlineStr">
        <is>
          <t>JÄMTLANDS LÄN</t>
        </is>
      </c>
      <c r="E10549" t="inlineStr">
        <is>
          <t>BERG</t>
        </is>
      </c>
      <c r="F10549" t="inlineStr">
        <is>
          <t>SCA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62835-2023</t>
        </is>
      </c>
      <c r="B10550" s="1" t="n">
        <v>45271</v>
      </c>
      <c r="C10550" s="1" t="n">
        <v>45363</v>
      </c>
      <c r="D10550" t="inlineStr">
        <is>
          <t>JÄMTLANDS LÄN</t>
        </is>
      </c>
      <c r="E10550" t="inlineStr">
        <is>
          <t>ÖSTERSUND</t>
        </is>
      </c>
      <c r="F10550" t="inlineStr">
        <is>
          <t>SCA</t>
        </is>
      </c>
      <c r="G10550" t="n">
        <v>8.300000000000001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62839-2023</t>
        </is>
      </c>
      <c r="B10551" s="1" t="n">
        <v>45271</v>
      </c>
      <c r="C10551" s="1" t="n">
        <v>45363</v>
      </c>
      <c r="D10551" t="inlineStr">
        <is>
          <t>JÄMTLANDS LÄN</t>
        </is>
      </c>
      <c r="E10551" t="inlineStr">
        <is>
          <t>RAGUNDA</t>
        </is>
      </c>
      <c r="F10551" t="inlineStr">
        <is>
          <t>SCA</t>
        </is>
      </c>
      <c r="G10551" t="n">
        <v>26.7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62836-2023</t>
        </is>
      </c>
      <c r="B10552" s="1" t="n">
        <v>45271</v>
      </c>
      <c r="C10552" s="1" t="n">
        <v>45363</v>
      </c>
      <c r="D10552" t="inlineStr">
        <is>
          <t>JÄMTLANDS LÄN</t>
        </is>
      </c>
      <c r="E10552" t="inlineStr">
        <is>
          <t>BERG</t>
        </is>
      </c>
      <c r="F10552" t="inlineStr">
        <is>
          <t>SCA</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62899-2023</t>
        </is>
      </c>
      <c r="B10553" s="1" t="n">
        <v>45271</v>
      </c>
      <c r="C10553" s="1" t="n">
        <v>45363</v>
      </c>
      <c r="D10553" t="inlineStr">
        <is>
          <t>JÄMTLANDS LÄN</t>
        </is>
      </c>
      <c r="E10553" t="inlineStr">
        <is>
          <t>BRÄCKE</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63165-2023</t>
        </is>
      </c>
      <c r="B10554" s="1" t="n">
        <v>45272</v>
      </c>
      <c r="C10554" s="1" t="n">
        <v>45363</v>
      </c>
      <c r="D10554" t="inlineStr">
        <is>
          <t>JÄMTLANDS LÄN</t>
        </is>
      </c>
      <c r="E10554" t="inlineStr">
        <is>
          <t>KROKOM</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63086-2023</t>
        </is>
      </c>
      <c r="B10555" s="1" t="n">
        <v>45272</v>
      </c>
      <c r="C10555" s="1" t="n">
        <v>45363</v>
      </c>
      <c r="D10555" t="inlineStr">
        <is>
          <t>JÄMTLANDS LÄN</t>
        </is>
      </c>
      <c r="E10555" t="inlineStr">
        <is>
          <t>ÖSTERSUND</t>
        </is>
      </c>
      <c r="F10555" t="inlineStr">
        <is>
          <t>Övriga statliga verk och myndigheter</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63063-2023</t>
        </is>
      </c>
      <c r="B10556" s="1" t="n">
        <v>45272</v>
      </c>
      <c r="C10556" s="1" t="n">
        <v>45363</v>
      </c>
      <c r="D10556" t="inlineStr">
        <is>
          <t>JÄMTLANDS LÄN</t>
        </is>
      </c>
      <c r="E10556" t="inlineStr">
        <is>
          <t>BERG</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63054-2023</t>
        </is>
      </c>
      <c r="B10557" s="1" t="n">
        <v>45272</v>
      </c>
      <c r="C10557" s="1" t="n">
        <v>45363</v>
      </c>
      <c r="D10557" t="inlineStr">
        <is>
          <t>JÄMTLANDS LÄN</t>
        </is>
      </c>
      <c r="E10557" t="inlineStr">
        <is>
          <t>STRÖMSUND</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63089-2023</t>
        </is>
      </c>
      <c r="B10558" s="1" t="n">
        <v>45272</v>
      </c>
      <c r="C10558" s="1" t="n">
        <v>45363</v>
      </c>
      <c r="D10558" t="inlineStr">
        <is>
          <t>JÄMTLANDS LÄN</t>
        </is>
      </c>
      <c r="E10558" t="inlineStr">
        <is>
          <t>BRÄCKE</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63101-2023</t>
        </is>
      </c>
      <c r="B10559" s="1" t="n">
        <v>45273</v>
      </c>
      <c r="C10559" s="1" t="n">
        <v>45363</v>
      </c>
      <c r="D10559" t="inlineStr">
        <is>
          <t>JÄMTLANDS LÄN</t>
        </is>
      </c>
      <c r="E10559" t="inlineStr">
        <is>
          <t>ÖSTERSUND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63140-2023</t>
        </is>
      </c>
      <c r="B10560" s="1" t="n">
        <v>45273</v>
      </c>
      <c r="C10560" s="1" t="n">
        <v>45363</v>
      </c>
      <c r="D10560" t="inlineStr">
        <is>
          <t>JÄMTLANDS LÄN</t>
        </is>
      </c>
      <c r="E10560" t="inlineStr">
        <is>
          <t>STRÖMSUND</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63099-2023</t>
        </is>
      </c>
      <c r="B10561" s="1" t="n">
        <v>45273</v>
      </c>
      <c r="C10561" s="1" t="n">
        <v>45363</v>
      </c>
      <c r="D10561" t="inlineStr">
        <is>
          <t>JÄMTLANDS LÄN</t>
        </is>
      </c>
      <c r="E10561" t="inlineStr">
        <is>
          <t>ÖSTERSUND</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63243-2023</t>
        </is>
      </c>
      <c r="B10562" s="1" t="n">
        <v>45273</v>
      </c>
      <c r="C10562" s="1" t="n">
        <v>45363</v>
      </c>
      <c r="D10562" t="inlineStr">
        <is>
          <t>JÄMTLANDS LÄN</t>
        </is>
      </c>
      <c r="E10562" t="inlineStr">
        <is>
          <t>STRÖMSUND</t>
        </is>
      </c>
      <c r="G10562" t="n">
        <v>14.8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63287-2023</t>
        </is>
      </c>
      <c r="B10563" s="1" t="n">
        <v>45273</v>
      </c>
      <c r="C10563" s="1" t="n">
        <v>45363</v>
      </c>
      <c r="D10563" t="inlineStr">
        <is>
          <t>JÄMTLANDS LÄN</t>
        </is>
      </c>
      <c r="E10563" t="inlineStr">
        <is>
          <t>STRÖMSUND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63291-2023</t>
        </is>
      </c>
      <c r="B10564" s="1" t="n">
        <v>45273</v>
      </c>
      <c r="C10564" s="1" t="n">
        <v>45363</v>
      </c>
      <c r="D10564" t="inlineStr">
        <is>
          <t>JÄMTLANDS LÄN</t>
        </is>
      </c>
      <c r="E10564" t="inlineStr">
        <is>
          <t>STRÖMSUND</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63295-2023</t>
        </is>
      </c>
      <c r="B10565" s="1" t="n">
        <v>45273</v>
      </c>
      <c r="C10565" s="1" t="n">
        <v>45363</v>
      </c>
      <c r="D10565" t="inlineStr">
        <is>
          <t>JÄMTLANDS LÄN</t>
        </is>
      </c>
      <c r="E10565" t="inlineStr">
        <is>
          <t>BRÄCKE</t>
        </is>
      </c>
      <c r="F10565" t="inlineStr">
        <is>
          <t>SCA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63320-2023</t>
        </is>
      </c>
      <c r="B10566" s="1" t="n">
        <v>45273</v>
      </c>
      <c r="C10566" s="1" t="n">
        <v>45363</v>
      </c>
      <c r="D10566" t="inlineStr">
        <is>
          <t>JÄMTLANDS LÄN</t>
        </is>
      </c>
      <c r="E10566" t="inlineStr">
        <is>
          <t>ÖSTERSUND</t>
        </is>
      </c>
      <c r="G10566" t="n">
        <v>11.3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63354-2023</t>
        </is>
      </c>
      <c r="B10567" s="1" t="n">
        <v>45273</v>
      </c>
      <c r="C10567" s="1" t="n">
        <v>45363</v>
      </c>
      <c r="D10567" t="inlineStr">
        <is>
          <t>JÄMTLANDS LÄN</t>
        </is>
      </c>
      <c r="E10567" t="inlineStr">
        <is>
          <t>STRÖMSUND</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63286-2023</t>
        </is>
      </c>
      <c r="B10568" s="1" t="n">
        <v>45273</v>
      </c>
      <c r="C10568" s="1" t="n">
        <v>45363</v>
      </c>
      <c r="D10568" t="inlineStr">
        <is>
          <t>JÄMTLANDS LÄN</t>
        </is>
      </c>
      <c r="E10568" t="inlineStr">
        <is>
          <t>STRÖMSUND</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63362-2023</t>
        </is>
      </c>
      <c r="B10569" s="1" t="n">
        <v>45273</v>
      </c>
      <c r="C10569" s="1" t="n">
        <v>45363</v>
      </c>
      <c r="D10569" t="inlineStr">
        <is>
          <t>JÄMTLANDS LÄN</t>
        </is>
      </c>
      <c r="E10569" t="inlineStr">
        <is>
          <t>STRÖMSUND</t>
        </is>
      </c>
      <c r="G10569" t="n">
        <v>17.9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63292-2023</t>
        </is>
      </c>
      <c r="B10570" s="1" t="n">
        <v>45273</v>
      </c>
      <c r="C10570" s="1" t="n">
        <v>45363</v>
      </c>
      <c r="D10570" t="inlineStr">
        <is>
          <t>JÄMTLANDS LÄN</t>
        </is>
      </c>
      <c r="E10570" t="inlineStr">
        <is>
          <t>BRÄCKE</t>
        </is>
      </c>
      <c r="F10570" t="inlineStr">
        <is>
          <t>SCA</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63313-2023</t>
        </is>
      </c>
      <c r="B10571" s="1" t="n">
        <v>45274</v>
      </c>
      <c r="C10571" s="1" t="n">
        <v>45363</v>
      </c>
      <c r="D10571" t="inlineStr">
        <is>
          <t>JÄMTLANDS LÄN</t>
        </is>
      </c>
      <c r="E10571" t="inlineStr">
        <is>
          <t>KROKOM</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63323-2023</t>
        </is>
      </c>
      <c r="B10572" s="1" t="n">
        <v>45274</v>
      </c>
      <c r="C10572" s="1" t="n">
        <v>45363</v>
      </c>
      <c r="D10572" t="inlineStr">
        <is>
          <t>JÄMTLANDS LÄN</t>
        </is>
      </c>
      <c r="E10572" t="inlineStr">
        <is>
          <t>HÄRJEDALEN</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63425-2023</t>
        </is>
      </c>
      <c r="B10573" s="1" t="n">
        <v>45274</v>
      </c>
      <c r="C10573" s="1" t="n">
        <v>45363</v>
      </c>
      <c r="D10573" t="inlineStr">
        <is>
          <t>JÄMTLANDS LÄN</t>
        </is>
      </c>
      <c r="E10573" t="inlineStr">
        <is>
          <t>STRÖMSUND</t>
        </is>
      </c>
      <c r="G10573" t="n">
        <v>14.9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63403-2023</t>
        </is>
      </c>
      <c r="B10574" s="1" t="n">
        <v>45274</v>
      </c>
      <c r="C10574" s="1" t="n">
        <v>45363</v>
      </c>
      <c r="D10574" t="inlineStr">
        <is>
          <t>JÄMTLANDS LÄN</t>
        </is>
      </c>
      <c r="E10574" t="inlineStr">
        <is>
          <t>STRÖMSUND</t>
        </is>
      </c>
      <c r="G10574" t="n">
        <v>16.9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63523-2023</t>
        </is>
      </c>
      <c r="B10575" s="1" t="n">
        <v>45274</v>
      </c>
      <c r="C10575" s="1" t="n">
        <v>45363</v>
      </c>
      <c r="D10575" t="inlineStr">
        <is>
          <t>JÄMTLANDS LÄN</t>
        </is>
      </c>
      <c r="E10575" t="inlineStr">
        <is>
          <t>STRÖMSUND</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63497-2023</t>
        </is>
      </c>
      <c r="B10576" s="1" t="n">
        <v>45274</v>
      </c>
      <c r="C10576" s="1" t="n">
        <v>45363</v>
      </c>
      <c r="D10576" t="inlineStr">
        <is>
          <t>JÄMTLANDS LÄN</t>
        </is>
      </c>
      <c r="E10576" t="inlineStr">
        <is>
          <t>STRÖMSUND</t>
        </is>
      </c>
      <c r="G10576" t="n">
        <v>12.1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63534-2023</t>
        </is>
      </c>
      <c r="B10577" s="1" t="n">
        <v>45274</v>
      </c>
      <c r="C10577" s="1" t="n">
        <v>45363</v>
      </c>
      <c r="D10577" t="inlineStr">
        <is>
          <t>JÄMTLANDS LÄN</t>
        </is>
      </c>
      <c r="E10577" t="inlineStr">
        <is>
          <t>BRÄCKE</t>
        </is>
      </c>
      <c r="F10577" t="inlineStr">
        <is>
          <t>SCA</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63533-2023</t>
        </is>
      </c>
      <c r="B10578" s="1" t="n">
        <v>45274</v>
      </c>
      <c r="C10578" s="1" t="n">
        <v>45363</v>
      </c>
      <c r="D10578" t="inlineStr">
        <is>
          <t>JÄMTLANDS LÄN</t>
        </is>
      </c>
      <c r="E10578" t="inlineStr">
        <is>
          <t>KROKOM</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63524-2023</t>
        </is>
      </c>
      <c r="B10579" s="1" t="n">
        <v>45274</v>
      </c>
      <c r="C10579" s="1" t="n">
        <v>45363</v>
      </c>
      <c r="D10579" t="inlineStr">
        <is>
          <t>JÄMTLANDS LÄN</t>
        </is>
      </c>
      <c r="E10579" t="inlineStr">
        <is>
          <t>STRÖMSUND</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63532-2023</t>
        </is>
      </c>
      <c r="B10580" s="1" t="n">
        <v>45274</v>
      </c>
      <c r="C10580" s="1" t="n">
        <v>45363</v>
      </c>
      <c r="D10580" t="inlineStr">
        <is>
          <t>JÄMTLANDS LÄN</t>
        </is>
      </c>
      <c r="E10580" t="inlineStr">
        <is>
          <t>KROKOM</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63670-2023</t>
        </is>
      </c>
      <c r="B10581" s="1" t="n">
        <v>45275</v>
      </c>
      <c r="C10581" s="1" t="n">
        <v>45363</v>
      </c>
      <c r="D10581" t="inlineStr">
        <is>
          <t>JÄMTLANDS LÄN</t>
        </is>
      </c>
      <c r="E10581" t="inlineStr">
        <is>
          <t>BERG</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63605-2023</t>
        </is>
      </c>
      <c r="B10582" s="1" t="n">
        <v>45275</v>
      </c>
      <c r="C10582" s="1" t="n">
        <v>45363</v>
      </c>
      <c r="D10582" t="inlineStr">
        <is>
          <t>JÄMTLANDS LÄN</t>
        </is>
      </c>
      <c r="E10582" t="inlineStr">
        <is>
          <t>BERG</t>
        </is>
      </c>
      <c r="G10582" t="n">
        <v>10.1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63577-2023</t>
        </is>
      </c>
      <c r="B10583" s="1" t="n">
        <v>45275</v>
      </c>
      <c r="C10583" s="1" t="n">
        <v>45363</v>
      </c>
      <c r="D10583" t="inlineStr">
        <is>
          <t>JÄMTLANDS LÄN</t>
        </is>
      </c>
      <c r="E10583" t="inlineStr">
        <is>
          <t>HÄRJEDALEN</t>
        </is>
      </c>
      <c r="G10583" t="n">
        <v>9.1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63717-2023</t>
        </is>
      </c>
      <c r="B10584" s="1" t="n">
        <v>45275</v>
      </c>
      <c r="C10584" s="1" t="n">
        <v>45363</v>
      </c>
      <c r="D10584" t="inlineStr">
        <is>
          <t>JÄMTLANDS LÄN</t>
        </is>
      </c>
      <c r="E10584" t="inlineStr">
        <is>
          <t>STRÖMSUND</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63713-2023</t>
        </is>
      </c>
      <c r="B10585" s="1" t="n">
        <v>45275</v>
      </c>
      <c r="C10585" s="1" t="n">
        <v>45363</v>
      </c>
      <c r="D10585" t="inlineStr">
        <is>
          <t>JÄMTLANDS LÄN</t>
        </is>
      </c>
      <c r="E10585" t="inlineStr">
        <is>
          <t>BRÄCKE</t>
        </is>
      </c>
      <c r="F10585" t="inlineStr">
        <is>
          <t>SCA</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63714-2023</t>
        </is>
      </c>
      <c r="B10586" s="1" t="n">
        <v>45275</v>
      </c>
      <c r="C10586" s="1" t="n">
        <v>45363</v>
      </c>
      <c r="D10586" t="inlineStr">
        <is>
          <t>JÄMTLANDS LÄN</t>
        </is>
      </c>
      <c r="E10586" t="inlineStr">
        <is>
          <t>BRÄCKE</t>
        </is>
      </c>
      <c r="F10586" t="inlineStr">
        <is>
          <t>SCA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63706-2023</t>
        </is>
      </c>
      <c r="B10587" s="1" t="n">
        <v>45275</v>
      </c>
      <c r="C10587" s="1" t="n">
        <v>45363</v>
      </c>
      <c r="D10587" t="inlineStr">
        <is>
          <t>JÄMTLANDS LÄN</t>
        </is>
      </c>
      <c r="E10587" t="inlineStr">
        <is>
          <t>BRÄCKE</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63716-2023</t>
        </is>
      </c>
      <c r="B10588" s="1" t="n">
        <v>45275</v>
      </c>
      <c r="C10588" s="1" t="n">
        <v>45363</v>
      </c>
      <c r="D10588" t="inlineStr">
        <is>
          <t>JÄMTLANDS LÄN</t>
        </is>
      </c>
      <c r="E10588" t="inlineStr">
        <is>
          <t>BRÄCKE</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63708-2023</t>
        </is>
      </c>
      <c r="B10589" s="1" t="n">
        <v>45275</v>
      </c>
      <c r="C10589" s="1" t="n">
        <v>45363</v>
      </c>
      <c r="D10589" t="inlineStr">
        <is>
          <t>JÄMTLANDS LÄN</t>
        </is>
      </c>
      <c r="E10589" t="inlineStr">
        <is>
          <t>RAGUNDA</t>
        </is>
      </c>
      <c r="F10589" t="inlineStr">
        <is>
          <t>SCA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63546-2023</t>
        </is>
      </c>
      <c r="B10590" s="1" t="n">
        <v>45275</v>
      </c>
      <c r="C10590" s="1" t="n">
        <v>45363</v>
      </c>
      <c r="D10590" t="inlineStr">
        <is>
          <t>JÄMTLANDS LÄN</t>
        </is>
      </c>
      <c r="E10590" t="inlineStr">
        <is>
          <t>HÄRJEDALEN</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63739-2023</t>
        </is>
      </c>
      <c r="B10591" s="1" t="n">
        <v>45277</v>
      </c>
      <c r="C10591" s="1" t="n">
        <v>45363</v>
      </c>
      <c r="D10591" t="inlineStr">
        <is>
          <t>JÄMTLANDS LÄN</t>
        </is>
      </c>
      <c r="E10591" t="inlineStr">
        <is>
          <t>ÖSTERSUND</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63740-2023</t>
        </is>
      </c>
      <c r="B10592" s="1" t="n">
        <v>45277</v>
      </c>
      <c r="C10592" s="1" t="n">
        <v>45363</v>
      </c>
      <c r="D10592" t="inlineStr">
        <is>
          <t>JÄMTLANDS LÄN</t>
        </is>
      </c>
      <c r="E10592" t="inlineStr">
        <is>
          <t>ÖSTERSUND</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63753-2023</t>
        </is>
      </c>
      <c r="B10593" s="1" t="n">
        <v>45278</v>
      </c>
      <c r="C10593" s="1" t="n">
        <v>45363</v>
      </c>
      <c r="D10593" t="inlineStr">
        <is>
          <t>JÄMTLANDS LÄN</t>
        </is>
      </c>
      <c r="E10593" t="inlineStr">
        <is>
          <t>STRÖMSUND</t>
        </is>
      </c>
      <c r="G10593" t="n">
        <v>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63802-2023</t>
        </is>
      </c>
      <c r="B10594" s="1" t="n">
        <v>45278</v>
      </c>
      <c r="C10594" s="1" t="n">
        <v>45363</v>
      </c>
      <c r="D10594" t="inlineStr">
        <is>
          <t>JÄMTLANDS LÄN</t>
        </is>
      </c>
      <c r="E10594" t="inlineStr">
        <is>
          <t>HÄRJEDALEN</t>
        </is>
      </c>
      <c r="G10594" t="n">
        <v>8.300000000000001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63819-2023</t>
        </is>
      </c>
      <c r="B10595" s="1" t="n">
        <v>45278</v>
      </c>
      <c r="C10595" s="1" t="n">
        <v>45363</v>
      </c>
      <c r="D10595" t="inlineStr">
        <is>
          <t>JÄMTLANDS LÄN</t>
        </is>
      </c>
      <c r="E10595" t="inlineStr">
        <is>
          <t>BERG</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63756-2023</t>
        </is>
      </c>
      <c r="B10596" s="1" t="n">
        <v>45278</v>
      </c>
      <c r="C10596" s="1" t="n">
        <v>45363</v>
      </c>
      <c r="D10596" t="inlineStr">
        <is>
          <t>JÄMTLANDS LÄN</t>
        </is>
      </c>
      <c r="E10596" t="inlineStr">
        <is>
          <t>STRÖMSUND</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63960-2023</t>
        </is>
      </c>
      <c r="B10597" s="1" t="n">
        <v>45278</v>
      </c>
      <c r="C10597" s="1" t="n">
        <v>45363</v>
      </c>
      <c r="D10597" t="inlineStr">
        <is>
          <t>JÄMTLANDS LÄN</t>
        </is>
      </c>
      <c r="E10597" t="inlineStr">
        <is>
          <t>KROKOM</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63754-2023</t>
        </is>
      </c>
      <c r="B10598" s="1" t="n">
        <v>45278</v>
      </c>
      <c r="C10598" s="1" t="n">
        <v>45363</v>
      </c>
      <c r="D10598" t="inlineStr">
        <is>
          <t>JÄMTLANDS LÄN</t>
        </is>
      </c>
      <c r="E10598" t="inlineStr">
        <is>
          <t>STRÖMSUND</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63906-2023</t>
        </is>
      </c>
      <c r="B10599" s="1" t="n">
        <v>45278</v>
      </c>
      <c r="C10599" s="1" t="n">
        <v>45363</v>
      </c>
      <c r="D10599" t="inlineStr">
        <is>
          <t>JÄMTLANDS LÄN</t>
        </is>
      </c>
      <c r="E10599" t="inlineStr">
        <is>
          <t>ÅRE</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63934-2023</t>
        </is>
      </c>
      <c r="B10600" s="1" t="n">
        <v>45278</v>
      </c>
      <c r="C10600" s="1" t="n">
        <v>45363</v>
      </c>
      <c r="D10600" t="inlineStr">
        <is>
          <t>JÄMTLANDS LÄN</t>
        </is>
      </c>
      <c r="E10600" t="inlineStr">
        <is>
          <t>HÄRJEDALEN</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64038-2023</t>
        </is>
      </c>
      <c r="B10601" s="1" t="n">
        <v>45278</v>
      </c>
      <c r="C10601" s="1" t="n">
        <v>45363</v>
      </c>
      <c r="D10601" t="inlineStr">
        <is>
          <t>JÄMTLANDS LÄN</t>
        </is>
      </c>
      <c r="E10601" t="inlineStr">
        <is>
          <t>BRÄCKE</t>
        </is>
      </c>
      <c r="F10601" t="inlineStr">
        <is>
          <t>SCA</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64034-2023</t>
        </is>
      </c>
      <c r="B10602" s="1" t="n">
        <v>45278</v>
      </c>
      <c r="C10602" s="1" t="n">
        <v>45363</v>
      </c>
      <c r="D10602" t="inlineStr">
        <is>
          <t>JÄMTLANDS LÄN</t>
        </is>
      </c>
      <c r="E10602" t="inlineStr">
        <is>
          <t>BRÄCKE</t>
        </is>
      </c>
      <c r="F10602" t="inlineStr">
        <is>
          <t>SCA</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64025-2023</t>
        </is>
      </c>
      <c r="B10603" s="1" t="n">
        <v>45278</v>
      </c>
      <c r="C10603" s="1" t="n">
        <v>45363</v>
      </c>
      <c r="D10603" t="inlineStr">
        <is>
          <t>JÄMTLANDS LÄN</t>
        </is>
      </c>
      <c r="E10603" t="inlineStr">
        <is>
          <t>BRÄCKE</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64037-2023</t>
        </is>
      </c>
      <c r="B10604" s="1" t="n">
        <v>45278</v>
      </c>
      <c r="C10604" s="1" t="n">
        <v>45363</v>
      </c>
      <c r="D10604" t="inlineStr">
        <is>
          <t>JÄMTLANDS LÄN</t>
        </is>
      </c>
      <c r="E10604" t="inlineStr">
        <is>
          <t>BRÄCKE</t>
        </is>
      </c>
      <c r="F10604" t="inlineStr">
        <is>
          <t>SCA</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64017-2023</t>
        </is>
      </c>
      <c r="B10605" s="1" t="n">
        <v>45278</v>
      </c>
      <c r="C10605" s="1" t="n">
        <v>45363</v>
      </c>
      <c r="D10605" t="inlineStr">
        <is>
          <t>JÄMTLANDS LÄN</t>
        </is>
      </c>
      <c r="E10605" t="inlineStr">
        <is>
          <t>RAGUNDA</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64039-2023</t>
        </is>
      </c>
      <c r="B10606" s="1" t="n">
        <v>45278</v>
      </c>
      <c r="C10606" s="1" t="n">
        <v>45363</v>
      </c>
      <c r="D10606" t="inlineStr">
        <is>
          <t>JÄMTLANDS LÄN</t>
        </is>
      </c>
      <c r="E10606" t="inlineStr">
        <is>
          <t>RAGUNDA</t>
        </is>
      </c>
      <c r="F10606" t="inlineStr">
        <is>
          <t>SCA</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64011-2023</t>
        </is>
      </c>
      <c r="B10607" s="1" t="n">
        <v>45278</v>
      </c>
      <c r="C10607" s="1" t="n">
        <v>45363</v>
      </c>
      <c r="D10607" t="inlineStr">
        <is>
          <t>JÄMTLANDS LÄN</t>
        </is>
      </c>
      <c r="E10607" t="inlineStr">
        <is>
          <t>BERG</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64007-2023</t>
        </is>
      </c>
      <c r="B10608" s="1" t="n">
        <v>45278</v>
      </c>
      <c r="C10608" s="1" t="n">
        <v>45363</v>
      </c>
      <c r="D10608" t="inlineStr">
        <is>
          <t>JÄMTLANDS LÄN</t>
        </is>
      </c>
      <c r="E10608" t="inlineStr">
        <is>
          <t>STRÖMSUND</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64012-2023</t>
        </is>
      </c>
      <c r="B10609" s="1" t="n">
        <v>45278</v>
      </c>
      <c r="C10609" s="1" t="n">
        <v>45363</v>
      </c>
      <c r="D10609" t="inlineStr">
        <is>
          <t>JÄMTLANDS LÄN</t>
        </is>
      </c>
      <c r="E10609" t="inlineStr">
        <is>
          <t>BERG</t>
        </is>
      </c>
      <c r="G10609" t="n">
        <v>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64024-2023</t>
        </is>
      </c>
      <c r="B10610" s="1" t="n">
        <v>45278</v>
      </c>
      <c r="C10610" s="1" t="n">
        <v>45363</v>
      </c>
      <c r="D10610" t="inlineStr">
        <is>
          <t>JÄMTLANDS LÄN</t>
        </is>
      </c>
      <c r="E10610" t="inlineStr">
        <is>
          <t>BRÄCKE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64020-2023</t>
        </is>
      </c>
      <c r="B10611" s="1" t="n">
        <v>45278</v>
      </c>
      <c r="C10611" s="1" t="n">
        <v>45363</v>
      </c>
      <c r="D10611" t="inlineStr">
        <is>
          <t>JÄMTLANDS LÄN</t>
        </is>
      </c>
      <c r="E10611" t="inlineStr">
        <is>
          <t>BERG</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64016-2023</t>
        </is>
      </c>
      <c r="B10612" s="1" t="n">
        <v>45278</v>
      </c>
      <c r="C10612" s="1" t="n">
        <v>45363</v>
      </c>
      <c r="D10612" t="inlineStr">
        <is>
          <t>JÄMTLANDS LÄN</t>
        </is>
      </c>
      <c r="E10612" t="inlineStr">
        <is>
          <t>BERG</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64149-2023</t>
        </is>
      </c>
      <c r="B10613" s="1" t="n">
        <v>45279</v>
      </c>
      <c r="C10613" s="1" t="n">
        <v>45363</v>
      </c>
      <c r="D10613" t="inlineStr">
        <is>
          <t>JÄMTLANDS LÄN</t>
        </is>
      </c>
      <c r="E10613" t="inlineStr">
        <is>
          <t>STRÖMSUND</t>
        </is>
      </c>
      <c r="G10613" t="n">
        <v>12.7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64157-2023</t>
        </is>
      </c>
      <c r="B10614" s="1" t="n">
        <v>45279</v>
      </c>
      <c r="C10614" s="1" t="n">
        <v>45363</v>
      </c>
      <c r="D10614" t="inlineStr">
        <is>
          <t>JÄMTLANDS LÄN</t>
        </is>
      </c>
      <c r="E10614" t="inlineStr">
        <is>
          <t>HÄRJEDALEN</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64174-2023</t>
        </is>
      </c>
      <c r="B10615" s="1" t="n">
        <v>45279</v>
      </c>
      <c r="C10615" s="1" t="n">
        <v>45363</v>
      </c>
      <c r="D10615" t="inlineStr">
        <is>
          <t>JÄMTLANDS LÄN</t>
        </is>
      </c>
      <c r="E10615" t="inlineStr">
        <is>
          <t>KROKOM</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64235-2023</t>
        </is>
      </c>
      <c r="B10616" s="1" t="n">
        <v>45279</v>
      </c>
      <c r="C10616" s="1" t="n">
        <v>45363</v>
      </c>
      <c r="D10616" t="inlineStr">
        <is>
          <t>JÄMTLANDS LÄN</t>
        </is>
      </c>
      <c r="E10616" t="inlineStr">
        <is>
          <t>BERG</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64247-2023</t>
        </is>
      </c>
      <c r="B10617" s="1" t="n">
        <v>45279</v>
      </c>
      <c r="C10617" s="1" t="n">
        <v>45363</v>
      </c>
      <c r="D10617" t="inlineStr">
        <is>
          <t>JÄMTLANDS LÄN</t>
        </is>
      </c>
      <c r="E10617" t="inlineStr">
        <is>
          <t>BERG</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64251-2023</t>
        </is>
      </c>
      <c r="B10618" s="1" t="n">
        <v>45279</v>
      </c>
      <c r="C10618" s="1" t="n">
        <v>45363</v>
      </c>
      <c r="D10618" t="inlineStr">
        <is>
          <t>JÄMTLANDS LÄN</t>
        </is>
      </c>
      <c r="E10618" t="inlineStr">
        <is>
          <t>BERG</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64267-2023</t>
        </is>
      </c>
      <c r="B10619" s="1" t="n">
        <v>45279</v>
      </c>
      <c r="C10619" s="1" t="n">
        <v>45363</v>
      </c>
      <c r="D10619" t="inlineStr">
        <is>
          <t>JÄMTLANDS LÄN</t>
        </is>
      </c>
      <c r="E10619" t="inlineStr">
        <is>
          <t>ÖSTERSUND</t>
        </is>
      </c>
      <c r="F10619" t="inlineStr">
        <is>
          <t>SCA</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64144-2023</t>
        </is>
      </c>
      <c r="B10620" s="1" t="n">
        <v>45279</v>
      </c>
      <c r="C10620" s="1" t="n">
        <v>45363</v>
      </c>
      <c r="D10620" t="inlineStr">
        <is>
          <t>JÄMTLANDS LÄN</t>
        </is>
      </c>
      <c r="E10620" t="inlineStr">
        <is>
          <t>HÄRJEDALEN</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64165-2023</t>
        </is>
      </c>
      <c r="B10621" s="1" t="n">
        <v>45279</v>
      </c>
      <c r="C10621" s="1" t="n">
        <v>45363</v>
      </c>
      <c r="D10621" t="inlineStr">
        <is>
          <t>JÄMTLANDS LÄN</t>
        </is>
      </c>
      <c r="E10621" t="inlineStr">
        <is>
          <t>HÄRJEDALEN</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64117-2023</t>
        </is>
      </c>
      <c r="B10622" s="1" t="n">
        <v>45279</v>
      </c>
      <c r="C10622" s="1" t="n">
        <v>45363</v>
      </c>
      <c r="D10622" t="inlineStr">
        <is>
          <t>JÄMTLANDS LÄN</t>
        </is>
      </c>
      <c r="E10622" t="inlineStr">
        <is>
          <t>BRÄCKE</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64143-2023</t>
        </is>
      </c>
      <c r="B10623" s="1" t="n">
        <v>45279</v>
      </c>
      <c r="C10623" s="1" t="n">
        <v>45363</v>
      </c>
      <c r="D10623" t="inlineStr">
        <is>
          <t>JÄMTLANDS LÄN</t>
        </is>
      </c>
      <c r="E10623" t="inlineStr">
        <is>
          <t>BRÄCKE</t>
        </is>
      </c>
      <c r="G10623" t="n">
        <v>5.5</v>
      </c>
      <c r="H10623" t="n">
        <v>0</v>
      </c>
      <c r="I10623" t="n">
        <v>0</v>
      </c>
      <c r="J10623" t="n">
        <v>0</v>
      </c>
      <c r="K10623" t="n">
        <v>0</v>
      </c>
      <c r="L10623" t="n">
        <v>0</v>
      </c>
      <c r="M10623" t="n">
        <v>0</v>
      </c>
      <c r="N10623" t="n">
        <v>0</v>
      </c>
      <c r="O10623" t="n">
        <v>0</v>
      </c>
      <c r="P10623" t="n">
        <v>0</v>
      </c>
      <c r="Q10623" t="n">
        <v>0</v>
      </c>
      <c r="R10623" s="2" t="inlineStr"/>
      <c r="U10623">
        <f>HYPERLINK("https://klasma.github.io/Logging_2305/knärot/A 64143-2023 karta knärot.png", "A 64143-2023")</f>
        <v/>
      </c>
      <c r="V10623">
        <f>HYPERLINK("https://klasma.github.io/Logging_2305/klagomål/A 64143-2023 FSC-klagomål.docx", "A 64143-2023")</f>
        <v/>
      </c>
      <c r="W10623">
        <f>HYPERLINK("https://klasma.github.io/Logging_2305/klagomålsmail/A 64143-2023 FSC-klagomål mail.docx", "A 64143-2023")</f>
        <v/>
      </c>
      <c r="X10623">
        <f>HYPERLINK("https://klasma.github.io/Logging_2305/tillsyn/A 64143-2023 tillsynsbegäran.docx", "A 64143-2023")</f>
        <v/>
      </c>
      <c r="Y10623">
        <f>HYPERLINK("https://klasma.github.io/Logging_2305/tillsynsmail/A 64143-2023 tillsynsbegäran mail.docx", "A 64143-2023")</f>
        <v/>
      </c>
    </row>
    <row r="10624" ht="15" customHeight="1">
      <c r="A10624" t="inlineStr">
        <is>
          <t>A 64233-2023</t>
        </is>
      </c>
      <c r="B10624" s="1" t="n">
        <v>45279</v>
      </c>
      <c r="C10624" s="1" t="n">
        <v>45363</v>
      </c>
      <c r="D10624" t="inlineStr">
        <is>
          <t>JÄMTLANDS LÄN</t>
        </is>
      </c>
      <c r="E10624" t="inlineStr">
        <is>
          <t>ÖSTERSUND</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64245-2023</t>
        </is>
      </c>
      <c r="B10625" s="1" t="n">
        <v>45279</v>
      </c>
      <c r="C10625" s="1" t="n">
        <v>45363</v>
      </c>
      <c r="D10625" t="inlineStr">
        <is>
          <t>JÄMTLANDS LÄN</t>
        </is>
      </c>
      <c r="E10625" t="inlineStr">
        <is>
          <t>BERG</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64249-2023</t>
        </is>
      </c>
      <c r="B10626" s="1" t="n">
        <v>45279</v>
      </c>
      <c r="C10626" s="1" t="n">
        <v>45363</v>
      </c>
      <c r="D10626" t="inlineStr">
        <is>
          <t>JÄMTLANDS LÄN</t>
        </is>
      </c>
      <c r="E10626" t="inlineStr">
        <is>
          <t>BERG</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64265-2023</t>
        </is>
      </c>
      <c r="B10627" s="1" t="n">
        <v>45279</v>
      </c>
      <c r="C10627" s="1" t="n">
        <v>45363</v>
      </c>
      <c r="D10627" t="inlineStr">
        <is>
          <t>JÄMTLANDS LÄN</t>
        </is>
      </c>
      <c r="E10627" t="inlineStr">
        <is>
          <t>RAGUNDA</t>
        </is>
      </c>
      <c r="F10627" t="inlineStr">
        <is>
          <t>SCA</t>
        </is>
      </c>
      <c r="G10627" t="n">
        <v>9.300000000000001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64269-2023</t>
        </is>
      </c>
      <c r="B10628" s="1" t="n">
        <v>45279</v>
      </c>
      <c r="C10628" s="1" t="n">
        <v>45363</v>
      </c>
      <c r="D10628" t="inlineStr">
        <is>
          <t>JÄMTLANDS LÄN</t>
        </is>
      </c>
      <c r="E10628" t="inlineStr">
        <is>
          <t>BRÄCKE</t>
        </is>
      </c>
      <c r="F10628" t="inlineStr">
        <is>
          <t>SCA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64273-2023</t>
        </is>
      </c>
      <c r="B10629" s="1" t="n">
        <v>45279</v>
      </c>
      <c r="C10629" s="1" t="n">
        <v>45363</v>
      </c>
      <c r="D10629" t="inlineStr">
        <is>
          <t>JÄMTLANDS LÄN</t>
        </is>
      </c>
      <c r="E10629" t="inlineStr">
        <is>
          <t>KROKOM</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64234-2023</t>
        </is>
      </c>
      <c r="B10630" s="1" t="n">
        <v>45279</v>
      </c>
      <c r="C10630" s="1" t="n">
        <v>45363</v>
      </c>
      <c r="D10630" t="inlineStr">
        <is>
          <t>JÄMTLANDS LÄN</t>
        </is>
      </c>
      <c r="E10630" t="inlineStr">
        <is>
          <t>BERG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64246-2023</t>
        </is>
      </c>
      <c r="B10631" s="1" t="n">
        <v>45279</v>
      </c>
      <c r="C10631" s="1" t="n">
        <v>45363</v>
      </c>
      <c r="D10631" t="inlineStr">
        <is>
          <t>JÄMTLANDS LÄN</t>
        </is>
      </c>
      <c r="E10631" t="inlineStr">
        <is>
          <t>BERG</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64250-2023</t>
        </is>
      </c>
      <c r="B10632" s="1" t="n">
        <v>45279</v>
      </c>
      <c r="C10632" s="1" t="n">
        <v>45363</v>
      </c>
      <c r="D10632" t="inlineStr">
        <is>
          <t>JÄMTLANDS LÄN</t>
        </is>
      </c>
      <c r="E10632" t="inlineStr">
        <is>
          <t>BERG</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64266-2023</t>
        </is>
      </c>
      <c r="B10633" s="1" t="n">
        <v>45279</v>
      </c>
      <c r="C10633" s="1" t="n">
        <v>45363</v>
      </c>
      <c r="D10633" t="inlineStr">
        <is>
          <t>JÄMTLANDS LÄN</t>
        </is>
      </c>
      <c r="E10633" t="inlineStr">
        <is>
          <t>BRÄCKE</t>
        </is>
      </c>
      <c r="F10633" t="inlineStr">
        <is>
          <t>SCA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64100-2023</t>
        </is>
      </c>
      <c r="B10634" s="1" t="n">
        <v>45279</v>
      </c>
      <c r="C10634" s="1" t="n">
        <v>45363</v>
      </c>
      <c r="D10634" t="inlineStr">
        <is>
          <t>JÄMTLANDS LÄN</t>
        </is>
      </c>
      <c r="E10634" t="inlineStr">
        <is>
          <t>BERG</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64163-2023</t>
        </is>
      </c>
      <c r="B10635" s="1" t="n">
        <v>45279</v>
      </c>
      <c r="C10635" s="1" t="n">
        <v>45363</v>
      </c>
      <c r="D10635" t="inlineStr">
        <is>
          <t>JÄMTLANDS LÄN</t>
        </is>
      </c>
      <c r="E10635" t="inlineStr">
        <is>
          <t>KROKOM</t>
        </is>
      </c>
      <c r="G10635" t="n">
        <v>15.8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64236-2023</t>
        </is>
      </c>
      <c r="B10636" s="1" t="n">
        <v>45279</v>
      </c>
      <c r="C10636" s="1" t="n">
        <v>45363</v>
      </c>
      <c r="D10636" t="inlineStr">
        <is>
          <t>JÄMTLANDS LÄN</t>
        </is>
      </c>
      <c r="E10636" t="inlineStr">
        <is>
          <t>BERG</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64244-2023</t>
        </is>
      </c>
      <c r="B10637" s="1" t="n">
        <v>45279</v>
      </c>
      <c r="C10637" s="1" t="n">
        <v>45363</v>
      </c>
      <c r="D10637" t="inlineStr">
        <is>
          <t>JÄMTLANDS LÄN</t>
        </is>
      </c>
      <c r="E10637" t="inlineStr">
        <is>
          <t>BERG</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64248-2023</t>
        </is>
      </c>
      <c r="B10638" s="1" t="n">
        <v>45279</v>
      </c>
      <c r="C10638" s="1" t="n">
        <v>45363</v>
      </c>
      <c r="D10638" t="inlineStr">
        <is>
          <t>JÄMTLANDS LÄN</t>
        </is>
      </c>
      <c r="E10638" t="inlineStr">
        <is>
          <t>BERG</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64264-2023</t>
        </is>
      </c>
      <c r="B10639" s="1" t="n">
        <v>45279</v>
      </c>
      <c r="C10639" s="1" t="n">
        <v>45363</v>
      </c>
      <c r="D10639" t="inlineStr">
        <is>
          <t>JÄMTLANDS LÄN</t>
        </is>
      </c>
      <c r="E10639" t="inlineStr">
        <is>
          <t>RAGUNDA</t>
        </is>
      </c>
      <c r="F10639" t="inlineStr">
        <is>
          <t>SCA</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64268-2023</t>
        </is>
      </c>
      <c r="B10640" s="1" t="n">
        <v>45279</v>
      </c>
      <c r="C10640" s="1" t="n">
        <v>45363</v>
      </c>
      <c r="D10640" t="inlineStr">
        <is>
          <t>JÄMTLANDS LÄN</t>
        </is>
      </c>
      <c r="E10640" t="inlineStr">
        <is>
          <t>BRÄCKE</t>
        </is>
      </c>
      <c r="F10640" t="inlineStr">
        <is>
          <t>SCA</t>
        </is>
      </c>
      <c r="G10640" t="n">
        <v>6.4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64272-2023</t>
        </is>
      </c>
      <c r="B10641" s="1" t="n">
        <v>45279</v>
      </c>
      <c r="C10641" s="1" t="n">
        <v>45363</v>
      </c>
      <c r="D10641" t="inlineStr">
        <is>
          <t>JÄMTLANDS LÄN</t>
        </is>
      </c>
      <c r="E10641" t="inlineStr">
        <is>
          <t>BRÄCKE</t>
        </is>
      </c>
      <c r="F10641" t="inlineStr">
        <is>
          <t>SCA</t>
        </is>
      </c>
      <c r="G10641" t="n">
        <v>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64332-2023</t>
        </is>
      </c>
      <c r="B10642" s="1" t="n">
        <v>45279</v>
      </c>
      <c r="C10642" s="1" t="n">
        <v>45363</v>
      </c>
      <c r="D10642" t="inlineStr">
        <is>
          <t>JÄMTLANDS LÄN</t>
        </is>
      </c>
      <c r="E10642" t="inlineStr">
        <is>
          <t>STRÖMSUND</t>
        </is>
      </c>
      <c r="G10642" t="n">
        <v>11.1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64312-2023</t>
        </is>
      </c>
      <c r="B10643" s="1" t="n">
        <v>45279</v>
      </c>
      <c r="C10643" s="1" t="n">
        <v>45363</v>
      </c>
      <c r="D10643" t="inlineStr">
        <is>
          <t>JÄMTLANDS LÄN</t>
        </is>
      </c>
      <c r="E10643" t="inlineStr">
        <is>
          <t>ÅRE</t>
        </is>
      </c>
      <c r="G10643" t="n">
        <v>13.4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64302-2023</t>
        </is>
      </c>
      <c r="B10644" s="1" t="n">
        <v>45280</v>
      </c>
      <c r="C10644" s="1" t="n">
        <v>45363</v>
      </c>
      <c r="D10644" t="inlineStr">
        <is>
          <t>JÄMTLANDS LÄN</t>
        </is>
      </c>
      <c r="E10644" t="inlineStr">
        <is>
          <t>BRÄCKE</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64415-2023</t>
        </is>
      </c>
      <c r="B10645" s="1" t="n">
        <v>45280</v>
      </c>
      <c r="C10645" s="1" t="n">
        <v>45363</v>
      </c>
      <c r="D10645" t="inlineStr">
        <is>
          <t>JÄMTLANDS LÄN</t>
        </is>
      </c>
      <c r="E10645" t="inlineStr">
        <is>
          <t>RAGUNDA</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64309-2023</t>
        </is>
      </c>
      <c r="B10646" s="1" t="n">
        <v>45280</v>
      </c>
      <c r="C10646" s="1" t="n">
        <v>45363</v>
      </c>
      <c r="D10646" t="inlineStr">
        <is>
          <t>JÄMTLANDS LÄN</t>
        </is>
      </c>
      <c r="E10646" t="inlineStr">
        <is>
          <t>ÖSTERSUND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64413-2023</t>
        </is>
      </c>
      <c r="B10647" s="1" t="n">
        <v>45280</v>
      </c>
      <c r="C10647" s="1" t="n">
        <v>45363</v>
      </c>
      <c r="D10647" t="inlineStr">
        <is>
          <t>JÄMTLANDS LÄN</t>
        </is>
      </c>
      <c r="E10647" t="inlineStr">
        <is>
          <t>BRÄCKE</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64437-2023</t>
        </is>
      </c>
      <c r="B10648" s="1" t="n">
        <v>45280</v>
      </c>
      <c r="C10648" s="1" t="n">
        <v>45363</v>
      </c>
      <c r="D10648" t="inlineStr">
        <is>
          <t>JÄMTLANDS LÄN</t>
        </is>
      </c>
      <c r="E10648" t="inlineStr">
        <is>
          <t>STRÖMSUND</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64371-2023</t>
        </is>
      </c>
      <c r="B10649" s="1" t="n">
        <v>45280</v>
      </c>
      <c r="C10649" s="1" t="n">
        <v>45363</v>
      </c>
      <c r="D10649" t="inlineStr">
        <is>
          <t>JÄMTLANDS LÄN</t>
        </is>
      </c>
      <c r="E10649" t="inlineStr">
        <is>
          <t>HÄRJEDALEN</t>
        </is>
      </c>
      <c r="G10649" t="n">
        <v>31.8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64485-2023</t>
        </is>
      </c>
      <c r="B10650" s="1" t="n">
        <v>45280</v>
      </c>
      <c r="C10650" s="1" t="n">
        <v>45363</v>
      </c>
      <c r="D10650" t="inlineStr">
        <is>
          <t>JÄMTLANDS LÄN</t>
        </is>
      </c>
      <c r="E10650" t="inlineStr">
        <is>
          <t>HÄRJEDALEN</t>
        </is>
      </c>
      <c r="G10650" t="n">
        <v>21.3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64489-2023</t>
        </is>
      </c>
      <c r="B10651" s="1" t="n">
        <v>45280</v>
      </c>
      <c r="C10651" s="1" t="n">
        <v>45363</v>
      </c>
      <c r="D10651" t="inlineStr">
        <is>
          <t>JÄMTLANDS LÄN</t>
        </is>
      </c>
      <c r="E10651" t="inlineStr">
        <is>
          <t>BERG</t>
        </is>
      </c>
      <c r="F10651" t="inlineStr">
        <is>
          <t>Övriga Aktiebolag</t>
        </is>
      </c>
      <c r="G10651" t="n">
        <v>14.1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64486-2023</t>
        </is>
      </c>
      <c r="B10652" s="1" t="n">
        <v>45280</v>
      </c>
      <c r="C10652" s="1" t="n">
        <v>45363</v>
      </c>
      <c r="D10652" t="inlineStr">
        <is>
          <t>JÄMTLANDS LÄN</t>
        </is>
      </c>
      <c r="E10652" t="inlineStr">
        <is>
          <t>BERG</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64490-2023</t>
        </is>
      </c>
      <c r="B10653" s="1" t="n">
        <v>45280</v>
      </c>
      <c r="C10653" s="1" t="n">
        <v>45363</v>
      </c>
      <c r="D10653" t="inlineStr">
        <is>
          <t>JÄMTLANDS LÄN</t>
        </is>
      </c>
      <c r="E10653" t="inlineStr">
        <is>
          <t>BERG</t>
        </is>
      </c>
      <c r="F10653" t="inlineStr">
        <is>
          <t>Övriga Aktiebolag</t>
        </is>
      </c>
      <c r="G10653" t="n">
        <v>7.7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64314-2023</t>
        </is>
      </c>
      <c r="B10654" s="1" t="n">
        <v>45280</v>
      </c>
      <c r="C10654" s="1" t="n">
        <v>45363</v>
      </c>
      <c r="D10654" t="inlineStr">
        <is>
          <t>JÄMTLANDS LÄN</t>
        </is>
      </c>
      <c r="E10654" t="inlineStr">
        <is>
          <t>ÖSTERSUND</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64484-2023</t>
        </is>
      </c>
      <c r="B10655" s="1" t="n">
        <v>45280</v>
      </c>
      <c r="C10655" s="1" t="n">
        <v>45363</v>
      </c>
      <c r="D10655" t="inlineStr">
        <is>
          <t>JÄMTLANDS LÄN</t>
        </is>
      </c>
      <c r="E10655" t="inlineStr">
        <is>
          <t>HÄRJEDALEN</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64488-2023</t>
        </is>
      </c>
      <c r="B10656" s="1" t="n">
        <v>45280</v>
      </c>
      <c r="C10656" s="1" t="n">
        <v>45363</v>
      </c>
      <c r="D10656" t="inlineStr">
        <is>
          <t>JÄMTLANDS LÄN</t>
        </is>
      </c>
      <c r="E10656" t="inlineStr">
        <is>
          <t>BERG</t>
        </is>
      </c>
      <c r="F10656" t="inlineStr">
        <is>
          <t>Övriga Aktiebolag</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64492-2023</t>
        </is>
      </c>
      <c r="B10657" s="1" t="n">
        <v>45280</v>
      </c>
      <c r="C10657" s="1" t="n">
        <v>45363</v>
      </c>
      <c r="D10657" t="inlineStr">
        <is>
          <t>JÄMTLANDS LÄN</t>
        </is>
      </c>
      <c r="E10657" t="inlineStr">
        <is>
          <t>RAGUNDA</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64505-2023</t>
        </is>
      </c>
      <c r="B10658" s="1" t="n">
        <v>45280</v>
      </c>
      <c r="C10658" s="1" t="n">
        <v>45363</v>
      </c>
      <c r="D10658" t="inlineStr">
        <is>
          <t>JÄMTLANDS LÄN</t>
        </is>
      </c>
      <c r="E10658" t="inlineStr">
        <is>
          <t>STRÖMSUND</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64487-2023</t>
        </is>
      </c>
      <c r="B10659" s="1" t="n">
        <v>45280</v>
      </c>
      <c r="C10659" s="1" t="n">
        <v>45363</v>
      </c>
      <c r="D10659" t="inlineStr">
        <is>
          <t>JÄMTLANDS LÄN</t>
        </is>
      </c>
      <c r="E10659" t="inlineStr">
        <is>
          <t>BERG</t>
        </is>
      </c>
      <c r="F10659" t="inlineStr">
        <is>
          <t>Övriga Aktiebolag</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64559-2023</t>
        </is>
      </c>
      <c r="B10660" s="1" t="n">
        <v>45281</v>
      </c>
      <c r="C10660" s="1" t="n">
        <v>45363</v>
      </c>
      <c r="D10660" t="inlineStr">
        <is>
          <t>JÄMTLANDS LÄN</t>
        </is>
      </c>
      <c r="E10660" t="inlineStr">
        <is>
          <t>STRÖMSUND</t>
        </is>
      </c>
      <c r="F10660" t="inlineStr">
        <is>
          <t>Kyrkan</t>
        </is>
      </c>
      <c r="G10660" t="n">
        <v>16.2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64648-2023</t>
        </is>
      </c>
      <c r="B10661" s="1" t="n">
        <v>45281</v>
      </c>
      <c r="C10661" s="1" t="n">
        <v>45363</v>
      </c>
      <c r="D10661" t="inlineStr">
        <is>
          <t>JÄMTLANDS LÄN</t>
        </is>
      </c>
      <c r="E10661" t="inlineStr">
        <is>
          <t>HÄRJEDALEN</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64630-2023</t>
        </is>
      </c>
      <c r="B10662" s="1" t="n">
        <v>45281</v>
      </c>
      <c r="C10662" s="1" t="n">
        <v>45363</v>
      </c>
      <c r="D10662" t="inlineStr">
        <is>
          <t>JÄMTLANDS LÄN</t>
        </is>
      </c>
      <c r="E10662" t="inlineStr">
        <is>
          <t>HÄRJEDALEN</t>
        </is>
      </c>
      <c r="G10662" t="n">
        <v>82.2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64599-2023</t>
        </is>
      </c>
      <c r="B10663" s="1" t="n">
        <v>45281</v>
      </c>
      <c r="C10663" s="1" t="n">
        <v>45363</v>
      </c>
      <c r="D10663" t="inlineStr">
        <is>
          <t>JÄMTLANDS LÄN</t>
        </is>
      </c>
      <c r="E10663" t="inlineStr">
        <is>
          <t>STRÖMSUND</t>
        </is>
      </c>
      <c r="G10663" t="n">
        <v>7.1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64643-2023</t>
        </is>
      </c>
      <c r="B10664" s="1" t="n">
        <v>45281</v>
      </c>
      <c r="C10664" s="1" t="n">
        <v>45363</v>
      </c>
      <c r="D10664" t="inlineStr">
        <is>
          <t>JÄMTLANDS LÄN</t>
        </is>
      </c>
      <c r="E10664" t="inlineStr">
        <is>
          <t>BRÄCKE</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64647-2023</t>
        </is>
      </c>
      <c r="B10665" s="1" t="n">
        <v>45281</v>
      </c>
      <c r="C10665" s="1" t="n">
        <v>45363</v>
      </c>
      <c r="D10665" t="inlineStr">
        <is>
          <t>JÄMTLANDS LÄN</t>
        </is>
      </c>
      <c r="E10665" t="inlineStr">
        <is>
          <t>HÄRJEDALEN</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64645-2023</t>
        </is>
      </c>
      <c r="B10666" s="1" t="n">
        <v>45281</v>
      </c>
      <c r="C10666" s="1" t="n">
        <v>45363</v>
      </c>
      <c r="D10666" t="inlineStr">
        <is>
          <t>JÄMTLANDS LÄN</t>
        </is>
      </c>
      <c r="E10666" t="inlineStr">
        <is>
          <t>HÄRJEDALEN</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64662-2023</t>
        </is>
      </c>
      <c r="B10667" s="1" t="n">
        <v>45281</v>
      </c>
      <c r="C10667" s="1" t="n">
        <v>45363</v>
      </c>
      <c r="D10667" t="inlineStr">
        <is>
          <t>JÄMTLANDS LÄN</t>
        </is>
      </c>
      <c r="E10667" t="inlineStr">
        <is>
          <t>KROKOM</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64752-2023</t>
        </is>
      </c>
      <c r="B10668" s="1" t="n">
        <v>45281</v>
      </c>
      <c r="C10668" s="1" t="n">
        <v>45363</v>
      </c>
      <c r="D10668" t="inlineStr">
        <is>
          <t>JÄMTLANDS LÄN</t>
        </is>
      </c>
      <c r="E10668" t="inlineStr">
        <is>
          <t>BERG</t>
        </is>
      </c>
      <c r="F10668" t="inlineStr">
        <is>
          <t>Övriga Aktiebolag</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64758-2023</t>
        </is>
      </c>
      <c r="B10669" s="1" t="n">
        <v>45281</v>
      </c>
      <c r="C10669" s="1" t="n">
        <v>45363</v>
      </c>
      <c r="D10669" t="inlineStr">
        <is>
          <t>JÄMTLANDS LÄN</t>
        </is>
      </c>
      <c r="E10669" t="inlineStr">
        <is>
          <t>ÅRE</t>
        </is>
      </c>
      <c r="F10669" t="inlineStr">
        <is>
          <t>Övriga Aktiebolag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64757-2023</t>
        </is>
      </c>
      <c r="B10670" s="1" t="n">
        <v>45281</v>
      </c>
      <c r="C10670" s="1" t="n">
        <v>45363</v>
      </c>
      <c r="D10670" t="inlineStr">
        <is>
          <t>JÄMTLANDS LÄN</t>
        </is>
      </c>
      <c r="E10670" t="inlineStr">
        <is>
          <t>BRÄCKE</t>
        </is>
      </c>
      <c r="F10670" t="inlineStr">
        <is>
          <t>SCA</t>
        </is>
      </c>
      <c r="G10670" t="n">
        <v>11.7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64811-2023</t>
        </is>
      </c>
      <c r="B10671" s="1" t="n">
        <v>45281</v>
      </c>
      <c r="C10671" s="1" t="n">
        <v>45363</v>
      </c>
      <c r="D10671" t="inlineStr">
        <is>
          <t>JÄMTLANDS LÄN</t>
        </is>
      </c>
      <c r="E10671" t="inlineStr">
        <is>
          <t>ÖSTERSUND</t>
        </is>
      </c>
      <c r="G10671" t="n">
        <v>7.6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64956-2023</t>
        </is>
      </c>
      <c r="B10672" s="1" t="n">
        <v>45282</v>
      </c>
      <c r="C10672" s="1" t="n">
        <v>45363</v>
      </c>
      <c r="D10672" t="inlineStr">
        <is>
          <t>JÄMTLANDS LÄN</t>
        </is>
      </c>
      <c r="E10672" t="inlineStr">
        <is>
          <t>BERG</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64954-2023</t>
        </is>
      </c>
      <c r="B10673" s="1" t="n">
        <v>45282</v>
      </c>
      <c r="C10673" s="1" t="n">
        <v>45363</v>
      </c>
      <c r="D10673" t="inlineStr">
        <is>
          <t>JÄMTLANDS LÄN</t>
        </is>
      </c>
      <c r="E10673" t="inlineStr">
        <is>
          <t>ÖSTERSUND</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64957-2023</t>
        </is>
      </c>
      <c r="B10674" s="1" t="n">
        <v>45282</v>
      </c>
      <c r="C10674" s="1" t="n">
        <v>45363</v>
      </c>
      <c r="D10674" t="inlineStr">
        <is>
          <t>JÄMTLANDS LÄN</t>
        </is>
      </c>
      <c r="E10674" t="inlineStr">
        <is>
          <t>BERG</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64953-2023</t>
        </is>
      </c>
      <c r="B10675" s="1" t="n">
        <v>45282</v>
      </c>
      <c r="C10675" s="1" t="n">
        <v>45363</v>
      </c>
      <c r="D10675" t="inlineStr">
        <is>
          <t>JÄMTLANDS LÄN</t>
        </is>
      </c>
      <c r="E10675" t="inlineStr">
        <is>
          <t>ÖSTERSUND</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64955-2023</t>
        </is>
      </c>
      <c r="B10676" s="1" t="n">
        <v>45282</v>
      </c>
      <c r="C10676" s="1" t="n">
        <v>45363</v>
      </c>
      <c r="D10676" t="inlineStr">
        <is>
          <t>JÄMTLANDS LÄN</t>
        </is>
      </c>
      <c r="E10676" t="inlineStr">
        <is>
          <t>BERG</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64764-2023</t>
        </is>
      </c>
      <c r="B10677" s="1" t="n">
        <v>45282</v>
      </c>
      <c r="C10677" s="1" t="n">
        <v>45363</v>
      </c>
      <c r="D10677" t="inlineStr">
        <is>
          <t>JÄMTLANDS LÄN</t>
        </is>
      </c>
      <c r="E10677" t="inlineStr">
        <is>
          <t>KROKOM</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64909-2023</t>
        </is>
      </c>
      <c r="B10678" s="1" t="n">
        <v>45282</v>
      </c>
      <c r="C10678" s="1" t="n">
        <v>45363</v>
      </c>
      <c r="D10678" t="inlineStr">
        <is>
          <t>JÄMTLANDS LÄN</t>
        </is>
      </c>
      <c r="E10678" t="inlineStr">
        <is>
          <t>HÄRJEDALEN</t>
        </is>
      </c>
      <c r="F10678" t="inlineStr">
        <is>
          <t>Holmen skog AB</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64768-2023</t>
        </is>
      </c>
      <c r="B10679" s="1" t="n">
        <v>45282</v>
      </c>
      <c r="C10679" s="1" t="n">
        <v>45363</v>
      </c>
      <c r="D10679" t="inlineStr">
        <is>
          <t>JÄMTLANDS LÄN</t>
        </is>
      </c>
      <c r="E10679" t="inlineStr">
        <is>
          <t>KROKOM</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64759-2023</t>
        </is>
      </c>
      <c r="B10680" s="1" t="n">
        <v>45282</v>
      </c>
      <c r="C10680" s="1" t="n">
        <v>45363</v>
      </c>
      <c r="D10680" t="inlineStr">
        <is>
          <t>JÄMTLANDS LÄN</t>
        </is>
      </c>
      <c r="E10680" t="inlineStr">
        <is>
          <t>STRÖMSUND</t>
        </is>
      </c>
      <c r="G10680" t="n">
        <v>25.2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65033-2023</t>
        </is>
      </c>
      <c r="B10681" s="1" t="n">
        <v>45287</v>
      </c>
      <c r="C10681" s="1" t="n">
        <v>45363</v>
      </c>
      <c r="D10681" t="inlineStr">
        <is>
          <t>JÄMTLANDS LÄN</t>
        </is>
      </c>
      <c r="E10681" t="inlineStr">
        <is>
          <t>ÅRE</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65041-2023</t>
        </is>
      </c>
      <c r="B10682" s="1" t="n">
        <v>45287</v>
      </c>
      <c r="C10682" s="1" t="n">
        <v>45363</v>
      </c>
      <c r="D10682" t="inlineStr">
        <is>
          <t>JÄMTLANDS LÄN</t>
        </is>
      </c>
      <c r="E10682" t="inlineStr">
        <is>
          <t>BRÄCKE</t>
        </is>
      </c>
      <c r="G10682" t="n">
        <v>45.2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65078-2023</t>
        </is>
      </c>
      <c r="B10683" s="1" t="n">
        <v>45288</v>
      </c>
      <c r="C10683" s="1" t="n">
        <v>45363</v>
      </c>
      <c r="D10683" t="inlineStr">
        <is>
          <t>JÄMTLANDS LÄN</t>
        </is>
      </c>
      <c r="E10683" t="inlineStr">
        <is>
          <t>ÅRE</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65032-2023</t>
        </is>
      </c>
      <c r="B10684" s="1" t="n">
        <v>45287</v>
      </c>
      <c r="C10684" s="1" t="n">
        <v>45363</v>
      </c>
      <c r="D10684" t="inlineStr">
        <is>
          <t>JÄMTLANDS LÄN</t>
        </is>
      </c>
      <c r="E10684" t="inlineStr">
        <is>
          <t>HÄRJEDALEN</t>
        </is>
      </c>
      <c r="F10684" t="inlineStr">
        <is>
          <t>Holmen skog AB</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65079-2023</t>
        </is>
      </c>
      <c r="B10685" s="1" t="n">
        <v>45288</v>
      </c>
      <c r="C10685" s="1" t="n">
        <v>45363</v>
      </c>
      <c r="D10685" t="inlineStr">
        <is>
          <t>JÄMTLANDS LÄN</t>
        </is>
      </c>
      <c r="E10685" t="inlineStr">
        <is>
          <t>ÅRE</t>
        </is>
      </c>
      <c r="G10685" t="n">
        <v>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65029-2023</t>
        </is>
      </c>
      <c r="B10686" s="1" t="n">
        <v>45287</v>
      </c>
      <c r="C10686" s="1" t="n">
        <v>45363</v>
      </c>
      <c r="D10686" t="inlineStr">
        <is>
          <t>JÄMTLANDS LÄN</t>
        </is>
      </c>
      <c r="E10686" t="inlineStr">
        <is>
          <t>ÅRE</t>
        </is>
      </c>
      <c r="G10686" t="n">
        <v>18.2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65083-2023</t>
        </is>
      </c>
      <c r="B10687" s="1" t="n">
        <v>45287</v>
      </c>
      <c r="C10687" s="1" t="n">
        <v>45363</v>
      </c>
      <c r="D10687" t="inlineStr">
        <is>
          <t>JÄMTLANDS LÄN</t>
        </is>
      </c>
      <c r="E10687" t="inlineStr">
        <is>
          <t>RAGUNDA</t>
        </is>
      </c>
      <c r="G10687" t="n">
        <v>15.2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65152-2023</t>
        </is>
      </c>
      <c r="B10688" s="1" t="n">
        <v>45288</v>
      </c>
      <c r="C10688" s="1" t="n">
        <v>45363</v>
      </c>
      <c r="D10688" t="inlineStr">
        <is>
          <t>JÄMTLANDS LÄN</t>
        </is>
      </c>
      <c r="E10688" t="inlineStr">
        <is>
          <t>HÄRJEDALEN</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65096-2023</t>
        </is>
      </c>
      <c r="B10689" s="1" t="n">
        <v>45288</v>
      </c>
      <c r="C10689" s="1" t="n">
        <v>45363</v>
      </c>
      <c r="D10689" t="inlineStr">
        <is>
          <t>JÄMTLANDS LÄN</t>
        </is>
      </c>
      <c r="E10689" t="inlineStr">
        <is>
          <t>BRÄCKE</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65150-2023</t>
        </is>
      </c>
      <c r="B10690" s="1" t="n">
        <v>45288</v>
      </c>
      <c r="C10690" s="1" t="n">
        <v>45363</v>
      </c>
      <c r="D10690" t="inlineStr">
        <is>
          <t>JÄMTLANDS LÄN</t>
        </is>
      </c>
      <c r="E10690" t="inlineStr">
        <is>
          <t>HÄRJEDALEN</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65211-2023</t>
        </is>
      </c>
      <c r="B10691" s="1" t="n">
        <v>45289</v>
      </c>
      <c r="C10691" s="1" t="n">
        <v>45363</v>
      </c>
      <c r="D10691" t="inlineStr">
        <is>
          <t>JÄMTLANDS LÄN</t>
        </is>
      </c>
      <c r="E10691" t="inlineStr">
        <is>
          <t>BERG</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65207-2023</t>
        </is>
      </c>
      <c r="B10692" s="1" t="n">
        <v>45289</v>
      </c>
      <c r="C10692" s="1" t="n">
        <v>45363</v>
      </c>
      <c r="D10692" t="inlineStr">
        <is>
          <t>JÄMTLANDS LÄN</t>
        </is>
      </c>
      <c r="E10692" t="inlineStr">
        <is>
          <t>BERG</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65246-2023</t>
        </is>
      </c>
      <c r="B10693" s="1" t="n">
        <v>45290</v>
      </c>
      <c r="C10693" s="1" t="n">
        <v>45363</v>
      </c>
      <c r="D10693" t="inlineStr">
        <is>
          <t>JÄMTLANDS LÄN</t>
        </is>
      </c>
      <c r="E10693" t="inlineStr">
        <is>
          <t>BERG</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65242-2023</t>
        </is>
      </c>
      <c r="B10694" s="1" t="n">
        <v>45289</v>
      </c>
      <c r="C10694" s="1" t="n">
        <v>45363</v>
      </c>
      <c r="D10694" t="inlineStr">
        <is>
          <t>JÄMTLANDS LÄN</t>
        </is>
      </c>
      <c r="E10694" t="inlineStr">
        <is>
          <t>RAGUNDA</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65226-2023</t>
        </is>
      </c>
      <c r="B10695" s="1" t="n">
        <v>45289</v>
      </c>
      <c r="C10695" s="1" t="n">
        <v>45363</v>
      </c>
      <c r="D10695" t="inlineStr">
        <is>
          <t>JÄMTLANDS LÄN</t>
        </is>
      </c>
      <c r="E10695" t="inlineStr">
        <is>
          <t>BRÄCKE</t>
        </is>
      </c>
      <c r="G10695" t="n">
        <v>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65210-2023</t>
        </is>
      </c>
      <c r="B10696" s="1" t="n">
        <v>45289</v>
      </c>
      <c r="C10696" s="1" t="n">
        <v>45363</v>
      </c>
      <c r="D10696" t="inlineStr">
        <is>
          <t>JÄMTLANDS LÄN</t>
        </is>
      </c>
      <c r="E10696" t="inlineStr">
        <is>
          <t>BERG</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65209-2023</t>
        </is>
      </c>
      <c r="B10697" s="1" t="n">
        <v>45289</v>
      </c>
      <c r="C10697" s="1" t="n">
        <v>45363</v>
      </c>
      <c r="D10697" t="inlineStr">
        <is>
          <t>JÄMTLANDS LÄN</t>
        </is>
      </c>
      <c r="E10697" t="inlineStr">
        <is>
          <t>BERG</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65205-2023</t>
        </is>
      </c>
      <c r="B10698" s="1" t="n">
        <v>45289</v>
      </c>
      <c r="C10698" s="1" t="n">
        <v>45363</v>
      </c>
      <c r="D10698" t="inlineStr">
        <is>
          <t>JÄMTLANDS LÄN</t>
        </is>
      </c>
      <c r="E10698" t="inlineStr">
        <is>
          <t>BERG</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65236-2023</t>
        </is>
      </c>
      <c r="B10699" s="1" t="n">
        <v>45289</v>
      </c>
      <c r="C10699" s="1" t="n">
        <v>45363</v>
      </c>
      <c r="D10699" t="inlineStr">
        <is>
          <t>JÄMTLANDS LÄN</t>
        </is>
      </c>
      <c r="E10699" t="inlineStr">
        <is>
          <t>KROKOM</t>
        </is>
      </c>
      <c r="G10699" t="n">
        <v>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65216-2023</t>
        </is>
      </c>
      <c r="B10700" s="1" t="n">
        <v>45289</v>
      </c>
      <c r="C10700" s="1" t="n">
        <v>45363</v>
      </c>
      <c r="D10700" t="inlineStr">
        <is>
          <t>JÄMTLANDS LÄN</t>
        </is>
      </c>
      <c r="E10700" t="inlineStr">
        <is>
          <t>RAGUNDA</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65212-2023</t>
        </is>
      </c>
      <c r="B10701" s="1" t="n">
        <v>45289</v>
      </c>
      <c r="C10701" s="1" t="n">
        <v>45363</v>
      </c>
      <c r="D10701" t="inlineStr">
        <is>
          <t>JÄMTLANDS LÄN</t>
        </is>
      </c>
      <c r="E10701" t="inlineStr">
        <is>
          <t>BERG</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65248-2023</t>
        </is>
      </c>
      <c r="B10702" s="1" t="n">
        <v>45290</v>
      </c>
      <c r="C10702" s="1" t="n">
        <v>45363</v>
      </c>
      <c r="D10702" t="inlineStr">
        <is>
          <t>JÄMTLANDS LÄN</t>
        </is>
      </c>
      <c r="E10702" t="inlineStr">
        <is>
          <t>HÄRJEDALEN</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36-2024</t>
        </is>
      </c>
      <c r="B10703" s="1" t="n">
        <v>45293</v>
      </c>
      <c r="C10703" s="1" t="n">
        <v>45363</v>
      </c>
      <c r="D10703" t="inlineStr">
        <is>
          <t>JÄMTLANDS LÄN</t>
        </is>
      </c>
      <c r="E10703" t="inlineStr">
        <is>
          <t>BERG</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40-2024</t>
        </is>
      </c>
      <c r="B10704" s="1" t="n">
        <v>45293</v>
      </c>
      <c r="C10704" s="1" t="n">
        <v>45363</v>
      </c>
      <c r="D10704" t="inlineStr">
        <is>
          <t>JÄMTLANDS LÄN</t>
        </is>
      </c>
      <c r="E10704" t="inlineStr">
        <is>
          <t>HÄRJEDALEN</t>
        </is>
      </c>
      <c r="G10704" t="n">
        <v>24.2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56-2024</t>
        </is>
      </c>
      <c r="B10705" s="1" t="n">
        <v>45293</v>
      </c>
      <c r="C10705" s="1" t="n">
        <v>45363</v>
      </c>
      <c r="D10705" t="inlineStr">
        <is>
          <t>JÄMTLANDS LÄN</t>
        </is>
      </c>
      <c r="E10705" t="inlineStr">
        <is>
          <t>STRÖMSUND</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6-2024</t>
        </is>
      </c>
      <c r="B10706" s="1" t="n">
        <v>45293</v>
      </c>
      <c r="C10706" s="1" t="n">
        <v>45363</v>
      </c>
      <c r="D10706" t="inlineStr">
        <is>
          <t>JÄMTLANDS LÄN</t>
        </is>
      </c>
      <c r="E10706" t="inlineStr">
        <is>
          <t>STRÖMSUND</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38-2024</t>
        </is>
      </c>
      <c r="B10707" s="1" t="n">
        <v>45293</v>
      </c>
      <c r="C10707" s="1" t="n">
        <v>45363</v>
      </c>
      <c r="D10707" t="inlineStr">
        <is>
          <t>JÄMTLANDS LÄN</t>
        </is>
      </c>
      <c r="E10707" t="inlineStr">
        <is>
          <t>BERG</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54-2024</t>
        </is>
      </c>
      <c r="B10708" s="1" t="n">
        <v>45293</v>
      </c>
      <c r="C10708" s="1" t="n">
        <v>45363</v>
      </c>
      <c r="D10708" t="inlineStr">
        <is>
          <t>JÄMTLANDS LÄN</t>
        </is>
      </c>
      <c r="E10708" t="inlineStr">
        <is>
          <t>HÄRJEDALEN</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107-2024</t>
        </is>
      </c>
      <c r="B10709" s="1" t="n">
        <v>45293</v>
      </c>
      <c r="C10709" s="1" t="n">
        <v>45363</v>
      </c>
      <c r="D10709" t="inlineStr">
        <is>
          <t>JÄMTLANDS LÄN</t>
        </is>
      </c>
      <c r="E10709" t="inlineStr">
        <is>
          <t>BRÄCKE</t>
        </is>
      </c>
      <c r="F10709" t="inlineStr">
        <is>
          <t>SCA</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162-2024</t>
        </is>
      </c>
      <c r="B10710" s="1" t="n">
        <v>45294</v>
      </c>
      <c r="C10710" s="1" t="n">
        <v>45363</v>
      </c>
      <c r="D10710" t="inlineStr">
        <is>
          <t>JÄMTLANDS LÄN</t>
        </is>
      </c>
      <c r="E10710" t="inlineStr">
        <is>
          <t>BERG</t>
        </is>
      </c>
      <c r="F10710" t="inlineStr">
        <is>
          <t>Kyrkan</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149-2024</t>
        </is>
      </c>
      <c r="B10711" s="1" t="n">
        <v>45294</v>
      </c>
      <c r="C10711" s="1" t="n">
        <v>45363</v>
      </c>
      <c r="D10711" t="inlineStr">
        <is>
          <t>JÄMTLANDS LÄN</t>
        </is>
      </c>
      <c r="E10711" t="inlineStr">
        <is>
          <t>BERG</t>
        </is>
      </c>
      <c r="F10711" t="inlineStr">
        <is>
          <t>Kyrkan</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254-2024</t>
        </is>
      </c>
      <c r="B10712" s="1" t="n">
        <v>45294</v>
      </c>
      <c r="C10712" s="1" t="n">
        <v>45363</v>
      </c>
      <c r="D10712" t="inlineStr">
        <is>
          <t>JÄMTLANDS LÄN</t>
        </is>
      </c>
      <c r="E10712" t="inlineStr">
        <is>
          <t>STRÖMSUND</t>
        </is>
      </c>
      <c r="F10712" t="inlineStr">
        <is>
          <t>SCA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166-2024</t>
        </is>
      </c>
      <c r="B10713" s="1" t="n">
        <v>45294</v>
      </c>
      <c r="C10713" s="1" t="n">
        <v>45363</v>
      </c>
      <c r="D10713" t="inlineStr">
        <is>
          <t>JÄMTLANDS LÄN</t>
        </is>
      </c>
      <c r="E10713" t="inlineStr">
        <is>
          <t>BERG</t>
        </is>
      </c>
      <c r="F10713" t="inlineStr">
        <is>
          <t>Kyrkan</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247-2024</t>
        </is>
      </c>
      <c r="B10714" s="1" t="n">
        <v>45294</v>
      </c>
      <c r="C10714" s="1" t="n">
        <v>45363</v>
      </c>
      <c r="D10714" t="inlineStr">
        <is>
          <t>JÄMTLANDS LÄN</t>
        </is>
      </c>
      <c r="E10714" t="inlineStr">
        <is>
          <t>STRÖMSUND</t>
        </is>
      </c>
      <c r="F10714" t="inlineStr">
        <is>
          <t>SCA</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393-2024</t>
        </is>
      </c>
      <c r="B10715" s="1" t="n">
        <v>45296</v>
      </c>
      <c r="C10715" s="1" t="n">
        <v>45363</v>
      </c>
      <c r="D10715" t="inlineStr">
        <is>
          <t>JÄMTLANDS LÄN</t>
        </is>
      </c>
      <c r="E10715" t="inlineStr">
        <is>
          <t>ÅRE</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376-2024</t>
        </is>
      </c>
      <c r="B10716" s="1" t="n">
        <v>45296</v>
      </c>
      <c r="C10716" s="1" t="n">
        <v>45363</v>
      </c>
      <c r="D10716" t="inlineStr">
        <is>
          <t>JÄMTLANDS LÄN</t>
        </is>
      </c>
      <c r="E10716" t="inlineStr">
        <is>
          <t>ÅRE</t>
        </is>
      </c>
      <c r="F10716" t="inlineStr">
        <is>
          <t>Kyrkan</t>
        </is>
      </c>
      <c r="G10716" t="n">
        <v>9.199999999999999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417-2024</t>
        </is>
      </c>
      <c r="B10717" s="1" t="n">
        <v>45296</v>
      </c>
      <c r="C10717" s="1" t="n">
        <v>45363</v>
      </c>
      <c r="D10717" t="inlineStr">
        <is>
          <t>JÄMTLANDS LÄN</t>
        </is>
      </c>
      <c r="E10717" t="inlineStr">
        <is>
          <t>KROKOM</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440-2024</t>
        </is>
      </c>
      <c r="B10718" s="1" t="n">
        <v>45296</v>
      </c>
      <c r="C10718" s="1" t="n">
        <v>45363</v>
      </c>
      <c r="D10718" t="inlineStr">
        <is>
          <t>JÄMTLANDS LÄN</t>
        </is>
      </c>
      <c r="E10718" t="inlineStr">
        <is>
          <t>ÖSTERSUND</t>
        </is>
      </c>
      <c r="F10718" t="inlineStr">
        <is>
          <t>Kommuner</t>
        </is>
      </c>
      <c r="G10718" t="n">
        <v>10.1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477-2024</t>
        </is>
      </c>
      <c r="B10719" s="1" t="n">
        <v>45298</v>
      </c>
      <c r="C10719" s="1" t="n">
        <v>45363</v>
      </c>
      <c r="D10719" t="inlineStr">
        <is>
          <t>JÄMTLANDS LÄN</t>
        </is>
      </c>
      <c r="E10719" t="inlineStr">
        <is>
          <t>BRÄCKE</t>
        </is>
      </c>
      <c r="F10719" t="inlineStr">
        <is>
          <t>SCA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484-2024</t>
        </is>
      </c>
      <c r="B10720" s="1" t="n">
        <v>45298</v>
      </c>
      <c r="C10720" s="1" t="n">
        <v>45363</v>
      </c>
      <c r="D10720" t="inlineStr">
        <is>
          <t>JÄMTLANDS LÄN</t>
        </is>
      </c>
      <c r="E10720" t="inlineStr">
        <is>
          <t>ÖSTERSUND</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485-2024</t>
        </is>
      </c>
      <c r="B10721" s="1" t="n">
        <v>45298</v>
      </c>
      <c r="C10721" s="1" t="n">
        <v>45363</v>
      </c>
      <c r="D10721" t="inlineStr">
        <is>
          <t>JÄMTLANDS LÄN</t>
        </is>
      </c>
      <c r="E10721" t="inlineStr">
        <is>
          <t>ÖSTERSUND</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508-2024</t>
        </is>
      </c>
      <c r="B10722" s="1" t="n">
        <v>45299</v>
      </c>
      <c r="C10722" s="1" t="n">
        <v>45363</v>
      </c>
      <c r="D10722" t="inlineStr">
        <is>
          <t>JÄMTLANDS LÄN</t>
        </is>
      </c>
      <c r="E10722" t="inlineStr">
        <is>
          <t>STRÖMSUND</t>
        </is>
      </c>
      <c r="G10722" t="n">
        <v>13.1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620-2024</t>
        </is>
      </c>
      <c r="B10723" s="1" t="n">
        <v>45299</v>
      </c>
      <c r="C10723" s="1" t="n">
        <v>45363</v>
      </c>
      <c r="D10723" t="inlineStr">
        <is>
          <t>JÄMTLANDS LÄN</t>
        </is>
      </c>
      <c r="E10723" t="inlineStr">
        <is>
          <t>BERG</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655-2024</t>
        </is>
      </c>
      <c r="B10724" s="1" t="n">
        <v>45299</v>
      </c>
      <c r="C10724" s="1" t="n">
        <v>45363</v>
      </c>
      <c r="D10724" t="inlineStr">
        <is>
          <t>JÄMTLANDS LÄN</t>
        </is>
      </c>
      <c r="E10724" t="inlineStr">
        <is>
          <t>STRÖMSUND</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662-2024</t>
        </is>
      </c>
      <c r="B10725" s="1" t="n">
        <v>45299</v>
      </c>
      <c r="C10725" s="1" t="n">
        <v>45363</v>
      </c>
      <c r="D10725" t="inlineStr">
        <is>
          <t>JÄMTLANDS LÄN</t>
        </is>
      </c>
      <c r="E10725" t="inlineStr">
        <is>
          <t>BRÄCKE</t>
        </is>
      </c>
      <c r="F10725" t="inlineStr">
        <is>
          <t>SCA</t>
        </is>
      </c>
      <c r="G10725" t="n">
        <v>9.5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704-2024</t>
        </is>
      </c>
      <c r="B10726" s="1" t="n">
        <v>45300</v>
      </c>
      <c r="C10726" s="1" t="n">
        <v>45363</v>
      </c>
      <c r="D10726" t="inlineStr">
        <is>
          <t>JÄMTLANDS LÄN</t>
        </is>
      </c>
      <c r="E10726" t="inlineStr">
        <is>
          <t>KROKOM</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748-2024</t>
        </is>
      </c>
      <c r="B10727" s="1" t="n">
        <v>45300</v>
      </c>
      <c r="C10727" s="1" t="n">
        <v>45363</v>
      </c>
      <c r="D10727" t="inlineStr">
        <is>
          <t>JÄMTLANDS LÄN</t>
        </is>
      </c>
      <c r="E10727" t="inlineStr">
        <is>
          <t>ÖSTERSUND</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773-2024</t>
        </is>
      </c>
      <c r="B10728" s="1" t="n">
        <v>45300</v>
      </c>
      <c r="C10728" s="1" t="n">
        <v>45363</v>
      </c>
      <c r="D10728" t="inlineStr">
        <is>
          <t>JÄMTLANDS LÄN</t>
        </is>
      </c>
      <c r="E10728" t="inlineStr">
        <is>
          <t>KROKOM</t>
        </is>
      </c>
      <c r="G10728" t="n">
        <v>8.699999999999999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715-2024</t>
        </is>
      </c>
      <c r="B10729" s="1" t="n">
        <v>45300</v>
      </c>
      <c r="C10729" s="1" t="n">
        <v>45363</v>
      </c>
      <c r="D10729" t="inlineStr">
        <is>
          <t>JÄMTLANDS LÄN</t>
        </is>
      </c>
      <c r="E10729" t="inlineStr">
        <is>
          <t>KROKOM</t>
        </is>
      </c>
      <c r="G10729" t="n">
        <v>15.2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739-2024</t>
        </is>
      </c>
      <c r="B10730" s="1" t="n">
        <v>45300</v>
      </c>
      <c r="C10730" s="1" t="n">
        <v>45363</v>
      </c>
      <c r="D10730" t="inlineStr">
        <is>
          <t>JÄMTLANDS LÄN</t>
        </is>
      </c>
      <c r="E10730" t="inlineStr">
        <is>
          <t>KROKOM</t>
        </is>
      </c>
      <c r="G10730" t="n">
        <v>10.3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747-2024</t>
        </is>
      </c>
      <c r="B10731" s="1" t="n">
        <v>45300</v>
      </c>
      <c r="C10731" s="1" t="n">
        <v>45363</v>
      </c>
      <c r="D10731" t="inlineStr">
        <is>
          <t>JÄMTLANDS LÄN</t>
        </is>
      </c>
      <c r="E10731" t="inlineStr">
        <is>
          <t>ÅRE</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785-2024</t>
        </is>
      </c>
      <c r="B10732" s="1" t="n">
        <v>45300</v>
      </c>
      <c r="C10732" s="1" t="n">
        <v>45363</v>
      </c>
      <c r="D10732" t="inlineStr">
        <is>
          <t>JÄMTLANDS LÄN</t>
        </is>
      </c>
      <c r="E10732" t="inlineStr">
        <is>
          <t>KROKOM</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846-2024</t>
        </is>
      </c>
      <c r="B10733" s="1" t="n">
        <v>45300</v>
      </c>
      <c r="C10733" s="1" t="n">
        <v>45363</v>
      </c>
      <c r="D10733" t="inlineStr">
        <is>
          <t>JÄMTLANDS LÄN</t>
        </is>
      </c>
      <c r="E10733" t="inlineStr">
        <is>
          <t>ÖSTERSUND</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861-2024</t>
        </is>
      </c>
      <c r="B10734" s="1" t="n">
        <v>45301</v>
      </c>
      <c r="C10734" s="1" t="n">
        <v>45363</v>
      </c>
      <c r="D10734" t="inlineStr">
        <is>
          <t>JÄMTLANDS LÄN</t>
        </is>
      </c>
      <c r="E10734" t="inlineStr">
        <is>
          <t>BRÄCKE</t>
        </is>
      </c>
      <c r="G10734" t="n">
        <v>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872-2024</t>
        </is>
      </c>
      <c r="B10735" s="1" t="n">
        <v>45301</v>
      </c>
      <c r="C10735" s="1" t="n">
        <v>45363</v>
      </c>
      <c r="D10735" t="inlineStr">
        <is>
          <t>JÄMTLANDS LÄN</t>
        </is>
      </c>
      <c r="E10735" t="inlineStr">
        <is>
          <t>STRÖMSUND</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1055-2024</t>
        </is>
      </c>
      <c r="B10736" s="1" t="n">
        <v>45302</v>
      </c>
      <c r="C10736" s="1" t="n">
        <v>45363</v>
      </c>
      <c r="D10736" t="inlineStr">
        <is>
          <t>JÄMTLANDS LÄN</t>
        </is>
      </c>
      <c r="E10736" t="inlineStr">
        <is>
          <t>STRÖMSUND</t>
        </is>
      </c>
      <c r="F10736" t="inlineStr">
        <is>
          <t>SCA</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1050-2024</t>
        </is>
      </c>
      <c r="B10737" s="1" t="n">
        <v>45301</v>
      </c>
      <c r="C10737" s="1" t="n">
        <v>45363</v>
      </c>
      <c r="D10737" t="inlineStr">
        <is>
          <t>JÄMTLANDS LÄN</t>
        </is>
      </c>
      <c r="E10737" t="inlineStr">
        <is>
          <t>ÅRE</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1053-2024</t>
        </is>
      </c>
      <c r="B10738" s="1" t="n">
        <v>45302</v>
      </c>
      <c r="C10738" s="1" t="n">
        <v>45363</v>
      </c>
      <c r="D10738" t="inlineStr">
        <is>
          <t>JÄMTLANDS LÄN</t>
        </is>
      </c>
      <c r="E10738" t="inlineStr">
        <is>
          <t>STRÖMSUND</t>
        </is>
      </c>
      <c r="F10738" t="inlineStr">
        <is>
          <t>SCA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1130-2024</t>
        </is>
      </c>
      <c r="B10739" s="1" t="n">
        <v>45302</v>
      </c>
      <c r="C10739" s="1" t="n">
        <v>45363</v>
      </c>
      <c r="D10739" t="inlineStr">
        <is>
          <t>JÄMTLANDS LÄN</t>
        </is>
      </c>
      <c r="E10739" t="inlineStr">
        <is>
          <t>RAGUNDA</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1159-2024</t>
        </is>
      </c>
      <c r="B10740" s="1" t="n">
        <v>45302</v>
      </c>
      <c r="C10740" s="1" t="n">
        <v>45363</v>
      </c>
      <c r="D10740" t="inlineStr">
        <is>
          <t>JÄMTLANDS LÄN</t>
        </is>
      </c>
      <c r="E10740" t="inlineStr">
        <is>
          <t>ÖSTERSUND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1226-2024</t>
        </is>
      </c>
      <c r="B10741" s="1" t="n">
        <v>45302</v>
      </c>
      <c r="C10741" s="1" t="n">
        <v>45363</v>
      </c>
      <c r="D10741" t="inlineStr">
        <is>
          <t>JÄMTLANDS LÄN</t>
        </is>
      </c>
      <c r="E10741" t="inlineStr">
        <is>
          <t>STRÖMSUND</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1109-2024</t>
        </is>
      </c>
      <c r="B10742" s="1" t="n">
        <v>45302</v>
      </c>
      <c r="C10742" s="1" t="n">
        <v>45363</v>
      </c>
      <c r="D10742" t="inlineStr">
        <is>
          <t>JÄMTLANDS LÄN</t>
        </is>
      </c>
      <c r="E10742" t="inlineStr">
        <is>
          <t>KROKOM</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1113-2024</t>
        </is>
      </c>
      <c r="B10743" s="1" t="n">
        <v>45302</v>
      </c>
      <c r="C10743" s="1" t="n">
        <v>45363</v>
      </c>
      <c r="D10743" t="inlineStr">
        <is>
          <t>JÄMTLANDS LÄN</t>
        </is>
      </c>
      <c r="E10743" t="inlineStr">
        <is>
          <t>STRÖMSUND</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1123-2024</t>
        </is>
      </c>
      <c r="B10744" s="1" t="n">
        <v>45302</v>
      </c>
      <c r="C10744" s="1" t="n">
        <v>45363</v>
      </c>
      <c r="D10744" t="inlineStr">
        <is>
          <t>JÄMTLANDS LÄN</t>
        </is>
      </c>
      <c r="E10744" t="inlineStr">
        <is>
          <t>RAGUNDA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1211-2024</t>
        </is>
      </c>
      <c r="B10745" s="1" t="n">
        <v>45302</v>
      </c>
      <c r="C10745" s="1" t="n">
        <v>45363</v>
      </c>
      <c r="D10745" t="inlineStr">
        <is>
          <t>JÄMTLANDS LÄN</t>
        </is>
      </c>
      <c r="E10745" t="inlineStr">
        <is>
          <t>HÄRJEDALEN</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1277-2024</t>
        </is>
      </c>
      <c r="B10746" s="1" t="n">
        <v>45303</v>
      </c>
      <c r="C10746" s="1" t="n">
        <v>45363</v>
      </c>
      <c r="D10746" t="inlineStr">
        <is>
          <t>JÄMTLANDS LÄN</t>
        </is>
      </c>
      <c r="E10746" t="inlineStr">
        <is>
          <t>BRÄCKE</t>
        </is>
      </c>
      <c r="F10746" t="inlineStr">
        <is>
          <t>SCA</t>
        </is>
      </c>
      <c r="G10746" t="n">
        <v>25.7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1271-2024</t>
        </is>
      </c>
      <c r="B10747" s="1" t="n">
        <v>45302</v>
      </c>
      <c r="C10747" s="1" t="n">
        <v>45363</v>
      </c>
      <c r="D10747" t="inlineStr">
        <is>
          <t>JÄMTLANDS LÄN</t>
        </is>
      </c>
      <c r="E10747" t="inlineStr">
        <is>
          <t>STRÖMSUND</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1270-2024</t>
        </is>
      </c>
      <c r="B10748" s="1" t="n">
        <v>45302</v>
      </c>
      <c r="C10748" s="1" t="n">
        <v>45363</v>
      </c>
      <c r="D10748" t="inlineStr">
        <is>
          <t>JÄMTLANDS LÄN</t>
        </is>
      </c>
      <c r="E10748" t="inlineStr">
        <is>
          <t>STRÖMSUND</t>
        </is>
      </c>
      <c r="G10748" t="n">
        <v>13.6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1366-2024</t>
        </is>
      </c>
      <c r="B10749" s="1" t="n">
        <v>45303</v>
      </c>
      <c r="C10749" s="1" t="n">
        <v>45363</v>
      </c>
      <c r="D10749" t="inlineStr">
        <is>
          <t>JÄMTLANDS LÄN</t>
        </is>
      </c>
      <c r="E10749" t="inlineStr">
        <is>
          <t>HÄRJEDALEN</t>
        </is>
      </c>
      <c r="G10749" t="n">
        <v>7.5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1378-2024</t>
        </is>
      </c>
      <c r="B10750" s="1" t="n">
        <v>45303</v>
      </c>
      <c r="C10750" s="1" t="n">
        <v>45363</v>
      </c>
      <c r="D10750" t="inlineStr">
        <is>
          <t>JÄMTLANDS LÄN</t>
        </is>
      </c>
      <c r="E10750" t="inlineStr">
        <is>
          <t>ÅRE</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1398-2024</t>
        </is>
      </c>
      <c r="B10751" s="1" t="n">
        <v>45303</v>
      </c>
      <c r="C10751" s="1" t="n">
        <v>45363</v>
      </c>
      <c r="D10751" t="inlineStr">
        <is>
          <t>JÄMTLANDS LÄN</t>
        </is>
      </c>
      <c r="E10751" t="inlineStr">
        <is>
          <t>HÄRJEDALEN</t>
        </is>
      </c>
      <c r="G10751" t="n">
        <v>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1364-2024</t>
        </is>
      </c>
      <c r="B10752" s="1" t="n">
        <v>45303</v>
      </c>
      <c r="C10752" s="1" t="n">
        <v>45363</v>
      </c>
      <c r="D10752" t="inlineStr">
        <is>
          <t>JÄMTLANDS LÄN</t>
        </is>
      </c>
      <c r="E10752" t="inlineStr">
        <is>
          <t>HÄRJEDALEN</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1376-2024</t>
        </is>
      </c>
      <c r="B10753" s="1" t="n">
        <v>45303</v>
      </c>
      <c r="C10753" s="1" t="n">
        <v>45363</v>
      </c>
      <c r="D10753" t="inlineStr">
        <is>
          <t>JÄMTLANDS LÄN</t>
        </is>
      </c>
      <c r="E10753" t="inlineStr">
        <is>
          <t>STRÖMSUND</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1465-2024</t>
        </is>
      </c>
      <c r="B10754" s="1" t="n">
        <v>45304</v>
      </c>
      <c r="C10754" s="1" t="n">
        <v>45363</v>
      </c>
      <c r="D10754" t="inlineStr">
        <is>
          <t>JÄMTLANDS LÄN</t>
        </is>
      </c>
      <c r="E10754" t="inlineStr">
        <is>
          <t>RAGUNDA</t>
        </is>
      </c>
      <c r="F10754" t="inlineStr">
        <is>
          <t>SCA</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1466-2024</t>
        </is>
      </c>
      <c r="B10755" s="1" t="n">
        <v>45304</v>
      </c>
      <c r="C10755" s="1" t="n">
        <v>45363</v>
      </c>
      <c r="D10755" t="inlineStr">
        <is>
          <t>JÄMTLANDS LÄN</t>
        </is>
      </c>
      <c r="E10755" t="inlineStr">
        <is>
          <t>RAGUNDA</t>
        </is>
      </c>
      <c r="F10755" t="inlineStr">
        <is>
          <t>SCA</t>
        </is>
      </c>
      <c r="G10755" t="n">
        <v>9.699999999999999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1361-2024</t>
        </is>
      </c>
      <c r="B10756" s="1" t="n">
        <v>45303</v>
      </c>
      <c r="C10756" s="1" t="n">
        <v>45363</v>
      </c>
      <c r="D10756" t="inlineStr">
        <is>
          <t>JÄMTLANDS LÄN</t>
        </is>
      </c>
      <c r="E10756" t="inlineStr">
        <is>
          <t>HÄRJEDALEN</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1460-2024</t>
        </is>
      </c>
      <c r="B10757" s="1" t="n">
        <v>45303</v>
      </c>
      <c r="C10757" s="1" t="n">
        <v>45363</v>
      </c>
      <c r="D10757" t="inlineStr">
        <is>
          <t>JÄMTLANDS LÄN</t>
        </is>
      </c>
      <c r="E10757" t="inlineStr">
        <is>
          <t>ÅRE</t>
        </is>
      </c>
      <c r="F10757" t="inlineStr">
        <is>
          <t>Övriga Aktiebolag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1464-2024</t>
        </is>
      </c>
      <c r="B10758" s="1" t="n">
        <v>45304</v>
      </c>
      <c r="C10758" s="1" t="n">
        <v>45363</v>
      </c>
      <c r="D10758" t="inlineStr">
        <is>
          <t>JÄMTLANDS LÄN</t>
        </is>
      </c>
      <c r="E10758" t="inlineStr">
        <is>
          <t>KROKOM</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1491-2024</t>
        </is>
      </c>
      <c r="B10759" s="1" t="n">
        <v>45305</v>
      </c>
      <c r="C10759" s="1" t="n">
        <v>45363</v>
      </c>
      <c r="D10759" t="inlineStr">
        <is>
          <t>JÄMTLANDS LÄN</t>
        </is>
      </c>
      <c r="E10759" t="inlineStr">
        <is>
          <t>ÅRE</t>
        </is>
      </c>
      <c r="G10759" t="n">
        <v>31.4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1556-2024</t>
        </is>
      </c>
      <c r="B10760" s="1" t="n">
        <v>45306</v>
      </c>
      <c r="C10760" s="1" t="n">
        <v>45363</v>
      </c>
      <c r="D10760" t="inlineStr">
        <is>
          <t>JÄMTLANDS LÄN</t>
        </is>
      </c>
      <c r="E10760" t="inlineStr">
        <is>
          <t>KROKOM</t>
        </is>
      </c>
      <c r="G10760" t="n">
        <v>10.3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1537-2024</t>
        </is>
      </c>
      <c r="B10761" s="1" t="n">
        <v>45306</v>
      </c>
      <c r="C10761" s="1" t="n">
        <v>45363</v>
      </c>
      <c r="D10761" t="inlineStr">
        <is>
          <t>JÄMTLANDS LÄN</t>
        </is>
      </c>
      <c r="E10761" t="inlineStr">
        <is>
          <t>RAGUNDA</t>
        </is>
      </c>
      <c r="G10761" t="n">
        <v>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1554-2024</t>
        </is>
      </c>
      <c r="B10762" s="1" t="n">
        <v>45306</v>
      </c>
      <c r="C10762" s="1" t="n">
        <v>45363</v>
      </c>
      <c r="D10762" t="inlineStr">
        <is>
          <t>JÄMTLANDS LÄN</t>
        </is>
      </c>
      <c r="E10762" t="inlineStr">
        <is>
          <t>RAGUNDA</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1593-2024</t>
        </is>
      </c>
      <c r="B10763" s="1" t="n">
        <v>45306</v>
      </c>
      <c r="C10763" s="1" t="n">
        <v>45363</v>
      </c>
      <c r="D10763" t="inlineStr">
        <is>
          <t>JÄMTLANDS LÄN</t>
        </is>
      </c>
      <c r="E10763" t="inlineStr">
        <is>
          <t>BERG</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1609-2024</t>
        </is>
      </c>
      <c r="B10764" s="1" t="n">
        <v>45306</v>
      </c>
      <c r="C10764" s="1" t="n">
        <v>45363</v>
      </c>
      <c r="D10764" t="inlineStr">
        <is>
          <t>JÄMTLANDS LÄN</t>
        </is>
      </c>
      <c r="E10764" t="inlineStr">
        <is>
          <t>STRÖMSUND</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1596-2024</t>
        </is>
      </c>
      <c r="B10765" s="1" t="n">
        <v>45306</v>
      </c>
      <c r="C10765" s="1" t="n">
        <v>45363</v>
      </c>
      <c r="D10765" t="inlineStr">
        <is>
          <t>JÄMTLANDS LÄN</t>
        </is>
      </c>
      <c r="E10765" t="inlineStr">
        <is>
          <t>BERG</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1523-2024</t>
        </is>
      </c>
      <c r="B10766" s="1" t="n">
        <v>45306</v>
      </c>
      <c r="C10766" s="1" t="n">
        <v>45363</v>
      </c>
      <c r="D10766" t="inlineStr">
        <is>
          <t>JÄMTLANDS LÄN</t>
        </is>
      </c>
      <c r="E10766" t="inlineStr">
        <is>
          <t>RAGUNDA</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1587-2024</t>
        </is>
      </c>
      <c r="B10767" s="1" t="n">
        <v>45306</v>
      </c>
      <c r="C10767" s="1" t="n">
        <v>45363</v>
      </c>
      <c r="D10767" t="inlineStr">
        <is>
          <t>JÄMTLANDS LÄN</t>
        </is>
      </c>
      <c r="E10767" t="inlineStr">
        <is>
          <t>HÄRJEDALEN</t>
        </is>
      </c>
      <c r="G10767" t="n">
        <v>13.1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1669-2024</t>
        </is>
      </c>
      <c r="B10768" s="1" t="n">
        <v>45306</v>
      </c>
      <c r="C10768" s="1" t="n">
        <v>45363</v>
      </c>
      <c r="D10768" t="inlineStr">
        <is>
          <t>JÄMTLANDS LÄN</t>
        </is>
      </c>
      <c r="E10768" t="inlineStr">
        <is>
          <t>ÖSTERSUND</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1682-2024</t>
        </is>
      </c>
      <c r="B10769" s="1" t="n">
        <v>45307</v>
      </c>
      <c r="C10769" s="1" t="n">
        <v>45363</v>
      </c>
      <c r="D10769" t="inlineStr">
        <is>
          <t>JÄMTLANDS LÄN</t>
        </is>
      </c>
      <c r="E10769" t="inlineStr">
        <is>
          <t>BERG</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1670-2024</t>
        </is>
      </c>
      <c r="B10770" s="1" t="n">
        <v>45306</v>
      </c>
      <c r="C10770" s="1" t="n">
        <v>45363</v>
      </c>
      <c r="D10770" t="inlineStr">
        <is>
          <t>JÄMTLANDS LÄN</t>
        </is>
      </c>
      <c r="E10770" t="inlineStr">
        <is>
          <t>ÖSTERSUND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1676-2024</t>
        </is>
      </c>
      <c r="B10771" s="1" t="n">
        <v>45307</v>
      </c>
      <c r="C10771" s="1" t="n">
        <v>45363</v>
      </c>
      <c r="D10771" t="inlineStr">
        <is>
          <t>JÄMTLANDS LÄN</t>
        </is>
      </c>
      <c r="E10771" t="inlineStr">
        <is>
          <t>STRÖMSUND</t>
        </is>
      </c>
      <c r="F10771" t="inlineStr">
        <is>
          <t>SCA</t>
        </is>
      </c>
      <c r="G10771" t="n">
        <v>29.6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1677-2024</t>
        </is>
      </c>
      <c r="B10772" s="1" t="n">
        <v>45307</v>
      </c>
      <c r="C10772" s="1" t="n">
        <v>45363</v>
      </c>
      <c r="D10772" t="inlineStr">
        <is>
          <t>JÄMTLANDS LÄN</t>
        </is>
      </c>
      <c r="E10772" t="inlineStr">
        <is>
          <t>STRÖMSUND</t>
        </is>
      </c>
      <c r="F10772" t="inlineStr">
        <is>
          <t>SCA</t>
        </is>
      </c>
      <c r="G10772" t="n">
        <v>30.1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1681-2024</t>
        </is>
      </c>
      <c r="B10773" s="1" t="n">
        <v>45307</v>
      </c>
      <c r="C10773" s="1" t="n">
        <v>45363</v>
      </c>
      <c r="D10773" t="inlineStr">
        <is>
          <t>JÄMTLANDS LÄN</t>
        </is>
      </c>
      <c r="E10773" t="inlineStr">
        <is>
          <t>BRÄCKE</t>
        </is>
      </c>
      <c r="F10773" t="inlineStr">
        <is>
          <t>SCA</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1851-2024</t>
        </is>
      </c>
      <c r="B10774" s="1" t="n">
        <v>45307</v>
      </c>
      <c r="C10774" s="1" t="n">
        <v>45363</v>
      </c>
      <c r="D10774" t="inlineStr">
        <is>
          <t>JÄMTLANDS LÄN</t>
        </is>
      </c>
      <c r="E10774" t="inlineStr">
        <is>
          <t>BERG</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1799-2024</t>
        </is>
      </c>
      <c r="B10775" s="1" t="n">
        <v>45307</v>
      </c>
      <c r="C10775" s="1" t="n">
        <v>45363</v>
      </c>
      <c r="D10775" t="inlineStr">
        <is>
          <t>JÄMTLANDS LÄN</t>
        </is>
      </c>
      <c r="E10775" t="inlineStr">
        <is>
          <t>BRÄCKE</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1801-2024</t>
        </is>
      </c>
      <c r="B10776" s="1" t="n">
        <v>45307</v>
      </c>
      <c r="C10776" s="1" t="n">
        <v>45363</v>
      </c>
      <c r="D10776" t="inlineStr">
        <is>
          <t>JÄMTLANDS LÄN</t>
        </is>
      </c>
      <c r="E10776" t="inlineStr">
        <is>
          <t>STRÖMSUND</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1884-2024</t>
        </is>
      </c>
      <c r="B10777" s="1" t="n">
        <v>45307</v>
      </c>
      <c r="C10777" s="1" t="n">
        <v>45363</v>
      </c>
      <c r="D10777" t="inlineStr">
        <is>
          <t>JÄMTLANDS LÄN</t>
        </is>
      </c>
      <c r="E10777" t="inlineStr">
        <is>
          <t>RAGUNDA</t>
        </is>
      </c>
      <c r="F10777" t="inlineStr">
        <is>
          <t>SCA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1888-2024</t>
        </is>
      </c>
      <c r="B10778" s="1" t="n">
        <v>45308</v>
      </c>
      <c r="C10778" s="1" t="n">
        <v>45363</v>
      </c>
      <c r="D10778" t="inlineStr">
        <is>
          <t>JÄMTLANDS LÄN</t>
        </is>
      </c>
      <c r="E10778" t="inlineStr">
        <is>
          <t>RAGUNDA</t>
        </is>
      </c>
      <c r="F10778" t="inlineStr">
        <is>
          <t>SCA</t>
        </is>
      </c>
      <c r="G10778" t="n">
        <v>9.300000000000001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1798-2024</t>
        </is>
      </c>
      <c r="B10779" s="1" t="n">
        <v>45307</v>
      </c>
      <c r="C10779" s="1" t="n">
        <v>45363</v>
      </c>
      <c r="D10779" t="inlineStr">
        <is>
          <t>JÄMTLANDS LÄN</t>
        </is>
      </c>
      <c r="E10779" t="inlineStr">
        <is>
          <t>STRÖMSUND</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1746-2024</t>
        </is>
      </c>
      <c r="B10780" s="1" t="n">
        <v>45307</v>
      </c>
      <c r="C10780" s="1" t="n">
        <v>45363</v>
      </c>
      <c r="D10780" t="inlineStr">
        <is>
          <t>JÄMTLANDS LÄN</t>
        </is>
      </c>
      <c r="E10780" t="inlineStr">
        <is>
          <t>BRÄCKE</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1897-2024</t>
        </is>
      </c>
      <c r="B10781" s="1" t="n">
        <v>45307</v>
      </c>
      <c r="C10781" s="1" t="n">
        <v>45363</v>
      </c>
      <c r="D10781" t="inlineStr">
        <is>
          <t>JÄMTLANDS LÄN</t>
        </is>
      </c>
      <c r="E10781" t="inlineStr">
        <is>
          <t>BERG</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1887-2024</t>
        </is>
      </c>
      <c r="B10782" s="1" t="n">
        <v>45308</v>
      </c>
      <c r="C10782" s="1" t="n">
        <v>45363</v>
      </c>
      <c r="D10782" t="inlineStr">
        <is>
          <t>JÄMTLANDS LÄN</t>
        </is>
      </c>
      <c r="E10782" t="inlineStr">
        <is>
          <t>RAGUNDA</t>
        </is>
      </c>
      <c r="F10782" t="inlineStr">
        <is>
          <t>SCA</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1895-2024</t>
        </is>
      </c>
      <c r="B10783" s="1" t="n">
        <v>45307</v>
      </c>
      <c r="C10783" s="1" t="n">
        <v>45363</v>
      </c>
      <c r="D10783" t="inlineStr">
        <is>
          <t>JÄMTLANDS LÄN</t>
        </is>
      </c>
      <c r="E10783" t="inlineStr">
        <is>
          <t>BERG</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1889-2024</t>
        </is>
      </c>
      <c r="B10784" s="1" t="n">
        <v>45308</v>
      </c>
      <c r="C10784" s="1" t="n">
        <v>45363</v>
      </c>
      <c r="D10784" t="inlineStr">
        <is>
          <t>JÄMTLANDS LÄN</t>
        </is>
      </c>
      <c r="E10784" t="inlineStr">
        <is>
          <t>RAGUNDA</t>
        </is>
      </c>
      <c r="F10784" t="inlineStr">
        <is>
          <t>SCA</t>
        </is>
      </c>
      <c r="G10784" t="n">
        <v>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1881-2024</t>
        </is>
      </c>
      <c r="B10785" s="1" t="n">
        <v>45308</v>
      </c>
      <c r="C10785" s="1" t="n">
        <v>45363</v>
      </c>
      <c r="D10785" t="inlineStr">
        <is>
          <t>JÄMTLANDS LÄN</t>
        </is>
      </c>
      <c r="E10785" t="inlineStr">
        <is>
          <t>BRÄCKE</t>
        </is>
      </c>
      <c r="F10785" t="inlineStr">
        <is>
          <t>SCA</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1873-2024</t>
        </is>
      </c>
      <c r="B10786" s="1" t="n">
        <v>45307</v>
      </c>
      <c r="C10786" s="1" t="n">
        <v>45363</v>
      </c>
      <c r="D10786" t="inlineStr">
        <is>
          <t>JÄMTLANDS LÄN</t>
        </is>
      </c>
      <c r="E10786" t="inlineStr">
        <is>
          <t>ÖSTERSUND</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1874-2024</t>
        </is>
      </c>
      <c r="B10787" s="1" t="n">
        <v>45307</v>
      </c>
      <c r="C10787" s="1" t="n">
        <v>45363</v>
      </c>
      <c r="D10787" t="inlineStr">
        <is>
          <t>JÄMTLANDS LÄN</t>
        </is>
      </c>
      <c r="E10787" t="inlineStr">
        <is>
          <t>BERG</t>
        </is>
      </c>
      <c r="G10787" t="n">
        <v>7.3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1952-2024</t>
        </is>
      </c>
      <c r="B10788" s="1" t="n">
        <v>45308</v>
      </c>
      <c r="C10788" s="1" t="n">
        <v>45363</v>
      </c>
      <c r="D10788" t="inlineStr">
        <is>
          <t>JÄMTLANDS LÄN</t>
        </is>
      </c>
      <c r="E10788" t="inlineStr">
        <is>
          <t>HÄRJEDALEN</t>
        </is>
      </c>
      <c r="F10788" t="inlineStr">
        <is>
          <t>Kyrkan</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2064-2024</t>
        </is>
      </c>
      <c r="B10789" s="1" t="n">
        <v>45308</v>
      </c>
      <c r="C10789" s="1" t="n">
        <v>45363</v>
      </c>
      <c r="D10789" t="inlineStr">
        <is>
          <t>JÄMTLANDS LÄN</t>
        </is>
      </c>
      <c r="E10789" t="inlineStr">
        <is>
          <t>BRÄCKE</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2065-2024</t>
        </is>
      </c>
      <c r="B10790" s="1" t="n">
        <v>45309</v>
      </c>
      <c r="C10790" s="1" t="n">
        <v>45363</v>
      </c>
      <c r="D10790" t="inlineStr">
        <is>
          <t>JÄMTLANDS LÄN</t>
        </is>
      </c>
      <c r="E10790" t="inlineStr">
        <is>
          <t>BRÄCKE</t>
        </is>
      </c>
      <c r="F10790" t="inlineStr">
        <is>
          <t>SCA</t>
        </is>
      </c>
      <c r="G10790" t="n">
        <v>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2017-2024</t>
        </is>
      </c>
      <c r="B10791" s="1" t="n">
        <v>45308</v>
      </c>
      <c r="C10791" s="1" t="n">
        <v>45363</v>
      </c>
      <c r="D10791" t="inlineStr">
        <is>
          <t>JÄMTLANDS LÄN</t>
        </is>
      </c>
      <c r="E10791" t="inlineStr">
        <is>
          <t>KROKOM</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1929-2024</t>
        </is>
      </c>
      <c r="B10792" s="1" t="n">
        <v>45308</v>
      </c>
      <c r="C10792" s="1" t="n">
        <v>45363</v>
      </c>
      <c r="D10792" t="inlineStr">
        <is>
          <t>JÄMTLANDS LÄN</t>
        </is>
      </c>
      <c r="E10792" t="inlineStr">
        <is>
          <t>STRÖMSUND</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2066-2024</t>
        </is>
      </c>
      <c r="B10793" s="1" t="n">
        <v>45308</v>
      </c>
      <c r="C10793" s="1" t="n">
        <v>45363</v>
      </c>
      <c r="D10793" t="inlineStr">
        <is>
          <t>JÄMTLANDS LÄN</t>
        </is>
      </c>
      <c r="E10793" t="inlineStr">
        <is>
          <t>HÄRJEDALEN</t>
        </is>
      </c>
      <c r="G10793" t="n">
        <v>23.2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2109-2024</t>
        </is>
      </c>
      <c r="B10794" s="1" t="n">
        <v>45309</v>
      </c>
      <c r="C10794" s="1" t="n">
        <v>45363</v>
      </c>
      <c r="D10794" t="inlineStr">
        <is>
          <t>JÄMTLANDS LÄN</t>
        </is>
      </c>
      <c r="E10794" t="inlineStr">
        <is>
          <t>STRÖMSUND</t>
        </is>
      </c>
      <c r="G10794" t="n">
        <v>23.5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2143-2024</t>
        </is>
      </c>
      <c r="B10795" s="1" t="n">
        <v>45309</v>
      </c>
      <c r="C10795" s="1" t="n">
        <v>45363</v>
      </c>
      <c r="D10795" t="inlineStr">
        <is>
          <t>JÄMTLANDS LÄN</t>
        </is>
      </c>
      <c r="E10795" t="inlineStr">
        <is>
          <t>RAGUNDA</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2185-2024</t>
        </is>
      </c>
      <c r="B10796" s="1" t="n">
        <v>45309</v>
      </c>
      <c r="C10796" s="1" t="n">
        <v>45363</v>
      </c>
      <c r="D10796" t="inlineStr">
        <is>
          <t>JÄMTLANDS LÄN</t>
        </is>
      </c>
      <c r="E10796" t="inlineStr">
        <is>
          <t>HÄRJEDALEN</t>
        </is>
      </c>
      <c r="G10796" t="n">
        <v>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2224-2024</t>
        </is>
      </c>
      <c r="B10797" s="1" t="n">
        <v>45309</v>
      </c>
      <c r="C10797" s="1" t="n">
        <v>45363</v>
      </c>
      <c r="D10797" t="inlineStr">
        <is>
          <t>JÄMTLANDS LÄN</t>
        </is>
      </c>
      <c r="E10797" t="inlineStr">
        <is>
          <t>RAGUNDA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2228-2024</t>
        </is>
      </c>
      <c r="B10798" s="1" t="n">
        <v>45309</v>
      </c>
      <c r="C10798" s="1" t="n">
        <v>45363</v>
      </c>
      <c r="D10798" t="inlineStr">
        <is>
          <t>JÄMTLANDS LÄN</t>
        </is>
      </c>
      <c r="E10798" t="inlineStr">
        <is>
          <t>ÖSTERSUND</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2231-2024</t>
        </is>
      </c>
      <c r="B10799" s="1" t="n">
        <v>45309</v>
      </c>
      <c r="C10799" s="1" t="n">
        <v>45363</v>
      </c>
      <c r="D10799" t="inlineStr">
        <is>
          <t>JÄMTLANDS LÄN</t>
        </is>
      </c>
      <c r="E10799" t="inlineStr">
        <is>
          <t>BERG</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2243-2024</t>
        </is>
      </c>
      <c r="B10800" s="1" t="n">
        <v>45309</v>
      </c>
      <c r="C10800" s="1" t="n">
        <v>45363</v>
      </c>
      <c r="D10800" t="inlineStr">
        <is>
          <t>JÄMTLANDS LÄN</t>
        </is>
      </c>
      <c r="E10800" t="inlineStr">
        <is>
          <t>RAGUNDA</t>
        </is>
      </c>
      <c r="G10800" t="n">
        <v>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2247-2024</t>
        </is>
      </c>
      <c r="B10801" s="1" t="n">
        <v>45309</v>
      </c>
      <c r="C10801" s="1" t="n">
        <v>45363</v>
      </c>
      <c r="D10801" t="inlineStr">
        <is>
          <t>JÄMTLANDS LÄN</t>
        </is>
      </c>
      <c r="E10801" t="inlineStr">
        <is>
          <t>RAGUNDA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2238-2024</t>
        </is>
      </c>
      <c r="B10802" s="1" t="n">
        <v>45309</v>
      </c>
      <c r="C10802" s="1" t="n">
        <v>45363</v>
      </c>
      <c r="D10802" t="inlineStr">
        <is>
          <t>JÄMTLANDS LÄN</t>
        </is>
      </c>
      <c r="E10802" t="inlineStr">
        <is>
          <t>KROKOM</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2242-2024</t>
        </is>
      </c>
      <c r="B10803" s="1" t="n">
        <v>45309</v>
      </c>
      <c r="C10803" s="1" t="n">
        <v>45363</v>
      </c>
      <c r="D10803" t="inlineStr">
        <is>
          <t>JÄMTLANDS LÄN</t>
        </is>
      </c>
      <c r="E10803" t="inlineStr">
        <is>
          <t>RAGUNDA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2250-2024</t>
        </is>
      </c>
      <c r="B10804" s="1" t="n">
        <v>45309</v>
      </c>
      <c r="C10804" s="1" t="n">
        <v>45363</v>
      </c>
      <c r="D10804" t="inlineStr">
        <is>
          <t>JÄMTLANDS LÄN</t>
        </is>
      </c>
      <c r="E10804" t="inlineStr">
        <is>
          <t>RAGUNDA</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2236-2024</t>
        </is>
      </c>
      <c r="B10805" s="1" t="n">
        <v>45309</v>
      </c>
      <c r="C10805" s="1" t="n">
        <v>45363</v>
      </c>
      <c r="D10805" t="inlineStr">
        <is>
          <t>JÄMTLANDS LÄN</t>
        </is>
      </c>
      <c r="E10805" t="inlineStr">
        <is>
          <t>KROKOM</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2240-2024</t>
        </is>
      </c>
      <c r="B10806" s="1" t="n">
        <v>45309</v>
      </c>
      <c r="C10806" s="1" t="n">
        <v>45363</v>
      </c>
      <c r="D10806" t="inlineStr">
        <is>
          <t>JÄMTLANDS LÄN</t>
        </is>
      </c>
      <c r="E10806" t="inlineStr">
        <is>
          <t>RAGUNDA</t>
        </is>
      </c>
      <c r="G10806" t="n">
        <v>15.9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2244-2024</t>
        </is>
      </c>
      <c r="B10807" s="1" t="n">
        <v>45309</v>
      </c>
      <c r="C10807" s="1" t="n">
        <v>45363</v>
      </c>
      <c r="D10807" t="inlineStr">
        <is>
          <t>JÄMTLANDS LÄN</t>
        </is>
      </c>
      <c r="E10807" t="inlineStr">
        <is>
          <t>RAGUNDA</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2248-2024</t>
        </is>
      </c>
      <c r="B10808" s="1" t="n">
        <v>45309</v>
      </c>
      <c r="C10808" s="1" t="n">
        <v>45363</v>
      </c>
      <c r="D10808" t="inlineStr">
        <is>
          <t>JÄMTLANDS LÄN</t>
        </is>
      </c>
      <c r="E10808" t="inlineStr">
        <is>
          <t>RAGUNDA</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2237-2024</t>
        </is>
      </c>
      <c r="B10809" s="1" t="n">
        <v>45309</v>
      </c>
      <c r="C10809" s="1" t="n">
        <v>45363</v>
      </c>
      <c r="D10809" t="inlineStr">
        <is>
          <t>JÄMTLANDS LÄN</t>
        </is>
      </c>
      <c r="E10809" t="inlineStr">
        <is>
          <t>KROKOM</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2241-2024</t>
        </is>
      </c>
      <c r="B10810" s="1" t="n">
        <v>45309</v>
      </c>
      <c r="C10810" s="1" t="n">
        <v>45363</v>
      </c>
      <c r="D10810" t="inlineStr">
        <is>
          <t>JÄMTLANDS LÄN</t>
        </is>
      </c>
      <c r="E10810" t="inlineStr">
        <is>
          <t>RAGUNDA</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2245-2024</t>
        </is>
      </c>
      <c r="B10811" s="1" t="n">
        <v>45309</v>
      </c>
      <c r="C10811" s="1" t="n">
        <v>45363</v>
      </c>
      <c r="D10811" t="inlineStr">
        <is>
          <t>JÄMTLANDS LÄN</t>
        </is>
      </c>
      <c r="E10811" t="inlineStr">
        <is>
          <t>RAGUNDA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2257-2024</t>
        </is>
      </c>
      <c r="B10812" s="1" t="n">
        <v>45310</v>
      </c>
      <c r="C10812" s="1" t="n">
        <v>45363</v>
      </c>
      <c r="D10812" t="inlineStr">
        <is>
          <t>JÄMTLANDS LÄN</t>
        </is>
      </c>
      <c r="E10812" t="inlineStr">
        <is>
          <t>KROKOM</t>
        </is>
      </c>
      <c r="G10812" t="n">
        <v>14.5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2421-2024</t>
        </is>
      </c>
      <c r="B10813" s="1" t="n">
        <v>45310</v>
      </c>
      <c r="C10813" s="1" t="n">
        <v>45363</v>
      </c>
      <c r="D10813" t="inlineStr">
        <is>
          <t>JÄMTLANDS LÄN</t>
        </is>
      </c>
      <c r="E10813" t="inlineStr">
        <is>
          <t>BRÄCKE</t>
        </is>
      </c>
      <c r="G10813" t="n">
        <v>10.1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2420-2024</t>
        </is>
      </c>
      <c r="B10814" s="1" t="n">
        <v>45310</v>
      </c>
      <c r="C10814" s="1" t="n">
        <v>45363</v>
      </c>
      <c r="D10814" t="inlineStr">
        <is>
          <t>JÄMTLANDS LÄN</t>
        </is>
      </c>
      <c r="E10814" t="inlineStr">
        <is>
          <t>BRÄCKE</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2424-2024</t>
        </is>
      </c>
      <c r="B10815" s="1" t="n">
        <v>45310</v>
      </c>
      <c r="C10815" s="1" t="n">
        <v>45363</v>
      </c>
      <c r="D10815" t="inlineStr">
        <is>
          <t>JÄMTLANDS LÄN</t>
        </is>
      </c>
      <c r="E10815" t="inlineStr">
        <is>
          <t>RAGUNDA</t>
        </is>
      </c>
      <c r="F10815" t="inlineStr">
        <is>
          <t>SCA</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2422-2024</t>
        </is>
      </c>
      <c r="B10816" s="1" t="n">
        <v>45310</v>
      </c>
      <c r="C10816" s="1" t="n">
        <v>45363</v>
      </c>
      <c r="D10816" t="inlineStr">
        <is>
          <t>JÄMTLANDS LÄN</t>
        </is>
      </c>
      <c r="E10816" t="inlineStr">
        <is>
          <t>BRÄCKE</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2615-2024</t>
        </is>
      </c>
      <c r="B10817" s="1" t="n">
        <v>45313</v>
      </c>
      <c r="C10817" s="1" t="n">
        <v>45363</v>
      </c>
      <c r="D10817" t="inlineStr">
        <is>
          <t>JÄMTLANDS LÄN</t>
        </is>
      </c>
      <c r="E10817" t="inlineStr">
        <is>
          <t>ÖSTERSUND</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2624-2024</t>
        </is>
      </c>
      <c r="B10818" s="1" t="n">
        <v>45313</v>
      </c>
      <c r="C10818" s="1" t="n">
        <v>45363</v>
      </c>
      <c r="D10818" t="inlineStr">
        <is>
          <t>JÄMTLANDS LÄN</t>
        </is>
      </c>
      <c r="E10818" t="inlineStr">
        <is>
          <t>STRÖMSUND</t>
        </is>
      </c>
      <c r="F10818" t="inlineStr">
        <is>
          <t>SCA</t>
        </is>
      </c>
      <c r="G10818" t="n">
        <v>41.4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2628-2024</t>
        </is>
      </c>
      <c r="B10819" s="1" t="n">
        <v>45313</v>
      </c>
      <c r="C10819" s="1" t="n">
        <v>45363</v>
      </c>
      <c r="D10819" t="inlineStr">
        <is>
          <t>JÄMTLANDS LÄN</t>
        </is>
      </c>
      <c r="E10819" t="inlineStr">
        <is>
          <t>KROKOM</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2621-2024</t>
        </is>
      </c>
      <c r="B10820" s="1" t="n">
        <v>45313</v>
      </c>
      <c r="C10820" s="1" t="n">
        <v>45363</v>
      </c>
      <c r="D10820" t="inlineStr">
        <is>
          <t>JÄMTLANDS LÄN</t>
        </is>
      </c>
      <c r="E10820" t="inlineStr">
        <is>
          <t>BRÄCKE</t>
        </is>
      </c>
      <c r="F10820" t="inlineStr">
        <is>
          <t>SCA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2625-2024</t>
        </is>
      </c>
      <c r="B10821" s="1" t="n">
        <v>45313</v>
      </c>
      <c r="C10821" s="1" t="n">
        <v>45363</v>
      </c>
      <c r="D10821" t="inlineStr">
        <is>
          <t>JÄMTLANDS LÄN</t>
        </is>
      </c>
      <c r="E10821" t="inlineStr">
        <is>
          <t>STRÖMSUND</t>
        </is>
      </c>
      <c r="F10821" t="inlineStr">
        <is>
          <t>SCA</t>
        </is>
      </c>
      <c r="G10821" t="n">
        <v>32.2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2629-2024</t>
        </is>
      </c>
      <c r="B10822" s="1" t="n">
        <v>45313</v>
      </c>
      <c r="C10822" s="1" t="n">
        <v>45363</v>
      </c>
      <c r="D10822" t="inlineStr">
        <is>
          <t>JÄMTLANDS LÄN</t>
        </is>
      </c>
      <c r="E10822" t="inlineStr">
        <is>
          <t>RAGUNDA</t>
        </is>
      </c>
      <c r="F10822" t="inlineStr">
        <is>
          <t>SCA</t>
        </is>
      </c>
      <c r="G10822" t="n">
        <v>40.9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2626-2024</t>
        </is>
      </c>
      <c r="B10823" s="1" t="n">
        <v>45313</v>
      </c>
      <c r="C10823" s="1" t="n">
        <v>45363</v>
      </c>
      <c r="D10823" t="inlineStr">
        <is>
          <t>JÄMTLANDS LÄN</t>
        </is>
      </c>
      <c r="E10823" t="inlineStr">
        <is>
          <t>STRÖMSUND</t>
        </is>
      </c>
      <c r="F10823" t="inlineStr">
        <is>
          <t>SCA</t>
        </is>
      </c>
      <c r="G10823" t="n">
        <v>22.4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2630-2024</t>
        </is>
      </c>
      <c r="B10824" s="1" t="n">
        <v>45313</v>
      </c>
      <c r="C10824" s="1" t="n">
        <v>45363</v>
      </c>
      <c r="D10824" t="inlineStr">
        <is>
          <t>JÄMTLANDS LÄN</t>
        </is>
      </c>
      <c r="E10824" t="inlineStr">
        <is>
          <t>RAGUNDA</t>
        </is>
      </c>
      <c r="F10824" t="inlineStr">
        <is>
          <t>SCA</t>
        </is>
      </c>
      <c r="G10824" t="n">
        <v>6.9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2619-2024</t>
        </is>
      </c>
      <c r="B10825" s="1" t="n">
        <v>45313</v>
      </c>
      <c r="C10825" s="1" t="n">
        <v>45363</v>
      </c>
      <c r="D10825" t="inlineStr">
        <is>
          <t>JÄMTLANDS LÄN</t>
        </is>
      </c>
      <c r="E10825" t="inlineStr">
        <is>
          <t>STRÖMSUND</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2623-2024</t>
        </is>
      </c>
      <c r="B10826" s="1" t="n">
        <v>45313</v>
      </c>
      <c r="C10826" s="1" t="n">
        <v>45363</v>
      </c>
      <c r="D10826" t="inlineStr">
        <is>
          <t>JÄMTLANDS LÄN</t>
        </is>
      </c>
      <c r="E10826" t="inlineStr">
        <is>
          <t>STRÖMSUND</t>
        </is>
      </c>
      <c r="F10826" t="inlineStr">
        <is>
          <t>SCA</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2627-2024</t>
        </is>
      </c>
      <c r="B10827" s="1" t="n">
        <v>45313</v>
      </c>
      <c r="C10827" s="1" t="n">
        <v>45363</v>
      </c>
      <c r="D10827" t="inlineStr">
        <is>
          <t>JÄMTLANDS LÄN</t>
        </is>
      </c>
      <c r="E10827" t="inlineStr">
        <is>
          <t>ÖSTERSUND</t>
        </is>
      </c>
      <c r="F10827" t="inlineStr">
        <is>
          <t>SCA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2834-2024</t>
        </is>
      </c>
      <c r="B10828" s="1" t="n">
        <v>45314</v>
      </c>
      <c r="C10828" s="1" t="n">
        <v>45363</v>
      </c>
      <c r="D10828" t="inlineStr">
        <is>
          <t>JÄMTLANDS LÄN</t>
        </is>
      </c>
      <c r="E10828" t="inlineStr">
        <is>
          <t>RAGUNDA</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2756-2024</t>
        </is>
      </c>
      <c r="B10829" s="1" t="n">
        <v>45314</v>
      </c>
      <c r="C10829" s="1" t="n">
        <v>45363</v>
      </c>
      <c r="D10829" t="inlineStr">
        <is>
          <t>JÄMTLANDS LÄN</t>
        </is>
      </c>
      <c r="E10829" t="inlineStr">
        <is>
          <t>ÖSTERSUND</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2666-2024</t>
        </is>
      </c>
      <c r="B10830" s="1" t="n">
        <v>45314</v>
      </c>
      <c r="C10830" s="1" t="n">
        <v>45363</v>
      </c>
      <c r="D10830" t="inlineStr">
        <is>
          <t>JÄMTLANDS LÄN</t>
        </is>
      </c>
      <c r="E10830" t="inlineStr">
        <is>
          <t>STRÖMSUND</t>
        </is>
      </c>
      <c r="G10830" t="n">
        <v>17.1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2678-2024</t>
        </is>
      </c>
      <c r="B10831" s="1" t="n">
        <v>45314</v>
      </c>
      <c r="C10831" s="1" t="n">
        <v>45363</v>
      </c>
      <c r="D10831" t="inlineStr">
        <is>
          <t>JÄMTLANDS LÄN</t>
        </is>
      </c>
      <c r="E10831" t="inlineStr">
        <is>
          <t>RAGUNDA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2679-2024</t>
        </is>
      </c>
      <c r="B10832" s="1" t="n">
        <v>45314</v>
      </c>
      <c r="C10832" s="1" t="n">
        <v>45363</v>
      </c>
      <c r="D10832" t="inlineStr">
        <is>
          <t>JÄMTLANDS LÄN</t>
        </is>
      </c>
      <c r="E10832" t="inlineStr">
        <is>
          <t>BERG</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2663-2024</t>
        </is>
      </c>
      <c r="B10833" s="1" t="n">
        <v>45314</v>
      </c>
      <c r="C10833" s="1" t="n">
        <v>45363</v>
      </c>
      <c r="D10833" t="inlineStr">
        <is>
          <t>JÄMTLANDS LÄN</t>
        </is>
      </c>
      <c r="E10833" t="inlineStr">
        <is>
          <t>STRÖMSUND</t>
        </is>
      </c>
      <c r="G10833" t="n">
        <v>10.3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2673-2024</t>
        </is>
      </c>
      <c r="B10834" s="1" t="n">
        <v>45314</v>
      </c>
      <c r="C10834" s="1" t="n">
        <v>45363</v>
      </c>
      <c r="D10834" t="inlineStr">
        <is>
          <t>JÄMTLANDS LÄN</t>
        </is>
      </c>
      <c r="E10834" t="inlineStr">
        <is>
          <t>RAGUNDA</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2831-2024</t>
        </is>
      </c>
      <c r="B10835" s="1" t="n">
        <v>45314</v>
      </c>
      <c r="C10835" s="1" t="n">
        <v>45363</v>
      </c>
      <c r="D10835" t="inlineStr">
        <is>
          <t>JÄMTLANDS LÄN</t>
        </is>
      </c>
      <c r="E10835" t="inlineStr">
        <is>
          <t>RAGUNDA</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2775-2024</t>
        </is>
      </c>
      <c r="B10836" s="1" t="n">
        <v>45314</v>
      </c>
      <c r="C10836" s="1" t="n">
        <v>45363</v>
      </c>
      <c r="D10836" t="inlineStr">
        <is>
          <t>JÄMTLANDS LÄN</t>
        </is>
      </c>
      <c r="E10836" t="inlineStr">
        <is>
          <t>KROKOM</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2751-2024</t>
        </is>
      </c>
      <c r="B10837" s="1" t="n">
        <v>45314</v>
      </c>
      <c r="C10837" s="1" t="n">
        <v>45363</v>
      </c>
      <c r="D10837" t="inlineStr">
        <is>
          <t>JÄMTLANDS LÄN</t>
        </is>
      </c>
      <c r="E10837" t="inlineStr">
        <is>
          <t>RAGUNDA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2664-2024</t>
        </is>
      </c>
      <c r="B10838" s="1" t="n">
        <v>45314</v>
      </c>
      <c r="C10838" s="1" t="n">
        <v>45363</v>
      </c>
      <c r="D10838" t="inlineStr">
        <is>
          <t>JÄMTLANDS LÄN</t>
        </is>
      </c>
      <c r="E10838" t="inlineStr">
        <is>
          <t>BERG</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2643-2024</t>
        </is>
      </c>
      <c r="B10839" s="1" t="n">
        <v>45314</v>
      </c>
      <c r="C10839" s="1" t="n">
        <v>45363</v>
      </c>
      <c r="D10839" t="inlineStr">
        <is>
          <t>JÄMTLANDS LÄN</t>
        </is>
      </c>
      <c r="E10839" t="inlineStr">
        <is>
          <t>STRÖMSUND</t>
        </is>
      </c>
      <c r="G10839" t="n">
        <v>12.5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2978-2024</t>
        </is>
      </c>
      <c r="B10840" s="1" t="n">
        <v>45315</v>
      </c>
      <c r="C10840" s="1" t="n">
        <v>45363</v>
      </c>
      <c r="D10840" t="inlineStr">
        <is>
          <t>JÄMTLANDS LÄN</t>
        </is>
      </c>
      <c r="E10840" t="inlineStr">
        <is>
          <t>ÖSTERSUND</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2984-2024</t>
        </is>
      </c>
      <c r="B10841" s="1" t="n">
        <v>45315</v>
      </c>
      <c r="C10841" s="1" t="n">
        <v>45363</v>
      </c>
      <c r="D10841" t="inlineStr">
        <is>
          <t>JÄMTLANDS LÄN</t>
        </is>
      </c>
      <c r="E10841" t="inlineStr">
        <is>
          <t>ÖSTERSUND</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3016-2024</t>
        </is>
      </c>
      <c r="B10842" s="1" t="n">
        <v>45315</v>
      </c>
      <c r="C10842" s="1" t="n">
        <v>45363</v>
      </c>
      <c r="D10842" t="inlineStr">
        <is>
          <t>JÄMTLANDS LÄN</t>
        </is>
      </c>
      <c r="E10842" t="inlineStr">
        <is>
          <t>RAGUNDA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3018-2024</t>
        </is>
      </c>
      <c r="B10843" s="1" t="n">
        <v>45315</v>
      </c>
      <c r="C10843" s="1" t="n">
        <v>45363</v>
      </c>
      <c r="D10843" t="inlineStr">
        <is>
          <t>JÄMTLANDS LÄN</t>
        </is>
      </c>
      <c r="E10843" t="inlineStr">
        <is>
          <t>RAGUNDA</t>
        </is>
      </c>
      <c r="F10843" t="inlineStr">
        <is>
          <t>SCA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3214-2024</t>
        </is>
      </c>
      <c r="B10844" s="1" t="n">
        <v>45316</v>
      </c>
      <c r="C10844" s="1" t="n">
        <v>45363</v>
      </c>
      <c r="D10844" t="inlineStr">
        <is>
          <t>JÄMTLANDS LÄN</t>
        </is>
      </c>
      <c r="E10844" t="inlineStr">
        <is>
          <t>KROKOM</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3230-2024</t>
        </is>
      </c>
      <c r="B10845" s="1" t="n">
        <v>45316</v>
      </c>
      <c r="C10845" s="1" t="n">
        <v>45363</v>
      </c>
      <c r="D10845" t="inlineStr">
        <is>
          <t>JÄMTLANDS LÄN</t>
        </is>
      </c>
      <c r="E10845" t="inlineStr">
        <is>
          <t>ÖSTERSUND</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3118-2024</t>
        </is>
      </c>
      <c r="B10846" s="1" t="n">
        <v>45316</v>
      </c>
      <c r="C10846" s="1" t="n">
        <v>45363</v>
      </c>
      <c r="D10846" t="inlineStr">
        <is>
          <t>JÄMTLANDS LÄN</t>
        </is>
      </c>
      <c r="E10846" t="inlineStr">
        <is>
          <t>STRÖMSUND</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3182-2024</t>
        </is>
      </c>
      <c r="B10847" s="1" t="n">
        <v>45316</v>
      </c>
      <c r="C10847" s="1" t="n">
        <v>45363</v>
      </c>
      <c r="D10847" t="inlineStr">
        <is>
          <t>JÄMTLANDS LÄN</t>
        </is>
      </c>
      <c r="E10847" t="inlineStr">
        <is>
          <t>BRÄCKE</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3179-2024</t>
        </is>
      </c>
      <c r="B10848" s="1" t="n">
        <v>45316</v>
      </c>
      <c r="C10848" s="1" t="n">
        <v>45363</v>
      </c>
      <c r="D10848" t="inlineStr">
        <is>
          <t>JÄMTLANDS LÄN</t>
        </is>
      </c>
      <c r="E10848" t="inlineStr">
        <is>
          <t>BRÄCKE</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3240-2024</t>
        </is>
      </c>
      <c r="B10849" s="1" t="n">
        <v>45316</v>
      </c>
      <c r="C10849" s="1" t="n">
        <v>45363</v>
      </c>
      <c r="D10849" t="inlineStr">
        <is>
          <t>JÄMTLANDS LÄN</t>
        </is>
      </c>
      <c r="E10849" t="inlineStr">
        <is>
          <t>RAGUNDA</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3186-2024</t>
        </is>
      </c>
      <c r="B10850" s="1" t="n">
        <v>45316</v>
      </c>
      <c r="C10850" s="1" t="n">
        <v>45363</v>
      </c>
      <c r="D10850" t="inlineStr">
        <is>
          <t>JÄMTLANDS LÄN</t>
        </is>
      </c>
      <c r="E10850" t="inlineStr">
        <is>
          <t>ÖSTERSUND</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3239-2024</t>
        </is>
      </c>
      <c r="B10851" s="1" t="n">
        <v>45316</v>
      </c>
      <c r="C10851" s="1" t="n">
        <v>45363</v>
      </c>
      <c r="D10851" t="inlineStr">
        <is>
          <t>JÄMTLANDS LÄN</t>
        </is>
      </c>
      <c r="E10851" t="inlineStr">
        <is>
          <t>STRÖMSUND</t>
        </is>
      </c>
      <c r="F10851" t="inlineStr">
        <is>
          <t>SCA</t>
        </is>
      </c>
      <c r="G10851" t="n">
        <v>26.1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3180-2024</t>
        </is>
      </c>
      <c r="B10852" s="1" t="n">
        <v>45316</v>
      </c>
      <c r="C10852" s="1" t="n">
        <v>45363</v>
      </c>
      <c r="D10852" t="inlineStr">
        <is>
          <t>JÄMTLANDS LÄN</t>
        </is>
      </c>
      <c r="E10852" t="inlineStr">
        <is>
          <t>BRÄCKE</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3188-2024</t>
        </is>
      </c>
      <c r="B10853" s="1" t="n">
        <v>45316</v>
      </c>
      <c r="C10853" s="1" t="n">
        <v>45363</v>
      </c>
      <c r="D10853" t="inlineStr">
        <is>
          <t>JÄMTLANDS LÄN</t>
        </is>
      </c>
      <c r="E10853" t="inlineStr">
        <is>
          <t>KROKOM</t>
        </is>
      </c>
      <c r="G10853" t="n">
        <v>24.9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3233-2024</t>
        </is>
      </c>
      <c r="B10854" s="1" t="n">
        <v>45316</v>
      </c>
      <c r="C10854" s="1" t="n">
        <v>45363</v>
      </c>
      <c r="D10854" t="inlineStr">
        <is>
          <t>JÄMTLANDS LÄN</t>
        </is>
      </c>
      <c r="E10854" t="inlineStr">
        <is>
          <t>BRÄCKE</t>
        </is>
      </c>
      <c r="F10854" t="inlineStr">
        <is>
          <t>SCA</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3270-2024</t>
        </is>
      </c>
      <c r="B10855" s="1" t="n">
        <v>45316</v>
      </c>
      <c r="C10855" s="1" t="n">
        <v>45363</v>
      </c>
      <c r="D10855" t="inlineStr">
        <is>
          <t>JÄMTLANDS LÄN</t>
        </is>
      </c>
      <c r="E10855" t="inlineStr">
        <is>
          <t>ÖSTERSUND</t>
        </is>
      </c>
      <c r="G10855" t="n">
        <v>7.5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3257-2024</t>
        </is>
      </c>
      <c r="B10856" s="1" t="n">
        <v>45316</v>
      </c>
      <c r="C10856" s="1" t="n">
        <v>45363</v>
      </c>
      <c r="D10856" t="inlineStr">
        <is>
          <t>JÄMTLANDS LÄN</t>
        </is>
      </c>
      <c r="E10856" t="inlineStr">
        <is>
          <t>KROKOM</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3390-2024</t>
        </is>
      </c>
      <c r="B10857" s="1" t="n">
        <v>45317</v>
      </c>
      <c r="C10857" s="1" t="n">
        <v>45363</v>
      </c>
      <c r="D10857" t="inlineStr">
        <is>
          <t>JÄMTLANDS LÄN</t>
        </is>
      </c>
      <c r="E10857" t="inlineStr">
        <is>
          <t>BRÄCKE</t>
        </is>
      </c>
      <c r="F10857" t="inlineStr">
        <is>
          <t>SCA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3454-2024</t>
        </is>
      </c>
      <c r="B10858" s="1" t="n">
        <v>45317</v>
      </c>
      <c r="C10858" s="1" t="n">
        <v>45363</v>
      </c>
      <c r="D10858" t="inlineStr">
        <is>
          <t>JÄMTLANDS LÄN</t>
        </is>
      </c>
      <c r="E10858" t="inlineStr">
        <is>
          <t>BERG</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3487-2024</t>
        </is>
      </c>
      <c r="B10859" s="1" t="n">
        <v>45317</v>
      </c>
      <c r="C10859" s="1" t="n">
        <v>45363</v>
      </c>
      <c r="D10859" t="inlineStr">
        <is>
          <t>JÄMTLANDS LÄN</t>
        </is>
      </c>
      <c r="E10859" t="inlineStr">
        <is>
          <t>BRÄCKE</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3389-2024</t>
        </is>
      </c>
      <c r="B10860" s="1" t="n">
        <v>45317</v>
      </c>
      <c r="C10860" s="1" t="n">
        <v>45363</v>
      </c>
      <c r="D10860" t="inlineStr">
        <is>
          <t>JÄMTLANDS LÄN</t>
        </is>
      </c>
      <c r="E10860" t="inlineStr">
        <is>
          <t>BRÄCKE</t>
        </is>
      </c>
      <c r="F10860" t="inlineStr">
        <is>
          <t>SCA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3483-2024</t>
        </is>
      </c>
      <c r="B10861" s="1" t="n">
        <v>45320</v>
      </c>
      <c r="C10861" s="1" t="n">
        <v>45363</v>
      </c>
      <c r="D10861" t="inlineStr">
        <is>
          <t>JÄMTLANDS LÄN</t>
        </is>
      </c>
      <c r="E10861" t="inlineStr">
        <is>
          <t>BERG</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3519-2024</t>
        </is>
      </c>
      <c r="B10862" s="1" t="n">
        <v>45320</v>
      </c>
      <c r="C10862" s="1" t="n">
        <v>45363</v>
      </c>
      <c r="D10862" t="inlineStr">
        <is>
          <t>JÄMTLANDS LÄN</t>
        </is>
      </c>
      <c r="E10862" t="inlineStr">
        <is>
          <t>STRÖMSUND</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3528-2024</t>
        </is>
      </c>
      <c r="B10863" s="1" t="n">
        <v>45320</v>
      </c>
      <c r="C10863" s="1" t="n">
        <v>45363</v>
      </c>
      <c r="D10863" t="inlineStr">
        <is>
          <t>JÄMTLANDS LÄN</t>
        </is>
      </c>
      <c r="E10863" t="inlineStr">
        <is>
          <t>BRÄCKE</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3625-2024</t>
        </is>
      </c>
      <c r="B10864" s="1" t="n">
        <v>45320</v>
      </c>
      <c r="C10864" s="1" t="n">
        <v>45363</v>
      </c>
      <c r="D10864" t="inlineStr">
        <is>
          <t>JÄMTLANDS LÄN</t>
        </is>
      </c>
      <c r="E10864" t="inlineStr">
        <is>
          <t>BERG</t>
        </is>
      </c>
      <c r="F10864" t="inlineStr">
        <is>
          <t>SCA</t>
        </is>
      </c>
      <c r="G10864" t="n">
        <v>23.7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3629-2024</t>
        </is>
      </c>
      <c r="B10865" s="1" t="n">
        <v>45320</v>
      </c>
      <c r="C10865" s="1" t="n">
        <v>45363</v>
      </c>
      <c r="D10865" t="inlineStr">
        <is>
          <t>JÄMTLANDS LÄN</t>
        </is>
      </c>
      <c r="E10865" t="inlineStr">
        <is>
          <t>STRÖMSUND</t>
        </is>
      </c>
      <c r="F10865" t="inlineStr">
        <is>
          <t>SCA</t>
        </is>
      </c>
      <c r="G10865" t="n">
        <v>29.9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3610-2024</t>
        </is>
      </c>
      <c r="B10866" s="1" t="n">
        <v>45320</v>
      </c>
      <c r="C10866" s="1" t="n">
        <v>45363</v>
      </c>
      <c r="D10866" t="inlineStr">
        <is>
          <t>JÄMTLANDS LÄN</t>
        </is>
      </c>
      <c r="E10866" t="inlineStr">
        <is>
          <t>ÖSTERSUND</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3622-2024</t>
        </is>
      </c>
      <c r="B10867" s="1" t="n">
        <v>45320</v>
      </c>
      <c r="C10867" s="1" t="n">
        <v>45363</v>
      </c>
      <c r="D10867" t="inlineStr">
        <is>
          <t>JÄMTLANDS LÄN</t>
        </is>
      </c>
      <c r="E10867" t="inlineStr">
        <is>
          <t>STRÖMSUND</t>
        </is>
      </c>
      <c r="F10867" t="inlineStr">
        <is>
          <t>SCA</t>
        </is>
      </c>
      <c r="G10867" t="n">
        <v>14.5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3626-2024</t>
        </is>
      </c>
      <c r="B10868" s="1" t="n">
        <v>45320</v>
      </c>
      <c r="C10868" s="1" t="n">
        <v>45363</v>
      </c>
      <c r="D10868" t="inlineStr">
        <is>
          <t>JÄMTLANDS LÄN</t>
        </is>
      </c>
      <c r="E10868" t="inlineStr">
        <is>
          <t>BRÄCKE</t>
        </is>
      </c>
      <c r="F10868" t="inlineStr">
        <is>
          <t>SCA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3616-2024</t>
        </is>
      </c>
      <c r="B10869" s="1" t="n">
        <v>45320</v>
      </c>
      <c r="C10869" s="1" t="n">
        <v>45363</v>
      </c>
      <c r="D10869" t="inlineStr">
        <is>
          <t>JÄMTLANDS LÄN</t>
        </is>
      </c>
      <c r="E10869" t="inlineStr">
        <is>
          <t>BRÄCKE</t>
        </is>
      </c>
      <c r="F10869" t="inlineStr">
        <is>
          <t>SCA</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3628-2024</t>
        </is>
      </c>
      <c r="B10870" s="1" t="n">
        <v>45320</v>
      </c>
      <c r="C10870" s="1" t="n">
        <v>45363</v>
      </c>
      <c r="D10870" t="inlineStr">
        <is>
          <t>JÄMTLANDS LÄN</t>
        </is>
      </c>
      <c r="E10870" t="inlineStr">
        <is>
          <t>STRÖMSUND</t>
        </is>
      </c>
      <c r="F10870" t="inlineStr">
        <is>
          <t>SCA</t>
        </is>
      </c>
      <c r="G10870" t="n">
        <v>8.699999999999999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3623-2024</t>
        </is>
      </c>
      <c r="B10871" s="1" t="n">
        <v>45320</v>
      </c>
      <c r="C10871" s="1" t="n">
        <v>45363</v>
      </c>
      <c r="D10871" t="inlineStr">
        <is>
          <t>JÄMTLANDS LÄN</t>
        </is>
      </c>
      <c r="E10871" t="inlineStr">
        <is>
          <t>STRÖMSUND</t>
        </is>
      </c>
      <c r="F10871" t="inlineStr">
        <is>
          <t>SCA</t>
        </is>
      </c>
      <c r="G10871" t="n">
        <v>22.9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3635-2024</t>
        </is>
      </c>
      <c r="B10872" s="1" t="n">
        <v>45320</v>
      </c>
      <c r="C10872" s="1" t="n">
        <v>45363</v>
      </c>
      <c r="D10872" t="inlineStr">
        <is>
          <t>JÄMTLANDS LÄN</t>
        </is>
      </c>
      <c r="E10872" t="inlineStr">
        <is>
          <t>RAGUNDA</t>
        </is>
      </c>
      <c r="F10872" t="inlineStr">
        <is>
          <t>SCA</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3743-2024</t>
        </is>
      </c>
      <c r="B10873" s="1" t="n">
        <v>45321</v>
      </c>
      <c r="C10873" s="1" t="n">
        <v>45363</v>
      </c>
      <c r="D10873" t="inlineStr">
        <is>
          <t>JÄMTLANDS LÄN</t>
        </is>
      </c>
      <c r="E10873" t="inlineStr">
        <is>
          <t>STRÖMSUND</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3835-2024</t>
        </is>
      </c>
      <c r="B10874" s="1" t="n">
        <v>45321</v>
      </c>
      <c r="C10874" s="1" t="n">
        <v>45363</v>
      </c>
      <c r="D10874" t="inlineStr">
        <is>
          <t>JÄMTLANDS LÄN</t>
        </is>
      </c>
      <c r="E10874" t="inlineStr">
        <is>
          <t>STRÖMSUND</t>
        </is>
      </c>
      <c r="F10874" t="inlineStr">
        <is>
          <t>SCA</t>
        </is>
      </c>
      <c r="G10874" t="n">
        <v>28.5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3839-2024</t>
        </is>
      </c>
      <c r="B10875" s="1" t="n">
        <v>45321</v>
      </c>
      <c r="C10875" s="1" t="n">
        <v>45363</v>
      </c>
      <c r="D10875" t="inlineStr">
        <is>
          <t>JÄMTLANDS LÄN</t>
        </is>
      </c>
      <c r="E10875" t="inlineStr">
        <is>
          <t>BERG</t>
        </is>
      </c>
      <c r="F10875" t="inlineStr">
        <is>
          <t>SCA</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3834-2024</t>
        </is>
      </c>
      <c r="B10876" s="1" t="n">
        <v>45321</v>
      </c>
      <c r="C10876" s="1" t="n">
        <v>45363</v>
      </c>
      <c r="D10876" t="inlineStr">
        <is>
          <t>JÄMTLANDS LÄN</t>
        </is>
      </c>
      <c r="E10876" t="inlineStr">
        <is>
          <t>STRÖMSUND</t>
        </is>
      </c>
      <c r="F10876" t="inlineStr">
        <is>
          <t>SCA</t>
        </is>
      </c>
      <c r="G10876" t="n">
        <v>30.9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3841-2024</t>
        </is>
      </c>
      <c r="B10877" s="1" t="n">
        <v>45321</v>
      </c>
      <c r="C10877" s="1" t="n">
        <v>45363</v>
      </c>
      <c r="D10877" t="inlineStr">
        <is>
          <t>JÄMTLANDS LÄN</t>
        </is>
      </c>
      <c r="E10877" t="inlineStr">
        <is>
          <t>STRÖMSUND</t>
        </is>
      </c>
      <c r="F10877" t="inlineStr">
        <is>
          <t>SCA</t>
        </is>
      </c>
      <c r="G10877" t="n">
        <v>19.4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3844-2024</t>
        </is>
      </c>
      <c r="B10878" s="1" t="n">
        <v>45321</v>
      </c>
      <c r="C10878" s="1" t="n">
        <v>45363</v>
      </c>
      <c r="D10878" t="inlineStr">
        <is>
          <t>JÄMTLANDS LÄN</t>
        </is>
      </c>
      <c r="E10878" t="inlineStr">
        <is>
          <t>ÖSTERSUND</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3840-2024</t>
        </is>
      </c>
      <c r="B10879" s="1" t="n">
        <v>45321</v>
      </c>
      <c r="C10879" s="1" t="n">
        <v>45363</v>
      </c>
      <c r="D10879" t="inlineStr">
        <is>
          <t>JÄMTLANDS LÄN</t>
        </is>
      </c>
      <c r="E10879" t="inlineStr">
        <is>
          <t>BRÄCKE</t>
        </is>
      </c>
      <c r="F10879" t="inlineStr">
        <is>
          <t>SCA</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3972-2024</t>
        </is>
      </c>
      <c r="B10880" s="1" t="n">
        <v>45322</v>
      </c>
      <c r="C10880" s="1" t="n">
        <v>45363</v>
      </c>
      <c r="D10880" t="inlineStr">
        <is>
          <t>JÄMTLANDS LÄN</t>
        </is>
      </c>
      <c r="E10880" t="inlineStr">
        <is>
          <t>BRÄCKE</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3992-2024</t>
        </is>
      </c>
      <c r="B10881" s="1" t="n">
        <v>45322</v>
      </c>
      <c r="C10881" s="1" t="n">
        <v>45363</v>
      </c>
      <c r="D10881" t="inlineStr">
        <is>
          <t>JÄMTLANDS LÄN</t>
        </is>
      </c>
      <c r="E10881" t="inlineStr">
        <is>
          <t>RAGUNDA</t>
        </is>
      </c>
      <c r="F10881" t="inlineStr">
        <is>
          <t>SCA</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3997-2024</t>
        </is>
      </c>
      <c r="B10882" s="1" t="n">
        <v>45322</v>
      </c>
      <c r="C10882" s="1" t="n">
        <v>45363</v>
      </c>
      <c r="D10882" t="inlineStr">
        <is>
          <t>JÄMTLANDS LÄN</t>
        </is>
      </c>
      <c r="E10882" t="inlineStr">
        <is>
          <t>STRÖMSUND</t>
        </is>
      </c>
      <c r="F10882" t="inlineStr">
        <is>
          <t>SCA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3938-2024</t>
        </is>
      </c>
      <c r="B10883" s="1" t="n">
        <v>45322</v>
      </c>
      <c r="C10883" s="1" t="n">
        <v>45363</v>
      </c>
      <c r="D10883" t="inlineStr">
        <is>
          <t>JÄMTLANDS LÄN</t>
        </is>
      </c>
      <c r="E10883" t="inlineStr">
        <is>
          <t>RAGUNDA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3994-2024</t>
        </is>
      </c>
      <c r="B10884" s="1" t="n">
        <v>45322</v>
      </c>
      <c r="C10884" s="1" t="n">
        <v>45363</v>
      </c>
      <c r="D10884" t="inlineStr">
        <is>
          <t>JÄMTLANDS LÄN</t>
        </is>
      </c>
      <c r="E10884" t="inlineStr">
        <is>
          <t>STRÖMSUND</t>
        </is>
      </c>
      <c r="F10884" t="inlineStr">
        <is>
          <t>SCA</t>
        </is>
      </c>
      <c r="G10884" t="n">
        <v>40.8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3995-2024</t>
        </is>
      </c>
      <c r="B10885" s="1" t="n">
        <v>45322</v>
      </c>
      <c r="C10885" s="1" t="n">
        <v>45363</v>
      </c>
      <c r="D10885" t="inlineStr">
        <is>
          <t>JÄMTLANDS LÄN</t>
        </is>
      </c>
      <c r="E10885" t="inlineStr">
        <is>
          <t>BRÄCKE</t>
        </is>
      </c>
      <c r="F10885" t="inlineStr">
        <is>
          <t>SCA</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4125-2024</t>
        </is>
      </c>
      <c r="B10886" s="1" t="n">
        <v>45323</v>
      </c>
      <c r="C10886" s="1" t="n">
        <v>45363</v>
      </c>
      <c r="D10886" t="inlineStr">
        <is>
          <t>JÄMTLANDS LÄN</t>
        </is>
      </c>
      <c r="E10886" t="inlineStr">
        <is>
          <t>RAGUNDA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4171-2024</t>
        </is>
      </c>
      <c r="B10887" s="1" t="n">
        <v>45323</v>
      </c>
      <c r="C10887" s="1" t="n">
        <v>45363</v>
      </c>
      <c r="D10887" t="inlineStr">
        <is>
          <t>JÄMTLANDS LÄN</t>
        </is>
      </c>
      <c r="E10887" t="inlineStr">
        <is>
          <t>BRÄCKE</t>
        </is>
      </c>
      <c r="F10887" t="inlineStr">
        <is>
          <t>SCA</t>
        </is>
      </c>
      <c r="G10887" t="n">
        <v>13.1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4179-2024</t>
        </is>
      </c>
      <c r="B10888" s="1" t="n">
        <v>45323</v>
      </c>
      <c r="C10888" s="1" t="n">
        <v>45363</v>
      </c>
      <c r="D10888" t="inlineStr">
        <is>
          <t>JÄMTLANDS LÄN</t>
        </is>
      </c>
      <c r="E10888" t="inlineStr">
        <is>
          <t>STRÖMSUND</t>
        </is>
      </c>
      <c r="F10888" t="inlineStr">
        <is>
          <t>SCA</t>
        </is>
      </c>
      <c r="G10888" t="n">
        <v>19.9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4170-2024</t>
        </is>
      </c>
      <c r="B10889" s="1" t="n">
        <v>45323</v>
      </c>
      <c r="C10889" s="1" t="n">
        <v>45363</v>
      </c>
      <c r="D10889" t="inlineStr">
        <is>
          <t>JÄMTLANDS LÄN</t>
        </is>
      </c>
      <c r="E10889" t="inlineStr">
        <is>
          <t>BRÄCKE</t>
        </is>
      </c>
      <c r="F10889" t="inlineStr">
        <is>
          <t>SCA</t>
        </is>
      </c>
      <c r="G10889" t="n">
        <v>9.1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4178-2024</t>
        </is>
      </c>
      <c r="B10890" s="1" t="n">
        <v>45323</v>
      </c>
      <c r="C10890" s="1" t="n">
        <v>45363</v>
      </c>
      <c r="D10890" t="inlineStr">
        <is>
          <t>JÄMTLANDS LÄN</t>
        </is>
      </c>
      <c r="E10890" t="inlineStr">
        <is>
          <t>STRÖMSUND</t>
        </is>
      </c>
      <c r="F10890" t="inlineStr">
        <is>
          <t>SCA</t>
        </is>
      </c>
      <c r="G10890" t="n">
        <v>36.4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4177-2024</t>
        </is>
      </c>
      <c r="B10891" s="1" t="n">
        <v>45323</v>
      </c>
      <c r="C10891" s="1" t="n">
        <v>45363</v>
      </c>
      <c r="D10891" t="inlineStr">
        <is>
          <t>JÄMTLANDS LÄN</t>
        </is>
      </c>
      <c r="E10891" t="inlineStr">
        <is>
          <t>STRÖMSUND</t>
        </is>
      </c>
      <c r="F10891" t="inlineStr">
        <is>
          <t>SCA</t>
        </is>
      </c>
      <c r="G10891" t="n">
        <v>37.5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4176-2024</t>
        </is>
      </c>
      <c r="B10892" s="1" t="n">
        <v>45323</v>
      </c>
      <c r="C10892" s="1" t="n">
        <v>45363</v>
      </c>
      <c r="D10892" t="inlineStr">
        <is>
          <t>JÄMTLANDS LÄN</t>
        </is>
      </c>
      <c r="E10892" t="inlineStr">
        <is>
          <t>ÖSTERSUND</t>
        </is>
      </c>
      <c r="F10892" t="inlineStr">
        <is>
          <t>SCA</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4212-2024</t>
        </is>
      </c>
      <c r="B10893" s="1" t="n">
        <v>45324</v>
      </c>
      <c r="C10893" s="1" t="n">
        <v>45363</v>
      </c>
      <c r="D10893" t="inlineStr">
        <is>
          <t>JÄMTLANDS LÄN</t>
        </is>
      </c>
      <c r="E10893" t="inlineStr">
        <is>
          <t>RAGUNDA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4355-2024</t>
        </is>
      </c>
      <c r="B10894" s="1" t="n">
        <v>45324</v>
      </c>
      <c r="C10894" s="1" t="n">
        <v>45363</v>
      </c>
      <c r="D10894" t="inlineStr">
        <is>
          <t>JÄMTLANDS LÄN</t>
        </is>
      </c>
      <c r="E10894" t="inlineStr">
        <is>
          <t>KROKOM</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4449-2024</t>
        </is>
      </c>
      <c r="B10895" s="1" t="n">
        <v>45324</v>
      </c>
      <c r="C10895" s="1" t="n">
        <v>45363</v>
      </c>
      <c r="D10895" t="inlineStr">
        <is>
          <t>JÄMTLANDS LÄN</t>
        </is>
      </c>
      <c r="E10895" t="inlineStr">
        <is>
          <t>STRÖMSUND</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4354-2024</t>
        </is>
      </c>
      <c r="B10896" s="1" t="n">
        <v>45324</v>
      </c>
      <c r="C10896" s="1" t="n">
        <v>45363</v>
      </c>
      <c r="D10896" t="inlineStr">
        <is>
          <t>JÄMTLANDS LÄN</t>
        </is>
      </c>
      <c r="E10896" t="inlineStr">
        <is>
          <t>KROKOM</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4350-2024</t>
        </is>
      </c>
      <c r="B10897" s="1" t="n">
        <v>45324</v>
      </c>
      <c r="C10897" s="1" t="n">
        <v>45363</v>
      </c>
      <c r="D10897" t="inlineStr">
        <is>
          <t>JÄMTLANDS LÄN</t>
        </is>
      </c>
      <c r="E10897" t="inlineStr">
        <is>
          <t>ÖSTERSUND</t>
        </is>
      </c>
      <c r="F10897" t="inlineStr">
        <is>
          <t>SCA</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4249-2024</t>
        </is>
      </c>
      <c r="B10898" s="1" t="n">
        <v>45324</v>
      </c>
      <c r="C10898" s="1" t="n">
        <v>45363</v>
      </c>
      <c r="D10898" t="inlineStr">
        <is>
          <t>JÄMTLANDS LÄN</t>
        </is>
      </c>
      <c r="E10898" t="inlineStr">
        <is>
          <t>RAGUNDA</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4353-2024</t>
        </is>
      </c>
      <c r="B10899" s="1" t="n">
        <v>45324</v>
      </c>
      <c r="C10899" s="1" t="n">
        <v>45363</v>
      </c>
      <c r="D10899" t="inlineStr">
        <is>
          <t>JÄMTLANDS LÄN</t>
        </is>
      </c>
      <c r="E10899" t="inlineStr">
        <is>
          <t>KROKOM</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4377-2024</t>
        </is>
      </c>
      <c r="B10900" s="1" t="n">
        <v>45326</v>
      </c>
      <c r="C10900" s="1" t="n">
        <v>45363</v>
      </c>
      <c r="D10900" t="inlineStr">
        <is>
          <t>JÄMTLANDS LÄN</t>
        </is>
      </c>
      <c r="E10900" t="inlineStr">
        <is>
          <t>STRÖMSUND</t>
        </is>
      </c>
      <c r="F10900" t="inlineStr">
        <is>
          <t>SCA</t>
        </is>
      </c>
      <c r="G10900" t="n">
        <v>21.4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4378-2024</t>
        </is>
      </c>
      <c r="B10901" s="1" t="n">
        <v>45326</v>
      </c>
      <c r="C10901" s="1" t="n">
        <v>45363</v>
      </c>
      <c r="D10901" t="inlineStr">
        <is>
          <t>JÄMTLANDS LÄN</t>
        </is>
      </c>
      <c r="E10901" t="inlineStr">
        <is>
          <t>STRÖMSUND</t>
        </is>
      </c>
      <c r="F10901" t="inlineStr">
        <is>
          <t>SCA</t>
        </is>
      </c>
      <c r="G10901" t="n">
        <v>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4436-2024</t>
        </is>
      </c>
      <c r="B10902" s="1" t="n">
        <v>45327</v>
      </c>
      <c r="C10902" s="1" t="n">
        <v>45363</v>
      </c>
      <c r="D10902" t="inlineStr">
        <is>
          <t>JÄMTLANDS LÄN</t>
        </is>
      </c>
      <c r="E10902" t="inlineStr">
        <is>
          <t>STRÖMSUND</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4491-2024</t>
        </is>
      </c>
      <c r="B10903" s="1" t="n">
        <v>45327</v>
      </c>
      <c r="C10903" s="1" t="n">
        <v>45363</v>
      </c>
      <c r="D10903" t="inlineStr">
        <is>
          <t>JÄMTLANDS LÄN</t>
        </is>
      </c>
      <c r="E10903" t="inlineStr">
        <is>
          <t>BRÄCKE</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4507-2024</t>
        </is>
      </c>
      <c r="B10904" s="1" t="n">
        <v>45327</v>
      </c>
      <c r="C10904" s="1" t="n">
        <v>45363</v>
      </c>
      <c r="D10904" t="inlineStr">
        <is>
          <t>JÄMTLANDS LÄN</t>
        </is>
      </c>
      <c r="E10904" t="inlineStr">
        <is>
          <t>STRÖMSUND</t>
        </is>
      </c>
      <c r="F10904" t="inlineStr">
        <is>
          <t>Kyrkan</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4533-2024</t>
        </is>
      </c>
      <c r="B10905" s="1" t="n">
        <v>45327</v>
      </c>
      <c r="C10905" s="1" t="n">
        <v>45363</v>
      </c>
      <c r="D10905" t="inlineStr">
        <is>
          <t>JÄMTLANDS LÄN</t>
        </is>
      </c>
      <c r="E10905" t="inlineStr">
        <is>
          <t>HÄRJEDALEN</t>
        </is>
      </c>
      <c r="F10905" t="inlineStr">
        <is>
          <t>Övriga statliga verk och myndigheter</t>
        </is>
      </c>
      <c r="G10905" t="n">
        <v>21.1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4454-2024</t>
        </is>
      </c>
      <c r="B10906" s="1" t="n">
        <v>45327</v>
      </c>
      <c r="C10906" s="1" t="n">
        <v>45363</v>
      </c>
      <c r="D10906" t="inlineStr">
        <is>
          <t>JÄMTLANDS LÄN</t>
        </is>
      </c>
      <c r="E10906" t="inlineStr">
        <is>
          <t>BERG</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4514-2024</t>
        </is>
      </c>
      <c r="B10907" s="1" t="n">
        <v>45327</v>
      </c>
      <c r="C10907" s="1" t="n">
        <v>45363</v>
      </c>
      <c r="D10907" t="inlineStr">
        <is>
          <t>JÄMTLANDS LÄN</t>
        </is>
      </c>
      <c r="E10907" t="inlineStr">
        <is>
          <t>STRÖMSUND</t>
        </is>
      </c>
      <c r="F10907" t="inlineStr">
        <is>
          <t>Kyrkan</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4522-2024</t>
        </is>
      </c>
      <c r="B10908" s="1" t="n">
        <v>45327</v>
      </c>
      <c r="C10908" s="1" t="n">
        <v>45363</v>
      </c>
      <c r="D10908" t="inlineStr">
        <is>
          <t>JÄMTLANDS LÄN</t>
        </is>
      </c>
      <c r="E10908" t="inlineStr">
        <is>
          <t>BERG</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4526-2024</t>
        </is>
      </c>
      <c r="B10909" s="1" t="n">
        <v>45327</v>
      </c>
      <c r="C10909" s="1" t="n">
        <v>45363</v>
      </c>
      <c r="D10909" t="inlineStr">
        <is>
          <t>JÄMTLANDS LÄN</t>
        </is>
      </c>
      <c r="E10909" t="inlineStr">
        <is>
          <t>BERG</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4561-2024</t>
        </is>
      </c>
      <c r="B10910" s="1" t="n">
        <v>45327</v>
      </c>
      <c r="C10910" s="1" t="n">
        <v>45363</v>
      </c>
      <c r="D10910" t="inlineStr">
        <is>
          <t>JÄMTLANDS LÄN</t>
        </is>
      </c>
      <c r="E10910" t="inlineStr">
        <is>
          <t>BERG</t>
        </is>
      </c>
      <c r="G10910" t="n">
        <v>7.4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4551-2024</t>
        </is>
      </c>
      <c r="B10911" s="1" t="n">
        <v>45327</v>
      </c>
      <c r="C10911" s="1" t="n">
        <v>45363</v>
      </c>
      <c r="D10911" t="inlineStr">
        <is>
          <t>JÄMTLANDS LÄN</t>
        </is>
      </c>
      <c r="E10911" t="inlineStr">
        <is>
          <t>BERG</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4579-2024</t>
        </is>
      </c>
      <c r="B10912" s="1" t="n">
        <v>45327</v>
      </c>
      <c r="C10912" s="1" t="n">
        <v>45363</v>
      </c>
      <c r="D10912" t="inlineStr">
        <is>
          <t>JÄMTLANDS LÄN</t>
        </is>
      </c>
      <c r="E10912" t="inlineStr">
        <is>
          <t>STRÖMSUND</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4590-2024</t>
        </is>
      </c>
      <c r="B10913" s="1" t="n">
        <v>45327</v>
      </c>
      <c r="C10913" s="1" t="n">
        <v>45363</v>
      </c>
      <c r="D10913" t="inlineStr">
        <is>
          <t>JÄMTLANDS LÄN</t>
        </is>
      </c>
      <c r="E10913" t="inlineStr">
        <is>
          <t>BRÄCKE</t>
        </is>
      </c>
      <c r="F10913" t="inlineStr">
        <is>
          <t>SCA</t>
        </is>
      </c>
      <c r="G10913" t="n">
        <v>16.6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4586-2024</t>
        </is>
      </c>
      <c r="B10914" s="1" t="n">
        <v>45327</v>
      </c>
      <c r="C10914" s="1" t="n">
        <v>45363</v>
      </c>
      <c r="D10914" t="inlineStr">
        <is>
          <t>JÄMTLANDS LÄN</t>
        </is>
      </c>
      <c r="E10914" t="inlineStr">
        <is>
          <t>STRÖMSUND</t>
        </is>
      </c>
      <c r="F10914" t="inlineStr">
        <is>
          <t>SCA</t>
        </is>
      </c>
      <c r="G10914" t="n">
        <v>28.8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4585-2024</t>
        </is>
      </c>
      <c r="B10915" s="1" t="n">
        <v>45327</v>
      </c>
      <c r="C10915" s="1" t="n">
        <v>45363</v>
      </c>
      <c r="D10915" t="inlineStr">
        <is>
          <t>JÄMTLANDS LÄN</t>
        </is>
      </c>
      <c r="E10915" t="inlineStr">
        <is>
          <t>BRÄCKE</t>
        </is>
      </c>
      <c r="F10915" t="inlineStr">
        <is>
          <t>SCA</t>
        </is>
      </c>
      <c r="G10915" t="n">
        <v>8.199999999999999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4594-2024</t>
        </is>
      </c>
      <c r="B10916" s="1" t="n">
        <v>45327</v>
      </c>
      <c r="C10916" s="1" t="n">
        <v>45363</v>
      </c>
      <c r="D10916" t="inlineStr">
        <is>
          <t>JÄMTLANDS LÄN</t>
        </is>
      </c>
      <c r="E10916" t="inlineStr">
        <is>
          <t>RAGUNDA</t>
        </is>
      </c>
      <c r="F10916" t="inlineStr">
        <is>
          <t>SCA</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4591-2024</t>
        </is>
      </c>
      <c r="B10917" s="1" t="n">
        <v>45327</v>
      </c>
      <c r="C10917" s="1" t="n">
        <v>45363</v>
      </c>
      <c r="D10917" t="inlineStr">
        <is>
          <t>JÄMTLANDS LÄN</t>
        </is>
      </c>
      <c r="E10917" t="inlineStr">
        <is>
          <t>RAGUNDA</t>
        </is>
      </c>
      <c r="F10917" t="inlineStr">
        <is>
          <t>SCA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4556-2024</t>
        </is>
      </c>
      <c r="B10918" s="1" t="n">
        <v>45327</v>
      </c>
      <c r="C10918" s="1" t="n">
        <v>45363</v>
      </c>
      <c r="D10918" t="inlineStr">
        <is>
          <t>JÄMTLANDS LÄN</t>
        </is>
      </c>
      <c r="E10918" t="inlineStr">
        <is>
          <t>BRÄCKE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4588-2024</t>
        </is>
      </c>
      <c r="B10919" s="1" t="n">
        <v>45327</v>
      </c>
      <c r="C10919" s="1" t="n">
        <v>45363</v>
      </c>
      <c r="D10919" t="inlineStr">
        <is>
          <t>JÄMTLANDS LÄN</t>
        </is>
      </c>
      <c r="E10919" t="inlineStr">
        <is>
          <t>STRÖMSUND</t>
        </is>
      </c>
      <c r="F10919" t="inlineStr">
        <is>
          <t>SCA</t>
        </is>
      </c>
      <c r="G10919" t="n">
        <v>23.9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4592-2024</t>
        </is>
      </c>
      <c r="B10920" s="1" t="n">
        <v>45327</v>
      </c>
      <c r="C10920" s="1" t="n">
        <v>45363</v>
      </c>
      <c r="D10920" t="inlineStr">
        <is>
          <t>JÄMTLANDS LÄN</t>
        </is>
      </c>
      <c r="E10920" t="inlineStr">
        <is>
          <t>RAGUNDA</t>
        </is>
      </c>
      <c r="F10920" t="inlineStr">
        <is>
          <t>SCA</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4663-2024</t>
        </is>
      </c>
      <c r="B10921" s="1" t="n">
        <v>45328</v>
      </c>
      <c r="C10921" s="1" t="n">
        <v>45363</v>
      </c>
      <c r="D10921" t="inlineStr">
        <is>
          <t>JÄMTLANDS LÄN</t>
        </is>
      </c>
      <c r="E10921" t="inlineStr">
        <is>
          <t>STRÖMSUND</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4825-2024</t>
        </is>
      </c>
      <c r="B10922" s="1" t="n">
        <v>45328</v>
      </c>
      <c r="C10922" s="1" t="n">
        <v>45363</v>
      </c>
      <c r="D10922" t="inlineStr">
        <is>
          <t>JÄMTLANDS LÄN</t>
        </is>
      </c>
      <c r="E10922" t="inlineStr">
        <is>
          <t>STRÖMSUND</t>
        </is>
      </c>
      <c r="F10922" t="inlineStr">
        <is>
          <t>SCA</t>
        </is>
      </c>
      <c r="G10922" t="n">
        <v>33.1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4811-2024</t>
        </is>
      </c>
      <c r="B10923" s="1" t="n">
        <v>45328</v>
      </c>
      <c r="C10923" s="1" t="n">
        <v>45363</v>
      </c>
      <c r="D10923" t="inlineStr">
        <is>
          <t>JÄMTLANDS LÄN</t>
        </is>
      </c>
      <c r="E10923" t="inlineStr">
        <is>
          <t>RAGUNDA</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4823-2024</t>
        </is>
      </c>
      <c r="B10924" s="1" t="n">
        <v>45328</v>
      </c>
      <c r="C10924" s="1" t="n">
        <v>45363</v>
      </c>
      <c r="D10924" t="inlineStr">
        <is>
          <t>JÄMTLANDS LÄN</t>
        </is>
      </c>
      <c r="E10924" t="inlineStr">
        <is>
          <t>STRÖMSUND</t>
        </is>
      </c>
      <c r="F10924" t="inlineStr">
        <is>
          <t>SCA</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4707-2024</t>
        </is>
      </c>
      <c r="B10925" s="1" t="n">
        <v>45328</v>
      </c>
      <c r="C10925" s="1" t="n">
        <v>45363</v>
      </c>
      <c r="D10925" t="inlineStr">
        <is>
          <t>JÄMTLANDS LÄN</t>
        </is>
      </c>
      <c r="E10925" t="inlineStr">
        <is>
          <t>ÖSTERSUND</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4822-2024</t>
        </is>
      </c>
      <c r="B10926" s="1" t="n">
        <v>45328</v>
      </c>
      <c r="C10926" s="1" t="n">
        <v>45363</v>
      </c>
      <c r="D10926" t="inlineStr">
        <is>
          <t>JÄMTLANDS LÄN</t>
        </is>
      </c>
      <c r="E10926" t="inlineStr">
        <is>
          <t>RAGUNDA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4820-2024</t>
        </is>
      </c>
      <c r="B10927" s="1" t="n">
        <v>45328</v>
      </c>
      <c r="C10927" s="1" t="n">
        <v>45363</v>
      </c>
      <c r="D10927" t="inlineStr">
        <is>
          <t>JÄMTLANDS LÄN</t>
        </is>
      </c>
      <c r="E10927" t="inlineStr">
        <is>
          <t>RAGUNDA</t>
        </is>
      </c>
      <c r="F10927" t="inlineStr">
        <is>
          <t>SCA</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4866-2024</t>
        </is>
      </c>
      <c r="B10928" s="1" t="n">
        <v>45329</v>
      </c>
      <c r="C10928" s="1" t="n">
        <v>45363</v>
      </c>
      <c r="D10928" t="inlineStr">
        <is>
          <t>JÄMTLANDS LÄN</t>
        </is>
      </c>
      <c r="E10928" t="inlineStr">
        <is>
          <t>STRÖMSUND</t>
        </is>
      </c>
      <c r="G10928" t="n">
        <v>16.8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4930-2024</t>
        </is>
      </c>
      <c r="B10929" s="1" t="n">
        <v>45329</v>
      </c>
      <c r="C10929" s="1" t="n">
        <v>45363</v>
      </c>
      <c r="D10929" t="inlineStr">
        <is>
          <t>JÄMTLANDS LÄN</t>
        </is>
      </c>
      <c r="E10929" t="inlineStr">
        <is>
          <t>BRÄCKE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5014-2024</t>
        </is>
      </c>
      <c r="B10930" s="1" t="n">
        <v>45329</v>
      </c>
      <c r="C10930" s="1" t="n">
        <v>45363</v>
      </c>
      <c r="D10930" t="inlineStr">
        <is>
          <t>JÄMTLANDS LÄN</t>
        </is>
      </c>
      <c r="E10930" t="inlineStr">
        <is>
          <t>BERG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4936-2024</t>
        </is>
      </c>
      <c r="B10931" s="1" t="n">
        <v>45329</v>
      </c>
      <c r="C10931" s="1" t="n">
        <v>45363</v>
      </c>
      <c r="D10931" t="inlineStr">
        <is>
          <t>JÄMTLANDS LÄN</t>
        </is>
      </c>
      <c r="E10931" t="inlineStr">
        <is>
          <t>RAGUNDA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5067-2024</t>
        </is>
      </c>
      <c r="B10932" s="1" t="n">
        <v>45329</v>
      </c>
      <c r="C10932" s="1" t="n">
        <v>45363</v>
      </c>
      <c r="D10932" t="inlineStr">
        <is>
          <t>JÄMTLANDS LÄN</t>
        </is>
      </c>
      <c r="E10932" t="inlineStr">
        <is>
          <t>RAGUNDA</t>
        </is>
      </c>
      <c r="F10932" t="inlineStr">
        <is>
          <t>SCA</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7843-2024</t>
        </is>
      </c>
      <c r="B10933" s="1" t="n">
        <v>45329</v>
      </c>
      <c r="C10933" s="1" t="n">
        <v>45363</v>
      </c>
      <c r="D10933" t="inlineStr">
        <is>
          <t>JÄMTLANDS LÄN</t>
        </is>
      </c>
      <c r="E10933" t="inlineStr">
        <is>
          <t>BRÄCKE</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5068-2024</t>
        </is>
      </c>
      <c r="B10934" s="1" t="n">
        <v>45329</v>
      </c>
      <c r="C10934" s="1" t="n">
        <v>45363</v>
      </c>
      <c r="D10934" t="inlineStr">
        <is>
          <t>JÄMTLANDS LÄN</t>
        </is>
      </c>
      <c r="E10934" t="inlineStr">
        <is>
          <t>STRÖMSUND</t>
        </is>
      </c>
      <c r="F10934" t="inlineStr">
        <is>
          <t>SCA</t>
        </is>
      </c>
      <c r="G10934" t="n">
        <v>28.3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5053-2024</t>
        </is>
      </c>
      <c r="B10935" s="1" t="n">
        <v>45329</v>
      </c>
      <c r="C10935" s="1" t="n">
        <v>45363</v>
      </c>
      <c r="D10935" t="inlineStr">
        <is>
          <t>JÄMTLANDS LÄN</t>
        </is>
      </c>
      <c r="E10935" t="inlineStr">
        <is>
          <t>BRÄCKE</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5052-2024</t>
        </is>
      </c>
      <c r="B10936" s="1" t="n">
        <v>45329</v>
      </c>
      <c r="C10936" s="1" t="n">
        <v>45363</v>
      </c>
      <c r="D10936" t="inlineStr">
        <is>
          <t>JÄMTLANDS LÄN</t>
        </is>
      </c>
      <c r="E10936" t="inlineStr">
        <is>
          <t>BRÄCKE</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5105-2024</t>
        </is>
      </c>
      <c r="B10937" s="1" t="n">
        <v>45330</v>
      </c>
      <c r="C10937" s="1" t="n">
        <v>45363</v>
      </c>
      <c r="D10937" t="inlineStr">
        <is>
          <t>JÄMTLANDS LÄN</t>
        </is>
      </c>
      <c r="E10937" t="inlineStr">
        <is>
          <t>STRÖMSUND</t>
        </is>
      </c>
      <c r="G10937" t="n">
        <v>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5250-2024</t>
        </is>
      </c>
      <c r="B10938" s="1" t="n">
        <v>45330</v>
      </c>
      <c r="C10938" s="1" t="n">
        <v>45363</v>
      </c>
      <c r="D10938" t="inlineStr">
        <is>
          <t>JÄMTLANDS LÄN</t>
        </is>
      </c>
      <c r="E10938" t="inlineStr">
        <is>
          <t>RAGUNDA</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5261-2024</t>
        </is>
      </c>
      <c r="B10939" s="1" t="n">
        <v>45331</v>
      </c>
      <c r="C10939" s="1" t="n">
        <v>45363</v>
      </c>
      <c r="D10939" t="inlineStr">
        <is>
          <t>JÄMTLANDS LÄN</t>
        </is>
      </c>
      <c r="E10939" t="inlineStr">
        <is>
          <t>STRÖMSUND</t>
        </is>
      </c>
      <c r="F10939" t="inlineStr">
        <is>
          <t>SCA</t>
        </is>
      </c>
      <c r="G10939" t="n">
        <v>29.7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5260-2024</t>
        </is>
      </c>
      <c r="B10940" s="1" t="n">
        <v>45331</v>
      </c>
      <c r="C10940" s="1" t="n">
        <v>45363</v>
      </c>
      <c r="D10940" t="inlineStr">
        <is>
          <t>JÄMTLANDS LÄN</t>
        </is>
      </c>
      <c r="E10940" t="inlineStr">
        <is>
          <t>STRÖMSUND</t>
        </is>
      </c>
      <c r="F10940" t="inlineStr">
        <is>
          <t>SCA</t>
        </is>
      </c>
      <c r="G10940" t="n">
        <v>22.6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5264-2024</t>
        </is>
      </c>
      <c r="B10941" s="1" t="n">
        <v>45331</v>
      </c>
      <c r="C10941" s="1" t="n">
        <v>45363</v>
      </c>
      <c r="D10941" t="inlineStr">
        <is>
          <t>JÄMTLANDS LÄN</t>
        </is>
      </c>
      <c r="E10941" t="inlineStr">
        <is>
          <t>BERG</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5262-2024</t>
        </is>
      </c>
      <c r="B10942" s="1" t="n">
        <v>45330</v>
      </c>
      <c r="C10942" s="1" t="n">
        <v>45363</v>
      </c>
      <c r="D10942" t="inlineStr">
        <is>
          <t>JÄMTLANDS LÄN</t>
        </is>
      </c>
      <c r="E10942" t="inlineStr">
        <is>
          <t>STRÖMSUND</t>
        </is>
      </c>
      <c r="F10942" t="inlineStr">
        <is>
          <t>SCA</t>
        </is>
      </c>
      <c r="G10942" t="n">
        <v>19.7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5266-2024</t>
        </is>
      </c>
      <c r="B10943" s="1" t="n">
        <v>45330</v>
      </c>
      <c r="C10943" s="1" t="n">
        <v>45363</v>
      </c>
      <c r="D10943" t="inlineStr">
        <is>
          <t>JÄMTLANDS LÄN</t>
        </is>
      </c>
      <c r="E10943" t="inlineStr">
        <is>
          <t>BRÄCKE</t>
        </is>
      </c>
      <c r="F10943" t="inlineStr">
        <is>
          <t>SCA</t>
        </is>
      </c>
      <c r="G10943" t="n">
        <v>15.2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5270-2024</t>
        </is>
      </c>
      <c r="B10944" s="1" t="n">
        <v>45331</v>
      </c>
      <c r="C10944" s="1" t="n">
        <v>45363</v>
      </c>
      <c r="D10944" t="inlineStr">
        <is>
          <t>JÄMTLANDS LÄN</t>
        </is>
      </c>
      <c r="E10944" t="inlineStr">
        <is>
          <t>BRÄCKE</t>
        </is>
      </c>
      <c r="F10944" t="inlineStr">
        <is>
          <t>SCA</t>
        </is>
      </c>
      <c r="G10944" t="n">
        <v>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5269-2024</t>
        </is>
      </c>
      <c r="B10945" s="1" t="n">
        <v>45331</v>
      </c>
      <c r="C10945" s="1" t="n">
        <v>45363</v>
      </c>
      <c r="D10945" t="inlineStr">
        <is>
          <t>JÄMTLANDS LÄN</t>
        </is>
      </c>
      <c r="E10945" t="inlineStr">
        <is>
          <t>BRÄCKE</t>
        </is>
      </c>
      <c r="F10945" t="inlineStr">
        <is>
          <t>SCA</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5215-2024</t>
        </is>
      </c>
      <c r="B10946" s="1" t="n">
        <v>45330</v>
      </c>
      <c r="C10946" s="1" t="n">
        <v>45363</v>
      </c>
      <c r="D10946" t="inlineStr">
        <is>
          <t>JÄMTLANDS LÄN</t>
        </is>
      </c>
      <c r="E10946" t="inlineStr">
        <is>
          <t>BERG</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5259-2024</t>
        </is>
      </c>
      <c r="B10947" s="1" t="n">
        <v>45330</v>
      </c>
      <c r="C10947" s="1" t="n">
        <v>45363</v>
      </c>
      <c r="D10947" t="inlineStr">
        <is>
          <t>JÄMTLANDS LÄN</t>
        </is>
      </c>
      <c r="E10947" t="inlineStr">
        <is>
          <t>STRÖMSUND</t>
        </is>
      </c>
      <c r="F10947" t="inlineStr">
        <is>
          <t>SCA</t>
        </is>
      </c>
      <c r="G10947" t="n">
        <v>25.8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5263-2024</t>
        </is>
      </c>
      <c r="B10948" s="1" t="n">
        <v>45331</v>
      </c>
      <c r="C10948" s="1" t="n">
        <v>45363</v>
      </c>
      <c r="D10948" t="inlineStr">
        <is>
          <t>JÄMTLANDS LÄN</t>
        </is>
      </c>
      <c r="E10948" t="inlineStr">
        <is>
          <t>RAGUNDA</t>
        </is>
      </c>
      <c r="F10948" t="inlineStr">
        <is>
          <t>SCA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5267-2024</t>
        </is>
      </c>
      <c r="B10949" s="1" t="n">
        <v>45331</v>
      </c>
      <c r="C10949" s="1" t="n">
        <v>45363</v>
      </c>
      <c r="D10949" t="inlineStr">
        <is>
          <t>JÄMTLANDS LÄN</t>
        </is>
      </c>
      <c r="E10949" t="inlineStr">
        <is>
          <t>STRÖMSUND</t>
        </is>
      </c>
      <c r="F10949" t="inlineStr">
        <is>
          <t>SCA</t>
        </is>
      </c>
      <c r="G10949" t="n">
        <v>29.1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5438-2024</t>
        </is>
      </c>
      <c r="B10950" s="1" t="n">
        <v>45331</v>
      </c>
      <c r="C10950" s="1" t="n">
        <v>45363</v>
      </c>
      <c r="D10950" t="inlineStr">
        <is>
          <t>JÄMTLANDS LÄN</t>
        </is>
      </c>
      <c r="E10950" t="inlineStr">
        <is>
          <t>KROKOM</t>
        </is>
      </c>
      <c r="F10950" t="inlineStr">
        <is>
          <t>SCA</t>
        </is>
      </c>
      <c r="G10950" t="n">
        <v>8.699999999999999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5439-2024</t>
        </is>
      </c>
      <c r="B10951" s="1" t="n">
        <v>45331</v>
      </c>
      <c r="C10951" s="1" t="n">
        <v>45363</v>
      </c>
      <c r="D10951" t="inlineStr">
        <is>
          <t>JÄMTLANDS LÄN</t>
        </is>
      </c>
      <c r="E10951" t="inlineStr">
        <is>
          <t>BRÄCKE</t>
        </is>
      </c>
      <c r="F10951" t="inlineStr">
        <is>
          <t>SCA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5333-2024</t>
        </is>
      </c>
      <c r="B10952" s="1" t="n">
        <v>45331</v>
      </c>
      <c r="C10952" s="1" t="n">
        <v>45363</v>
      </c>
      <c r="D10952" t="inlineStr">
        <is>
          <t>JÄMTLANDS LÄN</t>
        </is>
      </c>
      <c r="E10952" t="inlineStr">
        <is>
          <t>STRÖMSUND</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5327-2024</t>
        </is>
      </c>
      <c r="B10953" s="1" t="n">
        <v>45331</v>
      </c>
      <c r="C10953" s="1" t="n">
        <v>45363</v>
      </c>
      <c r="D10953" t="inlineStr">
        <is>
          <t>JÄMTLANDS LÄN</t>
        </is>
      </c>
      <c r="E10953" t="inlineStr">
        <is>
          <t>STRÖMSUND</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5429-2024</t>
        </is>
      </c>
      <c r="B10954" s="1" t="n">
        <v>45331</v>
      </c>
      <c r="C10954" s="1" t="n">
        <v>45363</v>
      </c>
      <c r="D10954" t="inlineStr">
        <is>
          <t>JÄMTLANDS LÄN</t>
        </is>
      </c>
      <c r="E10954" t="inlineStr">
        <is>
          <t>RAGUNDA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5437-2024</t>
        </is>
      </c>
      <c r="B10955" s="1" t="n">
        <v>45331</v>
      </c>
      <c r="C10955" s="1" t="n">
        <v>45363</v>
      </c>
      <c r="D10955" t="inlineStr">
        <is>
          <t>JÄMTLANDS LÄN</t>
        </is>
      </c>
      <c r="E10955" t="inlineStr">
        <is>
          <t>KROKOM</t>
        </is>
      </c>
      <c r="F10955" t="inlineStr">
        <is>
          <t>SCA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5441-2024</t>
        </is>
      </c>
      <c r="B10956" s="1" t="n">
        <v>45331</v>
      </c>
      <c r="C10956" s="1" t="n">
        <v>45363</v>
      </c>
      <c r="D10956" t="inlineStr">
        <is>
          <t>JÄMTLANDS LÄN</t>
        </is>
      </c>
      <c r="E10956" t="inlineStr">
        <is>
          <t>BRÄCKE</t>
        </is>
      </c>
      <c r="F10956" t="inlineStr">
        <is>
          <t>SCA</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5451-2024</t>
        </is>
      </c>
      <c r="B10957" s="1" t="n">
        <v>45331</v>
      </c>
      <c r="C10957" s="1" t="n">
        <v>45363</v>
      </c>
      <c r="D10957" t="inlineStr">
        <is>
          <t>JÄMTLANDS LÄN</t>
        </is>
      </c>
      <c r="E10957" t="inlineStr">
        <is>
          <t>STRÖMSUND</t>
        </is>
      </c>
      <c r="F10957" t="inlineStr">
        <is>
          <t>SCA</t>
        </is>
      </c>
      <c r="G10957" t="n">
        <v>13.5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5455-2024</t>
        </is>
      </c>
      <c r="B10958" s="1" t="n">
        <v>45331</v>
      </c>
      <c r="C10958" s="1" t="n">
        <v>45363</v>
      </c>
      <c r="D10958" t="inlineStr">
        <is>
          <t>JÄMTLANDS LÄN</t>
        </is>
      </c>
      <c r="E10958" t="inlineStr">
        <is>
          <t>ÖSTERSUND</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5367-2024</t>
        </is>
      </c>
      <c r="B10959" s="1" t="n">
        <v>45331</v>
      </c>
      <c r="C10959" s="1" t="n">
        <v>45363</v>
      </c>
      <c r="D10959" t="inlineStr">
        <is>
          <t>JÄMTLANDS LÄN</t>
        </is>
      </c>
      <c r="E10959" t="inlineStr">
        <is>
          <t>BRÄCKE</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5440-2024</t>
        </is>
      </c>
      <c r="B10960" s="1" t="n">
        <v>45331</v>
      </c>
      <c r="C10960" s="1" t="n">
        <v>45363</v>
      </c>
      <c r="D10960" t="inlineStr">
        <is>
          <t>JÄMTLANDS LÄN</t>
        </is>
      </c>
      <c r="E10960" t="inlineStr">
        <is>
          <t>KROKOM</t>
        </is>
      </c>
      <c r="F10960" t="inlineStr">
        <is>
          <t>SCA</t>
        </is>
      </c>
      <c r="G10960" t="n">
        <v>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5444-2024</t>
        </is>
      </c>
      <c r="B10961" s="1" t="n">
        <v>45331</v>
      </c>
      <c r="C10961" s="1" t="n">
        <v>45363</v>
      </c>
      <c r="D10961" t="inlineStr">
        <is>
          <t>JÄMTLANDS LÄN</t>
        </is>
      </c>
      <c r="E10961" t="inlineStr">
        <is>
          <t>STRÖMSUND</t>
        </is>
      </c>
      <c r="F10961" t="inlineStr">
        <is>
          <t>SCA</t>
        </is>
      </c>
      <c r="G10961" t="n">
        <v>25.5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5450-2024</t>
        </is>
      </c>
      <c r="B10962" s="1" t="n">
        <v>45331</v>
      </c>
      <c r="C10962" s="1" t="n">
        <v>45363</v>
      </c>
      <c r="D10962" t="inlineStr">
        <is>
          <t>JÄMTLANDS LÄN</t>
        </is>
      </c>
      <c r="E10962" t="inlineStr">
        <is>
          <t>STRÖMSUND</t>
        </is>
      </c>
      <c r="F10962" t="inlineStr">
        <is>
          <t>SCA</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5454-2024</t>
        </is>
      </c>
      <c r="B10963" s="1" t="n">
        <v>45331</v>
      </c>
      <c r="C10963" s="1" t="n">
        <v>45363</v>
      </c>
      <c r="D10963" t="inlineStr">
        <is>
          <t>JÄMTLANDS LÄN</t>
        </is>
      </c>
      <c r="E10963" t="inlineStr">
        <is>
          <t>STRÖMSUND</t>
        </is>
      </c>
      <c r="F10963" t="inlineStr">
        <is>
          <t>SCA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5443-2024</t>
        </is>
      </c>
      <c r="B10964" s="1" t="n">
        <v>45331</v>
      </c>
      <c r="C10964" s="1" t="n">
        <v>45363</v>
      </c>
      <c r="D10964" t="inlineStr">
        <is>
          <t>JÄMTLANDS LÄN</t>
        </is>
      </c>
      <c r="E10964" t="inlineStr">
        <is>
          <t>STRÖMSUND</t>
        </is>
      </c>
      <c r="F10964" t="inlineStr">
        <is>
          <t>SCA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5449-2024</t>
        </is>
      </c>
      <c r="B10965" s="1" t="n">
        <v>45331</v>
      </c>
      <c r="C10965" s="1" t="n">
        <v>45363</v>
      </c>
      <c r="D10965" t="inlineStr">
        <is>
          <t>JÄMTLANDS LÄN</t>
        </is>
      </c>
      <c r="E10965" t="inlineStr">
        <is>
          <t>STRÖMSUND</t>
        </is>
      </c>
      <c r="F10965" t="inlineStr">
        <is>
          <t>SCA</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5453-2024</t>
        </is>
      </c>
      <c r="B10966" s="1" t="n">
        <v>45331</v>
      </c>
      <c r="C10966" s="1" t="n">
        <v>45363</v>
      </c>
      <c r="D10966" t="inlineStr">
        <is>
          <t>JÄMTLANDS LÄN</t>
        </is>
      </c>
      <c r="E10966" t="inlineStr">
        <is>
          <t>STRÖMSUND</t>
        </is>
      </c>
      <c r="F10966" t="inlineStr">
        <is>
          <t>SCA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5350-2024</t>
        </is>
      </c>
      <c r="B10967" s="1" t="n">
        <v>45331</v>
      </c>
      <c r="C10967" s="1" t="n">
        <v>45363</v>
      </c>
      <c r="D10967" t="inlineStr">
        <is>
          <t>JÄMTLANDS LÄN</t>
        </is>
      </c>
      <c r="E10967" t="inlineStr">
        <is>
          <t>STRÖMSUND</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5630-2024</t>
        </is>
      </c>
      <c r="B10968" s="1" t="n">
        <v>45334</v>
      </c>
      <c r="C10968" s="1" t="n">
        <v>45363</v>
      </c>
      <c r="D10968" t="inlineStr">
        <is>
          <t>JÄMTLANDS LÄN</t>
        </is>
      </c>
      <c r="E10968" t="inlineStr">
        <is>
          <t>HÄRJEDALEN</t>
        </is>
      </c>
      <c r="F10968" t="inlineStr">
        <is>
          <t>Övriga statliga verk och myndigheter</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5666-2024</t>
        </is>
      </c>
      <c r="B10969" s="1" t="n">
        <v>45334</v>
      </c>
      <c r="C10969" s="1" t="n">
        <v>45363</v>
      </c>
      <c r="D10969" t="inlineStr">
        <is>
          <t>JÄMTLANDS LÄN</t>
        </is>
      </c>
      <c r="E10969" t="inlineStr">
        <is>
          <t>BERG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5736-2024</t>
        </is>
      </c>
      <c r="B10970" s="1" t="n">
        <v>45334</v>
      </c>
      <c r="C10970" s="1" t="n">
        <v>45363</v>
      </c>
      <c r="D10970" t="inlineStr">
        <is>
          <t>JÄMTLANDS LÄN</t>
        </is>
      </c>
      <c r="E10970" t="inlineStr">
        <is>
          <t>STRÖMSUND</t>
        </is>
      </c>
      <c r="F10970" t="inlineStr">
        <is>
          <t>SCA</t>
        </is>
      </c>
      <c r="G10970" t="n">
        <v>30.3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5737-2024</t>
        </is>
      </c>
      <c r="B10971" s="1" t="n">
        <v>45334</v>
      </c>
      <c r="C10971" s="1" t="n">
        <v>45363</v>
      </c>
      <c r="D10971" t="inlineStr">
        <is>
          <t>JÄMTLANDS LÄN</t>
        </is>
      </c>
      <c r="E10971" t="inlineStr">
        <is>
          <t>BRÄCKE</t>
        </is>
      </c>
      <c r="F10971" t="inlineStr">
        <is>
          <t>SCA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5781-2024</t>
        </is>
      </c>
      <c r="B10972" s="1" t="n">
        <v>45335</v>
      </c>
      <c r="C10972" s="1" t="n">
        <v>45363</v>
      </c>
      <c r="D10972" t="inlineStr">
        <is>
          <t>JÄMTLANDS LÄN</t>
        </is>
      </c>
      <c r="E10972" t="inlineStr">
        <is>
          <t>ÖSTERSUND</t>
        </is>
      </c>
      <c r="G10972" t="n">
        <v>8.800000000000001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5779-2024</t>
        </is>
      </c>
      <c r="B10973" s="1" t="n">
        <v>45335</v>
      </c>
      <c r="C10973" s="1" t="n">
        <v>45363</v>
      </c>
      <c r="D10973" t="inlineStr">
        <is>
          <t>JÄMTLANDS LÄN</t>
        </is>
      </c>
      <c r="E10973" t="inlineStr">
        <is>
          <t>ÖSTERSUND</t>
        </is>
      </c>
      <c r="G10973" t="n">
        <v>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5911-2024</t>
        </is>
      </c>
      <c r="B10974" s="1" t="n">
        <v>45335</v>
      </c>
      <c r="C10974" s="1" t="n">
        <v>45363</v>
      </c>
      <c r="D10974" t="inlineStr">
        <is>
          <t>JÄMTLANDS LÄN</t>
        </is>
      </c>
      <c r="E10974" t="inlineStr">
        <is>
          <t>BERG</t>
        </is>
      </c>
      <c r="F10974" t="inlineStr">
        <is>
          <t>SCA</t>
        </is>
      </c>
      <c r="G10974" t="n">
        <v>28.6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5913-2024</t>
        </is>
      </c>
      <c r="B10975" s="1" t="n">
        <v>45335</v>
      </c>
      <c r="C10975" s="1" t="n">
        <v>45363</v>
      </c>
      <c r="D10975" t="inlineStr">
        <is>
          <t>JÄMTLANDS LÄN</t>
        </is>
      </c>
      <c r="E10975" t="inlineStr">
        <is>
          <t>HÄRJEDALEN</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5912-2024</t>
        </is>
      </c>
      <c r="B10976" s="1" t="n">
        <v>45335</v>
      </c>
      <c r="C10976" s="1" t="n">
        <v>45363</v>
      </c>
      <c r="D10976" t="inlineStr">
        <is>
          <t>JÄMTLANDS LÄN</t>
        </is>
      </c>
      <c r="E10976" t="inlineStr">
        <is>
          <t>HÄRJEDALEN</t>
        </is>
      </c>
      <c r="G10976" t="n">
        <v>39.3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5920-2024</t>
        </is>
      </c>
      <c r="B10977" s="1" t="n">
        <v>45335</v>
      </c>
      <c r="C10977" s="1" t="n">
        <v>45363</v>
      </c>
      <c r="D10977" t="inlineStr">
        <is>
          <t>JÄMTLANDS LÄN</t>
        </is>
      </c>
      <c r="E10977" t="inlineStr">
        <is>
          <t>ÖSTERSUND</t>
        </is>
      </c>
      <c r="F10977" t="inlineStr">
        <is>
          <t>SCA</t>
        </is>
      </c>
      <c r="G10977" t="n">
        <v>17.8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5910-2024</t>
        </is>
      </c>
      <c r="B10978" s="1" t="n">
        <v>45335</v>
      </c>
      <c r="C10978" s="1" t="n">
        <v>45363</v>
      </c>
      <c r="D10978" t="inlineStr">
        <is>
          <t>JÄMTLANDS LÄN</t>
        </is>
      </c>
      <c r="E10978" t="inlineStr">
        <is>
          <t>BERG</t>
        </is>
      </c>
      <c r="F10978" t="inlineStr">
        <is>
          <t>SCA</t>
        </is>
      </c>
      <c r="G10978" t="n">
        <v>29.7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5914-2024</t>
        </is>
      </c>
      <c r="B10979" s="1" t="n">
        <v>45335</v>
      </c>
      <c r="C10979" s="1" t="n">
        <v>45363</v>
      </c>
      <c r="D10979" t="inlineStr">
        <is>
          <t>JÄMTLANDS LÄN</t>
        </is>
      </c>
      <c r="E10979" t="inlineStr">
        <is>
          <t>BRÄCKE</t>
        </is>
      </c>
      <c r="F10979" t="inlineStr">
        <is>
          <t>SCA</t>
        </is>
      </c>
      <c r="G10979" t="n">
        <v>21.2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5915-2024</t>
        </is>
      </c>
      <c r="B10980" s="1" t="n">
        <v>45335</v>
      </c>
      <c r="C10980" s="1" t="n">
        <v>45363</v>
      </c>
      <c r="D10980" t="inlineStr">
        <is>
          <t>JÄMTLANDS LÄN</t>
        </is>
      </c>
      <c r="E10980" t="inlineStr">
        <is>
          <t>BRÄCKE</t>
        </is>
      </c>
      <c r="F10980" t="inlineStr">
        <is>
          <t>SCA</t>
        </is>
      </c>
      <c r="G10980" t="n">
        <v>7.6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5930-2024</t>
        </is>
      </c>
      <c r="B10981" s="1" t="n">
        <v>45336</v>
      </c>
      <c r="C10981" s="1" t="n">
        <v>45363</v>
      </c>
      <c r="D10981" t="inlineStr">
        <is>
          <t>JÄMTLANDS LÄN</t>
        </is>
      </c>
      <c r="E10981" t="inlineStr">
        <is>
          <t>STRÖMSUND</t>
        </is>
      </c>
      <c r="F10981" t="inlineStr">
        <is>
          <t>Holmen skog AB</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6048-2024</t>
        </is>
      </c>
      <c r="B10982" s="1" t="n">
        <v>45336</v>
      </c>
      <c r="C10982" s="1" t="n">
        <v>45363</v>
      </c>
      <c r="D10982" t="inlineStr">
        <is>
          <t>JÄMTLANDS LÄN</t>
        </is>
      </c>
      <c r="E10982" t="inlineStr">
        <is>
          <t>ÖSTERSUND</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6053-2024</t>
        </is>
      </c>
      <c r="B10983" s="1" t="n">
        <v>45336</v>
      </c>
      <c r="C10983" s="1" t="n">
        <v>45363</v>
      </c>
      <c r="D10983" t="inlineStr">
        <is>
          <t>JÄMTLANDS LÄN</t>
        </is>
      </c>
      <c r="E10983" t="inlineStr">
        <is>
          <t>ÖSTERSUND</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6056-2024</t>
        </is>
      </c>
      <c r="B10984" s="1" t="n">
        <v>45336</v>
      </c>
      <c r="C10984" s="1" t="n">
        <v>45363</v>
      </c>
      <c r="D10984" t="inlineStr">
        <is>
          <t>JÄMTLANDS LÄN</t>
        </is>
      </c>
      <c r="E10984" t="inlineStr">
        <is>
          <t>ÖSTERSUND</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6083-2024</t>
        </is>
      </c>
      <c r="B10985" s="1" t="n">
        <v>45337</v>
      </c>
      <c r="C10985" s="1" t="n">
        <v>45363</v>
      </c>
      <c r="D10985" t="inlineStr">
        <is>
          <t>JÄMTLANDS LÄN</t>
        </is>
      </c>
      <c r="E10985" t="inlineStr">
        <is>
          <t>STRÖMSUND</t>
        </is>
      </c>
      <c r="F10985" t="inlineStr">
        <is>
          <t>SCA</t>
        </is>
      </c>
      <c r="G10985" t="n">
        <v>45.8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6086-2024</t>
        </is>
      </c>
      <c r="B10986" s="1" t="n">
        <v>45337</v>
      </c>
      <c r="C10986" s="1" t="n">
        <v>45363</v>
      </c>
      <c r="D10986" t="inlineStr">
        <is>
          <t>JÄMTLANDS LÄN</t>
        </is>
      </c>
      <c r="E10986" t="inlineStr">
        <is>
          <t>BRÄCKE</t>
        </is>
      </c>
      <c r="F10986" t="inlineStr">
        <is>
          <t>SCA</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6085-2024</t>
        </is>
      </c>
      <c r="B10987" s="1" t="n">
        <v>45336</v>
      </c>
      <c r="C10987" s="1" t="n">
        <v>45363</v>
      </c>
      <c r="D10987" t="inlineStr">
        <is>
          <t>JÄMTLANDS LÄN</t>
        </is>
      </c>
      <c r="E10987" t="inlineStr">
        <is>
          <t>STRÖMSUND</t>
        </is>
      </c>
      <c r="F10987" t="inlineStr">
        <is>
          <t>SCA</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6087-2024</t>
        </is>
      </c>
      <c r="B10988" s="1" t="n">
        <v>45337</v>
      </c>
      <c r="C10988" s="1" t="n">
        <v>45363</v>
      </c>
      <c r="D10988" t="inlineStr">
        <is>
          <t>JÄMTLANDS LÄN</t>
        </is>
      </c>
      <c r="E10988" t="inlineStr">
        <is>
          <t>BRÄCKE</t>
        </is>
      </c>
      <c r="F10988" t="inlineStr">
        <is>
          <t>SCA</t>
        </is>
      </c>
      <c r="G10988" t="n">
        <v>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6185-2024</t>
        </is>
      </c>
      <c r="B10989" s="1" t="n">
        <v>45337</v>
      </c>
      <c r="C10989" s="1" t="n">
        <v>45363</v>
      </c>
      <c r="D10989" t="inlineStr">
        <is>
          <t>JÄMTLANDS LÄN</t>
        </is>
      </c>
      <c r="E10989" t="inlineStr">
        <is>
          <t>BRÄCKE</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6112-2024</t>
        </is>
      </c>
      <c r="B10990" s="1" t="n">
        <v>45337</v>
      </c>
      <c r="C10990" s="1" t="n">
        <v>45363</v>
      </c>
      <c r="D10990" t="inlineStr">
        <is>
          <t>JÄMTLANDS LÄN</t>
        </is>
      </c>
      <c r="E10990" t="inlineStr">
        <is>
          <t>STRÖMSUND</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6174-2024</t>
        </is>
      </c>
      <c r="B10991" s="1" t="n">
        <v>45337</v>
      </c>
      <c r="C10991" s="1" t="n">
        <v>45363</v>
      </c>
      <c r="D10991" t="inlineStr">
        <is>
          <t>JÄMTLANDS LÄN</t>
        </is>
      </c>
      <c r="E10991" t="inlineStr">
        <is>
          <t>STRÖMSUND</t>
        </is>
      </c>
      <c r="G10991" t="n">
        <v>9.4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6190-2024</t>
        </is>
      </c>
      <c r="B10992" s="1" t="n">
        <v>45337</v>
      </c>
      <c r="C10992" s="1" t="n">
        <v>45363</v>
      </c>
      <c r="D10992" t="inlineStr">
        <is>
          <t>JÄMTLANDS LÄN</t>
        </is>
      </c>
      <c r="E10992" t="inlineStr">
        <is>
          <t>BRÄCKE</t>
        </is>
      </c>
      <c r="G10992" t="n">
        <v>9.199999999999999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6218-2024</t>
        </is>
      </c>
      <c r="B10993" s="1" t="n">
        <v>45337</v>
      </c>
      <c r="C10993" s="1" t="n">
        <v>45363</v>
      </c>
      <c r="D10993" t="inlineStr">
        <is>
          <t>JÄMTLANDS LÄN</t>
        </is>
      </c>
      <c r="E10993" t="inlineStr">
        <is>
          <t>HÄRJEDALEN</t>
        </is>
      </c>
      <c r="G10993" t="n">
        <v>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6286-2024</t>
        </is>
      </c>
      <c r="B10994" s="1" t="n">
        <v>45337</v>
      </c>
      <c r="C10994" s="1" t="n">
        <v>45363</v>
      </c>
      <c r="D10994" t="inlineStr">
        <is>
          <t>JÄMTLANDS LÄN</t>
        </is>
      </c>
      <c r="E10994" t="inlineStr">
        <is>
          <t>HÄRJEDALEN</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6267-2024</t>
        </is>
      </c>
      <c r="B10995" s="1" t="n">
        <v>45337</v>
      </c>
      <c r="C10995" s="1" t="n">
        <v>45363</v>
      </c>
      <c r="D10995" t="inlineStr">
        <is>
          <t>JÄMTLANDS LÄN</t>
        </is>
      </c>
      <c r="E10995" t="inlineStr">
        <is>
          <t>RAGUNDA</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6283-2024</t>
        </is>
      </c>
      <c r="B10996" s="1" t="n">
        <v>45337</v>
      </c>
      <c r="C10996" s="1" t="n">
        <v>45363</v>
      </c>
      <c r="D10996" t="inlineStr">
        <is>
          <t>JÄMTLANDS LÄN</t>
        </is>
      </c>
      <c r="E10996" t="inlineStr">
        <is>
          <t>KROKOM</t>
        </is>
      </c>
      <c r="F10996" t="inlineStr">
        <is>
          <t>SCA</t>
        </is>
      </c>
      <c r="G10996" t="n">
        <v>15.6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6287-2024</t>
        </is>
      </c>
      <c r="B10997" s="1" t="n">
        <v>45337</v>
      </c>
      <c r="C10997" s="1" t="n">
        <v>45363</v>
      </c>
      <c r="D10997" t="inlineStr">
        <is>
          <t>JÄMTLANDS LÄN</t>
        </is>
      </c>
      <c r="E10997" t="inlineStr">
        <is>
          <t>STRÖMSUND</t>
        </is>
      </c>
      <c r="F10997" t="inlineStr">
        <is>
          <t>SCA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6284-2024</t>
        </is>
      </c>
      <c r="B10998" s="1" t="n">
        <v>45337</v>
      </c>
      <c r="C10998" s="1" t="n">
        <v>45363</v>
      </c>
      <c r="D10998" t="inlineStr">
        <is>
          <t>JÄMTLANDS LÄN</t>
        </is>
      </c>
      <c r="E10998" t="inlineStr">
        <is>
          <t>KROKOM</t>
        </is>
      </c>
      <c r="F10998" t="inlineStr">
        <is>
          <t>SCA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6304-2024</t>
        </is>
      </c>
      <c r="B10999" s="1" t="n">
        <v>45338</v>
      </c>
      <c r="C10999" s="1" t="n">
        <v>45363</v>
      </c>
      <c r="D10999" t="inlineStr">
        <is>
          <t>JÄMTLANDS LÄN</t>
        </is>
      </c>
      <c r="E10999" t="inlineStr">
        <is>
          <t>HÄRJEDALEN</t>
        </is>
      </c>
      <c r="F10999" t="inlineStr">
        <is>
          <t>Bergvik skog väst AB</t>
        </is>
      </c>
      <c r="G10999" t="n">
        <v>23.5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6376-2024</t>
        </is>
      </c>
      <c r="B11000" s="1" t="n">
        <v>45338</v>
      </c>
      <c r="C11000" s="1" t="n">
        <v>45363</v>
      </c>
      <c r="D11000" t="inlineStr">
        <is>
          <t>JÄMTLANDS LÄN</t>
        </is>
      </c>
      <c r="E11000" t="inlineStr">
        <is>
          <t>ÖSTERSUND</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6402-2024</t>
        </is>
      </c>
      <c r="B11001" s="1" t="n">
        <v>45338</v>
      </c>
      <c r="C11001" s="1" t="n">
        <v>45363</v>
      </c>
      <c r="D11001" t="inlineStr">
        <is>
          <t>JÄMTLANDS LÄN</t>
        </is>
      </c>
      <c r="E11001" t="inlineStr">
        <is>
          <t>ÖSTERSUND</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6313-2024</t>
        </is>
      </c>
      <c r="B11002" s="1" t="n">
        <v>45338</v>
      </c>
      <c r="C11002" s="1" t="n">
        <v>45363</v>
      </c>
      <c r="D11002" t="inlineStr">
        <is>
          <t>JÄMTLANDS LÄN</t>
        </is>
      </c>
      <c r="E11002" t="inlineStr">
        <is>
          <t>HÄRJEDALEN</t>
        </is>
      </c>
      <c r="F11002" t="inlineStr">
        <is>
          <t>Bergvik skog väst AB</t>
        </is>
      </c>
      <c r="G11002" t="n">
        <v>60.7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6362-2024</t>
        </is>
      </c>
      <c r="B11003" s="1" t="n">
        <v>45338</v>
      </c>
      <c r="C11003" s="1" t="n">
        <v>45363</v>
      </c>
      <c r="D11003" t="inlineStr">
        <is>
          <t>JÄMTLANDS LÄN</t>
        </is>
      </c>
      <c r="E11003" t="inlineStr">
        <is>
          <t>BRÄCKE</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6353-2024</t>
        </is>
      </c>
      <c r="B11004" s="1" t="n">
        <v>45338</v>
      </c>
      <c r="C11004" s="1" t="n">
        <v>45363</v>
      </c>
      <c r="D11004" t="inlineStr">
        <is>
          <t>JÄMTLANDS LÄN</t>
        </is>
      </c>
      <c r="E11004" t="inlineStr">
        <is>
          <t>ÖSTERSUND</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6403-2024</t>
        </is>
      </c>
      <c r="B11005" s="1" t="n">
        <v>45338</v>
      </c>
      <c r="C11005" s="1" t="n">
        <v>45363</v>
      </c>
      <c r="D11005" t="inlineStr">
        <is>
          <t>JÄMTLANDS LÄN</t>
        </is>
      </c>
      <c r="E11005" t="inlineStr">
        <is>
          <t>KROKOM</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6478-2024</t>
        </is>
      </c>
      <c r="B11006" s="1" t="n">
        <v>45338</v>
      </c>
      <c r="C11006" s="1" t="n">
        <v>45363</v>
      </c>
      <c r="D11006" t="inlineStr">
        <is>
          <t>JÄMTLANDS LÄN</t>
        </is>
      </c>
      <c r="E11006" t="inlineStr">
        <is>
          <t>STRÖMSUND</t>
        </is>
      </c>
      <c r="F11006" t="inlineStr">
        <is>
          <t>SCA</t>
        </is>
      </c>
      <c r="G11006" t="n">
        <v>17.6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6482-2024</t>
        </is>
      </c>
      <c r="B11007" s="1" t="n">
        <v>45338</v>
      </c>
      <c r="C11007" s="1" t="n">
        <v>45363</v>
      </c>
      <c r="D11007" t="inlineStr">
        <is>
          <t>JÄMTLANDS LÄN</t>
        </is>
      </c>
      <c r="E11007" t="inlineStr">
        <is>
          <t>KROKOM</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6475-2024</t>
        </is>
      </c>
      <c r="B11008" s="1" t="n">
        <v>45338</v>
      </c>
      <c r="C11008" s="1" t="n">
        <v>45363</v>
      </c>
      <c r="D11008" t="inlineStr">
        <is>
          <t>JÄMTLANDS LÄN</t>
        </is>
      </c>
      <c r="E11008" t="inlineStr">
        <is>
          <t>STRÖMSUND</t>
        </is>
      </c>
      <c r="F11008" t="inlineStr">
        <is>
          <t>SCA</t>
        </is>
      </c>
      <c r="G11008" t="n">
        <v>9.5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6479-2024</t>
        </is>
      </c>
      <c r="B11009" s="1" t="n">
        <v>45338</v>
      </c>
      <c r="C11009" s="1" t="n">
        <v>45363</v>
      </c>
      <c r="D11009" t="inlineStr">
        <is>
          <t>JÄMTLANDS LÄN</t>
        </is>
      </c>
      <c r="E11009" t="inlineStr">
        <is>
          <t>STRÖMSUND</t>
        </is>
      </c>
      <c r="F11009" t="inlineStr">
        <is>
          <t>SCA</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6476-2024</t>
        </is>
      </c>
      <c r="B11010" s="1" t="n">
        <v>45338</v>
      </c>
      <c r="C11010" s="1" t="n">
        <v>45363</v>
      </c>
      <c r="D11010" t="inlineStr">
        <is>
          <t>JÄMTLANDS LÄN</t>
        </is>
      </c>
      <c r="E11010" t="inlineStr">
        <is>
          <t>STRÖMSUND</t>
        </is>
      </c>
      <c r="F11010" t="inlineStr">
        <is>
          <t>SCA</t>
        </is>
      </c>
      <c r="G11010" t="n">
        <v>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6351-2024</t>
        </is>
      </c>
      <c r="B11011" s="1" t="n">
        <v>45338</v>
      </c>
      <c r="C11011" s="1" t="n">
        <v>45363</v>
      </c>
      <c r="D11011" t="inlineStr">
        <is>
          <t>JÄMTLANDS LÄN</t>
        </is>
      </c>
      <c r="E11011" t="inlineStr">
        <is>
          <t>ÖSTERSUND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6477-2024</t>
        </is>
      </c>
      <c r="B11012" s="1" t="n">
        <v>45338</v>
      </c>
      <c r="C11012" s="1" t="n">
        <v>45363</v>
      </c>
      <c r="D11012" t="inlineStr">
        <is>
          <t>JÄMTLANDS LÄN</t>
        </is>
      </c>
      <c r="E11012" t="inlineStr">
        <is>
          <t>RAGUNDA</t>
        </is>
      </c>
      <c r="F11012" t="inlineStr">
        <is>
          <t>SCA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6483-2024</t>
        </is>
      </c>
      <c r="B11013" s="1" t="n">
        <v>45338</v>
      </c>
      <c r="C11013" s="1" t="n">
        <v>45363</v>
      </c>
      <c r="D11013" t="inlineStr">
        <is>
          <t>JÄMTLANDS LÄN</t>
        </is>
      </c>
      <c r="E11013" t="inlineStr">
        <is>
          <t>KROKOM</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6481-2024</t>
        </is>
      </c>
      <c r="B11014" s="1" t="n">
        <v>45338</v>
      </c>
      <c r="C11014" s="1" t="n">
        <v>45363</v>
      </c>
      <c r="D11014" t="inlineStr">
        <is>
          <t>JÄMTLANDS LÄN</t>
        </is>
      </c>
      <c r="E11014" t="inlineStr">
        <is>
          <t>ÖSTERSUND</t>
        </is>
      </c>
      <c r="F11014" t="inlineStr">
        <is>
          <t>SCA</t>
        </is>
      </c>
      <c r="G11014" t="n">
        <v>21.3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6512-2024</t>
        </is>
      </c>
      <c r="B11015" s="1" t="n">
        <v>45340</v>
      </c>
      <c r="C11015" s="1" t="n">
        <v>45363</v>
      </c>
      <c r="D11015" t="inlineStr">
        <is>
          <t>JÄMTLANDS LÄN</t>
        </is>
      </c>
      <c r="E11015" t="inlineStr">
        <is>
          <t>STRÖMSUND</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6566-2024</t>
        </is>
      </c>
      <c r="B11016" s="1" t="n">
        <v>45341</v>
      </c>
      <c r="C11016" s="1" t="n">
        <v>45363</v>
      </c>
      <c r="D11016" t="inlineStr">
        <is>
          <t>JÄMTLANDS LÄN</t>
        </is>
      </c>
      <c r="E11016" t="inlineStr">
        <is>
          <t>STRÖMSUND</t>
        </is>
      </c>
      <c r="G11016" t="n">
        <v>10.5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6516-2024</t>
        </is>
      </c>
      <c r="B11017" s="1" t="n">
        <v>45341</v>
      </c>
      <c r="C11017" s="1" t="n">
        <v>45363</v>
      </c>
      <c r="D11017" t="inlineStr">
        <is>
          <t>JÄMTLANDS LÄN</t>
        </is>
      </c>
      <c r="E11017" t="inlineStr">
        <is>
          <t>BRÄCKE</t>
        </is>
      </c>
      <c r="G11017" t="n">
        <v>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6687-2024</t>
        </is>
      </c>
      <c r="B11018" s="1" t="n">
        <v>45341</v>
      </c>
      <c r="C11018" s="1" t="n">
        <v>45363</v>
      </c>
      <c r="D11018" t="inlineStr">
        <is>
          <t>JÄMTLANDS LÄN</t>
        </is>
      </c>
      <c r="E11018" t="inlineStr">
        <is>
          <t>RAGUNDA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6693-2024</t>
        </is>
      </c>
      <c r="B11019" s="1" t="n">
        <v>45341</v>
      </c>
      <c r="C11019" s="1" t="n">
        <v>45363</v>
      </c>
      <c r="D11019" t="inlineStr">
        <is>
          <t>JÄMTLANDS LÄN</t>
        </is>
      </c>
      <c r="E11019" t="inlineStr">
        <is>
          <t>STRÖMSUND</t>
        </is>
      </c>
      <c r="F11019" t="inlineStr">
        <is>
          <t>SCA</t>
        </is>
      </c>
      <c r="G11019" t="n">
        <v>14.2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6688-2024</t>
        </is>
      </c>
      <c r="B11020" s="1" t="n">
        <v>45341</v>
      </c>
      <c r="C11020" s="1" t="n">
        <v>45363</v>
      </c>
      <c r="D11020" t="inlineStr">
        <is>
          <t>JÄMTLANDS LÄN</t>
        </is>
      </c>
      <c r="E11020" t="inlineStr">
        <is>
          <t>RAGUNDA</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6696-2024</t>
        </is>
      </c>
      <c r="B11021" s="1" t="n">
        <v>45341</v>
      </c>
      <c r="C11021" s="1" t="n">
        <v>45363</v>
      </c>
      <c r="D11021" t="inlineStr">
        <is>
          <t>JÄMTLANDS LÄN</t>
        </is>
      </c>
      <c r="E11021" t="inlineStr">
        <is>
          <t>STRÖMSUND</t>
        </is>
      </c>
      <c r="F11021" t="inlineStr">
        <is>
          <t>SCA</t>
        </is>
      </c>
      <c r="G11021" t="n">
        <v>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6694-2024</t>
        </is>
      </c>
      <c r="B11022" s="1" t="n">
        <v>45341</v>
      </c>
      <c r="C11022" s="1" t="n">
        <v>45363</v>
      </c>
      <c r="D11022" t="inlineStr">
        <is>
          <t>JÄMTLANDS LÄN</t>
        </is>
      </c>
      <c r="E11022" t="inlineStr">
        <is>
          <t>RAGUNDA</t>
        </is>
      </c>
      <c r="F11022" t="inlineStr">
        <is>
          <t>SCA</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6695-2024</t>
        </is>
      </c>
      <c r="B11023" s="1" t="n">
        <v>45341</v>
      </c>
      <c r="C11023" s="1" t="n">
        <v>45363</v>
      </c>
      <c r="D11023" t="inlineStr">
        <is>
          <t>JÄMTLANDS LÄN</t>
        </is>
      </c>
      <c r="E11023" t="inlineStr">
        <is>
          <t>STRÖMSUND</t>
        </is>
      </c>
      <c r="F11023" t="inlineStr">
        <is>
          <t>SCA</t>
        </is>
      </c>
      <c r="G11023" t="n">
        <v>19.5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6825-2024</t>
        </is>
      </c>
      <c r="B11024" s="1" t="n">
        <v>45342</v>
      </c>
      <c r="C11024" s="1" t="n">
        <v>45363</v>
      </c>
      <c r="D11024" t="inlineStr">
        <is>
          <t>JÄMTLANDS LÄN</t>
        </is>
      </c>
      <c r="E11024" t="inlineStr">
        <is>
          <t>ÅRE</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6894-2024</t>
        </is>
      </c>
      <c r="B11025" s="1" t="n">
        <v>45342</v>
      </c>
      <c r="C11025" s="1" t="n">
        <v>45363</v>
      </c>
      <c r="D11025" t="inlineStr">
        <is>
          <t>JÄMTLANDS LÄN</t>
        </is>
      </c>
      <c r="E11025" t="inlineStr">
        <is>
          <t>STRÖMSUND</t>
        </is>
      </c>
      <c r="G11025" t="n">
        <v>16.3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6898-2024</t>
        </is>
      </c>
      <c r="B11026" s="1" t="n">
        <v>45342</v>
      </c>
      <c r="C11026" s="1" t="n">
        <v>45363</v>
      </c>
      <c r="D11026" t="inlineStr">
        <is>
          <t>JÄMTLANDS LÄN</t>
        </is>
      </c>
      <c r="E11026" t="inlineStr">
        <is>
          <t>KROKOM</t>
        </is>
      </c>
      <c r="F11026" t="inlineStr">
        <is>
          <t>SCA</t>
        </is>
      </c>
      <c r="G11026" t="n">
        <v>30.7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6900-2024</t>
        </is>
      </c>
      <c r="B11027" s="1" t="n">
        <v>45342</v>
      </c>
      <c r="C11027" s="1" t="n">
        <v>45363</v>
      </c>
      <c r="D11027" t="inlineStr">
        <is>
          <t>JÄMTLANDS LÄN</t>
        </is>
      </c>
      <c r="E11027" t="inlineStr">
        <is>
          <t>KROKOM</t>
        </is>
      </c>
      <c r="F11027" t="inlineStr">
        <is>
          <t>SCA</t>
        </is>
      </c>
      <c r="G11027" t="n">
        <v>64.59999999999999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6736-2024</t>
        </is>
      </c>
      <c r="B11028" s="1" t="n">
        <v>45342</v>
      </c>
      <c r="C11028" s="1" t="n">
        <v>45363</v>
      </c>
      <c r="D11028" t="inlineStr">
        <is>
          <t>JÄMTLANDS LÄN</t>
        </is>
      </c>
      <c r="E11028" t="inlineStr">
        <is>
          <t>RAGUNDA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6748-2024</t>
        </is>
      </c>
      <c r="B11029" s="1" t="n">
        <v>45342</v>
      </c>
      <c r="C11029" s="1" t="n">
        <v>45363</v>
      </c>
      <c r="D11029" t="inlineStr">
        <is>
          <t>JÄMTLANDS LÄN</t>
        </is>
      </c>
      <c r="E11029" t="inlineStr">
        <is>
          <t>BRÄCKE</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6756-2024</t>
        </is>
      </c>
      <c r="B11030" s="1" t="n">
        <v>45342</v>
      </c>
      <c r="C11030" s="1" t="n">
        <v>45363</v>
      </c>
      <c r="D11030" t="inlineStr">
        <is>
          <t>JÄMTLANDS LÄN</t>
        </is>
      </c>
      <c r="E11030" t="inlineStr">
        <is>
          <t>HÄRJEDALEN</t>
        </is>
      </c>
      <c r="G11030" t="n">
        <v>5.7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6903-2024</t>
        </is>
      </c>
      <c r="B11031" s="1" t="n">
        <v>45342</v>
      </c>
      <c r="C11031" s="1" t="n">
        <v>45363</v>
      </c>
      <c r="D11031" t="inlineStr">
        <is>
          <t>JÄMTLANDS LÄN</t>
        </is>
      </c>
      <c r="E11031" t="inlineStr">
        <is>
          <t>BRÄCKE</t>
        </is>
      </c>
      <c r="F11031" t="inlineStr">
        <is>
          <t>SCA</t>
        </is>
      </c>
      <c r="G11031" t="n">
        <v>5.9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6877-2024</t>
        </is>
      </c>
      <c r="B11032" s="1" t="n">
        <v>45342</v>
      </c>
      <c r="C11032" s="1" t="n">
        <v>45363</v>
      </c>
      <c r="D11032" t="inlineStr">
        <is>
          <t>JÄMTLANDS LÄN</t>
        </is>
      </c>
      <c r="E11032" t="inlineStr">
        <is>
          <t>ÖSTERSUND</t>
        </is>
      </c>
      <c r="F11032" t="inlineStr">
        <is>
          <t>Kyrkan</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6905-2024</t>
        </is>
      </c>
      <c r="B11033" s="1" t="n">
        <v>45342</v>
      </c>
      <c r="C11033" s="1" t="n">
        <v>45363</v>
      </c>
      <c r="D11033" t="inlineStr">
        <is>
          <t>JÄMTLANDS LÄN</t>
        </is>
      </c>
      <c r="E11033" t="inlineStr">
        <is>
          <t>RAGUNDA</t>
        </is>
      </c>
      <c r="F11033" t="inlineStr">
        <is>
          <t>SCA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6902-2024</t>
        </is>
      </c>
      <c r="B11034" s="1" t="n">
        <v>45342</v>
      </c>
      <c r="C11034" s="1" t="n">
        <v>45363</v>
      </c>
      <c r="D11034" t="inlineStr">
        <is>
          <t>JÄMTLANDS LÄN</t>
        </is>
      </c>
      <c r="E11034" t="inlineStr">
        <is>
          <t>RAGUNDA</t>
        </is>
      </c>
      <c r="F11034" t="inlineStr">
        <is>
          <t>SCA</t>
        </is>
      </c>
      <c r="G11034" t="n">
        <v>18.7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6906-2024</t>
        </is>
      </c>
      <c r="B11035" s="1" t="n">
        <v>45342</v>
      </c>
      <c r="C11035" s="1" t="n">
        <v>45363</v>
      </c>
      <c r="D11035" t="inlineStr">
        <is>
          <t>JÄMTLANDS LÄN</t>
        </is>
      </c>
      <c r="E11035" t="inlineStr">
        <is>
          <t>BRÄCKE</t>
        </is>
      </c>
      <c r="F11035" t="inlineStr">
        <is>
          <t>SCA</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6907-2024</t>
        </is>
      </c>
      <c r="B11036" s="1" t="n">
        <v>45342</v>
      </c>
      <c r="C11036" s="1" t="n">
        <v>45363</v>
      </c>
      <c r="D11036" t="inlineStr">
        <is>
          <t>JÄMTLANDS LÄN</t>
        </is>
      </c>
      <c r="E11036" t="inlineStr">
        <is>
          <t>BRÄCKE</t>
        </is>
      </c>
      <c r="F11036" t="inlineStr">
        <is>
          <t>SCA</t>
        </is>
      </c>
      <c r="G11036" t="n">
        <v>11.7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6961-2024</t>
        </is>
      </c>
      <c r="B11037" s="1" t="n">
        <v>45343</v>
      </c>
      <c r="C11037" s="1" t="n">
        <v>45363</v>
      </c>
      <c r="D11037" t="inlineStr">
        <is>
          <t>JÄMTLANDS LÄN</t>
        </is>
      </c>
      <c r="E11037" t="inlineStr">
        <is>
          <t>STRÖMSUND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6960-2024</t>
        </is>
      </c>
      <c r="B11038" s="1" t="n">
        <v>45343</v>
      </c>
      <c r="C11038" s="1" t="n">
        <v>45363</v>
      </c>
      <c r="D11038" t="inlineStr">
        <is>
          <t>JÄMTLANDS LÄN</t>
        </is>
      </c>
      <c r="E11038" t="inlineStr">
        <is>
          <t>STRÖMSUND</t>
        </is>
      </c>
      <c r="G11038" t="n">
        <v>14.9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6929-2024</t>
        </is>
      </c>
      <c r="B11039" s="1" t="n">
        <v>45343</v>
      </c>
      <c r="C11039" s="1" t="n">
        <v>45363</v>
      </c>
      <c r="D11039" t="inlineStr">
        <is>
          <t>JÄMTLANDS LÄN</t>
        </is>
      </c>
      <c r="E11039" t="inlineStr">
        <is>
          <t>RAGUNDA</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7111-2024</t>
        </is>
      </c>
      <c r="B11040" s="1" t="n">
        <v>45343</v>
      </c>
      <c r="C11040" s="1" t="n">
        <v>45363</v>
      </c>
      <c r="D11040" t="inlineStr">
        <is>
          <t>JÄMTLANDS LÄN</t>
        </is>
      </c>
      <c r="E11040" t="inlineStr">
        <is>
          <t>KROKOM</t>
        </is>
      </c>
      <c r="F11040" t="inlineStr">
        <is>
          <t>SCA</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7040-2024</t>
        </is>
      </c>
      <c r="B11041" s="1" t="n">
        <v>45343</v>
      </c>
      <c r="C11041" s="1" t="n">
        <v>45363</v>
      </c>
      <c r="D11041" t="inlineStr">
        <is>
          <t>JÄMTLANDS LÄN</t>
        </is>
      </c>
      <c r="E11041" t="inlineStr">
        <is>
          <t>BERG</t>
        </is>
      </c>
      <c r="G11041" t="n">
        <v>15.9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7112-2024</t>
        </is>
      </c>
      <c r="B11042" s="1" t="n">
        <v>45343</v>
      </c>
      <c r="C11042" s="1" t="n">
        <v>45363</v>
      </c>
      <c r="D11042" t="inlineStr">
        <is>
          <t>JÄMTLANDS LÄN</t>
        </is>
      </c>
      <c r="E11042" t="inlineStr">
        <is>
          <t>STRÖMSUND</t>
        </is>
      </c>
      <c r="F11042" t="inlineStr">
        <is>
          <t>SCA</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7200-2024</t>
        </is>
      </c>
      <c r="B11043" s="1" t="n">
        <v>45344</v>
      </c>
      <c r="C11043" s="1" t="n">
        <v>45363</v>
      </c>
      <c r="D11043" t="inlineStr">
        <is>
          <t>JÄMTLANDS LÄN</t>
        </is>
      </c>
      <c r="E11043" t="inlineStr">
        <is>
          <t>HÄRJEDALEN</t>
        </is>
      </c>
      <c r="F11043" t="inlineStr">
        <is>
          <t>Holmen skog AB</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7224-2024</t>
        </is>
      </c>
      <c r="B11044" s="1" t="n">
        <v>45344</v>
      </c>
      <c r="C11044" s="1" t="n">
        <v>45363</v>
      </c>
      <c r="D11044" t="inlineStr">
        <is>
          <t>JÄMTLANDS LÄN</t>
        </is>
      </c>
      <c r="E11044" t="inlineStr">
        <is>
          <t>ÖSTERSUND</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7228-2024</t>
        </is>
      </c>
      <c r="B11045" s="1" t="n">
        <v>45344</v>
      </c>
      <c r="C11045" s="1" t="n">
        <v>45363</v>
      </c>
      <c r="D11045" t="inlineStr">
        <is>
          <t>JÄMTLANDS LÄN</t>
        </is>
      </c>
      <c r="E11045" t="inlineStr">
        <is>
          <t>ÖSTERSUND</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7233-2024</t>
        </is>
      </c>
      <c r="B11046" s="1" t="n">
        <v>45344</v>
      </c>
      <c r="C11046" s="1" t="n">
        <v>45363</v>
      </c>
      <c r="D11046" t="inlineStr">
        <is>
          <t>JÄMTLANDS LÄN</t>
        </is>
      </c>
      <c r="E11046" t="inlineStr">
        <is>
          <t>ÖSTERSUND</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7192-2024</t>
        </is>
      </c>
      <c r="B11047" s="1" t="n">
        <v>45344</v>
      </c>
      <c r="C11047" s="1" t="n">
        <v>45363</v>
      </c>
      <c r="D11047" t="inlineStr">
        <is>
          <t>JÄMTLANDS LÄN</t>
        </is>
      </c>
      <c r="E11047" t="inlineStr">
        <is>
          <t>BERG</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7205-2024</t>
        </is>
      </c>
      <c r="B11048" s="1" t="n">
        <v>45344</v>
      </c>
      <c r="C11048" s="1" t="n">
        <v>45363</v>
      </c>
      <c r="D11048" t="inlineStr">
        <is>
          <t>JÄMTLANDS LÄN</t>
        </is>
      </c>
      <c r="E11048" t="inlineStr">
        <is>
          <t>HÄRJEDALEN</t>
        </is>
      </c>
      <c r="F11048" t="inlineStr">
        <is>
          <t>Holmen skog AB</t>
        </is>
      </c>
      <c r="G11048" t="n">
        <v>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7195-2024</t>
        </is>
      </c>
      <c r="B11049" s="1" t="n">
        <v>45344</v>
      </c>
      <c r="C11049" s="1" t="n">
        <v>45363</v>
      </c>
      <c r="D11049" t="inlineStr">
        <is>
          <t>JÄMTLANDS LÄN</t>
        </is>
      </c>
      <c r="E11049" t="inlineStr">
        <is>
          <t>BERG</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7199-2024</t>
        </is>
      </c>
      <c r="B11050" s="1" t="n">
        <v>45344</v>
      </c>
      <c r="C11050" s="1" t="n">
        <v>45363</v>
      </c>
      <c r="D11050" t="inlineStr">
        <is>
          <t>JÄMTLANDS LÄN</t>
        </is>
      </c>
      <c r="E11050" t="inlineStr">
        <is>
          <t>HÄRJEDALEN</t>
        </is>
      </c>
      <c r="F11050" t="inlineStr">
        <is>
          <t>Holmen skog AB</t>
        </is>
      </c>
      <c r="G11050" t="n">
        <v>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7235-2024</t>
        </is>
      </c>
      <c r="B11051" s="1" t="n">
        <v>45344</v>
      </c>
      <c r="C11051" s="1" t="n">
        <v>45363</v>
      </c>
      <c r="D11051" t="inlineStr">
        <is>
          <t>JÄMTLANDS LÄN</t>
        </is>
      </c>
      <c r="E11051" t="inlineStr">
        <is>
          <t>HÄRJEDALEN</t>
        </is>
      </c>
      <c r="F11051" t="inlineStr">
        <is>
          <t>Holmen skog AB</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7239-2024</t>
        </is>
      </c>
      <c r="B11052" s="1" t="n">
        <v>45344</v>
      </c>
      <c r="C11052" s="1" t="n">
        <v>45363</v>
      </c>
      <c r="D11052" t="inlineStr">
        <is>
          <t>JÄMTLANDS LÄN</t>
        </is>
      </c>
      <c r="E11052" t="inlineStr">
        <is>
          <t>HÄRJEDALEN</t>
        </is>
      </c>
      <c r="F11052" t="inlineStr">
        <is>
          <t>Holmen skog AB</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7243-2024</t>
        </is>
      </c>
      <c r="B11053" s="1" t="n">
        <v>45344</v>
      </c>
      <c r="C11053" s="1" t="n">
        <v>45363</v>
      </c>
      <c r="D11053" t="inlineStr">
        <is>
          <t>JÄMTLANDS LÄN</t>
        </is>
      </c>
      <c r="E11053" t="inlineStr">
        <is>
          <t>HÄRJEDALEN</t>
        </is>
      </c>
      <c r="F11053" t="inlineStr">
        <is>
          <t>Holmen skog AB</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7281-2024</t>
        </is>
      </c>
      <c r="B11054" s="1" t="n">
        <v>45344</v>
      </c>
      <c r="C11054" s="1" t="n">
        <v>45363</v>
      </c>
      <c r="D11054" t="inlineStr">
        <is>
          <t>JÄMTLANDS LÄN</t>
        </is>
      </c>
      <c r="E11054" t="inlineStr">
        <is>
          <t>RAGUNDA</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7285-2024</t>
        </is>
      </c>
      <c r="B11055" s="1" t="n">
        <v>45344</v>
      </c>
      <c r="C11055" s="1" t="n">
        <v>45363</v>
      </c>
      <c r="D11055" t="inlineStr">
        <is>
          <t>JÄMTLANDS LÄN</t>
        </is>
      </c>
      <c r="E11055" t="inlineStr">
        <is>
          <t>RAGUNDA</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7286-2024</t>
        </is>
      </c>
      <c r="B11056" s="1" t="n">
        <v>45344</v>
      </c>
      <c r="C11056" s="1" t="n">
        <v>45363</v>
      </c>
      <c r="D11056" t="inlineStr">
        <is>
          <t>JÄMTLANDS LÄN</t>
        </is>
      </c>
      <c r="E11056" t="inlineStr">
        <is>
          <t>BRÄCKE</t>
        </is>
      </c>
      <c r="F11056" t="inlineStr">
        <is>
          <t>SCA</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7280-2024</t>
        </is>
      </c>
      <c r="B11057" s="1" t="n">
        <v>45344</v>
      </c>
      <c r="C11057" s="1" t="n">
        <v>45363</v>
      </c>
      <c r="D11057" t="inlineStr">
        <is>
          <t>JÄMTLANDS LÄN</t>
        </is>
      </c>
      <c r="E11057" t="inlineStr">
        <is>
          <t>RAGUNDA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7284-2024</t>
        </is>
      </c>
      <c r="B11058" s="1" t="n">
        <v>45344</v>
      </c>
      <c r="C11058" s="1" t="n">
        <v>45363</v>
      </c>
      <c r="D11058" t="inlineStr">
        <is>
          <t>JÄMTLANDS LÄN</t>
        </is>
      </c>
      <c r="E11058" t="inlineStr">
        <is>
          <t>RAGUNDA</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7293-2024</t>
        </is>
      </c>
      <c r="B11059" s="1" t="n">
        <v>45344</v>
      </c>
      <c r="C11059" s="1" t="n">
        <v>45363</v>
      </c>
      <c r="D11059" t="inlineStr">
        <is>
          <t>JÄMTLANDS LÄN</t>
        </is>
      </c>
      <c r="E11059" t="inlineStr">
        <is>
          <t>STRÖMSUND</t>
        </is>
      </c>
      <c r="F11059" t="inlineStr">
        <is>
          <t>SCA</t>
        </is>
      </c>
      <c r="G11059" t="n">
        <v>14.8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7279-2024</t>
        </is>
      </c>
      <c r="B11060" s="1" t="n">
        <v>45344</v>
      </c>
      <c r="C11060" s="1" t="n">
        <v>45363</v>
      </c>
      <c r="D11060" t="inlineStr">
        <is>
          <t>JÄMTLANDS LÄN</t>
        </is>
      </c>
      <c r="E11060" t="inlineStr">
        <is>
          <t>RAGUNDA</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7283-2024</t>
        </is>
      </c>
      <c r="B11061" s="1" t="n">
        <v>45344</v>
      </c>
      <c r="C11061" s="1" t="n">
        <v>45363</v>
      </c>
      <c r="D11061" t="inlineStr">
        <is>
          <t>JÄMTLANDS LÄN</t>
        </is>
      </c>
      <c r="E11061" t="inlineStr">
        <is>
          <t>BRÄCKE</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7287-2024</t>
        </is>
      </c>
      <c r="B11062" s="1" t="n">
        <v>45344</v>
      </c>
      <c r="C11062" s="1" t="n">
        <v>45363</v>
      </c>
      <c r="D11062" t="inlineStr">
        <is>
          <t>JÄMTLANDS LÄN</t>
        </is>
      </c>
      <c r="E11062" t="inlineStr">
        <is>
          <t>BRÄCKE</t>
        </is>
      </c>
      <c r="F11062" t="inlineStr">
        <is>
          <t>SCA</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7301-2024</t>
        </is>
      </c>
      <c r="B11063" s="1" t="n">
        <v>45344</v>
      </c>
      <c r="C11063" s="1" t="n">
        <v>45363</v>
      </c>
      <c r="D11063" t="inlineStr">
        <is>
          <t>JÄMTLANDS LÄN</t>
        </is>
      </c>
      <c r="E11063" t="inlineStr">
        <is>
          <t>STRÖMSUND</t>
        </is>
      </c>
      <c r="F11063" t="inlineStr">
        <is>
          <t>SCA</t>
        </is>
      </c>
      <c r="G11063" t="n">
        <v>28.2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7302-2024</t>
        </is>
      </c>
      <c r="B11064" s="1" t="n">
        <v>45344</v>
      </c>
      <c r="C11064" s="1" t="n">
        <v>45363</v>
      </c>
      <c r="D11064" t="inlineStr">
        <is>
          <t>JÄMTLANDS LÄN</t>
        </is>
      </c>
      <c r="E11064" t="inlineStr">
        <is>
          <t>STRÖMSUND</t>
        </is>
      </c>
      <c r="F11064" t="inlineStr">
        <is>
          <t>SCA</t>
        </is>
      </c>
      <c r="G11064" t="n">
        <v>30.8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7318-2024</t>
        </is>
      </c>
      <c r="B11065" s="1" t="n">
        <v>45345</v>
      </c>
      <c r="C11065" s="1" t="n">
        <v>45363</v>
      </c>
      <c r="D11065" t="inlineStr">
        <is>
          <t>JÄMTLANDS LÄN</t>
        </is>
      </c>
      <c r="E11065" t="inlineStr">
        <is>
          <t>HÄRJEDALEN</t>
        </is>
      </c>
      <c r="F11065" t="inlineStr">
        <is>
          <t>Holmen skog AB</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7334-2024</t>
        </is>
      </c>
      <c r="B11066" s="1" t="n">
        <v>45345</v>
      </c>
      <c r="C11066" s="1" t="n">
        <v>45363</v>
      </c>
      <c r="D11066" t="inlineStr">
        <is>
          <t>JÄMTLANDS LÄN</t>
        </is>
      </c>
      <c r="E11066" t="inlineStr">
        <is>
          <t>ÅRE</t>
        </is>
      </c>
      <c r="G11066" t="n">
        <v>12.7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7358-2024</t>
        </is>
      </c>
      <c r="B11067" s="1" t="n">
        <v>45345</v>
      </c>
      <c r="C11067" s="1" t="n">
        <v>45363</v>
      </c>
      <c r="D11067" t="inlineStr">
        <is>
          <t>JÄMTLANDS LÄN</t>
        </is>
      </c>
      <c r="E11067" t="inlineStr">
        <is>
          <t>HÄRJEDALEN</t>
        </is>
      </c>
      <c r="F11067" t="inlineStr">
        <is>
          <t>Holmen skog AB</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7362-2024</t>
        </is>
      </c>
      <c r="B11068" s="1" t="n">
        <v>45345</v>
      </c>
      <c r="C11068" s="1" t="n">
        <v>45363</v>
      </c>
      <c r="D11068" t="inlineStr">
        <is>
          <t>JÄMTLANDS LÄN</t>
        </is>
      </c>
      <c r="E11068" t="inlineStr">
        <is>
          <t>HÄRJEDALEN</t>
        </is>
      </c>
      <c r="F11068" t="inlineStr">
        <is>
          <t>Holmen skog AB</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7370-2024</t>
        </is>
      </c>
      <c r="B11069" s="1" t="n">
        <v>45345</v>
      </c>
      <c r="C11069" s="1" t="n">
        <v>45363</v>
      </c>
      <c r="D11069" t="inlineStr">
        <is>
          <t>JÄMTLANDS LÄN</t>
        </is>
      </c>
      <c r="E11069" t="inlineStr">
        <is>
          <t>HÄRJEDALEN</t>
        </is>
      </c>
      <c r="F11069" t="inlineStr">
        <is>
          <t>Holmen skog AB</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7402-2024</t>
        </is>
      </c>
      <c r="B11070" s="1" t="n">
        <v>45345</v>
      </c>
      <c r="C11070" s="1" t="n">
        <v>45363</v>
      </c>
      <c r="D11070" t="inlineStr">
        <is>
          <t>JÄMTLANDS LÄN</t>
        </is>
      </c>
      <c r="E11070" t="inlineStr">
        <is>
          <t>HÄRJEDALEN</t>
        </is>
      </c>
      <c r="F11070" t="inlineStr">
        <is>
          <t>Holmen skog AB</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7424-2024</t>
        </is>
      </c>
      <c r="B11071" s="1" t="n">
        <v>45345</v>
      </c>
      <c r="C11071" s="1" t="n">
        <v>45363</v>
      </c>
      <c r="D11071" t="inlineStr">
        <is>
          <t>JÄMTLANDS LÄN</t>
        </is>
      </c>
      <c r="E11071" t="inlineStr">
        <is>
          <t>HÄRJEDALEN</t>
        </is>
      </c>
      <c r="F11071" t="inlineStr">
        <is>
          <t>Holmen skog AB</t>
        </is>
      </c>
      <c r="G11071" t="n">
        <v>6.7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7433-2024</t>
        </is>
      </c>
      <c r="B11072" s="1" t="n">
        <v>45345</v>
      </c>
      <c r="C11072" s="1" t="n">
        <v>45363</v>
      </c>
      <c r="D11072" t="inlineStr">
        <is>
          <t>JÄMTLANDS LÄN</t>
        </is>
      </c>
      <c r="E11072" t="inlineStr">
        <is>
          <t>HÄRJEDALEN</t>
        </is>
      </c>
      <c r="F11072" t="inlineStr">
        <is>
          <t>Holmen skog AB</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7320-2024</t>
        </is>
      </c>
      <c r="B11073" s="1" t="n">
        <v>45345</v>
      </c>
      <c r="C11073" s="1" t="n">
        <v>45363</v>
      </c>
      <c r="D11073" t="inlineStr">
        <is>
          <t>JÄMTLANDS LÄN</t>
        </is>
      </c>
      <c r="E11073" t="inlineStr">
        <is>
          <t>HÄRJEDALEN</t>
        </is>
      </c>
      <c r="F11073" t="inlineStr">
        <is>
          <t>Holmen skog AB</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7328-2024</t>
        </is>
      </c>
      <c r="B11074" s="1" t="n">
        <v>45345</v>
      </c>
      <c r="C11074" s="1" t="n">
        <v>45363</v>
      </c>
      <c r="D11074" t="inlineStr">
        <is>
          <t>JÄMTLANDS LÄN</t>
        </is>
      </c>
      <c r="E11074" t="inlineStr">
        <is>
          <t>HÄRJEDALEN</t>
        </is>
      </c>
      <c r="F11074" t="inlineStr">
        <is>
          <t>Sveaskog</t>
        </is>
      </c>
      <c r="G11074" t="n">
        <v>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7368-2024</t>
        </is>
      </c>
      <c r="B11075" s="1" t="n">
        <v>45345</v>
      </c>
      <c r="C11075" s="1" t="n">
        <v>45363</v>
      </c>
      <c r="D11075" t="inlineStr">
        <is>
          <t>JÄMTLANDS LÄN</t>
        </is>
      </c>
      <c r="E11075" t="inlineStr">
        <is>
          <t>HÄRJEDALEN</t>
        </is>
      </c>
      <c r="F11075" t="inlineStr">
        <is>
          <t>Holmen skog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7392-2024</t>
        </is>
      </c>
      <c r="B11076" s="1" t="n">
        <v>45345</v>
      </c>
      <c r="C11076" s="1" t="n">
        <v>45363</v>
      </c>
      <c r="D11076" t="inlineStr">
        <is>
          <t>JÄMTLANDS LÄN</t>
        </is>
      </c>
      <c r="E11076" t="inlineStr">
        <is>
          <t>HÄRJEDALEN</t>
        </is>
      </c>
      <c r="F11076" t="inlineStr">
        <is>
          <t>Holmen skog AB</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7396-2024</t>
        </is>
      </c>
      <c r="B11077" s="1" t="n">
        <v>45345</v>
      </c>
      <c r="C11077" s="1" t="n">
        <v>45363</v>
      </c>
      <c r="D11077" t="inlineStr">
        <is>
          <t>JÄMTLANDS LÄN</t>
        </is>
      </c>
      <c r="E11077" t="inlineStr">
        <is>
          <t>HÄRJEDALEN</t>
        </is>
      </c>
      <c r="F11077" t="inlineStr">
        <is>
          <t>Holmen skog AB</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7313-2024</t>
        </is>
      </c>
      <c r="B11078" s="1" t="n">
        <v>45345</v>
      </c>
      <c r="C11078" s="1" t="n">
        <v>45363</v>
      </c>
      <c r="D11078" t="inlineStr">
        <is>
          <t>JÄMTLANDS LÄN</t>
        </is>
      </c>
      <c r="E11078" t="inlineStr">
        <is>
          <t>HÄRJEDALEN</t>
        </is>
      </c>
      <c r="F11078" t="inlineStr">
        <is>
          <t>Holmen skog AB</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7341-2024</t>
        </is>
      </c>
      <c r="B11079" s="1" t="n">
        <v>45345</v>
      </c>
      <c r="C11079" s="1" t="n">
        <v>45363</v>
      </c>
      <c r="D11079" t="inlineStr">
        <is>
          <t>JÄMTLANDS LÄN</t>
        </is>
      </c>
      <c r="E11079" t="inlineStr">
        <is>
          <t>HÄRJEDALEN</t>
        </is>
      </c>
      <c r="F11079" t="inlineStr">
        <is>
          <t>Holmen skog AB</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7349-2024</t>
        </is>
      </c>
      <c r="B11080" s="1" t="n">
        <v>45345</v>
      </c>
      <c r="C11080" s="1" t="n">
        <v>45363</v>
      </c>
      <c r="D11080" t="inlineStr">
        <is>
          <t>JÄMTLANDS LÄN</t>
        </is>
      </c>
      <c r="E11080" t="inlineStr">
        <is>
          <t>HÄRJEDALEN</t>
        </is>
      </c>
      <c r="F11080" t="inlineStr">
        <is>
          <t>Holmen skog AB</t>
        </is>
      </c>
      <c r="G11080" t="n">
        <v>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7377-2024</t>
        </is>
      </c>
      <c r="B11081" s="1" t="n">
        <v>45345</v>
      </c>
      <c r="C11081" s="1" t="n">
        <v>45363</v>
      </c>
      <c r="D11081" t="inlineStr">
        <is>
          <t>JÄMTLANDS LÄN</t>
        </is>
      </c>
      <c r="E11081" t="inlineStr">
        <is>
          <t>BERG</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7405-2024</t>
        </is>
      </c>
      <c r="B11082" s="1" t="n">
        <v>45345</v>
      </c>
      <c r="C11082" s="1" t="n">
        <v>45363</v>
      </c>
      <c r="D11082" t="inlineStr">
        <is>
          <t>JÄMTLANDS LÄN</t>
        </is>
      </c>
      <c r="E11082" t="inlineStr">
        <is>
          <t>HÄRJEDALEN</t>
        </is>
      </c>
      <c r="F11082" t="inlineStr">
        <is>
          <t>Holmen skog AB</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7311-2024</t>
        </is>
      </c>
      <c r="B11083" s="1" t="n">
        <v>45345</v>
      </c>
      <c r="C11083" s="1" t="n">
        <v>45363</v>
      </c>
      <c r="D11083" t="inlineStr">
        <is>
          <t>JÄMTLANDS LÄN</t>
        </is>
      </c>
      <c r="E11083" t="inlineStr">
        <is>
          <t>HÄRJEDALEN</t>
        </is>
      </c>
      <c r="F11083" t="inlineStr">
        <is>
          <t>Holmen skog AB</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7323-2024</t>
        </is>
      </c>
      <c r="B11084" s="1" t="n">
        <v>45345</v>
      </c>
      <c r="C11084" s="1" t="n">
        <v>45363</v>
      </c>
      <c r="D11084" t="inlineStr">
        <is>
          <t>JÄMTLANDS LÄN</t>
        </is>
      </c>
      <c r="E11084" t="inlineStr">
        <is>
          <t>ÅRE</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7371-2024</t>
        </is>
      </c>
      <c r="B11085" s="1" t="n">
        <v>45345</v>
      </c>
      <c r="C11085" s="1" t="n">
        <v>45363</v>
      </c>
      <c r="D11085" t="inlineStr">
        <is>
          <t>JÄMTLANDS LÄN</t>
        </is>
      </c>
      <c r="E11085" t="inlineStr">
        <is>
          <t>HÄRJEDALEN</t>
        </is>
      </c>
      <c r="F11085" t="inlineStr">
        <is>
          <t>Holmen skog AB</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7430-2024</t>
        </is>
      </c>
      <c r="B11086" s="1" t="n">
        <v>45345</v>
      </c>
      <c r="C11086" s="1" t="n">
        <v>45363</v>
      </c>
      <c r="D11086" t="inlineStr">
        <is>
          <t>JÄMTLANDS LÄN</t>
        </is>
      </c>
      <c r="E11086" t="inlineStr">
        <is>
          <t>HÄRJEDALEN</t>
        </is>
      </c>
      <c r="F11086" t="inlineStr">
        <is>
          <t>Holmen skog AB</t>
        </is>
      </c>
      <c r="G11086" t="n">
        <v>12.1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7434-2024</t>
        </is>
      </c>
      <c r="B11087" s="1" t="n">
        <v>45345</v>
      </c>
      <c r="C11087" s="1" t="n">
        <v>45363</v>
      </c>
      <c r="D11087" t="inlineStr">
        <is>
          <t>JÄMTLANDS LÄN</t>
        </is>
      </c>
      <c r="E11087" t="inlineStr">
        <is>
          <t>BRÄCKE</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7484-2024</t>
        </is>
      </c>
      <c r="B11088" s="1" t="n">
        <v>45346</v>
      </c>
      <c r="C11088" s="1" t="n">
        <v>45363</v>
      </c>
      <c r="D11088" t="inlineStr">
        <is>
          <t>JÄMTLANDS LÄN</t>
        </is>
      </c>
      <c r="E11088" t="inlineStr">
        <is>
          <t>ÖSTERSUND</t>
        </is>
      </c>
      <c r="G11088" t="n">
        <v>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7508-2024</t>
        </is>
      </c>
      <c r="B11089" s="1" t="n">
        <v>45347</v>
      </c>
      <c r="C11089" s="1" t="n">
        <v>45363</v>
      </c>
      <c r="D11089" t="inlineStr">
        <is>
          <t>JÄMTLANDS LÄN</t>
        </is>
      </c>
      <c r="E11089" t="inlineStr">
        <is>
          <t>BRÄCKE</t>
        </is>
      </c>
      <c r="F11089" t="inlineStr">
        <is>
          <t>SCA</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7528-2024</t>
        </is>
      </c>
      <c r="B11090" s="1" t="n">
        <v>45348</v>
      </c>
      <c r="C11090" s="1" t="n">
        <v>45363</v>
      </c>
      <c r="D11090" t="inlineStr">
        <is>
          <t>JÄMTLANDS LÄN</t>
        </is>
      </c>
      <c r="E11090" t="inlineStr">
        <is>
          <t>HÄRJEDALEN</t>
        </is>
      </c>
      <c r="F11090" t="inlineStr">
        <is>
          <t>Holmen skog AB</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7575-2024</t>
        </is>
      </c>
      <c r="B11091" s="1" t="n">
        <v>45348</v>
      </c>
      <c r="C11091" s="1" t="n">
        <v>45363</v>
      </c>
      <c r="D11091" t="inlineStr">
        <is>
          <t>JÄMTLANDS LÄN</t>
        </is>
      </c>
      <c r="E11091" t="inlineStr">
        <is>
          <t>KROKOM</t>
        </is>
      </c>
      <c r="G11091" t="n">
        <v>25.1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7530-2024</t>
        </is>
      </c>
      <c r="B11092" s="1" t="n">
        <v>45348</v>
      </c>
      <c r="C11092" s="1" t="n">
        <v>45363</v>
      </c>
      <c r="D11092" t="inlineStr">
        <is>
          <t>JÄMTLANDS LÄN</t>
        </is>
      </c>
      <c r="E11092" t="inlineStr">
        <is>
          <t>HÄRJEDALEN</t>
        </is>
      </c>
      <c r="F11092" t="inlineStr">
        <is>
          <t>Holmen skog AB</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7639-2024</t>
        </is>
      </c>
      <c r="B11093" s="1" t="n">
        <v>45348</v>
      </c>
      <c r="C11093" s="1" t="n">
        <v>45363</v>
      </c>
      <c r="D11093" t="inlineStr">
        <is>
          <t>JÄMTLANDS LÄN</t>
        </is>
      </c>
      <c r="E11093" t="inlineStr">
        <is>
          <t>HÄRJEDALEN</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7647-2024</t>
        </is>
      </c>
      <c r="B11094" s="1" t="n">
        <v>45348</v>
      </c>
      <c r="C11094" s="1" t="n">
        <v>45363</v>
      </c>
      <c r="D11094" t="inlineStr">
        <is>
          <t>JÄMTLANDS LÄN</t>
        </is>
      </c>
      <c r="E11094" t="inlineStr">
        <is>
          <t>HÄRJEDALEN</t>
        </is>
      </c>
      <c r="F11094" t="inlineStr">
        <is>
          <t>Holmen skog AB</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7572-2024</t>
        </is>
      </c>
      <c r="B11095" s="1" t="n">
        <v>45348</v>
      </c>
      <c r="C11095" s="1" t="n">
        <v>45363</v>
      </c>
      <c r="D11095" t="inlineStr">
        <is>
          <t>JÄMTLANDS LÄN</t>
        </is>
      </c>
      <c r="E11095" t="inlineStr">
        <is>
          <t>STRÖMSUND</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7684-2024</t>
        </is>
      </c>
      <c r="B11096" s="1" t="n">
        <v>45348</v>
      </c>
      <c r="C11096" s="1" t="n">
        <v>45363</v>
      </c>
      <c r="D11096" t="inlineStr">
        <is>
          <t>JÄMTLANDS LÄN</t>
        </is>
      </c>
      <c r="E11096" t="inlineStr">
        <is>
          <t>HÄRJEDALEN</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7763-2024</t>
        </is>
      </c>
      <c r="B11097" s="1" t="n">
        <v>45348</v>
      </c>
      <c r="C11097" s="1" t="n">
        <v>45363</v>
      </c>
      <c r="D11097" t="inlineStr">
        <is>
          <t>JÄMTLANDS LÄN</t>
        </is>
      </c>
      <c r="E11097" t="inlineStr">
        <is>
          <t>KROKOM</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7803-2024</t>
        </is>
      </c>
      <c r="B11098" s="1" t="n">
        <v>45348</v>
      </c>
      <c r="C11098" s="1" t="n">
        <v>45363</v>
      </c>
      <c r="D11098" t="inlineStr">
        <is>
          <t>JÄMTLANDS LÄN</t>
        </is>
      </c>
      <c r="E11098" t="inlineStr">
        <is>
          <t>STRÖMSUND</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7761-2024</t>
        </is>
      </c>
      <c r="B11099" s="1" t="n">
        <v>45348</v>
      </c>
      <c r="C11099" s="1" t="n">
        <v>45363</v>
      </c>
      <c r="D11099" t="inlineStr">
        <is>
          <t>JÄMTLANDS LÄN</t>
        </is>
      </c>
      <c r="E11099" t="inlineStr">
        <is>
          <t>KROKOM</t>
        </is>
      </c>
      <c r="G11099" t="n">
        <v>8.699999999999999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7690-2024</t>
        </is>
      </c>
      <c r="B11100" s="1" t="n">
        <v>45349</v>
      </c>
      <c r="C11100" s="1" t="n">
        <v>45363</v>
      </c>
      <c r="D11100" t="inlineStr">
        <is>
          <t>JÄMTLANDS LÄN</t>
        </is>
      </c>
      <c r="E11100" t="inlineStr">
        <is>
          <t>STRÖMSUND</t>
        </is>
      </c>
      <c r="F11100" t="inlineStr">
        <is>
          <t>SCA</t>
        </is>
      </c>
      <c r="G11100" t="n">
        <v>19.1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7744-2024</t>
        </is>
      </c>
      <c r="B11101" s="1" t="n">
        <v>45349</v>
      </c>
      <c r="C11101" s="1" t="n">
        <v>45363</v>
      </c>
      <c r="D11101" t="inlineStr">
        <is>
          <t>JÄMTLANDS LÄN</t>
        </is>
      </c>
      <c r="E11101" t="inlineStr">
        <is>
          <t>BERG</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7844-2024</t>
        </is>
      </c>
      <c r="B11102" s="1" t="n">
        <v>45350</v>
      </c>
      <c r="C11102" s="1" t="n">
        <v>45363</v>
      </c>
      <c r="D11102" t="inlineStr">
        <is>
          <t>JÄMTLANDS LÄN</t>
        </is>
      </c>
      <c r="E11102" t="inlineStr">
        <is>
          <t>BRÄCKE</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7735-2024</t>
        </is>
      </c>
      <c r="B11103" s="1" t="n">
        <v>45349</v>
      </c>
      <c r="C11103" s="1" t="n">
        <v>45363</v>
      </c>
      <c r="D11103" t="inlineStr">
        <is>
          <t>JÄMTLANDS LÄN</t>
        </is>
      </c>
      <c r="E11103" t="inlineStr">
        <is>
          <t>KROKOM</t>
        </is>
      </c>
      <c r="F11103" t="inlineStr">
        <is>
          <t>Allmännings- och besparingsskogar</t>
        </is>
      </c>
      <c r="G11103" t="n">
        <v>36.1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8134-2024</t>
        </is>
      </c>
      <c r="B11104" s="1" t="n">
        <v>45349</v>
      </c>
      <c r="C11104" s="1" t="n">
        <v>45363</v>
      </c>
      <c r="D11104" t="inlineStr">
        <is>
          <t>JÄMTLANDS LÄN</t>
        </is>
      </c>
      <c r="E11104" t="inlineStr">
        <is>
          <t>STRÖMSUND</t>
        </is>
      </c>
      <c r="G11104" t="n">
        <v>22.9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8133-2024</t>
        </is>
      </c>
      <c r="B11105" s="1" t="n">
        <v>45349</v>
      </c>
      <c r="C11105" s="1" t="n">
        <v>45363</v>
      </c>
      <c r="D11105" t="inlineStr">
        <is>
          <t>JÄMTLANDS LÄN</t>
        </is>
      </c>
      <c r="E11105" t="inlineStr">
        <is>
          <t>STRÖMSUND</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8166-2024</t>
        </is>
      </c>
      <c r="B11106" s="1" t="n">
        <v>45349</v>
      </c>
      <c r="C11106" s="1" t="n">
        <v>45363</v>
      </c>
      <c r="D11106" t="inlineStr">
        <is>
          <t>JÄMTLANDS LÄN</t>
        </is>
      </c>
      <c r="E11106" t="inlineStr">
        <is>
          <t>ÖSTERSUND</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7855-2024</t>
        </is>
      </c>
      <c r="B11107" s="1" t="n">
        <v>45350</v>
      </c>
      <c r="C11107" s="1" t="n">
        <v>45363</v>
      </c>
      <c r="D11107" t="inlineStr">
        <is>
          <t>JÄMTLANDS LÄN</t>
        </is>
      </c>
      <c r="E11107" t="inlineStr">
        <is>
          <t>RAGUNDA</t>
        </is>
      </c>
      <c r="F11107" t="inlineStr">
        <is>
          <t>SCA</t>
        </is>
      </c>
      <c r="G11107" t="n">
        <v>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7850-2024</t>
        </is>
      </c>
      <c r="B11108" s="1" t="n">
        <v>45350</v>
      </c>
      <c r="C11108" s="1" t="n">
        <v>45363</v>
      </c>
      <c r="D11108" t="inlineStr">
        <is>
          <t>JÄMTLANDS LÄN</t>
        </is>
      </c>
      <c r="E11108" t="inlineStr">
        <is>
          <t>RAGUNDA</t>
        </is>
      </c>
      <c r="F11108" t="inlineStr">
        <is>
          <t>SCA</t>
        </is>
      </c>
      <c r="G11108" t="n">
        <v>27.8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7854-2024</t>
        </is>
      </c>
      <c r="B11109" s="1" t="n">
        <v>45350</v>
      </c>
      <c r="C11109" s="1" t="n">
        <v>45363</v>
      </c>
      <c r="D11109" t="inlineStr">
        <is>
          <t>JÄMTLANDS LÄN</t>
        </is>
      </c>
      <c r="E11109" t="inlineStr">
        <is>
          <t>STRÖMSUND</t>
        </is>
      </c>
      <c r="F11109" t="inlineStr">
        <is>
          <t>SCA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8178-2024</t>
        </is>
      </c>
      <c r="B11110" s="1" t="n">
        <v>45350</v>
      </c>
      <c r="C11110" s="1" t="n">
        <v>45363</v>
      </c>
      <c r="D11110" t="inlineStr">
        <is>
          <t>JÄMTLANDS LÄN</t>
        </is>
      </c>
      <c r="E11110" t="inlineStr">
        <is>
          <t>HÄRJEDALEN</t>
        </is>
      </c>
      <c r="G11110" t="n">
        <v>8.300000000000001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8037-2024</t>
        </is>
      </c>
      <c r="B11111" s="1" t="n">
        <v>45350</v>
      </c>
      <c r="C11111" s="1" t="n">
        <v>45363</v>
      </c>
      <c r="D11111" t="inlineStr">
        <is>
          <t>JÄMTLANDS LÄN</t>
        </is>
      </c>
      <c r="E11111" t="inlineStr">
        <is>
          <t>BRÄCKE</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7880-2024</t>
        </is>
      </c>
      <c r="B11112" s="1" t="n">
        <v>45350</v>
      </c>
      <c r="C11112" s="1" t="n">
        <v>45363</v>
      </c>
      <c r="D11112" t="inlineStr">
        <is>
          <t>JÄMTLANDS LÄN</t>
        </is>
      </c>
      <c r="E11112" t="inlineStr">
        <is>
          <t>HÄRJEDALEN</t>
        </is>
      </c>
      <c r="F11112" t="inlineStr">
        <is>
          <t>Holmen skog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8253-2024</t>
        </is>
      </c>
      <c r="B11113" s="1" t="n">
        <v>45350</v>
      </c>
      <c r="C11113" s="1" t="n">
        <v>45363</v>
      </c>
      <c r="D11113" t="inlineStr">
        <is>
          <t>JÄMTLANDS LÄN</t>
        </is>
      </c>
      <c r="E11113" t="inlineStr">
        <is>
          <t>BRÄCKE</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7863-2024</t>
        </is>
      </c>
      <c r="B11114" s="1" t="n">
        <v>45350</v>
      </c>
      <c r="C11114" s="1" t="n">
        <v>45363</v>
      </c>
      <c r="D11114" t="inlineStr">
        <is>
          <t>JÄMTLANDS LÄN</t>
        </is>
      </c>
      <c r="E11114" t="inlineStr">
        <is>
          <t>KROKOM</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7896-2024</t>
        </is>
      </c>
      <c r="B11115" s="1" t="n">
        <v>45350</v>
      </c>
      <c r="C11115" s="1" t="n">
        <v>45363</v>
      </c>
      <c r="D11115" t="inlineStr">
        <is>
          <t>JÄMTLANDS LÄN</t>
        </is>
      </c>
      <c r="E11115" t="inlineStr">
        <is>
          <t>HÄRJEDALEN</t>
        </is>
      </c>
      <c r="F11115" t="inlineStr">
        <is>
          <t>Holmen skog AB</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7995-2024</t>
        </is>
      </c>
      <c r="B11116" s="1" t="n">
        <v>45350</v>
      </c>
      <c r="C11116" s="1" t="n">
        <v>45363</v>
      </c>
      <c r="D11116" t="inlineStr">
        <is>
          <t>JÄMTLANDS LÄN</t>
        </is>
      </c>
      <c r="E11116" t="inlineStr">
        <is>
          <t>HÄRJEDALEN</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8297-2024</t>
        </is>
      </c>
      <c r="B11117" s="1" t="n">
        <v>45350</v>
      </c>
      <c r="C11117" s="1" t="n">
        <v>45363</v>
      </c>
      <c r="D11117" t="inlineStr">
        <is>
          <t>JÄMTLANDS LÄN</t>
        </is>
      </c>
      <c r="E11117" t="inlineStr">
        <is>
          <t>STRÖMSUND</t>
        </is>
      </c>
      <c r="F11117" t="inlineStr">
        <is>
          <t>Kyrkan</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8065-2024</t>
        </is>
      </c>
      <c r="B11118" s="1" t="n">
        <v>45351</v>
      </c>
      <c r="C11118" s="1" t="n">
        <v>45363</v>
      </c>
      <c r="D11118" t="inlineStr">
        <is>
          <t>JÄMTLANDS LÄN</t>
        </is>
      </c>
      <c r="E11118" t="inlineStr">
        <is>
          <t>BERG</t>
        </is>
      </c>
      <c r="G11118" t="n">
        <v>6.9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8069-2024</t>
        </is>
      </c>
      <c r="B11119" s="1" t="n">
        <v>45351</v>
      </c>
      <c r="C11119" s="1" t="n">
        <v>45363</v>
      </c>
      <c r="D11119" t="inlineStr">
        <is>
          <t>JÄMTLANDS LÄN</t>
        </is>
      </c>
      <c r="E11119" t="inlineStr">
        <is>
          <t>BERG</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8070-2024</t>
        </is>
      </c>
      <c r="B11120" s="1" t="n">
        <v>45351</v>
      </c>
      <c r="C11120" s="1" t="n">
        <v>45363</v>
      </c>
      <c r="D11120" t="inlineStr">
        <is>
          <t>JÄMTLANDS LÄN</t>
        </is>
      </c>
      <c r="E11120" t="inlineStr">
        <is>
          <t>BERG</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8067-2024</t>
        </is>
      </c>
      <c r="B11121" s="1" t="n">
        <v>45351</v>
      </c>
      <c r="C11121" s="1" t="n">
        <v>45363</v>
      </c>
      <c r="D11121" t="inlineStr">
        <is>
          <t>JÄMTLANDS LÄN</t>
        </is>
      </c>
      <c r="E11121" t="inlineStr">
        <is>
          <t>BERG</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8095-2024</t>
        </is>
      </c>
      <c r="B11122" s="1" t="n">
        <v>45351</v>
      </c>
      <c r="C11122" s="1" t="n">
        <v>45363</v>
      </c>
      <c r="D11122" t="inlineStr">
        <is>
          <t>JÄMTLANDS LÄN</t>
        </is>
      </c>
      <c r="E11122" t="inlineStr">
        <is>
          <t>BERG</t>
        </is>
      </c>
      <c r="G11122" t="n">
        <v>13.6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8130-2024</t>
        </is>
      </c>
      <c r="B11123" s="1" t="n">
        <v>45351</v>
      </c>
      <c r="C11123" s="1" t="n">
        <v>45363</v>
      </c>
      <c r="D11123" t="inlineStr">
        <is>
          <t>JÄMTLANDS LÄN</t>
        </is>
      </c>
      <c r="E11123" t="inlineStr">
        <is>
          <t>KROKOM</t>
        </is>
      </c>
      <c r="G11123" t="n">
        <v>10.9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8136-2024</t>
        </is>
      </c>
      <c r="B11124" s="1" t="n">
        <v>45351</v>
      </c>
      <c r="C11124" s="1" t="n">
        <v>45363</v>
      </c>
      <c r="D11124" t="inlineStr">
        <is>
          <t>JÄMTLANDS LÄN</t>
        </is>
      </c>
      <c r="E11124" t="inlineStr">
        <is>
          <t>HÄRJEDALEN</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8158-2024</t>
        </is>
      </c>
      <c r="B11125" s="1" t="n">
        <v>45351</v>
      </c>
      <c r="C11125" s="1" t="n">
        <v>45363</v>
      </c>
      <c r="D11125" t="inlineStr">
        <is>
          <t>JÄMTLANDS LÄN</t>
        </is>
      </c>
      <c r="E11125" t="inlineStr">
        <is>
          <t>HÄRJEDALEN</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8215-2024</t>
        </is>
      </c>
      <c r="B11126" s="1" t="n">
        <v>45351</v>
      </c>
      <c r="C11126" s="1" t="n">
        <v>45363</v>
      </c>
      <c r="D11126" t="inlineStr">
        <is>
          <t>JÄMTLANDS LÄN</t>
        </is>
      </c>
      <c r="E11126" t="inlineStr">
        <is>
          <t>HÄRJEDALEN</t>
        </is>
      </c>
      <c r="G11126" t="n">
        <v>49.2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8239-2024</t>
        </is>
      </c>
      <c r="B11127" s="1" t="n">
        <v>45351</v>
      </c>
      <c r="C11127" s="1" t="n">
        <v>45363</v>
      </c>
      <c r="D11127" t="inlineStr">
        <is>
          <t>JÄMTLANDS LÄN</t>
        </is>
      </c>
      <c r="E11127" t="inlineStr">
        <is>
          <t>BERG</t>
        </is>
      </c>
      <c r="F11127" t="inlineStr">
        <is>
          <t>SCA</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8243-2024</t>
        </is>
      </c>
      <c r="B11128" s="1" t="n">
        <v>45352</v>
      </c>
      <c r="C11128" s="1" t="n">
        <v>45363</v>
      </c>
      <c r="D11128" t="inlineStr">
        <is>
          <t>JÄMTLANDS LÄN</t>
        </is>
      </c>
      <c r="E11128" t="inlineStr">
        <is>
          <t>RAGUNDA</t>
        </is>
      </c>
      <c r="F11128" t="inlineStr">
        <is>
          <t>SCA</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8131-2024</t>
        </is>
      </c>
      <c r="B11129" s="1" t="n">
        <v>45351</v>
      </c>
      <c r="C11129" s="1" t="n">
        <v>45363</v>
      </c>
      <c r="D11129" t="inlineStr">
        <is>
          <t>JÄMTLANDS LÄN</t>
        </is>
      </c>
      <c r="E11129" t="inlineStr">
        <is>
          <t>ÅRE</t>
        </is>
      </c>
      <c r="F11129" t="inlineStr">
        <is>
          <t>Övriga Aktiebolag</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8238-2024</t>
        </is>
      </c>
      <c r="B11130" s="1" t="n">
        <v>45352</v>
      </c>
      <c r="C11130" s="1" t="n">
        <v>45363</v>
      </c>
      <c r="D11130" t="inlineStr">
        <is>
          <t>JÄMTLANDS LÄN</t>
        </is>
      </c>
      <c r="E11130" t="inlineStr">
        <is>
          <t>BERG</t>
        </is>
      </c>
      <c r="F11130" t="inlineStr">
        <is>
          <t>SCA</t>
        </is>
      </c>
      <c r="G11130" t="n">
        <v>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8242-2024</t>
        </is>
      </c>
      <c r="B11131" s="1" t="n">
        <v>45352</v>
      </c>
      <c r="C11131" s="1" t="n">
        <v>45363</v>
      </c>
      <c r="D11131" t="inlineStr">
        <is>
          <t>JÄMTLANDS LÄN</t>
        </is>
      </c>
      <c r="E11131" t="inlineStr">
        <is>
          <t>BRÄCKE</t>
        </is>
      </c>
      <c r="F11131" t="inlineStr">
        <is>
          <t>SCA</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8241-2024</t>
        </is>
      </c>
      <c r="B11132" s="1" t="n">
        <v>45352</v>
      </c>
      <c r="C11132" s="1" t="n">
        <v>45363</v>
      </c>
      <c r="D11132" t="inlineStr">
        <is>
          <t>JÄMTLANDS LÄN</t>
        </is>
      </c>
      <c r="E11132" t="inlineStr">
        <is>
          <t>RAGUNDA</t>
        </is>
      </c>
      <c r="F11132" t="inlineStr">
        <is>
          <t>SCA</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8052-2024</t>
        </is>
      </c>
      <c r="B11133" s="1" t="n">
        <v>45351</v>
      </c>
      <c r="C11133" s="1" t="n">
        <v>45363</v>
      </c>
      <c r="D11133" t="inlineStr">
        <is>
          <t>JÄMTLANDS LÄN</t>
        </is>
      </c>
      <c r="E11133" t="inlineStr">
        <is>
          <t>BERG</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8376-2024</t>
        </is>
      </c>
      <c r="B11134" s="1" t="n">
        <v>45352</v>
      </c>
      <c r="C11134" s="1" t="n">
        <v>45363</v>
      </c>
      <c r="D11134" t="inlineStr">
        <is>
          <t>JÄMTLANDS LÄN</t>
        </is>
      </c>
      <c r="E11134" t="inlineStr">
        <is>
          <t>HÄRJEDALEN</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8421-2024</t>
        </is>
      </c>
      <c r="B11135" s="1" t="n">
        <v>45353</v>
      </c>
      <c r="C11135" s="1" t="n">
        <v>45363</v>
      </c>
      <c r="D11135" t="inlineStr">
        <is>
          <t>JÄMTLANDS LÄN</t>
        </is>
      </c>
      <c r="E11135" t="inlineStr">
        <is>
          <t>STRÖMSUND</t>
        </is>
      </c>
      <c r="F11135" t="inlineStr">
        <is>
          <t>SCA</t>
        </is>
      </c>
      <c r="G11135" t="n">
        <v>35.8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8379-2024</t>
        </is>
      </c>
      <c r="B11136" s="1" t="n">
        <v>45352</v>
      </c>
      <c r="C11136" s="1" t="n">
        <v>45363</v>
      </c>
      <c r="D11136" t="inlineStr">
        <is>
          <t>JÄMTLANDS LÄN</t>
        </is>
      </c>
      <c r="E11136" t="inlineStr">
        <is>
          <t>ÅRE</t>
        </is>
      </c>
      <c r="G11136" t="n">
        <v>14.9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8416-2024</t>
        </is>
      </c>
      <c r="B11137" s="1" t="n">
        <v>45353</v>
      </c>
      <c r="C11137" s="1" t="n">
        <v>45363</v>
      </c>
      <c r="D11137" t="inlineStr">
        <is>
          <t>JÄMTLANDS LÄN</t>
        </is>
      </c>
      <c r="E11137" t="inlineStr">
        <is>
          <t>BRÄCKE</t>
        </is>
      </c>
      <c r="G11137" t="n">
        <v>11.9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8420-2024</t>
        </is>
      </c>
      <c r="B11138" s="1" t="n">
        <v>45352</v>
      </c>
      <c r="C11138" s="1" t="n">
        <v>45363</v>
      </c>
      <c r="D11138" t="inlineStr">
        <is>
          <t>JÄMTLANDS LÄN</t>
        </is>
      </c>
      <c r="E11138" t="inlineStr">
        <is>
          <t>STRÖMSUND</t>
        </is>
      </c>
      <c r="F11138" t="inlineStr">
        <is>
          <t>SCA</t>
        </is>
      </c>
      <c r="G11138" t="n">
        <v>9.800000000000001</v>
      </c>
      <c r="H11138" t="n">
        <v>0</v>
      </c>
      <c r="I11138" t="n">
        <v>0</v>
      </c>
      <c r="J11138" t="n">
        <v>0</v>
      </c>
      <c r="K11138" t="n">
        <v>0</v>
      </c>
      <c r="L11138" t="n">
        <v>0</v>
      </c>
      <c r="M11138" t="n">
        <v>0</v>
      </c>
      <c r="N11138" t="n">
        <v>0</v>
      </c>
      <c r="O11138" t="n">
        <v>0</v>
      </c>
      <c r="P11138" t="n">
        <v>0</v>
      </c>
      <c r="Q11138" t="n">
        <v>0</v>
      </c>
      <c r="R11138" s="2" t="inlineStr"/>
      <c r="U11138">
        <f>HYPERLINK("https://klasma.github.io/Logging_2313/knärot/A 8420-2024 karta knärot.png", "A 8420-2024")</f>
        <v/>
      </c>
      <c r="V11138">
        <f>HYPERLINK("https://klasma.github.io/Logging_2313/klagomål/A 8420-2024 FSC-klagomål.docx", "A 8420-2024")</f>
        <v/>
      </c>
      <c r="W11138">
        <f>HYPERLINK("https://klasma.github.io/Logging_2313/klagomålsmail/A 8420-2024 FSC-klagomål mail.docx", "A 8420-2024")</f>
        <v/>
      </c>
      <c r="X11138">
        <f>HYPERLINK("https://klasma.github.io/Logging_2313/tillsyn/A 8420-2024 tillsynsbegäran.docx", "A 8420-2024")</f>
        <v/>
      </c>
      <c r="Y11138">
        <f>HYPERLINK("https://klasma.github.io/Logging_2313/tillsynsmail/A 8420-2024 tillsynsbegäran mail.docx", "A 8420-2024")</f>
        <v/>
      </c>
    </row>
    <row r="11139" ht="15" customHeight="1">
      <c r="A11139" t="inlineStr">
        <is>
          <t>A 8424-2024</t>
        </is>
      </c>
      <c r="B11139" s="1" t="n">
        <v>45353</v>
      </c>
      <c r="C11139" s="1" t="n">
        <v>45363</v>
      </c>
      <c r="D11139" t="inlineStr">
        <is>
          <t>JÄMTLANDS LÄN</t>
        </is>
      </c>
      <c r="E11139" t="inlineStr">
        <is>
          <t>BERG</t>
        </is>
      </c>
      <c r="G11139" t="n">
        <v>7.2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8415-2024</t>
        </is>
      </c>
      <c r="B11140" s="1" t="n">
        <v>45353</v>
      </c>
      <c r="C11140" s="1" t="n">
        <v>45363</v>
      </c>
      <c r="D11140" t="inlineStr">
        <is>
          <t>JÄMTLANDS LÄN</t>
        </is>
      </c>
      <c r="E11140" t="inlineStr">
        <is>
          <t>BRÄCKE</t>
        </is>
      </c>
      <c r="F11140" t="inlineStr">
        <is>
          <t>SCA</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8419-2024</t>
        </is>
      </c>
      <c r="B11141" s="1" t="n">
        <v>45352</v>
      </c>
      <c r="C11141" s="1" t="n">
        <v>45363</v>
      </c>
      <c r="D11141" t="inlineStr">
        <is>
          <t>JÄMTLANDS LÄN</t>
        </is>
      </c>
      <c r="E11141" t="inlineStr">
        <is>
          <t>STRÖMSUND</t>
        </is>
      </c>
      <c r="F11141" t="inlineStr">
        <is>
          <t>SCA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8722-2024</t>
        </is>
      </c>
      <c r="B11142" s="1" t="n">
        <v>45355</v>
      </c>
      <c r="C11142" s="1" t="n">
        <v>45363</v>
      </c>
      <c r="D11142" t="inlineStr">
        <is>
          <t>JÄMTLANDS LÄN</t>
        </is>
      </c>
      <c r="E11142" t="inlineStr">
        <is>
          <t>BERG</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8576-2024</t>
        </is>
      </c>
      <c r="B11143" s="1" t="n">
        <v>45355</v>
      </c>
      <c r="C11143" s="1" t="n">
        <v>45363</v>
      </c>
      <c r="D11143" t="inlineStr">
        <is>
          <t>JÄMTLANDS LÄN</t>
        </is>
      </c>
      <c r="E11143" t="inlineStr">
        <is>
          <t>ÅRE</t>
        </is>
      </c>
      <c r="G11143" t="n">
        <v>21.7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8726-2024</t>
        </is>
      </c>
      <c r="B11144" s="1" t="n">
        <v>45355</v>
      </c>
      <c r="C11144" s="1" t="n">
        <v>45363</v>
      </c>
      <c r="D11144" t="inlineStr">
        <is>
          <t>JÄMTLANDS LÄN</t>
        </is>
      </c>
      <c r="E11144" t="inlineStr">
        <is>
          <t>BERG</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8733-2024</t>
        </is>
      </c>
      <c r="B11145" s="1" t="n">
        <v>45355</v>
      </c>
      <c r="C11145" s="1" t="n">
        <v>45363</v>
      </c>
      <c r="D11145" t="inlineStr">
        <is>
          <t>JÄMTLANDS LÄN</t>
        </is>
      </c>
      <c r="E11145" t="inlineStr">
        <is>
          <t>BERG</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8735-2024</t>
        </is>
      </c>
      <c r="B11146" s="1" t="n">
        <v>45355</v>
      </c>
      <c r="C11146" s="1" t="n">
        <v>45363</v>
      </c>
      <c r="D11146" t="inlineStr">
        <is>
          <t>JÄMTLANDS LÄN</t>
        </is>
      </c>
      <c r="E11146" t="inlineStr">
        <is>
          <t>BERG</t>
        </is>
      </c>
      <c r="G11146" t="n">
        <v>8.9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8637-2024</t>
        </is>
      </c>
      <c r="B11147" s="1" t="n">
        <v>45356</v>
      </c>
      <c r="C11147" s="1" t="n">
        <v>45363</v>
      </c>
      <c r="D11147" t="inlineStr">
        <is>
          <t>JÄMTLANDS LÄN</t>
        </is>
      </c>
      <c r="E11147" t="inlineStr">
        <is>
          <t>STRÖMSUND</t>
        </is>
      </c>
      <c r="F11147" t="inlineStr">
        <is>
          <t>SCA</t>
        </is>
      </c>
      <c r="G11147" t="n">
        <v>12.4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8657-2024</t>
        </is>
      </c>
      <c r="B11148" s="1" t="n">
        <v>45356</v>
      </c>
      <c r="C11148" s="1" t="n">
        <v>45363</v>
      </c>
      <c r="D11148" t="inlineStr">
        <is>
          <t>JÄMTLANDS LÄN</t>
        </is>
      </c>
      <c r="E11148" t="inlineStr">
        <is>
          <t>BRÄCKE</t>
        </is>
      </c>
      <c r="F11148" t="inlineStr">
        <is>
          <t>SCA</t>
        </is>
      </c>
      <c r="G11148" t="n">
        <v>35.6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8661-2024</t>
        </is>
      </c>
      <c r="B11149" s="1" t="n">
        <v>45356</v>
      </c>
      <c r="C11149" s="1" t="n">
        <v>45363</v>
      </c>
      <c r="D11149" t="inlineStr">
        <is>
          <t>JÄMTLANDS LÄN</t>
        </is>
      </c>
      <c r="E11149" t="inlineStr">
        <is>
          <t>STRÖMSUND</t>
        </is>
      </c>
      <c r="F11149" t="inlineStr">
        <is>
          <t>SCA</t>
        </is>
      </c>
      <c r="G11149" t="n">
        <v>28.8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8718-2024</t>
        </is>
      </c>
      <c r="B11150" s="1" t="n">
        <v>45356</v>
      </c>
      <c r="C11150" s="1" t="n">
        <v>45363</v>
      </c>
      <c r="D11150" t="inlineStr">
        <is>
          <t>JÄMTLANDS LÄN</t>
        </is>
      </c>
      <c r="E11150" t="inlineStr">
        <is>
          <t>BERG</t>
        </is>
      </c>
      <c r="G11150" t="n">
        <v>11.5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8743-2024</t>
        </is>
      </c>
      <c r="B11151" s="1" t="n">
        <v>45356</v>
      </c>
      <c r="C11151" s="1" t="n">
        <v>45363</v>
      </c>
      <c r="D11151" t="inlineStr">
        <is>
          <t>JÄMTLANDS LÄN</t>
        </is>
      </c>
      <c r="E11151" t="inlineStr">
        <is>
          <t>STRÖMSUND</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8639-2024</t>
        </is>
      </c>
      <c r="B11152" s="1" t="n">
        <v>45356</v>
      </c>
      <c r="C11152" s="1" t="n">
        <v>45363</v>
      </c>
      <c r="D11152" t="inlineStr">
        <is>
          <t>JÄMTLANDS LÄN</t>
        </is>
      </c>
      <c r="E11152" t="inlineStr">
        <is>
          <t>RAGUNDA</t>
        </is>
      </c>
      <c r="F11152" t="inlineStr">
        <is>
          <t>SCA</t>
        </is>
      </c>
      <c r="G11152" t="n">
        <v>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8643-2024</t>
        </is>
      </c>
      <c r="B11153" s="1" t="n">
        <v>45356</v>
      </c>
      <c r="C11153" s="1" t="n">
        <v>45363</v>
      </c>
      <c r="D11153" t="inlineStr">
        <is>
          <t>JÄMTLANDS LÄN</t>
        </is>
      </c>
      <c r="E11153" t="inlineStr">
        <is>
          <t>RAGUNDA</t>
        </is>
      </c>
      <c r="F11153" t="inlineStr">
        <is>
          <t>SCA</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8644-2024</t>
        </is>
      </c>
      <c r="B11154" s="1" t="n">
        <v>45356</v>
      </c>
      <c r="C11154" s="1" t="n">
        <v>45363</v>
      </c>
      <c r="D11154" t="inlineStr">
        <is>
          <t>JÄMTLANDS LÄN</t>
        </is>
      </c>
      <c r="E11154" t="inlineStr">
        <is>
          <t>RAGUNDA</t>
        </is>
      </c>
      <c r="F11154" t="inlineStr">
        <is>
          <t>SCA</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8642-2024</t>
        </is>
      </c>
      <c r="B11155" s="1" t="n">
        <v>45356</v>
      </c>
      <c r="C11155" s="1" t="n">
        <v>45363</v>
      </c>
      <c r="D11155" t="inlineStr">
        <is>
          <t>JÄMTLANDS LÄN</t>
        </is>
      </c>
      <c r="E11155" t="inlineStr">
        <is>
          <t>RAGUNDA</t>
        </is>
      </c>
      <c r="F11155" t="inlineStr">
        <is>
          <t>SCA</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8654-2024</t>
        </is>
      </c>
      <c r="B11156" s="1" t="n">
        <v>45356</v>
      </c>
      <c r="C11156" s="1" t="n">
        <v>45363</v>
      </c>
      <c r="D11156" t="inlineStr">
        <is>
          <t>JÄMTLANDS LÄN</t>
        </is>
      </c>
      <c r="E11156" t="inlineStr">
        <is>
          <t>RAGUNDA</t>
        </is>
      </c>
      <c r="F11156" t="inlineStr">
        <is>
          <t>SCA</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8662-2024</t>
        </is>
      </c>
      <c r="B11157" s="1" t="n">
        <v>45356</v>
      </c>
      <c r="C11157" s="1" t="n">
        <v>45363</v>
      </c>
      <c r="D11157" t="inlineStr">
        <is>
          <t>JÄMTLANDS LÄN</t>
        </is>
      </c>
      <c r="E11157" t="inlineStr">
        <is>
          <t>STRÖMSUND</t>
        </is>
      </c>
      <c r="F11157" t="inlineStr">
        <is>
          <t>SCA</t>
        </is>
      </c>
      <c r="G11157" t="n">
        <v>24.6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8663-2024</t>
        </is>
      </c>
      <c r="B11158" s="1" t="n">
        <v>45356</v>
      </c>
      <c r="C11158" s="1" t="n">
        <v>45363</v>
      </c>
      <c r="D11158" t="inlineStr">
        <is>
          <t>JÄMTLANDS LÄN</t>
        </is>
      </c>
      <c r="E11158" t="inlineStr">
        <is>
          <t>STRÖMSUND</t>
        </is>
      </c>
      <c r="F11158" t="inlineStr">
        <is>
          <t>SCA</t>
        </is>
      </c>
      <c r="G11158" t="n">
        <v>24.8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8711-2024</t>
        </is>
      </c>
      <c r="B11159" s="1" t="n">
        <v>45356</v>
      </c>
      <c r="C11159" s="1" t="n">
        <v>45363</v>
      </c>
      <c r="D11159" t="inlineStr">
        <is>
          <t>JÄMTLANDS LÄN</t>
        </is>
      </c>
      <c r="E11159" t="inlineStr">
        <is>
          <t>BERG</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8745-2024</t>
        </is>
      </c>
      <c r="B11160" s="1" t="n">
        <v>45356</v>
      </c>
      <c r="C11160" s="1" t="n">
        <v>45363</v>
      </c>
      <c r="D11160" t="inlineStr">
        <is>
          <t>JÄMTLANDS LÄN</t>
        </is>
      </c>
      <c r="E11160" t="inlineStr">
        <is>
          <t>STRÖMSUND</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9035-2024</t>
        </is>
      </c>
      <c r="B11161" s="1" t="n">
        <v>45356</v>
      </c>
      <c r="C11161" s="1" t="n">
        <v>45363</v>
      </c>
      <c r="D11161" t="inlineStr">
        <is>
          <t>JÄMTLANDS LÄN</t>
        </is>
      </c>
      <c r="E11161" t="inlineStr">
        <is>
          <t>STRÖMSUND</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8882-2024</t>
        </is>
      </c>
      <c r="B11162" s="1" t="n">
        <v>45357</v>
      </c>
      <c r="C11162" s="1" t="n">
        <v>45363</v>
      </c>
      <c r="D11162" t="inlineStr">
        <is>
          <t>JÄMTLANDS LÄN</t>
        </is>
      </c>
      <c r="E11162" t="inlineStr">
        <is>
          <t>BRÄCKE</t>
        </is>
      </c>
      <c r="F11162" t="inlineStr">
        <is>
          <t>SCA</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8886-2024</t>
        </is>
      </c>
      <c r="B11163" s="1" t="n">
        <v>45357</v>
      </c>
      <c r="C11163" s="1" t="n">
        <v>45363</v>
      </c>
      <c r="D11163" t="inlineStr">
        <is>
          <t>JÄMTLANDS LÄN</t>
        </is>
      </c>
      <c r="E11163" t="inlineStr">
        <is>
          <t>RAGUNDA</t>
        </is>
      </c>
      <c r="F11163" t="inlineStr">
        <is>
          <t>SCA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8895-2024</t>
        </is>
      </c>
      <c r="B11164" s="1" t="n">
        <v>45357</v>
      </c>
      <c r="C11164" s="1" t="n">
        <v>45363</v>
      </c>
      <c r="D11164" t="inlineStr">
        <is>
          <t>JÄMTLANDS LÄN</t>
        </is>
      </c>
      <c r="E11164" t="inlineStr">
        <is>
          <t>STRÖMSUND</t>
        </is>
      </c>
      <c r="F11164" t="inlineStr">
        <is>
          <t>Holmen skog AB</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9109-2024</t>
        </is>
      </c>
      <c r="B11165" s="1" t="n">
        <v>45358</v>
      </c>
      <c r="C11165" s="1" t="n">
        <v>45363</v>
      </c>
      <c r="D11165" t="inlineStr">
        <is>
          <t>JÄMTLANDS LÄN</t>
        </is>
      </c>
      <c r="E11165" t="inlineStr">
        <is>
          <t>ÖSTERSUND</t>
        </is>
      </c>
      <c r="G11165" t="n">
        <v>17.1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8887-2024</t>
        </is>
      </c>
      <c r="B11166" s="1" t="n">
        <v>45357</v>
      </c>
      <c r="C11166" s="1" t="n">
        <v>45363</v>
      </c>
      <c r="D11166" t="inlineStr">
        <is>
          <t>JÄMTLANDS LÄN</t>
        </is>
      </c>
      <c r="E11166" t="inlineStr">
        <is>
          <t>BERG</t>
        </is>
      </c>
      <c r="F11166" t="inlineStr">
        <is>
          <t>SCA</t>
        </is>
      </c>
      <c r="G11166" t="n">
        <v>11.1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8896-2024</t>
        </is>
      </c>
      <c r="B11167" s="1" t="n">
        <v>45357</v>
      </c>
      <c r="C11167" s="1" t="n">
        <v>45363</v>
      </c>
      <c r="D11167" t="inlineStr">
        <is>
          <t>JÄMTLANDS LÄN</t>
        </is>
      </c>
      <c r="E11167" t="inlineStr">
        <is>
          <t>STRÖMSUND</t>
        </is>
      </c>
      <c r="F11167" t="inlineStr">
        <is>
          <t>Holmen skog AB</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9013-2024</t>
        </is>
      </c>
      <c r="B11168" s="1" t="n">
        <v>45357</v>
      </c>
      <c r="C11168" s="1" t="n">
        <v>45363</v>
      </c>
      <c r="D11168" t="inlineStr">
        <is>
          <t>JÄMTLANDS LÄN</t>
        </is>
      </c>
      <c r="E11168" t="inlineStr">
        <is>
          <t>HÄRJEDALEN</t>
        </is>
      </c>
      <c r="G11168" t="n">
        <v>8.1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9028-2024</t>
        </is>
      </c>
      <c r="B11169" s="1" t="n">
        <v>45357</v>
      </c>
      <c r="C11169" s="1" t="n">
        <v>45363</v>
      </c>
      <c r="D11169" t="inlineStr">
        <is>
          <t>JÄMTLANDS LÄN</t>
        </is>
      </c>
      <c r="E11169" t="inlineStr">
        <is>
          <t>BERG</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9118-2024</t>
        </is>
      </c>
      <c r="B11170" s="1" t="n">
        <v>45358</v>
      </c>
      <c r="C11170" s="1" t="n">
        <v>45363</v>
      </c>
      <c r="D11170" t="inlineStr">
        <is>
          <t>JÄMTLANDS LÄN</t>
        </is>
      </c>
      <c r="E11170" t="inlineStr">
        <is>
          <t>BRÄCKE</t>
        </is>
      </c>
      <c r="F11170" t="inlineStr">
        <is>
          <t>SCA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9325-2024</t>
        </is>
      </c>
      <c r="B11171" s="1" t="n">
        <v>45358</v>
      </c>
      <c r="C11171" s="1" t="n">
        <v>45363</v>
      </c>
      <c r="D11171" t="inlineStr">
        <is>
          <t>JÄMTLANDS LÄN</t>
        </is>
      </c>
      <c r="E11171" t="inlineStr">
        <is>
          <t>RAGUNDA</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9329-2024</t>
        </is>
      </c>
      <c r="B11172" s="1" t="n">
        <v>45359</v>
      </c>
      <c r="C11172" s="1" t="n">
        <v>45363</v>
      </c>
      <c r="D11172" t="inlineStr">
        <is>
          <t>JÄMTLANDS LÄN</t>
        </is>
      </c>
      <c r="E11172" t="inlineStr">
        <is>
          <t>STRÖMSUND</t>
        </is>
      </c>
      <c r="F11172" t="inlineStr">
        <is>
          <t>SCA</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9133-2024</t>
        </is>
      </c>
      <c r="B11173" s="1" t="n">
        <v>45358</v>
      </c>
      <c r="C11173" s="1" t="n">
        <v>45363</v>
      </c>
      <c r="D11173" t="inlineStr">
        <is>
          <t>JÄMTLANDS LÄN</t>
        </is>
      </c>
      <c r="E11173" t="inlineStr">
        <is>
          <t>BERG</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9151-2024</t>
        </is>
      </c>
      <c r="B11174" s="1" t="n">
        <v>45358</v>
      </c>
      <c r="C11174" s="1" t="n">
        <v>45363</v>
      </c>
      <c r="D11174" t="inlineStr">
        <is>
          <t>JÄMTLANDS LÄN</t>
        </is>
      </c>
      <c r="E11174" t="inlineStr">
        <is>
          <t>ÖSTERSUND</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9332-2024</t>
        </is>
      </c>
      <c r="B11175" s="1" t="n">
        <v>45359</v>
      </c>
      <c r="C11175" s="1" t="n">
        <v>45363</v>
      </c>
      <c r="D11175" t="inlineStr">
        <is>
          <t>JÄMTLANDS LÄN</t>
        </is>
      </c>
      <c r="E11175" t="inlineStr">
        <is>
          <t>BRÄCKE</t>
        </is>
      </c>
      <c r="F11175" t="inlineStr">
        <is>
          <t>SCA</t>
        </is>
      </c>
      <c r="G11175" t="n">
        <v>30.2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9326-2024</t>
        </is>
      </c>
      <c r="B11176" s="1" t="n">
        <v>45358</v>
      </c>
      <c r="C11176" s="1" t="n">
        <v>45363</v>
      </c>
      <c r="D11176" t="inlineStr">
        <is>
          <t>JÄMTLANDS LÄN</t>
        </is>
      </c>
      <c r="E11176" t="inlineStr">
        <is>
          <t>RAGUNDA</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9514-2024</t>
        </is>
      </c>
      <c r="B11177" s="1" t="n">
        <v>45359</v>
      </c>
      <c r="C11177" s="1" t="n">
        <v>45363</v>
      </c>
      <c r="D11177" t="inlineStr">
        <is>
          <t>JÄMTLANDS LÄN</t>
        </is>
      </c>
      <c r="E11177" t="inlineStr">
        <is>
          <t>STRÖMSUND</t>
        </is>
      </c>
      <c r="G11177" t="n">
        <v>15.9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9478-2024</t>
        </is>
      </c>
      <c r="B11178" s="1" t="n">
        <v>45359</v>
      </c>
      <c r="C11178" s="1" t="n">
        <v>45363</v>
      </c>
      <c r="D11178" t="inlineStr">
        <is>
          <t>JÄMTLANDS LÄN</t>
        </is>
      </c>
      <c r="E11178" t="inlineStr">
        <is>
          <t>BERG</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9482-2024</t>
        </is>
      </c>
      <c r="B11179" s="1" t="n">
        <v>45359</v>
      </c>
      <c r="C11179" s="1" t="n">
        <v>45363</v>
      </c>
      <c r="D11179" t="inlineStr">
        <is>
          <t>JÄMTLANDS LÄN</t>
        </is>
      </c>
      <c r="E11179" t="inlineStr">
        <is>
          <t>BERG</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9553-2024</t>
        </is>
      </c>
      <c r="B11180" s="1" t="n">
        <v>45360</v>
      </c>
      <c r="C11180" s="1" t="n">
        <v>45363</v>
      </c>
      <c r="D11180" t="inlineStr">
        <is>
          <t>JÄMTLANDS LÄN</t>
        </is>
      </c>
      <c r="E11180" t="inlineStr">
        <is>
          <t>BRÄCKE</t>
        </is>
      </c>
      <c r="F11180" t="inlineStr">
        <is>
          <t>SCA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9565-2024</t>
        </is>
      </c>
      <c r="B11181" s="1" t="n">
        <v>45360</v>
      </c>
      <c r="C11181" s="1" t="n">
        <v>45363</v>
      </c>
      <c r="D11181" t="inlineStr">
        <is>
          <t>JÄMTLANDS LÄN</t>
        </is>
      </c>
      <c r="E11181" t="inlineStr">
        <is>
          <t>RAGUNDA</t>
        </is>
      </c>
      <c r="F11181" t="inlineStr">
        <is>
          <t>SCA</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9559-2024</t>
        </is>
      </c>
      <c r="B11182" s="1" t="n">
        <v>45360</v>
      </c>
      <c r="C11182" s="1" t="n">
        <v>45363</v>
      </c>
      <c r="D11182" t="inlineStr">
        <is>
          <t>JÄMTLANDS LÄN</t>
        </is>
      </c>
      <c r="E11182" t="inlineStr">
        <is>
          <t>STRÖMSUND</t>
        </is>
      </c>
      <c r="F11182" t="inlineStr">
        <is>
          <t>SCA</t>
        </is>
      </c>
      <c r="G11182" t="n">
        <v>28.3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9560-2024</t>
        </is>
      </c>
      <c r="B11183" s="1" t="n">
        <v>45360</v>
      </c>
      <c r="C11183" s="1" t="n">
        <v>45363</v>
      </c>
      <c r="D11183" t="inlineStr">
        <is>
          <t>JÄMTLANDS LÄN</t>
        </is>
      </c>
      <c r="E11183" t="inlineStr">
        <is>
          <t>RAGUNDA</t>
        </is>
      </c>
      <c r="F11183" t="inlineStr">
        <is>
          <t>SCA</t>
        </is>
      </c>
      <c r="G11183" t="n">
        <v>21.7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9707-2024</t>
        </is>
      </c>
      <c r="B11184" s="1" t="n">
        <v>45362</v>
      </c>
      <c r="C11184" s="1" t="n">
        <v>45363</v>
      </c>
      <c r="D11184" t="inlineStr">
        <is>
          <t>JÄMTLANDS LÄN</t>
        </is>
      </c>
      <c r="E11184" t="inlineStr">
        <is>
          <t>STRÖMSUND</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9750-2024</t>
        </is>
      </c>
      <c r="B11185" s="1" t="n">
        <v>45362</v>
      </c>
      <c r="C11185" s="1" t="n">
        <v>45363</v>
      </c>
      <c r="D11185" t="inlineStr">
        <is>
          <t>JÄMTLANDS LÄN</t>
        </is>
      </c>
      <c r="E11185" t="inlineStr">
        <is>
          <t>KROKOM</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9778-2024</t>
        </is>
      </c>
      <c r="B11186" s="1" t="n">
        <v>45362</v>
      </c>
      <c r="C11186" s="1" t="n">
        <v>45363</v>
      </c>
      <c r="D11186" t="inlineStr">
        <is>
          <t>JÄMTLANDS LÄN</t>
        </is>
      </c>
      <c r="E11186" t="inlineStr">
        <is>
          <t>HÄRJEDALEN</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9782-2024</t>
        </is>
      </c>
      <c r="B11187" s="1" t="n">
        <v>45362</v>
      </c>
      <c r="C11187" s="1" t="n">
        <v>45363</v>
      </c>
      <c r="D11187" t="inlineStr">
        <is>
          <t>JÄMTLANDS LÄN</t>
        </is>
      </c>
      <c r="E11187" t="inlineStr">
        <is>
          <t>HÄRJEDALEN</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9755-2024</t>
        </is>
      </c>
      <c r="B11188" s="1" t="n">
        <v>45362</v>
      </c>
      <c r="C11188" s="1" t="n">
        <v>45363</v>
      </c>
      <c r="D11188" t="inlineStr">
        <is>
          <t>JÄMTLANDS LÄN</t>
        </is>
      </c>
      <c r="E11188" t="inlineStr">
        <is>
          <t>KROKOM</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9767-2024</t>
        </is>
      </c>
      <c r="B11189" s="1" t="n">
        <v>45362</v>
      </c>
      <c r="C11189" s="1" t="n">
        <v>45363</v>
      </c>
      <c r="D11189" t="inlineStr">
        <is>
          <t>JÄMTLANDS LÄN</t>
        </is>
      </c>
      <c r="E11189" t="inlineStr">
        <is>
          <t>HÄRJEDALEN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9775-2024</t>
        </is>
      </c>
      <c r="B11190" s="1" t="n">
        <v>45362</v>
      </c>
      <c r="C11190" s="1" t="n">
        <v>45363</v>
      </c>
      <c r="D11190" t="inlineStr">
        <is>
          <t>JÄMTLANDS LÄN</t>
        </is>
      </c>
      <c r="E11190" t="inlineStr">
        <is>
          <t>HÄRJEDALEN</t>
        </is>
      </c>
      <c r="G11190" t="n">
        <v>0.2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9784-2024</t>
        </is>
      </c>
      <c r="B11191" s="1" t="n">
        <v>45362</v>
      </c>
      <c r="C11191" s="1" t="n">
        <v>45363</v>
      </c>
      <c r="D11191" t="inlineStr">
        <is>
          <t>JÄMTLANDS LÄN</t>
        </is>
      </c>
      <c r="E11191" t="inlineStr">
        <is>
          <t>HÄRJEDALEN</t>
        </is>
      </c>
      <c r="G11191" t="n">
        <v>0.2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9788-2024</t>
        </is>
      </c>
      <c r="B11192" s="1" t="n">
        <v>45362</v>
      </c>
      <c r="C11192" s="1" t="n">
        <v>45363</v>
      </c>
      <c r="D11192" t="inlineStr">
        <is>
          <t>JÄMTLANDS LÄN</t>
        </is>
      </c>
      <c r="E11192" t="inlineStr">
        <is>
          <t>HÄRJEDALEN</t>
        </is>
      </c>
      <c r="G11192" t="n">
        <v>0.2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9706-2024</t>
        </is>
      </c>
      <c r="B11193" s="1" t="n">
        <v>45362</v>
      </c>
      <c r="C11193" s="1" t="n">
        <v>45363</v>
      </c>
      <c r="D11193" t="inlineStr">
        <is>
          <t>JÄMTLANDS LÄN</t>
        </is>
      </c>
      <c r="E11193" t="inlineStr">
        <is>
          <t>STRÖMSUND</t>
        </is>
      </c>
      <c r="G11193" t="n">
        <v>3.1</v>
      </c>
      <c r="H11193" t="n">
        <v>0</v>
      </c>
      <c r="I11193" t="n">
        <v>0</v>
      </c>
      <c r="J11193" t="n">
        <v>0</v>
      </c>
      <c r="K11193" t="n">
        <v>0</v>
      </c>
      <c r="L11193" t="n">
        <v>0</v>
      </c>
      <c r="M11193" t="n">
        <v>0</v>
      </c>
      <c r="N11193" t="n">
        <v>0</v>
      </c>
      <c r="O11193" t="n">
        <v>0</v>
      </c>
      <c r="P11193" t="n">
        <v>0</v>
      </c>
      <c r="Q11193" t="n">
        <v>0</v>
      </c>
      <c r="R11193" s="2" t="inlineStr"/>
    </row>
    <row r="11194">
      <c r="A11194" t="inlineStr">
        <is>
          <t>A 9780-2024</t>
        </is>
      </c>
      <c r="B11194" s="1" t="n">
        <v>45362</v>
      </c>
      <c r="C11194" s="1" t="n">
        <v>45363</v>
      </c>
      <c r="D11194" t="inlineStr">
        <is>
          <t>JÄMTLANDS LÄN</t>
        </is>
      </c>
      <c r="E11194" t="inlineStr">
        <is>
          <t>HÄRJEDALEN</t>
        </is>
      </c>
      <c r="G11194" t="n">
        <v>0.4</v>
      </c>
      <c r="H11194" t="n">
        <v>0</v>
      </c>
      <c r="I11194" t="n">
        <v>0</v>
      </c>
      <c r="J11194" t="n">
        <v>0</v>
      </c>
      <c r="K11194" t="n">
        <v>0</v>
      </c>
      <c r="L11194" t="n">
        <v>0</v>
      </c>
      <c r="M11194" t="n">
        <v>0</v>
      </c>
      <c r="N11194" t="n">
        <v>0</v>
      </c>
      <c r="O11194" t="n">
        <v>0</v>
      </c>
      <c r="P11194" t="n">
        <v>0</v>
      </c>
      <c r="Q11194" t="n">
        <v>0</v>
      </c>
      <c r="R1119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2024-03-12T13:59:02Z</dcterms:created>
  <dcterms:modified xmlns:dcterms="http://purl.org/dc/terms/" xmlns:xsi="http://www.w3.org/2001/XMLSchema-instance" xsi:type="dcterms:W3CDTF">2024-03-12T13:59:12Z</dcterms:modified>
</cp:coreProperties>
</file>